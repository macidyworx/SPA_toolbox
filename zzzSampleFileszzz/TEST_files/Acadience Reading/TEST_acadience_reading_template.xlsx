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542C2717-A1E7-481F-8C5D-D5A38CB0ACFF}" xr6:coauthVersionLast="47" xr6:coauthVersionMax="47" xr10:uidLastSave="{00000000-0000-0000-0000-000000000000}"/>
  <bookViews>
    <workbookView xWindow="5565" yWindow="1290" windowWidth="19635" windowHeight="11595" firstSheet="2" activeTab="8" xr2:uid="{00000000-000D-0000-FFFF-FFFF00000000}"/>
  </bookViews>
  <sheets>
    <sheet name="Main Menu" sheetId="4" r:id="rId1"/>
    <sheet name="Foundation" sheetId="8" r:id="rId2"/>
    <sheet name="Year 1" sheetId="9" r:id="rId3"/>
    <sheet name="Year 2" sheetId="16" r:id="rId4"/>
    <sheet name="Year 3" sheetId="11" r:id="rId5"/>
    <sheet name="Year 4" sheetId="20" r:id="rId6"/>
    <sheet name="Year 5" sheetId="21" r:id="rId7"/>
    <sheet name="Year 6" sheetId="22" r:id="rId8"/>
    <sheet name="ORF Accuracy Value LookUp" sheetId="15" r:id="rId9"/>
  </sheets>
  <definedNames>
    <definedName name="_xlnm.Print_Area" localSheetId="1">Foundation!$B$1:$G$25</definedName>
    <definedName name="_xlnm.Print_Area" localSheetId="2">'Year 1'!$B$3:$G$7</definedName>
    <definedName name="_xlnm.Print_Area" localSheetId="3">'Year 2'!$B$3:$G$7</definedName>
    <definedName name="_xlnm.Print_Area" localSheetId="4">'Year 3'!$B$1:$G$25</definedName>
    <definedName name="_xlnm.Print_Area" localSheetId="5">'Year 4'!$B$1:$G$28</definedName>
    <definedName name="_xlnm.Print_Area" localSheetId="6">'Year 5'!$B$1:$G$28</definedName>
    <definedName name="_xlnm.Print_Area" localSheetId="7">'Year 6'!$B$1:$G$28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9" i="9" l="1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K36" i="22"/>
  <c r="AK37" i="22"/>
  <c r="AK38" i="22"/>
  <c r="AK39" i="22"/>
  <c r="AK40" i="22"/>
  <c r="AK41" i="22"/>
  <c r="AK42" i="22"/>
  <c r="AK43" i="22"/>
  <c r="AK44" i="22"/>
  <c r="AK45" i="22"/>
  <c r="AK46" i="22"/>
  <c r="AK47" i="22"/>
  <c r="AK48" i="22"/>
  <c r="AK49" i="22"/>
  <c r="AK50" i="22"/>
  <c r="AK51" i="22"/>
  <c r="AK52" i="22"/>
  <c r="AK53" i="22"/>
  <c r="AK54" i="22"/>
  <c r="AK55" i="22"/>
  <c r="AK56" i="22"/>
  <c r="AK57" i="22"/>
  <c r="AK58" i="22"/>
  <c r="AK59" i="22"/>
  <c r="AK60" i="22"/>
  <c r="AK61" i="22"/>
  <c r="AK62" i="22"/>
  <c r="AK63" i="22"/>
  <c r="AK64" i="22"/>
  <c r="AK65" i="22"/>
  <c r="AK66" i="22"/>
  <c r="AK67" i="22"/>
  <c r="AK68" i="22"/>
  <c r="AK69" i="22"/>
  <c r="AK70" i="22"/>
  <c r="AK71" i="22"/>
  <c r="AK72" i="22"/>
  <c r="AK73" i="22"/>
  <c r="AK74" i="22"/>
  <c r="AK75" i="22"/>
  <c r="AK76" i="22"/>
  <c r="AK77" i="22"/>
  <c r="AK78" i="22"/>
  <c r="AK79" i="22"/>
  <c r="AK80" i="22"/>
  <c r="AK81" i="22"/>
  <c r="AK82" i="22"/>
  <c r="AK83" i="22"/>
  <c r="AK84" i="22"/>
  <c r="AK85" i="22"/>
  <c r="AK86" i="22"/>
  <c r="AK87" i="22"/>
  <c r="AK88" i="22"/>
  <c r="AK89" i="22"/>
  <c r="AK90" i="22"/>
  <c r="AK91" i="22"/>
  <c r="AK92" i="22"/>
  <c r="AK93" i="22"/>
  <c r="AK94" i="22"/>
  <c r="AK95" i="22"/>
  <c r="AK96" i="22"/>
  <c r="AK97" i="22"/>
  <c r="AK98" i="22"/>
  <c r="AK99" i="22"/>
  <c r="AK100" i="22"/>
  <c r="AK101" i="22"/>
  <c r="AK102" i="22"/>
  <c r="AK103" i="22"/>
  <c r="AK104" i="22"/>
  <c r="AK105" i="22"/>
  <c r="AK106" i="22"/>
  <c r="AK107" i="22"/>
  <c r="AK108" i="22"/>
  <c r="AK109" i="22"/>
  <c r="AK110" i="22"/>
  <c r="AK111" i="22"/>
  <c r="AK112" i="22"/>
  <c r="AK113" i="22"/>
  <c r="AK114" i="22"/>
  <c r="AK115" i="22"/>
  <c r="AK116" i="22"/>
  <c r="AK117" i="22"/>
  <c r="AK118" i="22"/>
  <c r="AK119" i="22"/>
  <c r="AK120" i="22"/>
  <c r="AK121" i="22"/>
  <c r="AK122" i="22"/>
  <c r="AK123" i="22"/>
  <c r="AK124" i="22"/>
  <c r="AK125" i="22"/>
  <c r="AK126" i="22"/>
  <c r="AK127" i="22"/>
  <c r="AK128" i="22"/>
  <c r="AK129" i="22"/>
  <c r="AK130" i="22"/>
  <c r="AK131" i="22"/>
  <c r="AK132" i="22"/>
  <c r="AK133" i="22"/>
  <c r="AK134" i="22"/>
  <c r="AK135" i="22"/>
  <c r="AK136" i="22"/>
  <c r="AK137" i="22"/>
  <c r="AK138" i="22"/>
  <c r="AK139" i="22"/>
  <c r="AK140" i="22"/>
  <c r="AK141" i="22"/>
  <c r="AK142" i="22"/>
  <c r="AK143" i="22"/>
  <c r="AK144" i="22"/>
  <c r="AK145" i="22"/>
  <c r="AK146" i="22"/>
  <c r="AK147" i="22"/>
  <c r="AK148" i="22"/>
  <c r="AK149" i="22"/>
  <c r="AK150" i="22"/>
  <c r="AK151" i="22"/>
  <c r="AK152" i="22"/>
  <c r="AK153" i="22"/>
  <c r="AK154" i="22"/>
  <c r="AK155" i="22"/>
  <c r="AK156" i="22"/>
  <c r="AK157" i="22"/>
  <c r="AK158" i="22"/>
  <c r="AK159" i="22"/>
  <c r="AK160" i="22"/>
  <c r="AK161" i="22"/>
  <c r="AK162" i="22"/>
  <c r="AK163" i="22"/>
  <c r="AK164" i="22"/>
  <c r="AK165" i="22"/>
  <c r="AK166" i="22"/>
  <c r="AK167" i="22"/>
  <c r="AK168" i="22"/>
  <c r="AK169" i="22"/>
  <c r="AK170" i="22"/>
  <c r="AK171" i="22"/>
  <c r="AK172" i="22"/>
  <c r="AK173" i="22"/>
  <c r="AK174" i="22"/>
  <c r="AK175" i="22"/>
  <c r="AK176" i="22"/>
  <c r="AK177" i="22"/>
  <c r="AK178" i="22"/>
  <c r="AK179" i="22"/>
  <c r="AK180" i="22"/>
  <c r="AK181" i="22"/>
  <c r="AK182" i="22"/>
  <c r="AK183" i="22"/>
  <c r="AK184" i="22"/>
  <c r="AK185" i="22"/>
  <c r="AK186" i="22"/>
  <c r="AK187" i="22"/>
  <c r="AK188" i="22"/>
  <c r="AK189" i="22"/>
  <c r="AK190" i="22"/>
  <c r="AK191" i="22"/>
  <c r="AK192" i="22"/>
  <c r="AK193" i="22"/>
  <c r="AK194" i="22"/>
  <c r="AK195" i="22"/>
  <c r="AK196" i="22"/>
  <c r="AK197" i="22"/>
  <c r="AK198" i="22"/>
  <c r="AK199" i="22"/>
  <c r="AK200" i="22"/>
  <c r="AK201" i="22"/>
  <c r="AK202" i="22"/>
  <c r="AK203" i="22"/>
  <c r="AK204" i="22"/>
  <c r="AK205" i="22"/>
  <c r="AK206" i="22"/>
  <c r="AK207" i="22"/>
  <c r="AK208" i="22"/>
  <c r="AK209" i="22"/>
  <c r="AK210" i="22"/>
  <c r="AK211" i="22"/>
  <c r="AK212" i="22"/>
  <c r="AK213" i="22"/>
  <c r="AK214" i="22"/>
  <c r="AK215" i="22"/>
  <c r="AK216" i="22"/>
  <c r="AK217" i="22"/>
  <c r="AK218" i="22"/>
  <c r="AK219" i="22"/>
  <c r="AK220" i="22"/>
  <c r="AK221" i="22"/>
  <c r="AK222" i="22"/>
  <c r="AK223" i="22"/>
  <c r="AK224" i="22"/>
  <c r="AK225" i="22"/>
  <c r="AK226" i="22"/>
  <c r="AK227" i="22"/>
  <c r="AK228" i="22"/>
  <c r="AK229" i="22"/>
  <c r="AK230" i="22"/>
  <c r="AK231" i="22"/>
  <c r="AK232" i="22"/>
  <c r="AK233" i="22"/>
  <c r="AK234" i="22"/>
  <c r="AK235" i="22"/>
  <c r="AK236" i="22"/>
  <c r="AK237" i="22"/>
  <c r="AK238" i="22"/>
  <c r="AK239" i="22"/>
  <c r="AK240" i="22"/>
  <c r="AK241" i="22"/>
  <c r="AK242" i="22"/>
  <c r="AK243" i="22"/>
  <c r="AK244" i="22"/>
  <c r="AK245" i="22"/>
  <c r="AK246" i="22"/>
  <c r="AK247" i="22"/>
  <c r="AK248" i="22"/>
  <c r="AK249" i="22"/>
  <c r="AK250" i="22"/>
  <c r="AK251" i="22"/>
  <c r="AK252" i="22"/>
  <c r="AK253" i="22"/>
  <c r="AK254" i="22"/>
  <c r="AK255" i="22"/>
  <c r="AK256" i="22"/>
  <c r="AK257" i="22"/>
  <c r="AK258" i="22"/>
  <c r="AK259" i="22"/>
  <c r="AK260" i="22"/>
  <c r="AK261" i="22"/>
  <c r="AK262" i="22"/>
  <c r="AK263" i="22"/>
  <c r="AK264" i="22"/>
  <c r="AK265" i="22"/>
  <c r="AK266" i="22"/>
  <c r="AK267" i="22"/>
  <c r="AK268" i="22"/>
  <c r="AK269" i="22"/>
  <c r="AK270" i="22"/>
  <c r="AK271" i="22"/>
  <c r="AK272" i="22"/>
  <c r="AK273" i="22"/>
  <c r="AK274" i="22"/>
  <c r="AK275" i="22"/>
  <c r="AK276" i="22"/>
  <c r="AK277" i="22"/>
  <c r="AK278" i="22"/>
  <c r="AK279" i="22"/>
  <c r="AK280" i="22"/>
  <c r="AK281" i="22"/>
  <c r="AK282" i="22"/>
  <c r="AK283" i="22"/>
  <c r="AK284" i="22"/>
  <c r="AK285" i="22"/>
  <c r="AK286" i="22"/>
  <c r="AK287" i="22"/>
  <c r="AK288" i="22"/>
  <c r="AK289" i="22"/>
  <c r="AK290" i="22"/>
  <c r="AK291" i="22"/>
  <c r="AK292" i="22"/>
  <c r="AK293" i="22"/>
  <c r="AK294" i="22"/>
  <c r="AK295" i="22"/>
  <c r="AK296" i="22"/>
  <c r="AK297" i="22"/>
  <c r="AK298" i="22"/>
  <c r="AK299" i="22"/>
  <c r="AK300" i="22"/>
  <c r="AK301" i="22"/>
  <c r="AK302" i="22"/>
  <c r="AK303" i="22"/>
  <c r="AK304" i="22"/>
  <c r="AK305" i="22"/>
  <c r="AK306" i="22"/>
  <c r="AK307" i="22"/>
  <c r="AK308" i="22"/>
  <c r="AK309" i="22"/>
  <c r="AK310" i="22"/>
  <c r="AK311" i="22"/>
  <c r="AK312" i="22"/>
  <c r="AK313" i="22"/>
  <c r="AK314" i="22"/>
  <c r="AK315" i="22"/>
  <c r="AK316" i="22"/>
  <c r="AK317" i="22"/>
  <c r="AK318" i="22"/>
  <c r="AK319" i="22"/>
  <c r="AK320" i="22"/>
  <c r="AK321" i="22"/>
  <c r="AK322" i="22"/>
  <c r="AK323" i="22"/>
  <c r="AK324" i="22"/>
  <c r="AK325" i="22"/>
  <c r="AK326" i="22"/>
  <c r="AK327" i="22"/>
  <c r="AK328" i="22"/>
  <c r="AK329" i="22"/>
  <c r="AK330" i="22"/>
  <c r="AK331" i="22"/>
  <c r="AK332" i="22"/>
  <c r="AK333" i="22"/>
  <c r="AK334" i="22"/>
  <c r="AK335" i="22"/>
  <c r="AK336" i="22"/>
  <c r="AK337" i="22"/>
  <c r="AK338" i="22"/>
  <c r="AK339" i="22"/>
  <c r="AK340" i="22"/>
  <c r="AK341" i="22"/>
  <c r="AK342" i="22"/>
  <c r="AK343" i="22"/>
  <c r="AK344" i="22"/>
  <c r="AK345" i="22"/>
  <c r="AK346" i="22"/>
  <c r="AK347" i="22"/>
  <c r="AK348" i="22"/>
  <c r="AK349" i="22"/>
  <c r="AK350" i="22"/>
  <c r="AK351" i="22"/>
  <c r="AK352" i="22"/>
  <c r="AK353" i="22"/>
  <c r="AK354" i="22"/>
  <c r="AK355" i="22"/>
  <c r="AK356" i="22"/>
  <c r="AK357" i="22"/>
  <c r="AK358" i="22"/>
  <c r="AK359" i="22"/>
  <c r="AK360" i="22"/>
  <c r="AK361" i="22"/>
  <c r="AK362" i="22"/>
  <c r="AK363" i="22"/>
  <c r="AK364" i="22"/>
  <c r="AK365" i="22"/>
  <c r="AK366" i="22"/>
  <c r="AK367" i="22"/>
  <c r="AK368" i="22"/>
  <c r="AK369" i="22"/>
  <c r="AK370" i="22"/>
  <c r="AK371" i="22"/>
  <c r="AK372" i="22"/>
  <c r="AK373" i="22"/>
  <c r="AK374" i="22"/>
  <c r="AK375" i="22"/>
  <c r="AK376" i="22"/>
  <c r="AK377" i="22"/>
  <c r="AK378" i="22"/>
  <c r="AK379" i="22"/>
  <c r="AK380" i="22"/>
  <c r="AK381" i="22"/>
  <c r="AK382" i="22"/>
  <c r="AK383" i="22"/>
  <c r="AK384" i="22"/>
  <c r="AK385" i="22"/>
  <c r="AK386" i="22"/>
  <c r="AK387" i="22"/>
  <c r="AK388" i="22"/>
  <c r="AK389" i="22"/>
  <c r="AK390" i="22"/>
  <c r="AK391" i="22"/>
  <c r="AK392" i="22"/>
  <c r="AK393" i="22"/>
  <c r="AK394" i="22"/>
  <c r="AK395" i="22"/>
  <c r="AK396" i="22"/>
  <c r="AK397" i="22"/>
  <c r="AK398" i="22"/>
  <c r="AK399" i="22"/>
  <c r="AK400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AA71" i="22"/>
  <c r="AA72" i="22"/>
  <c r="AA73" i="22"/>
  <c r="AA74" i="22"/>
  <c r="AA75" i="22"/>
  <c r="AA76" i="22"/>
  <c r="AA77" i="22"/>
  <c r="AA78" i="22"/>
  <c r="AA79" i="22"/>
  <c r="AA80" i="22"/>
  <c r="AA81" i="22"/>
  <c r="AA82" i="22"/>
  <c r="AA83" i="22"/>
  <c r="AA84" i="22"/>
  <c r="AA85" i="22"/>
  <c r="AA86" i="22"/>
  <c r="AA87" i="22"/>
  <c r="AA88" i="22"/>
  <c r="AA89" i="22"/>
  <c r="AA90" i="22"/>
  <c r="AA91" i="22"/>
  <c r="AA92" i="22"/>
  <c r="AA93" i="22"/>
  <c r="AA94" i="22"/>
  <c r="AA95" i="22"/>
  <c r="AA96" i="22"/>
  <c r="AA97" i="22"/>
  <c r="AA98" i="22"/>
  <c r="AA99" i="22"/>
  <c r="AA100" i="22"/>
  <c r="AA101" i="22"/>
  <c r="AA102" i="22"/>
  <c r="AA103" i="22"/>
  <c r="AA104" i="22"/>
  <c r="AA105" i="22"/>
  <c r="AA106" i="22"/>
  <c r="AA107" i="22"/>
  <c r="AA108" i="22"/>
  <c r="AA109" i="22"/>
  <c r="AA110" i="22"/>
  <c r="AA111" i="22"/>
  <c r="AA112" i="22"/>
  <c r="AA113" i="22"/>
  <c r="AA114" i="22"/>
  <c r="AA115" i="22"/>
  <c r="AA116" i="22"/>
  <c r="AA117" i="22"/>
  <c r="AA118" i="22"/>
  <c r="AA119" i="22"/>
  <c r="AA120" i="22"/>
  <c r="AA121" i="22"/>
  <c r="AA122" i="22"/>
  <c r="AA123" i="22"/>
  <c r="AA124" i="22"/>
  <c r="AA125" i="22"/>
  <c r="AA126" i="22"/>
  <c r="AA127" i="22"/>
  <c r="AA128" i="22"/>
  <c r="AA129" i="22"/>
  <c r="AA130" i="22"/>
  <c r="AA131" i="22"/>
  <c r="AA132" i="22"/>
  <c r="AA133" i="22"/>
  <c r="AA134" i="22"/>
  <c r="AA135" i="22"/>
  <c r="AA136" i="22"/>
  <c r="AA137" i="22"/>
  <c r="AA138" i="22"/>
  <c r="AA139" i="22"/>
  <c r="AA140" i="22"/>
  <c r="AA141" i="22"/>
  <c r="AA142" i="22"/>
  <c r="AA143" i="22"/>
  <c r="AA144" i="22"/>
  <c r="AA145" i="22"/>
  <c r="AA146" i="22"/>
  <c r="AA147" i="22"/>
  <c r="AA148" i="22"/>
  <c r="AA149" i="22"/>
  <c r="AA150" i="22"/>
  <c r="AA151" i="22"/>
  <c r="AA152" i="22"/>
  <c r="AA153" i="22"/>
  <c r="AA154" i="22"/>
  <c r="AA155" i="22"/>
  <c r="AA156" i="22"/>
  <c r="AA157" i="22"/>
  <c r="AA158" i="22"/>
  <c r="AA159" i="22"/>
  <c r="AA160" i="22"/>
  <c r="AA161" i="22"/>
  <c r="AA162" i="22"/>
  <c r="AA163" i="22"/>
  <c r="AA164" i="22"/>
  <c r="AA165" i="22"/>
  <c r="AA166" i="22"/>
  <c r="AA167" i="22"/>
  <c r="AA168" i="22"/>
  <c r="AA169" i="22"/>
  <c r="AA170" i="22"/>
  <c r="AA171" i="22"/>
  <c r="AA172" i="22"/>
  <c r="AA173" i="22"/>
  <c r="AA174" i="22"/>
  <c r="AA175" i="22"/>
  <c r="AA176" i="22"/>
  <c r="AA177" i="22"/>
  <c r="AA178" i="22"/>
  <c r="AA179" i="22"/>
  <c r="AA180" i="22"/>
  <c r="AA181" i="22"/>
  <c r="AA182" i="22"/>
  <c r="AA183" i="22"/>
  <c r="AA184" i="22"/>
  <c r="AA185" i="22"/>
  <c r="AA186" i="22"/>
  <c r="AA187" i="22"/>
  <c r="AA188" i="22"/>
  <c r="AA189" i="22"/>
  <c r="AA190" i="22"/>
  <c r="AA191" i="22"/>
  <c r="AA192" i="22"/>
  <c r="AA193" i="22"/>
  <c r="AA194" i="22"/>
  <c r="AA195" i="22"/>
  <c r="AA196" i="22"/>
  <c r="AA197" i="22"/>
  <c r="AA198" i="22"/>
  <c r="AA199" i="22"/>
  <c r="AA200" i="22"/>
  <c r="AA201" i="22"/>
  <c r="AA202" i="22"/>
  <c r="AA203" i="22"/>
  <c r="AA204" i="22"/>
  <c r="AA205" i="22"/>
  <c r="AA206" i="22"/>
  <c r="AA207" i="22"/>
  <c r="AA208" i="22"/>
  <c r="AA209" i="22"/>
  <c r="AA210" i="22"/>
  <c r="AA211" i="22"/>
  <c r="AA212" i="22"/>
  <c r="AA213" i="22"/>
  <c r="AA214" i="22"/>
  <c r="AA215" i="22"/>
  <c r="AA216" i="22"/>
  <c r="AA217" i="22"/>
  <c r="AA218" i="22"/>
  <c r="AA219" i="22"/>
  <c r="AA220" i="22"/>
  <c r="AA221" i="22"/>
  <c r="AA222" i="22"/>
  <c r="AA223" i="22"/>
  <c r="AA224" i="22"/>
  <c r="AA225" i="22"/>
  <c r="AA226" i="22"/>
  <c r="AA227" i="22"/>
  <c r="AA228" i="22"/>
  <c r="AA229" i="22"/>
  <c r="AA230" i="22"/>
  <c r="AA231" i="22"/>
  <c r="AA232" i="22"/>
  <c r="AA233" i="22"/>
  <c r="AA234" i="22"/>
  <c r="AA235" i="22"/>
  <c r="AA236" i="22"/>
  <c r="AA237" i="22"/>
  <c r="AA238" i="22"/>
  <c r="AA239" i="22"/>
  <c r="AA240" i="22"/>
  <c r="AA241" i="22"/>
  <c r="AA242" i="22"/>
  <c r="AA243" i="22"/>
  <c r="AA244" i="22"/>
  <c r="AA245" i="22"/>
  <c r="AA246" i="22"/>
  <c r="AA247" i="22"/>
  <c r="AA248" i="22"/>
  <c r="AA249" i="22"/>
  <c r="AA250" i="22"/>
  <c r="AA251" i="22"/>
  <c r="AA252" i="22"/>
  <c r="AA253" i="22"/>
  <c r="AA254" i="22"/>
  <c r="AA255" i="22"/>
  <c r="AA256" i="22"/>
  <c r="AA257" i="22"/>
  <c r="AA258" i="22"/>
  <c r="AA259" i="22"/>
  <c r="AA260" i="22"/>
  <c r="AA261" i="22"/>
  <c r="AA262" i="22"/>
  <c r="AA263" i="22"/>
  <c r="AA264" i="22"/>
  <c r="AA265" i="22"/>
  <c r="AA266" i="22"/>
  <c r="AA267" i="22"/>
  <c r="AA268" i="22"/>
  <c r="AA269" i="22"/>
  <c r="AA270" i="22"/>
  <c r="AA271" i="22"/>
  <c r="AA272" i="22"/>
  <c r="AA273" i="22"/>
  <c r="AA274" i="22"/>
  <c r="AA275" i="22"/>
  <c r="AA276" i="22"/>
  <c r="AA277" i="22"/>
  <c r="AA278" i="22"/>
  <c r="AA279" i="22"/>
  <c r="AA280" i="22"/>
  <c r="AA281" i="22"/>
  <c r="AA282" i="22"/>
  <c r="AA283" i="22"/>
  <c r="AA284" i="22"/>
  <c r="AA285" i="22"/>
  <c r="AA286" i="22"/>
  <c r="AA287" i="22"/>
  <c r="AA288" i="22"/>
  <c r="AA289" i="22"/>
  <c r="AA290" i="22"/>
  <c r="AA291" i="22"/>
  <c r="AA292" i="22"/>
  <c r="AA293" i="22"/>
  <c r="AA294" i="22"/>
  <c r="AA295" i="22"/>
  <c r="AA296" i="22"/>
  <c r="AA297" i="22"/>
  <c r="AA298" i="22"/>
  <c r="AA299" i="22"/>
  <c r="AA300" i="22"/>
  <c r="AA301" i="22"/>
  <c r="AA302" i="22"/>
  <c r="AA303" i="22"/>
  <c r="AA304" i="22"/>
  <c r="AA305" i="22"/>
  <c r="AA306" i="22"/>
  <c r="AA307" i="22"/>
  <c r="AA308" i="22"/>
  <c r="AA309" i="22"/>
  <c r="AA310" i="22"/>
  <c r="AA311" i="22"/>
  <c r="AA312" i="22"/>
  <c r="AA313" i="22"/>
  <c r="AA314" i="22"/>
  <c r="AA315" i="22"/>
  <c r="AA316" i="22"/>
  <c r="AA317" i="22"/>
  <c r="AA318" i="22"/>
  <c r="AA319" i="22"/>
  <c r="AA320" i="22"/>
  <c r="AA321" i="22"/>
  <c r="AA322" i="22"/>
  <c r="AA323" i="22"/>
  <c r="AA324" i="22"/>
  <c r="AA325" i="22"/>
  <c r="AA326" i="22"/>
  <c r="AA327" i="22"/>
  <c r="AA328" i="22"/>
  <c r="AA329" i="22"/>
  <c r="AA330" i="22"/>
  <c r="AA331" i="22"/>
  <c r="AA332" i="22"/>
  <c r="AA333" i="22"/>
  <c r="AA334" i="22"/>
  <c r="AA335" i="22"/>
  <c r="AA336" i="22"/>
  <c r="AA337" i="22"/>
  <c r="AA338" i="22"/>
  <c r="AA339" i="22"/>
  <c r="AA340" i="22"/>
  <c r="AA341" i="22"/>
  <c r="AA342" i="22"/>
  <c r="AA343" i="22"/>
  <c r="AA344" i="22"/>
  <c r="AA345" i="22"/>
  <c r="AA346" i="22"/>
  <c r="AA347" i="22"/>
  <c r="AA348" i="22"/>
  <c r="AA349" i="22"/>
  <c r="AA350" i="22"/>
  <c r="AA351" i="22"/>
  <c r="AA352" i="22"/>
  <c r="AA353" i="22"/>
  <c r="AA354" i="22"/>
  <c r="AA355" i="22"/>
  <c r="AA356" i="22"/>
  <c r="AA357" i="22"/>
  <c r="AA358" i="22"/>
  <c r="AA359" i="22"/>
  <c r="AA360" i="22"/>
  <c r="AA361" i="22"/>
  <c r="AA362" i="22"/>
  <c r="AA363" i="22"/>
  <c r="AA364" i="22"/>
  <c r="AA365" i="22"/>
  <c r="AA366" i="22"/>
  <c r="AA367" i="22"/>
  <c r="AA368" i="22"/>
  <c r="AA369" i="22"/>
  <c r="AA370" i="22"/>
  <c r="AA371" i="22"/>
  <c r="AA372" i="22"/>
  <c r="AA373" i="22"/>
  <c r="AA374" i="22"/>
  <c r="AA375" i="22"/>
  <c r="AA376" i="22"/>
  <c r="AA377" i="22"/>
  <c r="AA378" i="22"/>
  <c r="AA379" i="22"/>
  <c r="AA380" i="22"/>
  <c r="AA381" i="22"/>
  <c r="AA382" i="22"/>
  <c r="AA383" i="22"/>
  <c r="AA384" i="22"/>
  <c r="AA385" i="22"/>
  <c r="AA386" i="22"/>
  <c r="AA387" i="22"/>
  <c r="AA388" i="22"/>
  <c r="AA389" i="22"/>
  <c r="AA390" i="22"/>
  <c r="AA391" i="22"/>
  <c r="AA392" i="22"/>
  <c r="AA393" i="22"/>
  <c r="AA394" i="22"/>
  <c r="AA395" i="22"/>
  <c r="AA396" i="22"/>
  <c r="AA397" i="22"/>
  <c r="AA398" i="22"/>
  <c r="AA399" i="22"/>
  <c r="AA400" i="22"/>
  <c r="AK19" i="21"/>
  <c r="AK20" i="21"/>
  <c r="AK21" i="21"/>
  <c r="AK22" i="21"/>
  <c r="AK23" i="21"/>
  <c r="AK24" i="21"/>
  <c r="AK25" i="21"/>
  <c r="AK26" i="21"/>
  <c r="AK27" i="21"/>
  <c r="AK28" i="21"/>
  <c r="AK29" i="21"/>
  <c r="AK30" i="21"/>
  <c r="AK31" i="21"/>
  <c r="AK32" i="21"/>
  <c r="AK33" i="21"/>
  <c r="AK34" i="21"/>
  <c r="AK35" i="21"/>
  <c r="AK36" i="21"/>
  <c r="AK37" i="21"/>
  <c r="AK38" i="21"/>
  <c r="AK39" i="21"/>
  <c r="AK40" i="21"/>
  <c r="AK41" i="21"/>
  <c r="AK42" i="21"/>
  <c r="AK43" i="21"/>
  <c r="AK44" i="21"/>
  <c r="AK45" i="21"/>
  <c r="AK46" i="21"/>
  <c r="AK47" i="21"/>
  <c r="AK48" i="21"/>
  <c r="AK49" i="21"/>
  <c r="AK50" i="21"/>
  <c r="AK51" i="21"/>
  <c r="AK52" i="21"/>
  <c r="AK53" i="21"/>
  <c r="AK54" i="21"/>
  <c r="AK55" i="21"/>
  <c r="AK56" i="21"/>
  <c r="AK57" i="21"/>
  <c r="AK58" i="21"/>
  <c r="AK59" i="21"/>
  <c r="AK60" i="21"/>
  <c r="AK61" i="21"/>
  <c r="AK62" i="21"/>
  <c r="AK63" i="21"/>
  <c r="AK64" i="21"/>
  <c r="AK65" i="21"/>
  <c r="AK66" i="21"/>
  <c r="AK67" i="21"/>
  <c r="AK68" i="21"/>
  <c r="AK69" i="21"/>
  <c r="AK70" i="21"/>
  <c r="AK71" i="21"/>
  <c r="AK72" i="21"/>
  <c r="AK73" i="21"/>
  <c r="AK74" i="21"/>
  <c r="AK75" i="21"/>
  <c r="AK76" i="21"/>
  <c r="AK77" i="21"/>
  <c r="AK78" i="21"/>
  <c r="AK79" i="21"/>
  <c r="AK80" i="21"/>
  <c r="AK81" i="21"/>
  <c r="AK82" i="21"/>
  <c r="AK83" i="21"/>
  <c r="AK84" i="21"/>
  <c r="AK85" i="21"/>
  <c r="AK86" i="21"/>
  <c r="AK87" i="21"/>
  <c r="AK88" i="21"/>
  <c r="AK89" i="21"/>
  <c r="AK90" i="21"/>
  <c r="AK91" i="21"/>
  <c r="AK92" i="21"/>
  <c r="AK93" i="21"/>
  <c r="AK94" i="21"/>
  <c r="AK95" i="21"/>
  <c r="AK96" i="21"/>
  <c r="AK97" i="21"/>
  <c r="AK98" i="21"/>
  <c r="AK99" i="21"/>
  <c r="AK100" i="21"/>
  <c r="AK101" i="21"/>
  <c r="AK102" i="21"/>
  <c r="AK103" i="21"/>
  <c r="AK104" i="21"/>
  <c r="AK105" i="21"/>
  <c r="AK106" i="21"/>
  <c r="AK107" i="21"/>
  <c r="AK108" i="21"/>
  <c r="AK109" i="21"/>
  <c r="AK110" i="21"/>
  <c r="AK111" i="21"/>
  <c r="AK112" i="21"/>
  <c r="AK113" i="21"/>
  <c r="AK114" i="21"/>
  <c r="AK115" i="21"/>
  <c r="AK116" i="21"/>
  <c r="AK117" i="21"/>
  <c r="AK118" i="21"/>
  <c r="AK119" i="21"/>
  <c r="AK120" i="21"/>
  <c r="AK121" i="21"/>
  <c r="AK122" i="21"/>
  <c r="AK123" i="21"/>
  <c r="AK124" i="21"/>
  <c r="AK125" i="21"/>
  <c r="AK126" i="21"/>
  <c r="AK127" i="21"/>
  <c r="AK128" i="21"/>
  <c r="AK129" i="21"/>
  <c r="AK130" i="21"/>
  <c r="AK131" i="21"/>
  <c r="AK132" i="21"/>
  <c r="AK133" i="21"/>
  <c r="AK134" i="21"/>
  <c r="AK135" i="21"/>
  <c r="AK136" i="21"/>
  <c r="AK137" i="21"/>
  <c r="AK138" i="21"/>
  <c r="AK139" i="21"/>
  <c r="AK140" i="21"/>
  <c r="AK141" i="21"/>
  <c r="AK142" i="21"/>
  <c r="AK143" i="21"/>
  <c r="AK144" i="21"/>
  <c r="AK145" i="21"/>
  <c r="AK146" i="21"/>
  <c r="AK147" i="21"/>
  <c r="AK148" i="21"/>
  <c r="AK149" i="21"/>
  <c r="AK150" i="21"/>
  <c r="AK151" i="21"/>
  <c r="AK152" i="21"/>
  <c r="AK153" i="21"/>
  <c r="AK154" i="21"/>
  <c r="AK155" i="21"/>
  <c r="AK156" i="21"/>
  <c r="AK157" i="21"/>
  <c r="AK158" i="21"/>
  <c r="AK159" i="21"/>
  <c r="AK160" i="21"/>
  <c r="AK161" i="21"/>
  <c r="AK162" i="21"/>
  <c r="AK163" i="21"/>
  <c r="AK164" i="21"/>
  <c r="AK165" i="21"/>
  <c r="AK166" i="21"/>
  <c r="AK167" i="21"/>
  <c r="AK168" i="21"/>
  <c r="AK169" i="21"/>
  <c r="AK170" i="21"/>
  <c r="AK171" i="21"/>
  <c r="AK172" i="21"/>
  <c r="AK173" i="21"/>
  <c r="AK174" i="21"/>
  <c r="AK175" i="21"/>
  <c r="AK176" i="21"/>
  <c r="AK177" i="21"/>
  <c r="AK178" i="21"/>
  <c r="AK179" i="21"/>
  <c r="AK180" i="21"/>
  <c r="AK181" i="21"/>
  <c r="AK182" i="21"/>
  <c r="AK183" i="21"/>
  <c r="AK184" i="21"/>
  <c r="AK185" i="21"/>
  <c r="AK186" i="21"/>
  <c r="AK187" i="21"/>
  <c r="AK188" i="21"/>
  <c r="AK189" i="21"/>
  <c r="AK190" i="21"/>
  <c r="AK191" i="21"/>
  <c r="AK192" i="21"/>
  <c r="AK193" i="21"/>
  <c r="AK194" i="21"/>
  <c r="AK195" i="21"/>
  <c r="AK196" i="21"/>
  <c r="AK197" i="21"/>
  <c r="AK198" i="21"/>
  <c r="AK199" i="21"/>
  <c r="AK200" i="21"/>
  <c r="AK201" i="21"/>
  <c r="AK202" i="21"/>
  <c r="AK203" i="21"/>
  <c r="AK204" i="21"/>
  <c r="AK205" i="21"/>
  <c r="AK206" i="21"/>
  <c r="AK207" i="21"/>
  <c r="AK208" i="21"/>
  <c r="AK209" i="21"/>
  <c r="AK210" i="21"/>
  <c r="AK211" i="21"/>
  <c r="AK212" i="21"/>
  <c r="AK213" i="21"/>
  <c r="AK214" i="21"/>
  <c r="AK215" i="21"/>
  <c r="AK216" i="21"/>
  <c r="AK217" i="21"/>
  <c r="AK218" i="21"/>
  <c r="AK219" i="21"/>
  <c r="AK220" i="21"/>
  <c r="AK221" i="21"/>
  <c r="AK222" i="21"/>
  <c r="AK223" i="21"/>
  <c r="AK224" i="21"/>
  <c r="AK225" i="21"/>
  <c r="AK226" i="21"/>
  <c r="AK227" i="21"/>
  <c r="AK228" i="21"/>
  <c r="AK229" i="21"/>
  <c r="AK230" i="21"/>
  <c r="AK231" i="21"/>
  <c r="AK232" i="21"/>
  <c r="AK233" i="21"/>
  <c r="AK234" i="21"/>
  <c r="AK235" i="21"/>
  <c r="AK236" i="21"/>
  <c r="AK237" i="21"/>
  <c r="AK238" i="21"/>
  <c r="AK239" i="21"/>
  <c r="AK240" i="21"/>
  <c r="AK241" i="21"/>
  <c r="AK242" i="21"/>
  <c r="AK243" i="21"/>
  <c r="AK244" i="21"/>
  <c r="AK245" i="21"/>
  <c r="AK246" i="21"/>
  <c r="AK247" i="21"/>
  <c r="AK248" i="21"/>
  <c r="AK249" i="21"/>
  <c r="AK250" i="21"/>
  <c r="AK251" i="21"/>
  <c r="AK252" i="21"/>
  <c r="AK253" i="21"/>
  <c r="AK254" i="21"/>
  <c r="AK255" i="21"/>
  <c r="AK256" i="21"/>
  <c r="AK257" i="21"/>
  <c r="AK258" i="21"/>
  <c r="AK259" i="21"/>
  <c r="AK260" i="21"/>
  <c r="AK261" i="21"/>
  <c r="AK262" i="21"/>
  <c r="AK263" i="21"/>
  <c r="AK264" i="21"/>
  <c r="AK265" i="21"/>
  <c r="AK266" i="21"/>
  <c r="AK267" i="21"/>
  <c r="AK268" i="21"/>
  <c r="AK269" i="21"/>
  <c r="AK270" i="21"/>
  <c r="AK271" i="21"/>
  <c r="AK272" i="21"/>
  <c r="AK273" i="21"/>
  <c r="AK274" i="21"/>
  <c r="AK275" i="21"/>
  <c r="AK276" i="21"/>
  <c r="AK277" i="21"/>
  <c r="AK278" i="21"/>
  <c r="AK279" i="21"/>
  <c r="AK280" i="21"/>
  <c r="AK281" i="21"/>
  <c r="AK282" i="21"/>
  <c r="AK283" i="21"/>
  <c r="AK284" i="21"/>
  <c r="AK285" i="21"/>
  <c r="AK286" i="21"/>
  <c r="AK287" i="21"/>
  <c r="AK288" i="21"/>
  <c r="AK289" i="21"/>
  <c r="AK290" i="21"/>
  <c r="AK291" i="21"/>
  <c r="AK292" i="21"/>
  <c r="AK293" i="21"/>
  <c r="AK294" i="21"/>
  <c r="AK295" i="21"/>
  <c r="AK296" i="21"/>
  <c r="AK297" i="21"/>
  <c r="AK298" i="21"/>
  <c r="AK299" i="21"/>
  <c r="AK300" i="21"/>
  <c r="AK301" i="21"/>
  <c r="AK302" i="21"/>
  <c r="AK303" i="21"/>
  <c r="AK304" i="21"/>
  <c r="AK305" i="21"/>
  <c r="AK306" i="21"/>
  <c r="AK307" i="21"/>
  <c r="AK308" i="21"/>
  <c r="AK309" i="21"/>
  <c r="AK310" i="21"/>
  <c r="AK311" i="21"/>
  <c r="AK312" i="21"/>
  <c r="AK313" i="21"/>
  <c r="AK314" i="21"/>
  <c r="AK315" i="21"/>
  <c r="AK316" i="21"/>
  <c r="AK317" i="21"/>
  <c r="AK318" i="21"/>
  <c r="AK319" i="21"/>
  <c r="AK320" i="21"/>
  <c r="AK321" i="21"/>
  <c r="AK322" i="21"/>
  <c r="AK323" i="21"/>
  <c r="AK324" i="21"/>
  <c r="AK325" i="21"/>
  <c r="AK326" i="21"/>
  <c r="AK327" i="21"/>
  <c r="AK328" i="21"/>
  <c r="AK329" i="21"/>
  <c r="AK330" i="21"/>
  <c r="AK331" i="21"/>
  <c r="AK332" i="21"/>
  <c r="AK333" i="21"/>
  <c r="AK334" i="21"/>
  <c r="AK335" i="21"/>
  <c r="AK336" i="21"/>
  <c r="AK337" i="21"/>
  <c r="AK338" i="21"/>
  <c r="AK339" i="21"/>
  <c r="AK340" i="21"/>
  <c r="AK341" i="21"/>
  <c r="AK342" i="21"/>
  <c r="AK343" i="21"/>
  <c r="AK344" i="21"/>
  <c r="AK345" i="21"/>
  <c r="AK346" i="21"/>
  <c r="AK347" i="21"/>
  <c r="AK348" i="21"/>
  <c r="AK349" i="21"/>
  <c r="AK350" i="21"/>
  <c r="AK351" i="21"/>
  <c r="AK352" i="21"/>
  <c r="AK353" i="21"/>
  <c r="AK354" i="21"/>
  <c r="AK355" i="21"/>
  <c r="AK356" i="21"/>
  <c r="AK357" i="21"/>
  <c r="AK358" i="21"/>
  <c r="AK359" i="21"/>
  <c r="AK360" i="21"/>
  <c r="AK361" i="21"/>
  <c r="AK362" i="21"/>
  <c r="AK363" i="21"/>
  <c r="AK364" i="21"/>
  <c r="AK365" i="21"/>
  <c r="AK366" i="21"/>
  <c r="AK367" i="21"/>
  <c r="AK368" i="21"/>
  <c r="AK369" i="21"/>
  <c r="AK370" i="21"/>
  <c r="AK371" i="21"/>
  <c r="AK372" i="21"/>
  <c r="AK373" i="21"/>
  <c r="AK374" i="21"/>
  <c r="AK375" i="21"/>
  <c r="AK376" i="21"/>
  <c r="AK377" i="21"/>
  <c r="AK378" i="21"/>
  <c r="AK379" i="21"/>
  <c r="AK380" i="21"/>
  <c r="AK381" i="21"/>
  <c r="AK382" i="21"/>
  <c r="AK383" i="21"/>
  <c r="AK384" i="21"/>
  <c r="AK385" i="21"/>
  <c r="AK386" i="21"/>
  <c r="AK387" i="21"/>
  <c r="AK388" i="21"/>
  <c r="AK389" i="21"/>
  <c r="AK390" i="21"/>
  <c r="AK391" i="21"/>
  <c r="AK392" i="21"/>
  <c r="AK393" i="21"/>
  <c r="AK394" i="21"/>
  <c r="AK395" i="21"/>
  <c r="AK396" i="21"/>
  <c r="AK397" i="21"/>
  <c r="AK398" i="21"/>
  <c r="AK399" i="21"/>
  <c r="AK400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AA231" i="21"/>
  <c r="AA232" i="21"/>
  <c r="AA233" i="21"/>
  <c r="AA234" i="21"/>
  <c r="AA235" i="21"/>
  <c r="AA236" i="21"/>
  <c r="AA237" i="21"/>
  <c r="AA238" i="21"/>
  <c r="AA239" i="21"/>
  <c r="AA240" i="21"/>
  <c r="AA241" i="21"/>
  <c r="AA242" i="21"/>
  <c r="AA243" i="21"/>
  <c r="AA244" i="21"/>
  <c r="AA245" i="21"/>
  <c r="AA246" i="21"/>
  <c r="AA247" i="21"/>
  <c r="AA248" i="21"/>
  <c r="AA249" i="21"/>
  <c r="AA250" i="21"/>
  <c r="AA251" i="21"/>
  <c r="AA252" i="21"/>
  <c r="AA253" i="21"/>
  <c r="AA254" i="21"/>
  <c r="AA255" i="21"/>
  <c r="AA256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273" i="21"/>
  <c r="AA274" i="21"/>
  <c r="AA275" i="21"/>
  <c r="AA276" i="21"/>
  <c r="AA277" i="21"/>
  <c r="AA278" i="21"/>
  <c r="AA279" i="21"/>
  <c r="AA280" i="21"/>
  <c r="AA281" i="21"/>
  <c r="AA282" i="21"/>
  <c r="AA283" i="21"/>
  <c r="AA284" i="21"/>
  <c r="AA285" i="21"/>
  <c r="AA286" i="21"/>
  <c r="AA287" i="21"/>
  <c r="AA288" i="21"/>
  <c r="AA289" i="21"/>
  <c r="AA290" i="21"/>
  <c r="AA291" i="21"/>
  <c r="AA292" i="21"/>
  <c r="AA293" i="21"/>
  <c r="AA294" i="21"/>
  <c r="AA295" i="21"/>
  <c r="AA296" i="21"/>
  <c r="AA297" i="21"/>
  <c r="AA298" i="21"/>
  <c r="AA299" i="21"/>
  <c r="AA300" i="21"/>
  <c r="AA301" i="21"/>
  <c r="AA302" i="21"/>
  <c r="AA303" i="21"/>
  <c r="AA304" i="21"/>
  <c r="AA305" i="21"/>
  <c r="AA306" i="21"/>
  <c r="AA307" i="21"/>
  <c r="AA308" i="21"/>
  <c r="AA309" i="21"/>
  <c r="AA310" i="21"/>
  <c r="AA311" i="21"/>
  <c r="AA312" i="21"/>
  <c r="AA313" i="21"/>
  <c r="AA314" i="21"/>
  <c r="AA315" i="21"/>
  <c r="AA316" i="21"/>
  <c r="AA317" i="21"/>
  <c r="AA318" i="21"/>
  <c r="AA319" i="21"/>
  <c r="AA320" i="21"/>
  <c r="AA321" i="21"/>
  <c r="AA322" i="21"/>
  <c r="AA323" i="21"/>
  <c r="AA324" i="21"/>
  <c r="AA325" i="21"/>
  <c r="AA326" i="21"/>
  <c r="AA327" i="21"/>
  <c r="AA328" i="21"/>
  <c r="AA329" i="21"/>
  <c r="AA330" i="21"/>
  <c r="AA331" i="21"/>
  <c r="AA332" i="21"/>
  <c r="AA333" i="21"/>
  <c r="AA334" i="21"/>
  <c r="AA335" i="21"/>
  <c r="AA336" i="21"/>
  <c r="AA337" i="21"/>
  <c r="AA338" i="21"/>
  <c r="AA339" i="21"/>
  <c r="AA340" i="21"/>
  <c r="AA341" i="21"/>
  <c r="AA342" i="21"/>
  <c r="AA343" i="21"/>
  <c r="AA344" i="21"/>
  <c r="AA345" i="21"/>
  <c r="AA346" i="21"/>
  <c r="AA347" i="21"/>
  <c r="AA348" i="21"/>
  <c r="AA349" i="21"/>
  <c r="AA350" i="21"/>
  <c r="AA351" i="21"/>
  <c r="AA352" i="21"/>
  <c r="AA353" i="21"/>
  <c r="AA354" i="21"/>
  <c r="AA355" i="21"/>
  <c r="AA356" i="21"/>
  <c r="AA357" i="21"/>
  <c r="AA358" i="21"/>
  <c r="AA359" i="21"/>
  <c r="AA360" i="21"/>
  <c r="AA361" i="21"/>
  <c r="AA362" i="21"/>
  <c r="AA363" i="21"/>
  <c r="AA364" i="21"/>
  <c r="AA365" i="21"/>
  <c r="AA366" i="21"/>
  <c r="AA367" i="21"/>
  <c r="AA368" i="21"/>
  <c r="AA369" i="21"/>
  <c r="AA370" i="21"/>
  <c r="AA371" i="21"/>
  <c r="AA372" i="21"/>
  <c r="AA373" i="21"/>
  <c r="AA374" i="21"/>
  <c r="AA375" i="21"/>
  <c r="AA376" i="21"/>
  <c r="AA377" i="21"/>
  <c r="AA378" i="21"/>
  <c r="AA379" i="21"/>
  <c r="AA380" i="21"/>
  <c r="AA381" i="21"/>
  <c r="AA382" i="21"/>
  <c r="AA383" i="21"/>
  <c r="AA384" i="21"/>
  <c r="AA385" i="21"/>
  <c r="AA386" i="21"/>
  <c r="AA387" i="21"/>
  <c r="AA388" i="21"/>
  <c r="AA389" i="21"/>
  <c r="AA390" i="21"/>
  <c r="AA391" i="21"/>
  <c r="AA392" i="21"/>
  <c r="AA393" i="21"/>
  <c r="AA394" i="21"/>
  <c r="AA395" i="21"/>
  <c r="AA396" i="21"/>
  <c r="AA397" i="21"/>
  <c r="AA398" i="21"/>
  <c r="AA399" i="21"/>
  <c r="AA400" i="21"/>
  <c r="AK9" i="20"/>
  <c r="AK10" i="20"/>
  <c r="AK11" i="20"/>
  <c r="AK12" i="20"/>
  <c r="AK13" i="20"/>
  <c r="AK14" i="20"/>
  <c r="AK15" i="20"/>
  <c r="AK16" i="20"/>
  <c r="AK17" i="20"/>
  <c r="AK18" i="20"/>
  <c r="AK19" i="20"/>
  <c r="AK20" i="20"/>
  <c r="AK21" i="20"/>
  <c r="AK22" i="20"/>
  <c r="AK23" i="20"/>
  <c r="AK24" i="20"/>
  <c r="AK25" i="20"/>
  <c r="AK26" i="20"/>
  <c r="AK27" i="20"/>
  <c r="AK28" i="20"/>
  <c r="AK29" i="20"/>
  <c r="AK30" i="20"/>
  <c r="AK31" i="20"/>
  <c r="AK32" i="20"/>
  <c r="AK33" i="20"/>
  <c r="AK34" i="20"/>
  <c r="AK35" i="20"/>
  <c r="AK36" i="20"/>
  <c r="AK37" i="20"/>
  <c r="AK38" i="20"/>
  <c r="AK39" i="20"/>
  <c r="AK40" i="20"/>
  <c r="AK41" i="20"/>
  <c r="AK42" i="20"/>
  <c r="AK43" i="20"/>
  <c r="AK44" i="20"/>
  <c r="AK45" i="20"/>
  <c r="AK46" i="20"/>
  <c r="AK47" i="20"/>
  <c r="AK48" i="20"/>
  <c r="AK49" i="20"/>
  <c r="AK50" i="20"/>
  <c r="AK51" i="20"/>
  <c r="AK52" i="20"/>
  <c r="AK53" i="20"/>
  <c r="AK54" i="20"/>
  <c r="AK55" i="20"/>
  <c r="AK56" i="20"/>
  <c r="AK57" i="20"/>
  <c r="AK58" i="20"/>
  <c r="AK59" i="20"/>
  <c r="AK60" i="20"/>
  <c r="AK61" i="20"/>
  <c r="AK62" i="20"/>
  <c r="AK63" i="20"/>
  <c r="AK64" i="20"/>
  <c r="AK65" i="20"/>
  <c r="AK66" i="20"/>
  <c r="AK67" i="20"/>
  <c r="AK68" i="20"/>
  <c r="AK69" i="20"/>
  <c r="AK70" i="20"/>
  <c r="AK71" i="20"/>
  <c r="AK72" i="20"/>
  <c r="AK73" i="20"/>
  <c r="AK74" i="20"/>
  <c r="AK75" i="20"/>
  <c r="AK76" i="20"/>
  <c r="AK77" i="20"/>
  <c r="AK78" i="20"/>
  <c r="AK79" i="20"/>
  <c r="AK80" i="20"/>
  <c r="AK81" i="20"/>
  <c r="AK82" i="20"/>
  <c r="AK83" i="20"/>
  <c r="AK84" i="20"/>
  <c r="AK85" i="20"/>
  <c r="AK86" i="20"/>
  <c r="AK87" i="20"/>
  <c r="AK88" i="20"/>
  <c r="AK89" i="20"/>
  <c r="AK90" i="20"/>
  <c r="AK91" i="20"/>
  <c r="AK92" i="20"/>
  <c r="AK93" i="20"/>
  <c r="AK94" i="20"/>
  <c r="AK95" i="20"/>
  <c r="AK96" i="20"/>
  <c r="AK97" i="20"/>
  <c r="AK98" i="20"/>
  <c r="AK99" i="20"/>
  <c r="AK100" i="20"/>
  <c r="AK101" i="20"/>
  <c r="AK102" i="20"/>
  <c r="AK103" i="20"/>
  <c r="AK104" i="20"/>
  <c r="AK105" i="20"/>
  <c r="AK106" i="20"/>
  <c r="AK107" i="20"/>
  <c r="AK108" i="20"/>
  <c r="AK109" i="20"/>
  <c r="AK110" i="20"/>
  <c r="AK111" i="20"/>
  <c r="AK112" i="20"/>
  <c r="AK113" i="20"/>
  <c r="AK114" i="20"/>
  <c r="AK115" i="20"/>
  <c r="AK116" i="20"/>
  <c r="AK117" i="20"/>
  <c r="AK118" i="20"/>
  <c r="AK119" i="20"/>
  <c r="AK120" i="20"/>
  <c r="AK121" i="20"/>
  <c r="AK122" i="20"/>
  <c r="AK123" i="20"/>
  <c r="AK124" i="20"/>
  <c r="AK125" i="20"/>
  <c r="AK126" i="20"/>
  <c r="AK127" i="20"/>
  <c r="AK128" i="20"/>
  <c r="AK129" i="20"/>
  <c r="AK130" i="20"/>
  <c r="AK131" i="20"/>
  <c r="AK132" i="20"/>
  <c r="AK133" i="20"/>
  <c r="AK134" i="20"/>
  <c r="AK135" i="20"/>
  <c r="AK136" i="20"/>
  <c r="AK137" i="20"/>
  <c r="AK138" i="20"/>
  <c r="AK139" i="20"/>
  <c r="AK140" i="20"/>
  <c r="AK141" i="20"/>
  <c r="AK142" i="20"/>
  <c r="AK143" i="20"/>
  <c r="AK144" i="20"/>
  <c r="AK145" i="20"/>
  <c r="AK146" i="20"/>
  <c r="AK147" i="20"/>
  <c r="AK148" i="20"/>
  <c r="AK149" i="20"/>
  <c r="AK150" i="20"/>
  <c r="AK151" i="20"/>
  <c r="AK152" i="20"/>
  <c r="AK153" i="20"/>
  <c r="AK154" i="20"/>
  <c r="AK155" i="20"/>
  <c r="AK156" i="20"/>
  <c r="AK157" i="20"/>
  <c r="AK158" i="20"/>
  <c r="AK159" i="20"/>
  <c r="AK160" i="20"/>
  <c r="AK161" i="20"/>
  <c r="AK162" i="20"/>
  <c r="AK163" i="20"/>
  <c r="AK164" i="20"/>
  <c r="AK165" i="20"/>
  <c r="AK166" i="20"/>
  <c r="AK167" i="20"/>
  <c r="AK168" i="20"/>
  <c r="AK169" i="20"/>
  <c r="AK170" i="20"/>
  <c r="AK171" i="20"/>
  <c r="AK172" i="20"/>
  <c r="AK173" i="20"/>
  <c r="AK174" i="20"/>
  <c r="AK175" i="20"/>
  <c r="AK176" i="20"/>
  <c r="AK177" i="20"/>
  <c r="AK178" i="20"/>
  <c r="AK179" i="20"/>
  <c r="AK180" i="20"/>
  <c r="AK181" i="20"/>
  <c r="AK182" i="20"/>
  <c r="AK183" i="20"/>
  <c r="AK184" i="20"/>
  <c r="AK185" i="20"/>
  <c r="AK186" i="20"/>
  <c r="AK187" i="20"/>
  <c r="AK188" i="20"/>
  <c r="AK189" i="20"/>
  <c r="AK190" i="20"/>
  <c r="AK191" i="20"/>
  <c r="AK192" i="20"/>
  <c r="AK193" i="20"/>
  <c r="AK194" i="20"/>
  <c r="AK195" i="20"/>
  <c r="AK196" i="20"/>
  <c r="AK197" i="20"/>
  <c r="AK198" i="20"/>
  <c r="AK199" i="20"/>
  <c r="AK200" i="20"/>
  <c r="AK201" i="20"/>
  <c r="AK202" i="20"/>
  <c r="AK203" i="20"/>
  <c r="AK204" i="20"/>
  <c r="AK205" i="20"/>
  <c r="AK206" i="20"/>
  <c r="AK207" i="20"/>
  <c r="AK208" i="20"/>
  <c r="AK209" i="20"/>
  <c r="AK210" i="20"/>
  <c r="AK211" i="20"/>
  <c r="AK212" i="20"/>
  <c r="AK213" i="20"/>
  <c r="AK214" i="20"/>
  <c r="AK215" i="20"/>
  <c r="AK216" i="20"/>
  <c r="AK217" i="20"/>
  <c r="AK218" i="20"/>
  <c r="AK219" i="20"/>
  <c r="AK220" i="20"/>
  <c r="AK221" i="20"/>
  <c r="AK222" i="20"/>
  <c r="AK223" i="20"/>
  <c r="AK224" i="20"/>
  <c r="AK225" i="20"/>
  <c r="AK226" i="20"/>
  <c r="AK227" i="20"/>
  <c r="AK228" i="20"/>
  <c r="AK229" i="20"/>
  <c r="AK230" i="20"/>
  <c r="AK231" i="20"/>
  <c r="AK232" i="20"/>
  <c r="AK233" i="20"/>
  <c r="AK234" i="20"/>
  <c r="AK235" i="20"/>
  <c r="AK236" i="20"/>
  <c r="AK237" i="20"/>
  <c r="AK238" i="20"/>
  <c r="AK239" i="20"/>
  <c r="AK240" i="20"/>
  <c r="AK241" i="20"/>
  <c r="AK242" i="20"/>
  <c r="AK243" i="20"/>
  <c r="AK244" i="20"/>
  <c r="AK245" i="20"/>
  <c r="AK246" i="20"/>
  <c r="AK247" i="20"/>
  <c r="AK248" i="20"/>
  <c r="AK249" i="20"/>
  <c r="AK250" i="20"/>
  <c r="AK251" i="20"/>
  <c r="AK252" i="20"/>
  <c r="AK253" i="20"/>
  <c r="AK254" i="20"/>
  <c r="AK255" i="20"/>
  <c r="AK256" i="20"/>
  <c r="AK257" i="20"/>
  <c r="AK258" i="20"/>
  <c r="AK259" i="20"/>
  <c r="AK260" i="20"/>
  <c r="AK261" i="20"/>
  <c r="AK262" i="20"/>
  <c r="AK263" i="20"/>
  <c r="AK264" i="20"/>
  <c r="AK265" i="20"/>
  <c r="AK266" i="20"/>
  <c r="AK267" i="20"/>
  <c r="AK268" i="20"/>
  <c r="AK269" i="20"/>
  <c r="AK270" i="20"/>
  <c r="AK271" i="20"/>
  <c r="AK272" i="20"/>
  <c r="AK273" i="20"/>
  <c r="AK274" i="20"/>
  <c r="AK275" i="20"/>
  <c r="AK276" i="20"/>
  <c r="AK277" i="20"/>
  <c r="AK278" i="20"/>
  <c r="AK279" i="20"/>
  <c r="AK280" i="20"/>
  <c r="AK281" i="20"/>
  <c r="AK282" i="20"/>
  <c r="AK283" i="20"/>
  <c r="AK284" i="20"/>
  <c r="AK285" i="20"/>
  <c r="AK286" i="20"/>
  <c r="AK287" i="20"/>
  <c r="AK288" i="20"/>
  <c r="AK289" i="20"/>
  <c r="AK290" i="20"/>
  <c r="AK291" i="20"/>
  <c r="AK292" i="20"/>
  <c r="AK293" i="20"/>
  <c r="AK294" i="20"/>
  <c r="AK295" i="20"/>
  <c r="AK296" i="20"/>
  <c r="AK297" i="20"/>
  <c r="AK298" i="20"/>
  <c r="AK299" i="20"/>
  <c r="AK300" i="20"/>
  <c r="AK301" i="20"/>
  <c r="AK302" i="20"/>
  <c r="AK303" i="20"/>
  <c r="AK304" i="20"/>
  <c r="AK305" i="20"/>
  <c r="AK306" i="20"/>
  <c r="AK307" i="20"/>
  <c r="AK308" i="20"/>
  <c r="AK309" i="20"/>
  <c r="AK310" i="20"/>
  <c r="AK311" i="20"/>
  <c r="AK312" i="20"/>
  <c r="AK313" i="20"/>
  <c r="AK314" i="20"/>
  <c r="AK315" i="20"/>
  <c r="AK316" i="20"/>
  <c r="AK317" i="20"/>
  <c r="AK318" i="20"/>
  <c r="AK319" i="20"/>
  <c r="AK320" i="20"/>
  <c r="AK321" i="20"/>
  <c r="AK322" i="20"/>
  <c r="AK323" i="20"/>
  <c r="AK324" i="20"/>
  <c r="AK325" i="20"/>
  <c r="AK326" i="20"/>
  <c r="AK327" i="20"/>
  <c r="AK328" i="20"/>
  <c r="AK329" i="20"/>
  <c r="AK330" i="20"/>
  <c r="AK331" i="20"/>
  <c r="AK332" i="20"/>
  <c r="AK333" i="20"/>
  <c r="AK334" i="20"/>
  <c r="AK335" i="20"/>
  <c r="AK336" i="20"/>
  <c r="AK337" i="20"/>
  <c r="AK338" i="20"/>
  <c r="AK339" i="20"/>
  <c r="AK340" i="20"/>
  <c r="AK341" i="20"/>
  <c r="AK342" i="20"/>
  <c r="AK343" i="20"/>
  <c r="AK344" i="20"/>
  <c r="AK345" i="20"/>
  <c r="AK346" i="20"/>
  <c r="AK347" i="20"/>
  <c r="AK348" i="20"/>
  <c r="AK349" i="20"/>
  <c r="AK350" i="20"/>
  <c r="AK351" i="20"/>
  <c r="AK352" i="20"/>
  <c r="AK353" i="20"/>
  <c r="AK354" i="20"/>
  <c r="AK355" i="20"/>
  <c r="AK356" i="20"/>
  <c r="AK357" i="20"/>
  <c r="AK358" i="20"/>
  <c r="AK359" i="20"/>
  <c r="AK360" i="20"/>
  <c r="AK361" i="20"/>
  <c r="AK362" i="20"/>
  <c r="AK363" i="20"/>
  <c r="AK364" i="20"/>
  <c r="AK365" i="20"/>
  <c r="AK366" i="20"/>
  <c r="AK367" i="20"/>
  <c r="AK368" i="20"/>
  <c r="AK369" i="20"/>
  <c r="AK370" i="20"/>
  <c r="AK371" i="20"/>
  <c r="AK372" i="20"/>
  <c r="AK373" i="20"/>
  <c r="AK374" i="20"/>
  <c r="AK375" i="20"/>
  <c r="AK376" i="20"/>
  <c r="AK377" i="20"/>
  <c r="AK378" i="20"/>
  <c r="AK379" i="20"/>
  <c r="AK380" i="20"/>
  <c r="AK381" i="20"/>
  <c r="AK382" i="20"/>
  <c r="AK383" i="20"/>
  <c r="AK384" i="20"/>
  <c r="AK385" i="20"/>
  <c r="AK386" i="20"/>
  <c r="AK387" i="20"/>
  <c r="AK388" i="20"/>
  <c r="AK389" i="20"/>
  <c r="AK390" i="20"/>
  <c r="AK391" i="20"/>
  <c r="AK392" i="20"/>
  <c r="AK393" i="20"/>
  <c r="AK394" i="20"/>
  <c r="AK395" i="20"/>
  <c r="AK396" i="20"/>
  <c r="AK397" i="20"/>
  <c r="AK398" i="20"/>
  <c r="AK399" i="20"/>
  <c r="AK400" i="20"/>
  <c r="AK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AA38" i="20"/>
  <c r="AA39" i="20"/>
  <c r="AA40" i="20"/>
  <c r="AA41" i="20"/>
  <c r="AA42" i="20"/>
  <c r="AA43" i="20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A64" i="20"/>
  <c r="AA65" i="20"/>
  <c r="AA66" i="20"/>
  <c r="AA67" i="20"/>
  <c r="AA68" i="20"/>
  <c r="AA69" i="20"/>
  <c r="AA70" i="20"/>
  <c r="AA71" i="20"/>
  <c r="AA72" i="20"/>
  <c r="AA73" i="20"/>
  <c r="AA74" i="20"/>
  <c r="AA75" i="20"/>
  <c r="AA76" i="20"/>
  <c r="AA77" i="20"/>
  <c r="AA78" i="20"/>
  <c r="AA79" i="20"/>
  <c r="AA80" i="20"/>
  <c r="AA81" i="20"/>
  <c r="AA82" i="20"/>
  <c r="AA83" i="20"/>
  <c r="AA84" i="20"/>
  <c r="AA85" i="20"/>
  <c r="AA86" i="20"/>
  <c r="AA87" i="20"/>
  <c r="AA88" i="20"/>
  <c r="AA89" i="20"/>
  <c r="AA90" i="20"/>
  <c r="AA91" i="20"/>
  <c r="AA92" i="20"/>
  <c r="AA93" i="20"/>
  <c r="AA94" i="20"/>
  <c r="AA95" i="20"/>
  <c r="AA96" i="20"/>
  <c r="AA97" i="20"/>
  <c r="AA98" i="20"/>
  <c r="AA99" i="20"/>
  <c r="AA100" i="20"/>
  <c r="AA101" i="20"/>
  <c r="AA102" i="20"/>
  <c r="AA103" i="20"/>
  <c r="AA104" i="20"/>
  <c r="AA105" i="20"/>
  <c r="AA106" i="20"/>
  <c r="AA107" i="20"/>
  <c r="AA108" i="20"/>
  <c r="AA109" i="20"/>
  <c r="AA110" i="20"/>
  <c r="AA111" i="20"/>
  <c r="AA112" i="20"/>
  <c r="AA113" i="20"/>
  <c r="AA114" i="20"/>
  <c r="AA115" i="20"/>
  <c r="AA116" i="20"/>
  <c r="AA117" i="20"/>
  <c r="AA118" i="20"/>
  <c r="AA119" i="20"/>
  <c r="AA120" i="20"/>
  <c r="AA121" i="20"/>
  <c r="AA122" i="20"/>
  <c r="AA123" i="20"/>
  <c r="AA124" i="20"/>
  <c r="AA125" i="20"/>
  <c r="AA126" i="20"/>
  <c r="AA127" i="20"/>
  <c r="AA128" i="20"/>
  <c r="AA129" i="20"/>
  <c r="AA130" i="20"/>
  <c r="AA131" i="20"/>
  <c r="AA132" i="20"/>
  <c r="AA133" i="20"/>
  <c r="AA134" i="20"/>
  <c r="AA135" i="20"/>
  <c r="AA136" i="20"/>
  <c r="AA137" i="20"/>
  <c r="AA138" i="20"/>
  <c r="AA139" i="20"/>
  <c r="AA140" i="20"/>
  <c r="AA141" i="20"/>
  <c r="AA142" i="20"/>
  <c r="AA143" i="20"/>
  <c r="AA144" i="20"/>
  <c r="AA145" i="20"/>
  <c r="AA146" i="20"/>
  <c r="AA147" i="20"/>
  <c r="AA148" i="20"/>
  <c r="AA149" i="20"/>
  <c r="AA150" i="20"/>
  <c r="AA151" i="20"/>
  <c r="AA152" i="20"/>
  <c r="AA153" i="20"/>
  <c r="AA154" i="20"/>
  <c r="AA155" i="20"/>
  <c r="AA156" i="20"/>
  <c r="AA157" i="20"/>
  <c r="AA158" i="20"/>
  <c r="AA159" i="20"/>
  <c r="AA160" i="20"/>
  <c r="AA161" i="20"/>
  <c r="AA162" i="20"/>
  <c r="AA163" i="20"/>
  <c r="AA164" i="20"/>
  <c r="AA165" i="20"/>
  <c r="AA166" i="20"/>
  <c r="AA167" i="20"/>
  <c r="AA168" i="20"/>
  <c r="AA169" i="20"/>
  <c r="AA170" i="20"/>
  <c r="AA171" i="20"/>
  <c r="AA172" i="20"/>
  <c r="AA173" i="20"/>
  <c r="AA174" i="20"/>
  <c r="AA175" i="20"/>
  <c r="AA176" i="20"/>
  <c r="AA177" i="20"/>
  <c r="AA178" i="20"/>
  <c r="AA179" i="20"/>
  <c r="AA180" i="20"/>
  <c r="AA181" i="20"/>
  <c r="AA182" i="20"/>
  <c r="AA183" i="20"/>
  <c r="AA184" i="20"/>
  <c r="AA185" i="20"/>
  <c r="AA186" i="20"/>
  <c r="AA187" i="20"/>
  <c r="AA188" i="20"/>
  <c r="AA189" i="20"/>
  <c r="AA190" i="20"/>
  <c r="AA191" i="20"/>
  <c r="AA192" i="20"/>
  <c r="AA193" i="20"/>
  <c r="AA194" i="20"/>
  <c r="AA195" i="20"/>
  <c r="AA196" i="20"/>
  <c r="AA197" i="20"/>
  <c r="AA198" i="20"/>
  <c r="AA199" i="20"/>
  <c r="AA200" i="20"/>
  <c r="AA201" i="20"/>
  <c r="AA202" i="20"/>
  <c r="AA203" i="20"/>
  <c r="AA204" i="20"/>
  <c r="AA205" i="20"/>
  <c r="AA206" i="20"/>
  <c r="AA207" i="20"/>
  <c r="AA208" i="20"/>
  <c r="AA209" i="20"/>
  <c r="AA210" i="20"/>
  <c r="AA211" i="20"/>
  <c r="AA212" i="20"/>
  <c r="AA213" i="20"/>
  <c r="AA214" i="20"/>
  <c r="AA215" i="20"/>
  <c r="AA216" i="20"/>
  <c r="AA217" i="20"/>
  <c r="AA218" i="20"/>
  <c r="AA219" i="20"/>
  <c r="AA220" i="20"/>
  <c r="AA221" i="20"/>
  <c r="AA222" i="20"/>
  <c r="AA223" i="20"/>
  <c r="AA224" i="20"/>
  <c r="AA225" i="20"/>
  <c r="AA226" i="20"/>
  <c r="AA227" i="20"/>
  <c r="AA228" i="20"/>
  <c r="AA229" i="20"/>
  <c r="AA230" i="20"/>
  <c r="AA231" i="20"/>
  <c r="AA232" i="20"/>
  <c r="AA233" i="20"/>
  <c r="AA234" i="20"/>
  <c r="AA235" i="20"/>
  <c r="AA236" i="20"/>
  <c r="AA237" i="20"/>
  <c r="AA238" i="20"/>
  <c r="AA239" i="20"/>
  <c r="AA240" i="20"/>
  <c r="AA241" i="20"/>
  <c r="AA242" i="20"/>
  <c r="AA243" i="20"/>
  <c r="AA244" i="20"/>
  <c r="AA245" i="20"/>
  <c r="AA246" i="20"/>
  <c r="AA247" i="20"/>
  <c r="AA248" i="20"/>
  <c r="AA249" i="20"/>
  <c r="AA250" i="20"/>
  <c r="AA251" i="20"/>
  <c r="AA252" i="20"/>
  <c r="AA253" i="20"/>
  <c r="AA254" i="20"/>
  <c r="AA255" i="20"/>
  <c r="AA256" i="20"/>
  <c r="AA257" i="20"/>
  <c r="AA258" i="20"/>
  <c r="AA259" i="20"/>
  <c r="AA260" i="20"/>
  <c r="AA261" i="20"/>
  <c r="AA262" i="20"/>
  <c r="AA263" i="20"/>
  <c r="AA264" i="20"/>
  <c r="AA265" i="20"/>
  <c r="AA266" i="20"/>
  <c r="AA267" i="20"/>
  <c r="AA268" i="20"/>
  <c r="AA269" i="20"/>
  <c r="AA270" i="20"/>
  <c r="AA271" i="20"/>
  <c r="AA272" i="20"/>
  <c r="AA273" i="20"/>
  <c r="AA274" i="20"/>
  <c r="AA275" i="20"/>
  <c r="AA276" i="20"/>
  <c r="AA277" i="20"/>
  <c r="AA278" i="20"/>
  <c r="AA279" i="20"/>
  <c r="AA280" i="20"/>
  <c r="AA281" i="20"/>
  <c r="AA282" i="20"/>
  <c r="AA283" i="20"/>
  <c r="AA284" i="20"/>
  <c r="AA285" i="20"/>
  <c r="AA286" i="20"/>
  <c r="AA287" i="20"/>
  <c r="AA288" i="20"/>
  <c r="AA289" i="20"/>
  <c r="AA290" i="20"/>
  <c r="AA291" i="20"/>
  <c r="AA292" i="20"/>
  <c r="AA293" i="20"/>
  <c r="AA294" i="20"/>
  <c r="AA295" i="20"/>
  <c r="AA296" i="20"/>
  <c r="AA297" i="20"/>
  <c r="AA298" i="20"/>
  <c r="AA299" i="20"/>
  <c r="AA300" i="20"/>
  <c r="AA301" i="20"/>
  <c r="AA302" i="20"/>
  <c r="AA303" i="20"/>
  <c r="AA304" i="20"/>
  <c r="AA305" i="20"/>
  <c r="AA306" i="20"/>
  <c r="AA307" i="20"/>
  <c r="AA308" i="20"/>
  <c r="AA309" i="20"/>
  <c r="AA310" i="20"/>
  <c r="AA311" i="20"/>
  <c r="AA312" i="20"/>
  <c r="AA313" i="20"/>
  <c r="AA314" i="20"/>
  <c r="AA315" i="20"/>
  <c r="AA316" i="20"/>
  <c r="AA317" i="20"/>
  <c r="AA318" i="20"/>
  <c r="AA319" i="20"/>
  <c r="AA320" i="20"/>
  <c r="AA321" i="20"/>
  <c r="AA322" i="20"/>
  <c r="AA323" i="20"/>
  <c r="AA324" i="20"/>
  <c r="AA325" i="20"/>
  <c r="AA326" i="20"/>
  <c r="AA327" i="20"/>
  <c r="AA328" i="20"/>
  <c r="AA329" i="20"/>
  <c r="AA330" i="20"/>
  <c r="AA331" i="20"/>
  <c r="AA332" i="20"/>
  <c r="AA333" i="20"/>
  <c r="AA334" i="20"/>
  <c r="AA335" i="20"/>
  <c r="AA336" i="20"/>
  <c r="AA337" i="20"/>
  <c r="AA338" i="20"/>
  <c r="AA339" i="20"/>
  <c r="AA340" i="20"/>
  <c r="AA341" i="20"/>
  <c r="AA342" i="20"/>
  <c r="AA343" i="20"/>
  <c r="AA344" i="20"/>
  <c r="AA345" i="20"/>
  <c r="AA346" i="20"/>
  <c r="AA347" i="20"/>
  <c r="AA348" i="20"/>
  <c r="AA349" i="20"/>
  <c r="AA350" i="20"/>
  <c r="AA351" i="20"/>
  <c r="AA352" i="20"/>
  <c r="AA353" i="20"/>
  <c r="AA354" i="20"/>
  <c r="AA355" i="20"/>
  <c r="AA356" i="20"/>
  <c r="AA357" i="20"/>
  <c r="AA358" i="20"/>
  <c r="AA359" i="20"/>
  <c r="AA360" i="20"/>
  <c r="AA361" i="20"/>
  <c r="AA362" i="20"/>
  <c r="AA363" i="20"/>
  <c r="AA364" i="20"/>
  <c r="AA365" i="20"/>
  <c r="AA366" i="20"/>
  <c r="AA367" i="20"/>
  <c r="AA368" i="20"/>
  <c r="AA369" i="20"/>
  <c r="AA370" i="20"/>
  <c r="AA371" i="20"/>
  <c r="AA372" i="20"/>
  <c r="AA373" i="20"/>
  <c r="AA374" i="20"/>
  <c r="AA375" i="20"/>
  <c r="AA376" i="20"/>
  <c r="AA377" i="20"/>
  <c r="AA378" i="20"/>
  <c r="AA379" i="20"/>
  <c r="AA380" i="20"/>
  <c r="AA381" i="20"/>
  <c r="AA382" i="20"/>
  <c r="AA383" i="20"/>
  <c r="AA384" i="20"/>
  <c r="AA385" i="20"/>
  <c r="AA386" i="20"/>
  <c r="AA387" i="20"/>
  <c r="AA388" i="20"/>
  <c r="AA389" i="20"/>
  <c r="AA390" i="20"/>
  <c r="AA391" i="20"/>
  <c r="AA392" i="20"/>
  <c r="AA393" i="20"/>
  <c r="AA394" i="20"/>
  <c r="AA395" i="20"/>
  <c r="AA396" i="20"/>
  <c r="AA397" i="20"/>
  <c r="AA398" i="20"/>
  <c r="AA399" i="20"/>
  <c r="AA400" i="20"/>
  <c r="AA8" i="20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19" i="11"/>
  <c r="AK120" i="11"/>
  <c r="AK121" i="11"/>
  <c r="AK122" i="11"/>
  <c r="AK123" i="11"/>
  <c r="AK124" i="11"/>
  <c r="AK125" i="11"/>
  <c r="AK126" i="11"/>
  <c r="AK127" i="11"/>
  <c r="AK128" i="11"/>
  <c r="AK129" i="11"/>
  <c r="AK130" i="11"/>
  <c r="AK131" i="11"/>
  <c r="AK132" i="11"/>
  <c r="AK133" i="11"/>
  <c r="AK134" i="11"/>
  <c r="AK135" i="11"/>
  <c r="AK136" i="11"/>
  <c r="AK137" i="11"/>
  <c r="AK138" i="11"/>
  <c r="AK139" i="11"/>
  <c r="AK140" i="11"/>
  <c r="AK141" i="11"/>
  <c r="AK142" i="11"/>
  <c r="AK143" i="11"/>
  <c r="AK144" i="11"/>
  <c r="AK145" i="11"/>
  <c r="AK146" i="11"/>
  <c r="AK147" i="11"/>
  <c r="AK148" i="11"/>
  <c r="AK149" i="11"/>
  <c r="AK150" i="11"/>
  <c r="AK151" i="11"/>
  <c r="AK152" i="11"/>
  <c r="AK153" i="11"/>
  <c r="AK154" i="11"/>
  <c r="AK155" i="11"/>
  <c r="AK156" i="11"/>
  <c r="AK157" i="11"/>
  <c r="AK158" i="11"/>
  <c r="AK159" i="11"/>
  <c r="AK160" i="11"/>
  <c r="AK161" i="11"/>
  <c r="AK162" i="11"/>
  <c r="AK163" i="11"/>
  <c r="AK164" i="11"/>
  <c r="AK165" i="11"/>
  <c r="AK166" i="11"/>
  <c r="AK167" i="11"/>
  <c r="AK168" i="11"/>
  <c r="AK169" i="11"/>
  <c r="AK170" i="11"/>
  <c r="AK171" i="11"/>
  <c r="AK172" i="11"/>
  <c r="AK173" i="11"/>
  <c r="AK174" i="11"/>
  <c r="AK175" i="11"/>
  <c r="AK176" i="11"/>
  <c r="AK177" i="11"/>
  <c r="AK178" i="11"/>
  <c r="AK179" i="11"/>
  <c r="AK180" i="11"/>
  <c r="AK181" i="11"/>
  <c r="AK182" i="11"/>
  <c r="AK183" i="11"/>
  <c r="AK184" i="11"/>
  <c r="AK185" i="11"/>
  <c r="AK186" i="11"/>
  <c r="AK187" i="11"/>
  <c r="AK188" i="11"/>
  <c r="AK189" i="11"/>
  <c r="AK190" i="11"/>
  <c r="AK191" i="11"/>
  <c r="AK192" i="11"/>
  <c r="AK193" i="11"/>
  <c r="AK194" i="11"/>
  <c r="AK195" i="11"/>
  <c r="AK196" i="11"/>
  <c r="AK197" i="11"/>
  <c r="AK198" i="11"/>
  <c r="AK199" i="11"/>
  <c r="AK200" i="11"/>
  <c r="AK201" i="11"/>
  <c r="AK202" i="11"/>
  <c r="AK203" i="11"/>
  <c r="AK204" i="11"/>
  <c r="AK205" i="11"/>
  <c r="AK206" i="11"/>
  <c r="AK207" i="11"/>
  <c r="AK208" i="11"/>
  <c r="AK209" i="11"/>
  <c r="AK210" i="11"/>
  <c r="AK211" i="11"/>
  <c r="AK212" i="11"/>
  <c r="AK213" i="11"/>
  <c r="AK214" i="11"/>
  <c r="AK215" i="11"/>
  <c r="AK216" i="11"/>
  <c r="AK217" i="11"/>
  <c r="AK218" i="11"/>
  <c r="AK219" i="11"/>
  <c r="AK220" i="11"/>
  <c r="AK221" i="11"/>
  <c r="AK222" i="11"/>
  <c r="AK223" i="11"/>
  <c r="AK224" i="11"/>
  <c r="AK225" i="11"/>
  <c r="AK226" i="11"/>
  <c r="AK227" i="11"/>
  <c r="AK228" i="11"/>
  <c r="AK229" i="11"/>
  <c r="AK230" i="11"/>
  <c r="AK231" i="11"/>
  <c r="AK232" i="11"/>
  <c r="AK233" i="11"/>
  <c r="AK234" i="11"/>
  <c r="AK235" i="11"/>
  <c r="AK236" i="11"/>
  <c r="AK237" i="11"/>
  <c r="AK238" i="11"/>
  <c r="AK239" i="11"/>
  <c r="AK240" i="11"/>
  <c r="AK241" i="11"/>
  <c r="AK242" i="11"/>
  <c r="AK243" i="11"/>
  <c r="AK244" i="11"/>
  <c r="AK245" i="11"/>
  <c r="AK246" i="11"/>
  <c r="AK247" i="11"/>
  <c r="AK248" i="11"/>
  <c r="AK249" i="11"/>
  <c r="AK250" i="11"/>
  <c r="AK251" i="11"/>
  <c r="AK252" i="11"/>
  <c r="AK253" i="11"/>
  <c r="AK254" i="11"/>
  <c r="AK255" i="11"/>
  <c r="AK256" i="11"/>
  <c r="AK257" i="11"/>
  <c r="AK258" i="11"/>
  <c r="AK259" i="11"/>
  <c r="AK260" i="11"/>
  <c r="AK261" i="11"/>
  <c r="AK262" i="11"/>
  <c r="AK263" i="11"/>
  <c r="AK264" i="11"/>
  <c r="AK265" i="11"/>
  <c r="AK266" i="11"/>
  <c r="AK267" i="11"/>
  <c r="AK268" i="11"/>
  <c r="AK269" i="11"/>
  <c r="AK270" i="11"/>
  <c r="AK271" i="11"/>
  <c r="AK272" i="11"/>
  <c r="AK273" i="11"/>
  <c r="AK274" i="11"/>
  <c r="AK275" i="11"/>
  <c r="AK276" i="11"/>
  <c r="AK277" i="11"/>
  <c r="AK278" i="11"/>
  <c r="AK279" i="11"/>
  <c r="AK280" i="11"/>
  <c r="AK281" i="11"/>
  <c r="AK282" i="11"/>
  <c r="AK283" i="11"/>
  <c r="AK284" i="11"/>
  <c r="AK285" i="11"/>
  <c r="AK286" i="11"/>
  <c r="AK287" i="11"/>
  <c r="AK288" i="11"/>
  <c r="AK289" i="11"/>
  <c r="AK290" i="11"/>
  <c r="AK291" i="11"/>
  <c r="AK292" i="11"/>
  <c r="AK293" i="11"/>
  <c r="AK294" i="11"/>
  <c r="AK295" i="11"/>
  <c r="AK296" i="11"/>
  <c r="AK297" i="11"/>
  <c r="AK298" i="11"/>
  <c r="AK299" i="11"/>
  <c r="AK300" i="11"/>
  <c r="AK301" i="11"/>
  <c r="AK302" i="11"/>
  <c r="AK303" i="11"/>
  <c r="AK304" i="11"/>
  <c r="AK305" i="11"/>
  <c r="AK306" i="11"/>
  <c r="AK307" i="11"/>
  <c r="AK308" i="11"/>
  <c r="AK309" i="11"/>
  <c r="AK310" i="11"/>
  <c r="AK311" i="11"/>
  <c r="AK312" i="11"/>
  <c r="AK313" i="11"/>
  <c r="AK314" i="11"/>
  <c r="AK315" i="11"/>
  <c r="AK316" i="11"/>
  <c r="AK317" i="11"/>
  <c r="AK318" i="11"/>
  <c r="AK319" i="11"/>
  <c r="AK320" i="11"/>
  <c r="AK321" i="11"/>
  <c r="AK322" i="11"/>
  <c r="AK323" i="11"/>
  <c r="AK324" i="11"/>
  <c r="AK325" i="11"/>
  <c r="AK326" i="11"/>
  <c r="AK327" i="11"/>
  <c r="AK328" i="11"/>
  <c r="AK329" i="11"/>
  <c r="AK330" i="11"/>
  <c r="AK331" i="11"/>
  <c r="AK332" i="11"/>
  <c r="AK333" i="11"/>
  <c r="AK334" i="11"/>
  <c r="AK335" i="11"/>
  <c r="AK336" i="11"/>
  <c r="AK337" i="11"/>
  <c r="AK338" i="11"/>
  <c r="AK339" i="11"/>
  <c r="AK340" i="11"/>
  <c r="AK341" i="11"/>
  <c r="AK342" i="11"/>
  <c r="AK343" i="11"/>
  <c r="AK344" i="11"/>
  <c r="AK345" i="11"/>
  <c r="AK346" i="11"/>
  <c r="AK347" i="11"/>
  <c r="AK348" i="11"/>
  <c r="AK349" i="11"/>
  <c r="AK350" i="11"/>
  <c r="AK351" i="11"/>
  <c r="AK352" i="11"/>
  <c r="AK353" i="11"/>
  <c r="AK354" i="11"/>
  <c r="AK355" i="11"/>
  <c r="AK356" i="11"/>
  <c r="AK357" i="11"/>
  <c r="AK358" i="11"/>
  <c r="AK359" i="11"/>
  <c r="AK360" i="11"/>
  <c r="AK361" i="11"/>
  <c r="AK362" i="11"/>
  <c r="AK363" i="11"/>
  <c r="AK364" i="11"/>
  <c r="AK365" i="11"/>
  <c r="AK366" i="11"/>
  <c r="AK367" i="11"/>
  <c r="AK368" i="11"/>
  <c r="AK369" i="11"/>
  <c r="AK370" i="11"/>
  <c r="AK371" i="11"/>
  <c r="AK372" i="11"/>
  <c r="AK373" i="11"/>
  <c r="AK374" i="11"/>
  <c r="AK375" i="11"/>
  <c r="AK376" i="11"/>
  <c r="AK377" i="11"/>
  <c r="AK378" i="11"/>
  <c r="AK379" i="11"/>
  <c r="AK380" i="11"/>
  <c r="AK381" i="11"/>
  <c r="AK382" i="11"/>
  <c r="AK383" i="11"/>
  <c r="AK384" i="11"/>
  <c r="AK385" i="11"/>
  <c r="AK386" i="11"/>
  <c r="AK387" i="11"/>
  <c r="AK388" i="11"/>
  <c r="AK389" i="11"/>
  <c r="AK390" i="11"/>
  <c r="AK391" i="11"/>
  <c r="AK392" i="11"/>
  <c r="AK393" i="11"/>
  <c r="AK394" i="11"/>
  <c r="AK395" i="11"/>
  <c r="AK396" i="11"/>
  <c r="AK397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172" i="11"/>
  <c r="AA173" i="11"/>
  <c r="AA174" i="11"/>
  <c r="AA175" i="11"/>
  <c r="AA176" i="11"/>
  <c r="AA177" i="11"/>
  <c r="AA178" i="11"/>
  <c r="AA179" i="11"/>
  <c r="AA180" i="11"/>
  <c r="AA181" i="11"/>
  <c r="AA182" i="11"/>
  <c r="AA183" i="11"/>
  <c r="AA184" i="11"/>
  <c r="AA185" i="11"/>
  <c r="AA186" i="11"/>
  <c r="AA187" i="11"/>
  <c r="AA188" i="11"/>
  <c r="AA189" i="11"/>
  <c r="AA190" i="11"/>
  <c r="AA191" i="11"/>
  <c r="AA192" i="11"/>
  <c r="AA193" i="11"/>
  <c r="AA194" i="11"/>
  <c r="AA195" i="11"/>
  <c r="AA196" i="11"/>
  <c r="AA197" i="11"/>
  <c r="AA198" i="11"/>
  <c r="AA199" i="11"/>
  <c r="AA200" i="11"/>
  <c r="AA201" i="11"/>
  <c r="AA202" i="11"/>
  <c r="AA203" i="11"/>
  <c r="AA204" i="11"/>
  <c r="AA205" i="11"/>
  <c r="AA206" i="11"/>
  <c r="AA207" i="11"/>
  <c r="AA208" i="11"/>
  <c r="AA209" i="11"/>
  <c r="AA210" i="11"/>
  <c r="AA211" i="11"/>
  <c r="AA212" i="11"/>
  <c r="AA213" i="11"/>
  <c r="AA214" i="11"/>
  <c r="AA215" i="11"/>
  <c r="AA216" i="11"/>
  <c r="AA217" i="11"/>
  <c r="AA218" i="11"/>
  <c r="AA219" i="11"/>
  <c r="AA220" i="11"/>
  <c r="AA221" i="11"/>
  <c r="AA222" i="11"/>
  <c r="AA223" i="11"/>
  <c r="AA224" i="11"/>
  <c r="AA225" i="11"/>
  <c r="AA226" i="11"/>
  <c r="AA227" i="11"/>
  <c r="AA228" i="11"/>
  <c r="AA229" i="11"/>
  <c r="AA230" i="11"/>
  <c r="AA231" i="11"/>
  <c r="AA232" i="11"/>
  <c r="AA233" i="11"/>
  <c r="AA234" i="11"/>
  <c r="AA235" i="11"/>
  <c r="AA236" i="11"/>
  <c r="AA237" i="11"/>
  <c r="AA238" i="11"/>
  <c r="AA239" i="11"/>
  <c r="AA240" i="11"/>
  <c r="AA241" i="11"/>
  <c r="AA242" i="11"/>
  <c r="AA243" i="11"/>
  <c r="AA244" i="11"/>
  <c r="AA245" i="11"/>
  <c r="AA246" i="11"/>
  <c r="AA247" i="11"/>
  <c r="AA248" i="11"/>
  <c r="AA249" i="11"/>
  <c r="AA250" i="11"/>
  <c r="AA251" i="11"/>
  <c r="AA252" i="11"/>
  <c r="AA253" i="11"/>
  <c r="AA254" i="11"/>
  <c r="AA255" i="11"/>
  <c r="AA256" i="11"/>
  <c r="AA257" i="11"/>
  <c r="AA258" i="11"/>
  <c r="AA259" i="11"/>
  <c r="AA260" i="11"/>
  <c r="AA261" i="11"/>
  <c r="AA262" i="11"/>
  <c r="AA263" i="11"/>
  <c r="AA264" i="11"/>
  <c r="AA265" i="11"/>
  <c r="AA266" i="11"/>
  <c r="AA267" i="11"/>
  <c r="AA268" i="11"/>
  <c r="AA269" i="11"/>
  <c r="AA270" i="11"/>
  <c r="AA271" i="11"/>
  <c r="AA272" i="11"/>
  <c r="AA273" i="11"/>
  <c r="AA274" i="11"/>
  <c r="AA275" i="11"/>
  <c r="AA276" i="11"/>
  <c r="AA277" i="11"/>
  <c r="AA278" i="11"/>
  <c r="AA279" i="11"/>
  <c r="AA280" i="11"/>
  <c r="AA281" i="11"/>
  <c r="AA282" i="11"/>
  <c r="AA283" i="11"/>
  <c r="AA284" i="11"/>
  <c r="AA285" i="11"/>
  <c r="AA286" i="11"/>
  <c r="AA287" i="11"/>
  <c r="AA288" i="11"/>
  <c r="AA289" i="11"/>
  <c r="AA290" i="11"/>
  <c r="AA291" i="11"/>
  <c r="AA292" i="11"/>
  <c r="AA293" i="11"/>
  <c r="AA294" i="11"/>
  <c r="AA295" i="11"/>
  <c r="AA296" i="11"/>
  <c r="AA297" i="11"/>
  <c r="AA298" i="11"/>
  <c r="AA299" i="11"/>
  <c r="AA300" i="11"/>
  <c r="AA301" i="11"/>
  <c r="AA302" i="11"/>
  <c r="AA303" i="11"/>
  <c r="AA304" i="11"/>
  <c r="AA305" i="11"/>
  <c r="AA306" i="11"/>
  <c r="AA307" i="11"/>
  <c r="AA308" i="11"/>
  <c r="AA309" i="11"/>
  <c r="AA310" i="11"/>
  <c r="AA311" i="11"/>
  <c r="AA312" i="11"/>
  <c r="AA313" i="11"/>
  <c r="AA314" i="11"/>
  <c r="AA315" i="11"/>
  <c r="AA316" i="11"/>
  <c r="AA317" i="11"/>
  <c r="AA318" i="11"/>
  <c r="AA319" i="11"/>
  <c r="AA320" i="11"/>
  <c r="AA321" i="11"/>
  <c r="AA322" i="11"/>
  <c r="AA323" i="11"/>
  <c r="AA324" i="11"/>
  <c r="AA325" i="11"/>
  <c r="AA326" i="11"/>
  <c r="AA327" i="11"/>
  <c r="AA328" i="11"/>
  <c r="AA329" i="11"/>
  <c r="AA330" i="11"/>
  <c r="AA331" i="11"/>
  <c r="AA332" i="11"/>
  <c r="AA333" i="11"/>
  <c r="AA334" i="11"/>
  <c r="AA335" i="11"/>
  <c r="AA336" i="11"/>
  <c r="AA337" i="11"/>
  <c r="AA338" i="11"/>
  <c r="AA339" i="11"/>
  <c r="AA340" i="11"/>
  <c r="AA341" i="11"/>
  <c r="AA342" i="11"/>
  <c r="AA343" i="11"/>
  <c r="AA344" i="11"/>
  <c r="AA345" i="11"/>
  <c r="AA346" i="11"/>
  <c r="AA347" i="11"/>
  <c r="AA348" i="11"/>
  <c r="AA349" i="11"/>
  <c r="AA350" i="11"/>
  <c r="AA351" i="11"/>
  <c r="AA352" i="11"/>
  <c r="AA353" i="11"/>
  <c r="AA354" i="11"/>
  <c r="AA355" i="11"/>
  <c r="AA356" i="11"/>
  <c r="AA357" i="11"/>
  <c r="AA358" i="11"/>
  <c r="AA359" i="11"/>
  <c r="AA360" i="11"/>
  <c r="AA361" i="11"/>
  <c r="AA362" i="11"/>
  <c r="AA363" i="11"/>
  <c r="AA364" i="11"/>
  <c r="AA365" i="11"/>
  <c r="AA366" i="11"/>
  <c r="AA367" i="11"/>
  <c r="AA368" i="11"/>
  <c r="AA369" i="11"/>
  <c r="AA370" i="11"/>
  <c r="AA371" i="11"/>
  <c r="AA372" i="11"/>
  <c r="AA373" i="11"/>
  <c r="AA374" i="11"/>
  <c r="AA375" i="11"/>
  <c r="AA376" i="11"/>
  <c r="AA377" i="11"/>
  <c r="AA378" i="11"/>
  <c r="AA379" i="11"/>
  <c r="AA380" i="11"/>
  <c r="AA381" i="11"/>
  <c r="AA382" i="11"/>
  <c r="AA383" i="11"/>
  <c r="AA384" i="11"/>
  <c r="AA385" i="11"/>
  <c r="AA386" i="11"/>
  <c r="AA387" i="11"/>
  <c r="AA388" i="11"/>
  <c r="AA389" i="11"/>
  <c r="AA390" i="11"/>
  <c r="AA391" i="11"/>
  <c r="AA392" i="11"/>
  <c r="AA393" i="11"/>
  <c r="AA394" i="11"/>
  <c r="AA395" i="11"/>
  <c r="AA396" i="11"/>
  <c r="AA397" i="11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C57" i="16"/>
  <c r="AC58" i="16"/>
  <c r="AC59" i="16"/>
  <c r="AC60" i="16"/>
  <c r="AC61" i="16"/>
  <c r="AC62" i="16"/>
  <c r="AC63" i="16"/>
  <c r="AC64" i="16"/>
  <c r="AC65" i="16"/>
  <c r="AC66" i="16"/>
  <c r="AC67" i="16"/>
  <c r="AC68" i="16"/>
  <c r="AC69" i="16"/>
  <c r="AC70" i="16"/>
  <c r="AC71" i="16"/>
  <c r="AC72" i="16"/>
  <c r="AC73" i="16"/>
  <c r="AC74" i="16"/>
  <c r="AC75" i="16"/>
  <c r="AC76" i="16"/>
  <c r="AC77" i="16"/>
  <c r="AC78" i="16"/>
  <c r="AC79" i="16"/>
  <c r="AC80" i="16"/>
  <c r="AC81" i="16"/>
  <c r="AC82" i="16"/>
  <c r="AC83" i="16"/>
  <c r="AC84" i="16"/>
  <c r="AC85" i="16"/>
  <c r="AC86" i="16"/>
  <c r="AC87" i="16"/>
  <c r="AC88" i="16"/>
  <c r="AC89" i="16"/>
  <c r="AC90" i="16"/>
  <c r="AC91" i="16"/>
  <c r="AC92" i="16"/>
  <c r="AC93" i="16"/>
  <c r="AC94" i="16"/>
  <c r="AC95" i="16"/>
  <c r="AC96" i="16"/>
  <c r="AC97" i="16"/>
  <c r="AC98" i="16"/>
  <c r="AC99" i="16"/>
  <c r="AC100" i="16"/>
  <c r="AC101" i="16"/>
  <c r="AC102" i="16"/>
  <c r="AC103" i="16"/>
  <c r="AC104" i="16"/>
  <c r="AC105" i="16"/>
  <c r="AC106" i="16"/>
  <c r="AC107" i="16"/>
  <c r="AC108" i="16"/>
  <c r="AC109" i="16"/>
  <c r="AC110" i="16"/>
  <c r="AC111" i="16"/>
  <c r="AC112" i="16"/>
  <c r="AC113" i="16"/>
  <c r="AC114" i="16"/>
  <c r="AC115" i="16"/>
  <c r="AC116" i="16"/>
  <c r="AC117" i="16"/>
  <c r="AC118" i="16"/>
  <c r="AC119" i="16"/>
  <c r="AC120" i="16"/>
  <c r="AC121" i="16"/>
  <c r="AC122" i="16"/>
  <c r="AC123" i="16"/>
  <c r="AC124" i="16"/>
  <c r="AC125" i="16"/>
  <c r="AC126" i="16"/>
  <c r="AC127" i="16"/>
  <c r="AC128" i="16"/>
  <c r="AC129" i="16"/>
  <c r="AC130" i="16"/>
  <c r="AC131" i="16"/>
  <c r="AC132" i="16"/>
  <c r="AC133" i="16"/>
  <c r="AC134" i="16"/>
  <c r="AC135" i="16"/>
  <c r="AC136" i="16"/>
  <c r="AC137" i="16"/>
  <c r="AC138" i="16"/>
  <c r="AC139" i="16"/>
  <c r="AC140" i="16"/>
  <c r="AC141" i="16"/>
  <c r="AC142" i="16"/>
  <c r="AC143" i="16"/>
  <c r="AC144" i="16"/>
  <c r="AC145" i="16"/>
  <c r="AC146" i="16"/>
  <c r="AC147" i="16"/>
  <c r="AC148" i="16"/>
  <c r="AC149" i="16"/>
  <c r="AC150" i="16"/>
  <c r="AC151" i="16"/>
  <c r="AC152" i="16"/>
  <c r="AC153" i="16"/>
  <c r="AC154" i="16"/>
  <c r="AC155" i="16"/>
  <c r="AC156" i="16"/>
  <c r="AC157" i="16"/>
  <c r="AC158" i="16"/>
  <c r="AC159" i="16"/>
  <c r="AC160" i="16"/>
  <c r="AC161" i="16"/>
  <c r="AC162" i="16"/>
  <c r="AC163" i="16"/>
  <c r="AC164" i="16"/>
  <c r="AC165" i="16"/>
  <c r="AC166" i="16"/>
  <c r="AC167" i="16"/>
  <c r="AC168" i="16"/>
  <c r="AC169" i="16"/>
  <c r="AC170" i="16"/>
  <c r="AC171" i="16"/>
  <c r="AC172" i="16"/>
  <c r="AC173" i="16"/>
  <c r="AC174" i="16"/>
  <c r="AC175" i="16"/>
  <c r="AC176" i="16"/>
  <c r="AC177" i="16"/>
  <c r="AC178" i="16"/>
  <c r="AC179" i="16"/>
  <c r="AC180" i="16"/>
  <c r="AC181" i="16"/>
  <c r="AC182" i="16"/>
  <c r="AC183" i="16"/>
  <c r="AC184" i="16"/>
  <c r="AC185" i="16"/>
  <c r="AC186" i="16"/>
  <c r="AC187" i="16"/>
  <c r="AC188" i="16"/>
  <c r="AC189" i="16"/>
  <c r="AC190" i="16"/>
  <c r="AC191" i="16"/>
  <c r="AC192" i="16"/>
  <c r="AC193" i="16"/>
  <c r="AC194" i="16"/>
  <c r="AC195" i="16"/>
  <c r="AC196" i="16"/>
  <c r="AC197" i="16"/>
  <c r="AC198" i="16"/>
  <c r="AC199" i="16"/>
  <c r="AC200" i="16"/>
  <c r="AC201" i="16"/>
  <c r="AC202" i="16"/>
  <c r="AC203" i="16"/>
  <c r="AC204" i="16"/>
  <c r="AC205" i="16"/>
  <c r="AC206" i="16"/>
  <c r="AC207" i="16"/>
  <c r="AC208" i="16"/>
  <c r="AC209" i="16"/>
  <c r="AC210" i="16"/>
  <c r="AC211" i="16"/>
  <c r="AC212" i="16"/>
  <c r="AC213" i="16"/>
  <c r="AC214" i="16"/>
  <c r="AC215" i="16"/>
  <c r="AC216" i="16"/>
  <c r="AC217" i="16"/>
  <c r="AC218" i="16"/>
  <c r="AC219" i="16"/>
  <c r="AC220" i="16"/>
  <c r="AC221" i="16"/>
  <c r="AC222" i="16"/>
  <c r="AC223" i="16"/>
  <c r="AC224" i="16"/>
  <c r="AC225" i="16"/>
  <c r="AC226" i="16"/>
  <c r="AC227" i="16"/>
  <c r="AC228" i="16"/>
  <c r="AC229" i="16"/>
  <c r="AC230" i="16"/>
  <c r="AC231" i="16"/>
  <c r="AC232" i="16"/>
  <c r="AC233" i="16"/>
  <c r="AC234" i="16"/>
  <c r="AC235" i="16"/>
  <c r="AC236" i="16"/>
  <c r="AC237" i="16"/>
  <c r="AC238" i="16"/>
  <c r="AC239" i="16"/>
  <c r="AC240" i="16"/>
  <c r="AC241" i="16"/>
  <c r="AC242" i="16"/>
  <c r="AC243" i="16"/>
  <c r="AC244" i="16"/>
  <c r="AC245" i="16"/>
  <c r="AC246" i="16"/>
  <c r="AC247" i="16"/>
  <c r="AC248" i="16"/>
  <c r="AC249" i="16"/>
  <c r="AC250" i="16"/>
  <c r="AC251" i="16"/>
  <c r="AC252" i="16"/>
  <c r="AC253" i="16"/>
  <c r="AC254" i="16"/>
  <c r="AC255" i="16"/>
  <c r="AC256" i="16"/>
  <c r="AC257" i="16"/>
  <c r="AC258" i="16"/>
  <c r="AC259" i="16"/>
  <c r="AC260" i="16"/>
  <c r="AC261" i="16"/>
  <c r="AC262" i="16"/>
  <c r="AC263" i="16"/>
  <c r="AC264" i="16"/>
  <c r="AC265" i="16"/>
  <c r="AC266" i="16"/>
  <c r="AC267" i="16"/>
  <c r="AC268" i="16"/>
  <c r="AC269" i="16"/>
  <c r="AC270" i="16"/>
  <c r="AC271" i="16"/>
  <c r="AC272" i="16"/>
  <c r="AC273" i="16"/>
  <c r="AC274" i="16"/>
  <c r="AC275" i="16"/>
  <c r="AC276" i="16"/>
  <c r="AC277" i="16"/>
  <c r="AC278" i="16"/>
  <c r="AC279" i="16"/>
  <c r="AC280" i="16"/>
  <c r="AC281" i="16"/>
  <c r="AC282" i="16"/>
  <c r="AC283" i="16"/>
  <c r="AC284" i="16"/>
  <c r="AC285" i="16"/>
  <c r="AC286" i="16"/>
  <c r="AC287" i="16"/>
  <c r="AC288" i="16"/>
  <c r="AC289" i="16"/>
  <c r="AC290" i="16"/>
  <c r="AC291" i="16"/>
  <c r="AC292" i="16"/>
  <c r="AC293" i="16"/>
  <c r="AC294" i="16"/>
  <c r="AC295" i="16"/>
  <c r="AC296" i="16"/>
  <c r="AC297" i="16"/>
  <c r="AC298" i="16"/>
  <c r="AC299" i="16"/>
  <c r="AC300" i="16"/>
  <c r="AC301" i="16"/>
  <c r="AC302" i="16"/>
  <c r="AC303" i="16"/>
  <c r="AC304" i="16"/>
  <c r="AC305" i="16"/>
  <c r="AC306" i="16"/>
  <c r="AC307" i="16"/>
  <c r="AC308" i="16"/>
  <c r="AC309" i="16"/>
  <c r="AC310" i="16"/>
  <c r="AC311" i="16"/>
  <c r="AC312" i="16"/>
  <c r="AC313" i="16"/>
  <c r="AC314" i="16"/>
  <c r="AC315" i="16"/>
  <c r="AC316" i="16"/>
  <c r="AC317" i="16"/>
  <c r="AC318" i="16"/>
  <c r="AC319" i="16"/>
  <c r="AC320" i="16"/>
  <c r="AC321" i="16"/>
  <c r="AC322" i="16"/>
  <c r="AC323" i="16"/>
  <c r="AC324" i="16"/>
  <c r="AC325" i="16"/>
  <c r="AC326" i="16"/>
  <c r="AC327" i="16"/>
  <c r="AC328" i="16"/>
  <c r="AC329" i="16"/>
  <c r="AC330" i="16"/>
  <c r="AC331" i="16"/>
  <c r="AC332" i="16"/>
  <c r="AC333" i="16"/>
  <c r="AC334" i="16"/>
  <c r="AC335" i="16"/>
  <c r="AC336" i="16"/>
  <c r="AC337" i="16"/>
  <c r="AC338" i="16"/>
  <c r="AC339" i="16"/>
  <c r="AC340" i="16"/>
  <c r="AC341" i="16"/>
  <c r="AC342" i="16"/>
  <c r="AC343" i="16"/>
  <c r="AC344" i="16"/>
  <c r="AC345" i="16"/>
  <c r="AC346" i="16"/>
  <c r="AC347" i="16"/>
  <c r="AC348" i="16"/>
  <c r="AC349" i="16"/>
  <c r="AC350" i="16"/>
  <c r="AC351" i="16"/>
  <c r="AC352" i="16"/>
  <c r="AC353" i="16"/>
  <c r="AC354" i="16"/>
  <c r="AC355" i="16"/>
  <c r="AC356" i="16"/>
  <c r="AC357" i="16"/>
  <c r="AC358" i="16"/>
  <c r="AC359" i="16"/>
  <c r="AC360" i="16"/>
  <c r="AC361" i="16"/>
  <c r="AC362" i="16"/>
  <c r="AC363" i="16"/>
  <c r="AC364" i="16"/>
  <c r="AC365" i="16"/>
  <c r="AC366" i="16"/>
  <c r="AC367" i="16"/>
  <c r="AC368" i="16"/>
  <c r="AC369" i="16"/>
  <c r="AC370" i="16"/>
  <c r="AC371" i="16"/>
  <c r="AC372" i="16"/>
  <c r="AC373" i="16"/>
  <c r="AC374" i="16"/>
  <c r="AC375" i="16"/>
  <c r="AC376" i="16"/>
  <c r="AC377" i="16"/>
  <c r="AC378" i="16"/>
  <c r="AC379" i="16"/>
  <c r="AC380" i="16"/>
  <c r="AC381" i="16"/>
  <c r="AC382" i="16"/>
  <c r="AC383" i="16"/>
  <c r="AC384" i="16"/>
  <c r="AC385" i="16"/>
  <c r="AC386" i="16"/>
  <c r="AC387" i="16"/>
  <c r="AC388" i="16"/>
  <c r="AC389" i="16"/>
  <c r="AC390" i="16"/>
  <c r="AC391" i="16"/>
  <c r="AC392" i="16"/>
  <c r="AC393" i="16"/>
  <c r="AC394" i="16"/>
  <c r="AC395" i="16"/>
  <c r="AC396" i="16"/>
  <c r="AC397" i="16"/>
  <c r="AC398" i="16"/>
  <c r="AC399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AS400" i="22" l="1"/>
  <c r="AR400" i="22"/>
  <c r="AQ400" i="22"/>
  <c r="AO400" i="22"/>
  <c r="AJ400" i="22"/>
  <c r="AE400" i="22"/>
  <c r="Z400" i="22"/>
  <c r="U400" i="22"/>
  <c r="AP400" i="22" s="1"/>
  <c r="Q400" i="22"/>
  <c r="P400" i="22"/>
  <c r="K400" i="22"/>
  <c r="AN400" i="22" s="1"/>
  <c r="AS399" i="22"/>
  <c r="AQ399" i="22"/>
  <c r="AO399" i="22"/>
  <c r="AJ399" i="22"/>
  <c r="AE399" i="22"/>
  <c r="AR399" i="22" s="1"/>
  <c r="Z399" i="22"/>
  <c r="U399" i="22"/>
  <c r="AP399" i="22" s="1"/>
  <c r="Q399" i="22"/>
  <c r="P399" i="22"/>
  <c r="K399" i="22"/>
  <c r="AN399" i="22" s="1"/>
  <c r="AS398" i="22"/>
  <c r="AJ398" i="22" s="1"/>
  <c r="AQ398" i="22"/>
  <c r="AO398" i="22"/>
  <c r="AN398" i="22"/>
  <c r="AE398" i="22"/>
  <c r="AR398" i="22" s="1"/>
  <c r="Z398" i="22"/>
  <c r="U398" i="22"/>
  <c r="AP398" i="22" s="1"/>
  <c r="Q398" i="22"/>
  <c r="P398" i="22"/>
  <c r="K398" i="22"/>
  <c r="AS397" i="22"/>
  <c r="AQ397" i="22"/>
  <c r="AO397" i="22"/>
  <c r="AJ397" i="22"/>
  <c r="AE397" i="22"/>
  <c r="AR397" i="22" s="1"/>
  <c r="Z397" i="22"/>
  <c r="U397" i="22"/>
  <c r="AP397" i="22" s="1"/>
  <c r="Q397" i="22"/>
  <c r="P397" i="22"/>
  <c r="K397" i="22"/>
  <c r="AN397" i="22" s="1"/>
  <c r="AS396" i="22"/>
  <c r="AJ396" i="22" s="1"/>
  <c r="AR396" i="22"/>
  <c r="AQ396" i="22"/>
  <c r="AO396" i="22"/>
  <c r="AE396" i="22"/>
  <c r="Z396" i="22"/>
  <c r="U396" i="22"/>
  <c r="AP396" i="22" s="1"/>
  <c r="Q396" i="22"/>
  <c r="P396" i="22"/>
  <c r="K396" i="22"/>
  <c r="AN396" i="22" s="1"/>
  <c r="AS395" i="22"/>
  <c r="AJ395" i="22" s="1"/>
  <c r="AQ395" i="22"/>
  <c r="Z395" i="22" s="1"/>
  <c r="AP395" i="22"/>
  <c r="AO395" i="22"/>
  <c r="P395" i="22" s="1"/>
  <c r="AE395" i="22"/>
  <c r="AR395" i="22" s="1"/>
  <c r="U395" i="22"/>
  <c r="Q395" i="22"/>
  <c r="K395" i="22"/>
  <c r="AN395" i="22" s="1"/>
  <c r="AS394" i="22"/>
  <c r="AJ394" i="22" s="1"/>
  <c r="AQ394" i="22"/>
  <c r="Z394" i="22" s="1"/>
  <c r="AO394" i="22"/>
  <c r="P394" i="22" s="1"/>
  <c r="AN394" i="22"/>
  <c r="AE394" i="22"/>
  <c r="AR394" i="22" s="1"/>
  <c r="U394" i="22"/>
  <c r="AP394" i="22" s="1"/>
  <c r="Q394" i="22"/>
  <c r="K394" i="22"/>
  <c r="AS393" i="22"/>
  <c r="AJ393" i="22" s="1"/>
  <c r="AR393" i="22"/>
  <c r="AQ393" i="22"/>
  <c r="AO393" i="22"/>
  <c r="AN393" i="22"/>
  <c r="AE393" i="22"/>
  <c r="Z393" i="22"/>
  <c r="U393" i="22"/>
  <c r="AP393" i="22" s="1"/>
  <c r="Q393" i="22"/>
  <c r="P393" i="22"/>
  <c r="K393" i="22"/>
  <c r="AS392" i="22"/>
  <c r="AR392" i="22"/>
  <c r="AQ392" i="22"/>
  <c r="AO392" i="22"/>
  <c r="P392" i="22" s="1"/>
  <c r="AJ392" i="22"/>
  <c r="AE392" i="22"/>
  <c r="Z392" i="22"/>
  <c r="U392" i="22"/>
  <c r="AP392" i="22" s="1"/>
  <c r="Q392" i="22"/>
  <c r="K392" i="22"/>
  <c r="AN392" i="22" s="1"/>
  <c r="AS391" i="22"/>
  <c r="AQ391" i="22"/>
  <c r="AO391" i="22"/>
  <c r="AN391" i="22"/>
  <c r="AJ391" i="22"/>
  <c r="AE391" i="22"/>
  <c r="AR391" i="22" s="1"/>
  <c r="Z391" i="22"/>
  <c r="U391" i="22"/>
  <c r="AP391" i="22" s="1"/>
  <c r="Q391" i="22"/>
  <c r="P391" i="22"/>
  <c r="K391" i="22"/>
  <c r="AS390" i="22"/>
  <c r="AQ390" i="22"/>
  <c r="AO390" i="22"/>
  <c r="P390" i="22" s="1"/>
  <c r="AJ390" i="22"/>
  <c r="AE390" i="22"/>
  <c r="AR390" i="22" s="1"/>
  <c r="Z390" i="22"/>
  <c r="U390" i="22"/>
  <c r="AP390" i="22" s="1"/>
  <c r="Q390" i="22"/>
  <c r="K390" i="22"/>
  <c r="AN390" i="22" s="1"/>
  <c r="AS389" i="22"/>
  <c r="AJ389" i="22" s="1"/>
  <c r="AR389" i="22"/>
  <c r="AQ389" i="22"/>
  <c r="AO389" i="22"/>
  <c r="AE389" i="22"/>
  <c r="Z389" i="22"/>
  <c r="U389" i="22"/>
  <c r="AP389" i="22" s="1"/>
  <c r="Q389" i="22"/>
  <c r="P389" i="22"/>
  <c r="K389" i="22"/>
  <c r="AN389" i="22" s="1"/>
  <c r="AS388" i="22"/>
  <c r="AJ388" i="22" s="1"/>
  <c r="AR388" i="22"/>
  <c r="AQ388" i="22"/>
  <c r="Z388" i="22" s="1"/>
  <c r="AO388" i="22"/>
  <c r="AE388" i="22"/>
  <c r="U388" i="22"/>
  <c r="AP388" i="22" s="1"/>
  <c r="Q388" i="22"/>
  <c r="P388" i="22"/>
  <c r="K388" i="22"/>
  <c r="AN388" i="22" s="1"/>
  <c r="AS387" i="22"/>
  <c r="AQ387" i="22"/>
  <c r="Z387" i="22" s="1"/>
  <c r="AO387" i="22"/>
  <c r="P387" i="22" s="1"/>
  <c r="AJ387" i="22"/>
  <c r="AE387" i="22"/>
  <c r="AR387" i="22" s="1"/>
  <c r="U387" i="22"/>
  <c r="AP387" i="22" s="1"/>
  <c r="Q387" i="22"/>
  <c r="K387" i="22"/>
  <c r="AN387" i="22" s="1"/>
  <c r="AS386" i="22"/>
  <c r="AJ386" i="22" s="1"/>
  <c r="AR386" i="22"/>
  <c r="AQ386" i="22"/>
  <c r="AO386" i="22"/>
  <c r="P386" i="22" s="1"/>
  <c r="AN386" i="22"/>
  <c r="AE386" i="22"/>
  <c r="Z386" i="22"/>
  <c r="U386" i="22"/>
  <c r="AP386" i="22" s="1"/>
  <c r="Q386" i="22"/>
  <c r="K386" i="22"/>
  <c r="AS385" i="22"/>
  <c r="AJ385" i="22" s="1"/>
  <c r="AR385" i="22"/>
  <c r="AQ385" i="22"/>
  <c r="Z385" i="22" s="1"/>
  <c r="AP385" i="22"/>
  <c r="AO385" i="22"/>
  <c r="AN385" i="22"/>
  <c r="AE385" i="22"/>
  <c r="U385" i="22"/>
  <c r="Q385" i="22"/>
  <c r="P385" i="22"/>
  <c r="K385" i="22"/>
  <c r="AS384" i="22"/>
  <c r="AR384" i="22"/>
  <c r="AQ384" i="22"/>
  <c r="AO384" i="22"/>
  <c r="AJ384" i="22"/>
  <c r="AE384" i="22"/>
  <c r="Z384" i="22"/>
  <c r="U384" i="22"/>
  <c r="AP384" i="22" s="1"/>
  <c r="Q384" i="22"/>
  <c r="P384" i="22"/>
  <c r="K384" i="22"/>
  <c r="AN384" i="22" s="1"/>
  <c r="AS383" i="22"/>
  <c r="AQ383" i="22"/>
  <c r="AO383" i="22"/>
  <c r="P383" i="22" s="1"/>
  <c r="AJ383" i="22"/>
  <c r="AE383" i="22"/>
  <c r="AR383" i="22" s="1"/>
  <c r="Z383" i="22"/>
  <c r="U383" i="22"/>
  <c r="AP383" i="22" s="1"/>
  <c r="Q383" i="22"/>
  <c r="K383" i="22"/>
  <c r="AN383" i="22" s="1"/>
  <c r="AS382" i="22"/>
  <c r="AJ382" i="22" s="1"/>
  <c r="AQ382" i="22"/>
  <c r="AO382" i="22"/>
  <c r="P382" i="22" s="1"/>
  <c r="AE382" i="22"/>
  <c r="AR382" i="22" s="1"/>
  <c r="Z382" i="22"/>
  <c r="U382" i="22"/>
  <c r="AP382" i="22" s="1"/>
  <c r="Q382" i="22"/>
  <c r="K382" i="22"/>
  <c r="AN382" i="22" s="1"/>
  <c r="AS381" i="22"/>
  <c r="AJ381" i="22" s="1"/>
  <c r="AR381" i="22"/>
  <c r="AQ381" i="22"/>
  <c r="AO381" i="22"/>
  <c r="AN381" i="22"/>
  <c r="AE381" i="22"/>
  <c r="Z381" i="22"/>
  <c r="U381" i="22"/>
  <c r="AP381" i="22" s="1"/>
  <c r="Q381" i="22"/>
  <c r="P381" i="22"/>
  <c r="K381" i="22"/>
  <c r="AS380" i="22"/>
  <c r="AQ380" i="22"/>
  <c r="Z380" i="22" s="1"/>
  <c r="AO380" i="22"/>
  <c r="AJ380" i="22"/>
  <c r="AE380" i="22"/>
  <c r="AR380" i="22" s="1"/>
  <c r="U380" i="22"/>
  <c r="AP380" i="22" s="1"/>
  <c r="Q380" i="22"/>
  <c r="P380" i="22"/>
  <c r="K380" i="22"/>
  <c r="AN380" i="22" s="1"/>
  <c r="AS379" i="22"/>
  <c r="AJ379" i="22" s="1"/>
  <c r="AR379" i="22"/>
  <c r="AQ379" i="22"/>
  <c r="AO379" i="22"/>
  <c r="P379" i="22" s="1"/>
  <c r="AE379" i="22"/>
  <c r="Z379" i="22"/>
  <c r="U379" i="22"/>
  <c r="AP379" i="22" s="1"/>
  <c r="Q379" i="22"/>
  <c r="K379" i="22"/>
  <c r="AN379" i="22" s="1"/>
  <c r="AS378" i="22"/>
  <c r="AJ378" i="22" s="1"/>
  <c r="AR378" i="22"/>
  <c r="AQ378" i="22"/>
  <c r="Z378" i="22" s="1"/>
  <c r="AP378" i="22"/>
  <c r="AO378" i="22"/>
  <c r="P378" i="22" s="1"/>
  <c r="AN378" i="22"/>
  <c r="AE378" i="22"/>
  <c r="U378" i="22"/>
  <c r="Q378" i="22"/>
  <c r="K378" i="22"/>
  <c r="AS377" i="22"/>
  <c r="AJ377" i="22" s="1"/>
  <c r="AR377" i="22"/>
  <c r="AQ377" i="22"/>
  <c r="Z377" i="22" s="1"/>
  <c r="AP377" i="22"/>
  <c r="AO377" i="22"/>
  <c r="AN377" i="22"/>
  <c r="AE377" i="22"/>
  <c r="U377" i="22"/>
  <c r="Q377" i="22"/>
  <c r="P377" i="22"/>
  <c r="K377" i="22"/>
  <c r="AS376" i="22"/>
  <c r="AR376" i="22"/>
  <c r="AQ376" i="22"/>
  <c r="AO376" i="22"/>
  <c r="AN376" i="22"/>
  <c r="AJ376" i="22"/>
  <c r="AE376" i="22"/>
  <c r="Z376" i="22"/>
  <c r="U376" i="22"/>
  <c r="AP376" i="22" s="1"/>
  <c r="Q376" i="22"/>
  <c r="P376" i="22"/>
  <c r="K376" i="22"/>
  <c r="AS375" i="22"/>
  <c r="AQ375" i="22"/>
  <c r="AO375" i="22"/>
  <c r="P375" i="22" s="1"/>
  <c r="AJ375" i="22"/>
  <c r="AE375" i="22"/>
  <c r="AR375" i="22" s="1"/>
  <c r="Z375" i="22"/>
  <c r="U375" i="22"/>
  <c r="AP375" i="22" s="1"/>
  <c r="Q375" i="22"/>
  <c r="K375" i="22"/>
  <c r="AN375" i="22" s="1"/>
  <c r="AS374" i="22"/>
  <c r="AQ374" i="22"/>
  <c r="AO374" i="22"/>
  <c r="AJ374" i="22"/>
  <c r="AE374" i="22"/>
  <c r="AR374" i="22" s="1"/>
  <c r="Z374" i="22"/>
  <c r="U374" i="22"/>
  <c r="AP374" i="22" s="1"/>
  <c r="Q374" i="22"/>
  <c r="P374" i="22"/>
  <c r="K374" i="22"/>
  <c r="AN374" i="22" s="1"/>
  <c r="AS373" i="22"/>
  <c r="AQ373" i="22"/>
  <c r="AO373" i="22"/>
  <c r="AJ373" i="22"/>
  <c r="AE373" i="22"/>
  <c r="AR373" i="22" s="1"/>
  <c r="Z373" i="22"/>
  <c r="U373" i="22"/>
  <c r="AP373" i="22" s="1"/>
  <c r="Q373" i="22"/>
  <c r="P373" i="22"/>
  <c r="K373" i="22"/>
  <c r="AN373" i="22" s="1"/>
  <c r="AS372" i="22"/>
  <c r="AJ372" i="22" s="1"/>
  <c r="AR372" i="22"/>
  <c r="AQ372" i="22"/>
  <c r="AO372" i="22"/>
  <c r="AE372" i="22"/>
  <c r="Z372" i="22"/>
  <c r="U372" i="22"/>
  <c r="AP372" i="22" s="1"/>
  <c r="Q372" i="22"/>
  <c r="P372" i="22"/>
  <c r="K372" i="22"/>
  <c r="AN372" i="22" s="1"/>
  <c r="AS371" i="22"/>
  <c r="AJ371" i="22" s="1"/>
  <c r="AR371" i="22"/>
  <c r="AQ371" i="22"/>
  <c r="Z371" i="22" s="1"/>
  <c r="AP371" i="22"/>
  <c r="AO371" i="22"/>
  <c r="P371" i="22" s="1"/>
  <c r="AE371" i="22"/>
  <c r="U371" i="22"/>
  <c r="Q371" i="22"/>
  <c r="K371" i="22"/>
  <c r="AN371" i="22" s="1"/>
  <c r="AS370" i="22"/>
  <c r="AJ370" i="22" s="1"/>
  <c r="AQ370" i="22"/>
  <c r="Z370" i="22" s="1"/>
  <c r="AP370" i="22"/>
  <c r="AO370" i="22"/>
  <c r="P370" i="22" s="1"/>
  <c r="AN370" i="22"/>
  <c r="AE370" i="22"/>
  <c r="AR370" i="22" s="1"/>
  <c r="U370" i="22"/>
  <c r="Q370" i="22"/>
  <c r="K370" i="22"/>
  <c r="AS369" i="22"/>
  <c r="AJ369" i="22" s="1"/>
  <c r="AR369" i="22"/>
  <c r="AQ369" i="22"/>
  <c r="Z369" i="22" s="1"/>
  <c r="AO369" i="22"/>
  <c r="AN369" i="22"/>
  <c r="AE369" i="22"/>
  <c r="U369" i="22"/>
  <c r="AP369" i="22" s="1"/>
  <c r="Q369" i="22"/>
  <c r="P369" i="22"/>
  <c r="K369" i="22"/>
  <c r="AS368" i="22"/>
  <c r="AR368" i="22"/>
  <c r="AQ368" i="22"/>
  <c r="AO368" i="22"/>
  <c r="P368" i="22" s="1"/>
  <c r="AN368" i="22"/>
  <c r="AJ368" i="22"/>
  <c r="AE368" i="22"/>
  <c r="Z368" i="22"/>
  <c r="U368" i="22"/>
  <c r="AP368" i="22" s="1"/>
  <c r="Q368" i="22"/>
  <c r="K368" i="22"/>
  <c r="AS367" i="22"/>
  <c r="AQ367" i="22"/>
  <c r="AO367" i="22"/>
  <c r="AN367" i="22"/>
  <c r="AJ367" i="22"/>
  <c r="AE367" i="22"/>
  <c r="AR367" i="22" s="1"/>
  <c r="Z367" i="22"/>
  <c r="U367" i="22"/>
  <c r="AP367" i="22" s="1"/>
  <c r="Q367" i="22"/>
  <c r="P367" i="22"/>
  <c r="K367" i="22"/>
  <c r="AS366" i="22"/>
  <c r="AJ366" i="22" s="1"/>
  <c r="AQ366" i="22"/>
  <c r="AO366" i="22"/>
  <c r="AN366" i="22"/>
  <c r="AE366" i="22"/>
  <c r="AR366" i="22" s="1"/>
  <c r="Z366" i="22"/>
  <c r="U366" i="22"/>
  <c r="AP366" i="22" s="1"/>
  <c r="Q366" i="22"/>
  <c r="P366" i="22"/>
  <c r="K366" i="22"/>
  <c r="AS365" i="22"/>
  <c r="AR365" i="22"/>
  <c r="AQ365" i="22"/>
  <c r="AO365" i="22"/>
  <c r="AJ365" i="22"/>
  <c r="AE365" i="22"/>
  <c r="Z365" i="22"/>
  <c r="U365" i="22"/>
  <c r="AP365" i="22" s="1"/>
  <c r="Q365" i="22"/>
  <c r="P365" i="22"/>
  <c r="K365" i="22"/>
  <c r="AN365" i="22" s="1"/>
  <c r="AS364" i="22"/>
  <c r="AR364" i="22"/>
  <c r="AQ364" i="22"/>
  <c r="AO364" i="22"/>
  <c r="AJ364" i="22"/>
  <c r="AE364" i="22"/>
  <c r="Z364" i="22"/>
  <c r="U364" i="22"/>
  <c r="AP364" i="22" s="1"/>
  <c r="Q364" i="22"/>
  <c r="P364" i="22"/>
  <c r="K364" i="22"/>
  <c r="AN364" i="22" s="1"/>
  <c r="AS363" i="22"/>
  <c r="AQ363" i="22"/>
  <c r="Z363" i="22" s="1"/>
  <c r="AP363" i="22"/>
  <c r="AO363" i="22"/>
  <c r="P363" i="22" s="1"/>
  <c r="AJ363" i="22"/>
  <c r="AE363" i="22"/>
  <c r="AR363" i="22" s="1"/>
  <c r="U363" i="22"/>
  <c r="Q363" i="22"/>
  <c r="K363" i="22"/>
  <c r="AN363" i="22" s="1"/>
  <c r="AS362" i="22"/>
  <c r="AJ362" i="22" s="1"/>
  <c r="AR362" i="22"/>
  <c r="AQ362" i="22"/>
  <c r="Z362" i="22" s="1"/>
  <c r="AO362" i="22"/>
  <c r="P362" i="22" s="1"/>
  <c r="AN362" i="22"/>
  <c r="AE362" i="22"/>
  <c r="U362" i="22"/>
  <c r="AP362" i="22" s="1"/>
  <c r="Q362" i="22"/>
  <c r="K362" i="22"/>
  <c r="AS361" i="22"/>
  <c r="AJ361" i="22" s="1"/>
  <c r="AR361" i="22"/>
  <c r="AQ361" i="22"/>
  <c r="AO361" i="22"/>
  <c r="AN361" i="22"/>
  <c r="AE361" i="22"/>
  <c r="Z361" i="22"/>
  <c r="U361" i="22"/>
  <c r="AP361" i="22" s="1"/>
  <c r="Q361" i="22"/>
  <c r="P361" i="22"/>
  <c r="K361" i="22"/>
  <c r="AS360" i="22"/>
  <c r="AR360" i="22"/>
  <c r="AQ360" i="22"/>
  <c r="AO360" i="22"/>
  <c r="P360" i="22" s="1"/>
  <c r="AJ360" i="22"/>
  <c r="AE360" i="22"/>
  <c r="Z360" i="22"/>
  <c r="U360" i="22"/>
  <c r="AP360" i="22" s="1"/>
  <c r="Q360" i="22"/>
  <c r="K360" i="22"/>
  <c r="AN360" i="22" s="1"/>
  <c r="AS359" i="22"/>
  <c r="AQ359" i="22"/>
  <c r="AO359" i="22"/>
  <c r="AN359" i="22"/>
  <c r="AJ359" i="22"/>
  <c r="AE359" i="22"/>
  <c r="AR359" i="22" s="1"/>
  <c r="Z359" i="22"/>
  <c r="U359" i="22"/>
  <c r="AP359" i="22" s="1"/>
  <c r="Q359" i="22"/>
  <c r="P359" i="22"/>
  <c r="K359" i="22"/>
  <c r="AS358" i="22"/>
  <c r="AJ358" i="22" s="1"/>
  <c r="AQ358" i="22"/>
  <c r="AO358" i="22"/>
  <c r="P358" i="22" s="1"/>
  <c r="AN358" i="22"/>
  <c r="AE358" i="22"/>
  <c r="AR358" i="22" s="1"/>
  <c r="Z358" i="22"/>
  <c r="U358" i="22"/>
  <c r="AP358" i="22" s="1"/>
  <c r="Q358" i="22"/>
  <c r="K358" i="22"/>
  <c r="AS357" i="22"/>
  <c r="AR357" i="22"/>
  <c r="AQ357" i="22"/>
  <c r="AO357" i="22"/>
  <c r="AN357" i="22"/>
  <c r="AJ357" i="22"/>
  <c r="AE357" i="22"/>
  <c r="Z357" i="22"/>
  <c r="U357" i="22"/>
  <c r="AP357" i="22" s="1"/>
  <c r="Q357" i="22"/>
  <c r="P357" i="22"/>
  <c r="K357" i="22"/>
  <c r="AS356" i="22"/>
  <c r="AJ356" i="22" s="1"/>
  <c r="AQ356" i="22"/>
  <c r="AO356" i="22"/>
  <c r="AE356" i="22"/>
  <c r="AR356" i="22" s="1"/>
  <c r="Z356" i="22"/>
  <c r="U356" i="22"/>
  <c r="AP356" i="22" s="1"/>
  <c r="Q356" i="22"/>
  <c r="P356" i="22"/>
  <c r="K356" i="22"/>
  <c r="AN356" i="22" s="1"/>
  <c r="AS355" i="22"/>
  <c r="AR355" i="22"/>
  <c r="AQ355" i="22"/>
  <c r="AO355" i="22"/>
  <c r="P355" i="22" s="1"/>
  <c r="AJ355" i="22"/>
  <c r="AE355" i="22"/>
  <c r="Z355" i="22"/>
  <c r="U355" i="22"/>
  <c r="AP355" i="22" s="1"/>
  <c r="Q355" i="22"/>
  <c r="K355" i="22"/>
  <c r="AN355" i="22" s="1"/>
  <c r="AS354" i="22"/>
  <c r="AJ354" i="22" s="1"/>
  <c r="AR354" i="22"/>
  <c r="AQ354" i="22"/>
  <c r="AO354" i="22"/>
  <c r="P354" i="22" s="1"/>
  <c r="AN354" i="22"/>
  <c r="AE354" i="22"/>
  <c r="Z354" i="22"/>
  <c r="U354" i="22"/>
  <c r="AP354" i="22" s="1"/>
  <c r="Q354" i="22"/>
  <c r="K354" i="22"/>
  <c r="AS353" i="22"/>
  <c r="AJ353" i="22" s="1"/>
  <c r="AR353" i="22"/>
  <c r="AQ353" i="22"/>
  <c r="AO353" i="22"/>
  <c r="AN353" i="22"/>
  <c r="AE353" i="22"/>
  <c r="Z353" i="22"/>
  <c r="U353" i="22"/>
  <c r="AP353" i="22" s="1"/>
  <c r="Q353" i="22"/>
  <c r="P353" i="22"/>
  <c r="K353" i="22"/>
  <c r="AS352" i="22"/>
  <c r="AR352" i="22"/>
  <c r="AQ352" i="22"/>
  <c r="Z352" i="22" s="1"/>
  <c r="AO352" i="22"/>
  <c r="P352" i="22" s="1"/>
  <c r="AJ352" i="22"/>
  <c r="AE352" i="22"/>
  <c r="U352" i="22"/>
  <c r="AP352" i="22" s="1"/>
  <c r="Q352" i="22"/>
  <c r="K352" i="22"/>
  <c r="AN352" i="22" s="1"/>
  <c r="AS351" i="22"/>
  <c r="AQ351" i="22"/>
  <c r="AO351" i="22"/>
  <c r="P351" i="22" s="1"/>
  <c r="AN351" i="22"/>
  <c r="AJ351" i="22"/>
  <c r="AE351" i="22"/>
  <c r="AR351" i="22" s="1"/>
  <c r="Z351" i="22"/>
  <c r="U351" i="22"/>
  <c r="AP351" i="22" s="1"/>
  <c r="Q351" i="22"/>
  <c r="K351" i="22"/>
  <c r="AS350" i="22"/>
  <c r="AQ350" i="22"/>
  <c r="AO350" i="22"/>
  <c r="P350" i="22" s="1"/>
  <c r="AJ350" i="22"/>
  <c r="AE350" i="22"/>
  <c r="AR350" i="22" s="1"/>
  <c r="Z350" i="22"/>
  <c r="U350" i="22"/>
  <c r="AP350" i="22" s="1"/>
  <c r="Q350" i="22"/>
  <c r="K350" i="22"/>
  <c r="AN350" i="22" s="1"/>
  <c r="AS349" i="22"/>
  <c r="AJ349" i="22" s="1"/>
  <c r="AQ349" i="22"/>
  <c r="AO349" i="22"/>
  <c r="AN349" i="22"/>
  <c r="AE349" i="22"/>
  <c r="AR349" i="22" s="1"/>
  <c r="Z349" i="22"/>
  <c r="U349" i="22"/>
  <c r="AP349" i="22" s="1"/>
  <c r="Q349" i="22"/>
  <c r="P349" i="22"/>
  <c r="K349" i="22"/>
  <c r="AS348" i="22"/>
  <c r="AJ348" i="22" s="1"/>
  <c r="AR348" i="22"/>
  <c r="AQ348" i="22"/>
  <c r="Z348" i="22" s="1"/>
  <c r="AO348" i="22"/>
  <c r="AE348" i="22"/>
  <c r="U348" i="22"/>
  <c r="AP348" i="22" s="1"/>
  <c r="Q348" i="22"/>
  <c r="P348" i="22"/>
  <c r="K348" i="22"/>
  <c r="AN348" i="22" s="1"/>
  <c r="AS347" i="22"/>
  <c r="AR347" i="22"/>
  <c r="AQ347" i="22"/>
  <c r="AO347" i="22"/>
  <c r="P347" i="22" s="1"/>
  <c r="AJ347" i="22"/>
  <c r="AE347" i="22"/>
  <c r="Z347" i="22"/>
  <c r="U347" i="22"/>
  <c r="AP347" i="22" s="1"/>
  <c r="Q347" i="22"/>
  <c r="K347" i="22"/>
  <c r="AN347" i="22" s="1"/>
  <c r="AS346" i="22"/>
  <c r="AJ346" i="22" s="1"/>
  <c r="AQ346" i="22"/>
  <c r="AO346" i="22"/>
  <c r="P346" i="22" s="1"/>
  <c r="AN346" i="22"/>
  <c r="AE346" i="22"/>
  <c r="AR346" i="22" s="1"/>
  <c r="Z346" i="22"/>
  <c r="U346" i="22"/>
  <c r="AP346" i="22" s="1"/>
  <c r="Q346" i="22"/>
  <c r="K346" i="22"/>
  <c r="AS345" i="22"/>
  <c r="AJ345" i="22" s="1"/>
  <c r="AR345" i="22"/>
  <c r="AQ345" i="22"/>
  <c r="Z345" i="22" s="1"/>
  <c r="AO345" i="22"/>
  <c r="AN345" i="22"/>
  <c r="AE345" i="22"/>
  <c r="U345" i="22"/>
  <c r="AP345" i="22" s="1"/>
  <c r="Q345" i="22"/>
  <c r="P345" i="22"/>
  <c r="K345" i="22"/>
  <c r="AS344" i="22"/>
  <c r="AR344" i="22"/>
  <c r="AQ344" i="22"/>
  <c r="AO344" i="22"/>
  <c r="P344" i="22" s="1"/>
  <c r="AN344" i="22"/>
  <c r="AJ344" i="22"/>
  <c r="AE344" i="22"/>
  <c r="Z344" i="22"/>
  <c r="U344" i="22"/>
  <c r="AP344" i="22" s="1"/>
  <c r="Q344" i="22"/>
  <c r="K344" i="22"/>
  <c r="AS343" i="22"/>
  <c r="AQ343" i="22"/>
  <c r="AO343" i="22"/>
  <c r="P343" i="22" s="1"/>
  <c r="AJ343" i="22"/>
  <c r="AE343" i="22"/>
  <c r="AR343" i="22" s="1"/>
  <c r="Z343" i="22"/>
  <c r="U343" i="22"/>
  <c r="AP343" i="22" s="1"/>
  <c r="Q343" i="22"/>
  <c r="K343" i="22"/>
  <c r="AN343" i="22" s="1"/>
  <c r="AS342" i="22"/>
  <c r="AJ342" i="22" s="1"/>
  <c r="AQ342" i="22"/>
  <c r="AO342" i="22"/>
  <c r="P342" i="22" s="1"/>
  <c r="AE342" i="22"/>
  <c r="AR342" i="22" s="1"/>
  <c r="Z342" i="22"/>
  <c r="U342" i="22"/>
  <c r="AP342" i="22" s="1"/>
  <c r="Q342" i="22"/>
  <c r="K342" i="22"/>
  <c r="AN342" i="22" s="1"/>
  <c r="AS341" i="22"/>
  <c r="AJ341" i="22" s="1"/>
  <c r="AQ341" i="22"/>
  <c r="AO341" i="22"/>
  <c r="AN341" i="22"/>
  <c r="AE341" i="22"/>
  <c r="AR341" i="22" s="1"/>
  <c r="Z341" i="22"/>
  <c r="U341" i="22"/>
  <c r="AP341" i="22" s="1"/>
  <c r="Q341" i="22"/>
  <c r="P341" i="22"/>
  <c r="K341" i="22"/>
  <c r="AS340" i="22"/>
  <c r="AR340" i="22"/>
  <c r="AQ340" i="22"/>
  <c r="Z340" i="22" s="1"/>
  <c r="AO340" i="22"/>
  <c r="AJ340" i="22"/>
  <c r="AE340" i="22"/>
  <c r="U340" i="22"/>
  <c r="AP340" i="22" s="1"/>
  <c r="Q340" i="22"/>
  <c r="P340" i="22"/>
  <c r="K340" i="22"/>
  <c r="AN340" i="22" s="1"/>
  <c r="AS339" i="22"/>
  <c r="AJ339" i="22" s="1"/>
  <c r="AQ339" i="22"/>
  <c r="AO339" i="22"/>
  <c r="P339" i="22" s="1"/>
  <c r="AE339" i="22"/>
  <c r="AR339" i="22" s="1"/>
  <c r="Z339" i="22"/>
  <c r="U339" i="22"/>
  <c r="AP339" i="22" s="1"/>
  <c r="Q339" i="22"/>
  <c r="K339" i="22"/>
  <c r="AN339" i="22" s="1"/>
  <c r="AS338" i="22"/>
  <c r="AJ338" i="22" s="1"/>
  <c r="AQ338" i="22"/>
  <c r="Z338" i="22" s="1"/>
  <c r="AP338" i="22"/>
  <c r="AO338" i="22"/>
  <c r="P338" i="22" s="1"/>
  <c r="AN338" i="22"/>
  <c r="AE338" i="22"/>
  <c r="AR338" i="22" s="1"/>
  <c r="U338" i="22"/>
  <c r="Q338" i="22"/>
  <c r="K338" i="22"/>
  <c r="AS337" i="22"/>
  <c r="AJ337" i="22" s="1"/>
  <c r="AR337" i="22"/>
  <c r="AQ337" i="22"/>
  <c r="Z337" i="22" s="1"/>
  <c r="AO337" i="22"/>
  <c r="AN337" i="22"/>
  <c r="AE337" i="22"/>
  <c r="U337" i="22"/>
  <c r="AP337" i="22" s="1"/>
  <c r="Q337" i="22"/>
  <c r="P337" i="22"/>
  <c r="K337" i="22"/>
  <c r="AS336" i="22"/>
  <c r="AR336" i="22"/>
  <c r="AQ336" i="22"/>
  <c r="AO336" i="22"/>
  <c r="P336" i="22" s="1"/>
  <c r="AN336" i="22"/>
  <c r="AJ336" i="22"/>
  <c r="AE336" i="22"/>
  <c r="Z336" i="22"/>
  <c r="U336" i="22"/>
  <c r="AP336" i="22" s="1"/>
  <c r="Q336" i="22"/>
  <c r="K336" i="22"/>
  <c r="AS335" i="22"/>
  <c r="AQ335" i="22"/>
  <c r="AO335" i="22"/>
  <c r="P335" i="22" s="1"/>
  <c r="AJ335" i="22"/>
  <c r="AE335" i="22"/>
  <c r="AR335" i="22" s="1"/>
  <c r="Z335" i="22"/>
  <c r="U335" i="22"/>
  <c r="AP335" i="22" s="1"/>
  <c r="Q335" i="22"/>
  <c r="K335" i="22"/>
  <c r="AN335" i="22" s="1"/>
  <c r="AS334" i="22"/>
  <c r="AJ334" i="22" s="1"/>
  <c r="AQ334" i="22"/>
  <c r="AO334" i="22"/>
  <c r="AN334" i="22"/>
  <c r="AE334" i="22"/>
  <c r="AR334" i="22" s="1"/>
  <c r="Z334" i="22"/>
  <c r="U334" i="22"/>
  <c r="AP334" i="22" s="1"/>
  <c r="Q334" i="22"/>
  <c r="P334" i="22"/>
  <c r="K334" i="22"/>
  <c r="AS333" i="22"/>
  <c r="AQ333" i="22"/>
  <c r="AO333" i="22"/>
  <c r="AJ333" i="22"/>
  <c r="AE333" i="22"/>
  <c r="AR333" i="22" s="1"/>
  <c r="Z333" i="22"/>
  <c r="U333" i="22"/>
  <c r="AP333" i="22" s="1"/>
  <c r="Q333" i="22"/>
  <c r="P333" i="22"/>
  <c r="K333" i="22"/>
  <c r="AN333" i="22" s="1"/>
  <c r="AS332" i="22"/>
  <c r="AJ332" i="22" s="1"/>
  <c r="AR332" i="22"/>
  <c r="AQ332" i="22"/>
  <c r="AO332" i="22"/>
  <c r="AE332" i="22"/>
  <c r="Z332" i="22"/>
  <c r="U332" i="22"/>
  <c r="AP332" i="22" s="1"/>
  <c r="Q332" i="22"/>
  <c r="P332" i="22"/>
  <c r="K332" i="22"/>
  <c r="AN332" i="22" s="1"/>
  <c r="AS331" i="22"/>
  <c r="AJ331" i="22" s="1"/>
  <c r="AQ331" i="22"/>
  <c r="Z331" i="22" s="1"/>
  <c r="AO331" i="22"/>
  <c r="P331" i="22" s="1"/>
  <c r="AE331" i="22"/>
  <c r="AR331" i="22" s="1"/>
  <c r="U331" i="22"/>
  <c r="AP331" i="22" s="1"/>
  <c r="Q331" i="22"/>
  <c r="K331" i="22"/>
  <c r="AN331" i="22" s="1"/>
  <c r="AS330" i="22"/>
  <c r="AJ330" i="22" s="1"/>
  <c r="AQ330" i="22"/>
  <c r="Z330" i="22" s="1"/>
  <c r="AO330" i="22"/>
  <c r="P330" i="22" s="1"/>
  <c r="AN330" i="22"/>
  <c r="AE330" i="22"/>
  <c r="AR330" i="22" s="1"/>
  <c r="U330" i="22"/>
  <c r="AP330" i="22" s="1"/>
  <c r="Q330" i="22"/>
  <c r="K330" i="22"/>
  <c r="AS329" i="22"/>
  <c r="AJ329" i="22" s="1"/>
  <c r="AR329" i="22"/>
  <c r="AQ329" i="22"/>
  <c r="AO329" i="22"/>
  <c r="AN329" i="22"/>
  <c r="AE329" i="22"/>
  <c r="Z329" i="22"/>
  <c r="U329" i="22"/>
  <c r="AP329" i="22" s="1"/>
  <c r="Q329" i="22"/>
  <c r="P329" i="22"/>
  <c r="K329" i="22"/>
  <c r="AS328" i="22"/>
  <c r="AR328" i="22"/>
  <c r="AQ328" i="22"/>
  <c r="AO328" i="22"/>
  <c r="P328" i="22" s="1"/>
  <c r="AN328" i="22"/>
  <c r="AJ328" i="22"/>
  <c r="AE328" i="22"/>
  <c r="Z328" i="22"/>
  <c r="U328" i="22"/>
  <c r="AP328" i="22" s="1"/>
  <c r="Q328" i="22"/>
  <c r="K328" i="22"/>
  <c r="AS327" i="22"/>
  <c r="AQ327" i="22"/>
  <c r="AO327" i="22"/>
  <c r="AJ327" i="22"/>
  <c r="AE327" i="22"/>
  <c r="AR327" i="22" s="1"/>
  <c r="Z327" i="22"/>
  <c r="U327" i="22"/>
  <c r="AP327" i="22" s="1"/>
  <c r="Q327" i="22"/>
  <c r="P327" i="22"/>
  <c r="K327" i="22"/>
  <c r="AN327" i="22" s="1"/>
  <c r="AS326" i="22"/>
  <c r="AQ326" i="22"/>
  <c r="AO326" i="22"/>
  <c r="P326" i="22" s="1"/>
  <c r="AN326" i="22"/>
  <c r="AJ326" i="22"/>
  <c r="AE326" i="22"/>
  <c r="AR326" i="22" s="1"/>
  <c r="Z326" i="22"/>
  <c r="U326" i="22"/>
  <c r="AP326" i="22" s="1"/>
  <c r="Q326" i="22"/>
  <c r="K326" i="22"/>
  <c r="AS325" i="22"/>
  <c r="AJ325" i="22" s="1"/>
  <c r="AR325" i="22"/>
  <c r="AQ325" i="22"/>
  <c r="AO325" i="22"/>
  <c r="AE325" i="22"/>
  <c r="Z325" i="22"/>
  <c r="U325" i="22"/>
  <c r="AP325" i="22" s="1"/>
  <c r="Q325" i="22"/>
  <c r="P325" i="22"/>
  <c r="K325" i="22"/>
  <c r="AN325" i="22" s="1"/>
  <c r="AS324" i="22"/>
  <c r="AJ324" i="22" s="1"/>
  <c r="AR324" i="22"/>
  <c r="AQ324" i="22"/>
  <c r="Z324" i="22" s="1"/>
  <c r="AO324" i="22"/>
  <c r="AE324" i="22"/>
  <c r="U324" i="22"/>
  <c r="AP324" i="22" s="1"/>
  <c r="Q324" i="22"/>
  <c r="P324" i="22"/>
  <c r="K324" i="22"/>
  <c r="AN324" i="22" s="1"/>
  <c r="AS323" i="22"/>
  <c r="AQ323" i="22"/>
  <c r="Z323" i="22" s="1"/>
  <c r="AO323" i="22"/>
  <c r="P323" i="22" s="1"/>
  <c r="AJ323" i="22"/>
  <c r="AE323" i="22"/>
  <c r="AR323" i="22" s="1"/>
  <c r="U323" i="22"/>
  <c r="AP323" i="22" s="1"/>
  <c r="Q323" i="22"/>
  <c r="K323" i="22"/>
  <c r="AN323" i="22" s="1"/>
  <c r="AS322" i="22"/>
  <c r="AJ322" i="22" s="1"/>
  <c r="AR322" i="22"/>
  <c r="AQ322" i="22"/>
  <c r="Z322" i="22" s="1"/>
  <c r="AO322" i="22"/>
  <c r="P322" i="22" s="1"/>
  <c r="AN322" i="22"/>
  <c r="AE322" i="22"/>
  <c r="U322" i="22"/>
  <c r="AP322" i="22" s="1"/>
  <c r="Q322" i="22"/>
  <c r="K322" i="22"/>
  <c r="AS321" i="22"/>
  <c r="AJ321" i="22" s="1"/>
  <c r="AR321" i="22"/>
  <c r="AQ321" i="22"/>
  <c r="AP321" i="22"/>
  <c r="AO321" i="22"/>
  <c r="AN321" i="22"/>
  <c r="AE321" i="22"/>
  <c r="Z321" i="22"/>
  <c r="U321" i="22"/>
  <c r="Q321" i="22"/>
  <c r="P321" i="22"/>
  <c r="K321" i="22"/>
  <c r="AS320" i="22"/>
  <c r="AR320" i="22"/>
  <c r="AQ320" i="22"/>
  <c r="AO320" i="22"/>
  <c r="AN320" i="22"/>
  <c r="AJ320" i="22"/>
  <c r="AE320" i="22"/>
  <c r="Z320" i="22"/>
  <c r="U320" i="22"/>
  <c r="AP320" i="22" s="1"/>
  <c r="Q320" i="22"/>
  <c r="P320" i="22"/>
  <c r="K320" i="22"/>
  <c r="AS319" i="22"/>
  <c r="AQ319" i="22"/>
  <c r="AO319" i="22"/>
  <c r="P319" i="22" s="1"/>
  <c r="AN319" i="22"/>
  <c r="AJ319" i="22"/>
  <c r="AE319" i="22"/>
  <c r="AR319" i="22" s="1"/>
  <c r="Z319" i="22"/>
  <c r="U319" i="22"/>
  <c r="AP319" i="22" s="1"/>
  <c r="Q319" i="22"/>
  <c r="K319" i="22"/>
  <c r="AS318" i="22"/>
  <c r="AQ318" i="22"/>
  <c r="AO318" i="22"/>
  <c r="P318" i="22" s="1"/>
  <c r="AN318" i="22"/>
  <c r="AJ318" i="22"/>
  <c r="AE318" i="22"/>
  <c r="AR318" i="22" s="1"/>
  <c r="Z318" i="22"/>
  <c r="U318" i="22"/>
  <c r="AP318" i="22" s="1"/>
  <c r="Q318" i="22"/>
  <c r="K318" i="22"/>
  <c r="AS317" i="22"/>
  <c r="AJ317" i="22" s="1"/>
  <c r="AR317" i="22"/>
  <c r="AQ317" i="22"/>
  <c r="AO317" i="22"/>
  <c r="AE317" i="22"/>
  <c r="Z317" i="22"/>
  <c r="U317" i="22"/>
  <c r="AP317" i="22" s="1"/>
  <c r="Q317" i="22"/>
  <c r="P317" i="22"/>
  <c r="K317" i="22"/>
  <c r="AN317" i="22" s="1"/>
  <c r="AS316" i="22"/>
  <c r="AQ316" i="22"/>
  <c r="Z316" i="22" s="1"/>
  <c r="AO316" i="22"/>
  <c r="AJ316" i="22"/>
  <c r="AE316" i="22"/>
  <c r="AR316" i="22" s="1"/>
  <c r="U316" i="22"/>
  <c r="AP316" i="22" s="1"/>
  <c r="Q316" i="22"/>
  <c r="P316" i="22"/>
  <c r="K316" i="22"/>
  <c r="AN316" i="22" s="1"/>
  <c r="AS315" i="22"/>
  <c r="AR315" i="22"/>
  <c r="AQ315" i="22"/>
  <c r="Z315" i="22" s="1"/>
  <c r="AO315" i="22"/>
  <c r="P315" i="22" s="1"/>
  <c r="AJ315" i="22"/>
  <c r="AE315" i="22"/>
  <c r="U315" i="22"/>
  <c r="AP315" i="22" s="1"/>
  <c r="Q315" i="22"/>
  <c r="K315" i="22"/>
  <c r="AN315" i="22" s="1"/>
  <c r="AS314" i="22"/>
  <c r="AJ314" i="22" s="1"/>
  <c r="AR314" i="22"/>
  <c r="AQ314" i="22"/>
  <c r="AP314" i="22"/>
  <c r="AO314" i="22"/>
  <c r="P314" i="22" s="1"/>
  <c r="AN314" i="22"/>
  <c r="AE314" i="22"/>
  <c r="Z314" i="22"/>
  <c r="U314" i="22"/>
  <c r="Q314" i="22"/>
  <c r="K314" i="22"/>
  <c r="AS313" i="22"/>
  <c r="AJ313" i="22" s="1"/>
  <c r="AR313" i="22"/>
  <c r="AQ313" i="22"/>
  <c r="AP313" i="22"/>
  <c r="AO313" i="22"/>
  <c r="AN313" i="22"/>
  <c r="AE313" i="22"/>
  <c r="Z313" i="22"/>
  <c r="U313" i="22"/>
  <c r="Q313" i="22"/>
  <c r="P313" i="22"/>
  <c r="K313" i="22"/>
  <c r="AS312" i="22"/>
  <c r="AR312" i="22"/>
  <c r="AQ312" i="22"/>
  <c r="Z312" i="22" s="1"/>
  <c r="AO312" i="22"/>
  <c r="AJ312" i="22"/>
  <c r="AE312" i="22"/>
  <c r="U312" i="22"/>
  <c r="AP312" i="22" s="1"/>
  <c r="Q312" i="22"/>
  <c r="P312" i="22"/>
  <c r="K312" i="22"/>
  <c r="AN312" i="22" s="1"/>
  <c r="AS311" i="22"/>
  <c r="AQ311" i="22"/>
  <c r="AO311" i="22"/>
  <c r="P311" i="22" s="1"/>
  <c r="AN311" i="22"/>
  <c r="AJ311" i="22"/>
  <c r="AE311" i="22"/>
  <c r="AR311" i="22" s="1"/>
  <c r="Z311" i="22"/>
  <c r="U311" i="22"/>
  <c r="AP311" i="22" s="1"/>
  <c r="Q311" i="22"/>
  <c r="K311" i="22"/>
  <c r="AS310" i="22"/>
  <c r="AJ310" i="22" s="1"/>
  <c r="AQ310" i="22"/>
  <c r="AO310" i="22"/>
  <c r="AN310" i="22"/>
  <c r="AE310" i="22"/>
  <c r="AR310" i="22" s="1"/>
  <c r="Z310" i="22"/>
  <c r="U310" i="22"/>
  <c r="AP310" i="22" s="1"/>
  <c r="Q310" i="22"/>
  <c r="P310" i="22"/>
  <c r="K310" i="22"/>
  <c r="AS309" i="22"/>
  <c r="AJ309" i="22" s="1"/>
  <c r="AQ309" i="22"/>
  <c r="AO309" i="22"/>
  <c r="AN309" i="22"/>
  <c r="AE309" i="22"/>
  <c r="AR309" i="22" s="1"/>
  <c r="Z309" i="22"/>
  <c r="U309" i="22"/>
  <c r="AP309" i="22" s="1"/>
  <c r="Q309" i="22"/>
  <c r="P309" i="22"/>
  <c r="K309" i="22"/>
  <c r="AS308" i="22"/>
  <c r="AQ308" i="22"/>
  <c r="Z308" i="22" s="1"/>
  <c r="AO308" i="22"/>
  <c r="AJ308" i="22"/>
  <c r="AE308" i="22"/>
  <c r="AR308" i="22" s="1"/>
  <c r="U308" i="22"/>
  <c r="AP308" i="22" s="1"/>
  <c r="Q308" i="22"/>
  <c r="P308" i="22"/>
  <c r="K308" i="22"/>
  <c r="AN308" i="22" s="1"/>
  <c r="AS307" i="22"/>
  <c r="AJ307" i="22" s="1"/>
  <c r="AR307" i="22"/>
  <c r="AQ307" i="22"/>
  <c r="AP307" i="22"/>
  <c r="AO307" i="22"/>
  <c r="P307" i="22" s="1"/>
  <c r="AE307" i="22"/>
  <c r="Z307" i="22"/>
  <c r="U307" i="22"/>
  <c r="Q307" i="22"/>
  <c r="K307" i="22"/>
  <c r="AN307" i="22" s="1"/>
  <c r="AS306" i="22"/>
  <c r="AJ306" i="22" s="1"/>
  <c r="AQ306" i="22"/>
  <c r="AP306" i="22"/>
  <c r="AO306" i="22"/>
  <c r="P306" i="22" s="1"/>
  <c r="AN306" i="22"/>
  <c r="AE306" i="22"/>
  <c r="AR306" i="22" s="1"/>
  <c r="Z306" i="22"/>
  <c r="U306" i="22"/>
  <c r="Q306" i="22"/>
  <c r="K306" i="22"/>
  <c r="AS305" i="22"/>
  <c r="AJ305" i="22" s="1"/>
  <c r="AR305" i="22"/>
  <c r="AQ305" i="22"/>
  <c r="AP305" i="22"/>
  <c r="AO305" i="22"/>
  <c r="AN305" i="22"/>
  <c r="AE305" i="22"/>
  <c r="Z305" i="22"/>
  <c r="U305" i="22"/>
  <c r="Q305" i="22"/>
  <c r="P305" i="22"/>
  <c r="K305" i="22"/>
  <c r="AS304" i="22"/>
  <c r="AR304" i="22"/>
  <c r="AQ304" i="22"/>
  <c r="AO304" i="22"/>
  <c r="AN304" i="22"/>
  <c r="AJ304" i="22"/>
  <c r="AE304" i="22"/>
  <c r="Z304" i="22"/>
  <c r="U304" i="22"/>
  <c r="AP304" i="22" s="1"/>
  <c r="Q304" i="22"/>
  <c r="P304" i="22"/>
  <c r="K304" i="22"/>
  <c r="AS303" i="22"/>
  <c r="AQ303" i="22"/>
  <c r="AO303" i="22"/>
  <c r="P303" i="22" s="1"/>
  <c r="AN303" i="22"/>
  <c r="AJ303" i="22"/>
  <c r="AE303" i="22"/>
  <c r="AR303" i="22" s="1"/>
  <c r="Z303" i="22"/>
  <c r="U303" i="22"/>
  <c r="AP303" i="22" s="1"/>
  <c r="Q303" i="22"/>
  <c r="K303" i="22"/>
  <c r="AS302" i="22"/>
  <c r="AQ302" i="22"/>
  <c r="AO302" i="22"/>
  <c r="AJ302" i="22"/>
  <c r="AE302" i="22"/>
  <c r="AR302" i="22" s="1"/>
  <c r="Z302" i="22"/>
  <c r="U302" i="22"/>
  <c r="AP302" i="22" s="1"/>
  <c r="Q302" i="22"/>
  <c r="P302" i="22"/>
  <c r="K302" i="22"/>
  <c r="AN302" i="22" s="1"/>
  <c r="AS301" i="22"/>
  <c r="AJ301" i="22" s="1"/>
  <c r="AR301" i="22"/>
  <c r="AQ301" i="22"/>
  <c r="AO301" i="22"/>
  <c r="AN301" i="22"/>
  <c r="AE301" i="22"/>
  <c r="Z301" i="22"/>
  <c r="U301" i="22"/>
  <c r="AP301" i="22" s="1"/>
  <c r="Q301" i="22"/>
  <c r="P301" i="22"/>
  <c r="K301" i="22"/>
  <c r="AS300" i="22"/>
  <c r="AJ300" i="22" s="1"/>
  <c r="AR300" i="22"/>
  <c r="AQ300" i="22"/>
  <c r="Z300" i="22" s="1"/>
  <c r="AO300" i="22"/>
  <c r="AE300" i="22"/>
  <c r="U300" i="22"/>
  <c r="AP300" i="22" s="1"/>
  <c r="Q300" i="22"/>
  <c r="P300" i="22"/>
  <c r="K300" i="22"/>
  <c r="AN300" i="22" s="1"/>
  <c r="AS299" i="22"/>
  <c r="AQ299" i="22"/>
  <c r="AP299" i="22"/>
  <c r="AO299" i="22"/>
  <c r="P299" i="22" s="1"/>
  <c r="AJ299" i="22"/>
  <c r="AE299" i="22"/>
  <c r="AR299" i="22" s="1"/>
  <c r="Z299" i="22"/>
  <c r="U299" i="22"/>
  <c r="Q299" i="22"/>
  <c r="K299" i="22"/>
  <c r="AN299" i="22" s="1"/>
  <c r="AS298" i="22"/>
  <c r="AJ298" i="22" s="1"/>
  <c r="AR298" i="22"/>
  <c r="AQ298" i="22"/>
  <c r="AO298" i="22"/>
  <c r="P298" i="22" s="1"/>
  <c r="AN298" i="22"/>
  <c r="AE298" i="22"/>
  <c r="Z298" i="22"/>
  <c r="U298" i="22"/>
  <c r="AP298" i="22" s="1"/>
  <c r="Q298" i="22"/>
  <c r="K298" i="22"/>
  <c r="AS297" i="22"/>
  <c r="AJ297" i="22" s="1"/>
  <c r="AR297" i="22"/>
  <c r="AQ297" i="22"/>
  <c r="Z297" i="22" s="1"/>
  <c r="AP297" i="22"/>
  <c r="AO297" i="22"/>
  <c r="AN297" i="22"/>
  <c r="AE297" i="22"/>
  <c r="U297" i="22"/>
  <c r="Q297" i="22"/>
  <c r="P297" i="22"/>
  <c r="K297" i="22"/>
  <c r="AS296" i="22"/>
  <c r="AR296" i="22"/>
  <c r="AQ296" i="22"/>
  <c r="AO296" i="22"/>
  <c r="AJ296" i="22"/>
  <c r="AE296" i="22"/>
  <c r="Z296" i="22"/>
  <c r="U296" i="22"/>
  <c r="AP296" i="22" s="1"/>
  <c r="Q296" i="22"/>
  <c r="P296" i="22"/>
  <c r="K296" i="22"/>
  <c r="AN296" i="22" s="1"/>
  <c r="AS295" i="22"/>
  <c r="AQ295" i="22"/>
  <c r="AO295" i="22"/>
  <c r="AN295" i="22"/>
  <c r="AJ295" i="22"/>
  <c r="AE295" i="22"/>
  <c r="AR295" i="22" s="1"/>
  <c r="Z295" i="22"/>
  <c r="U295" i="22"/>
  <c r="AP295" i="22" s="1"/>
  <c r="Q295" i="22"/>
  <c r="P295" i="22"/>
  <c r="K295" i="22"/>
  <c r="AS294" i="22"/>
  <c r="AJ294" i="22" s="1"/>
  <c r="AQ294" i="22"/>
  <c r="AO294" i="22"/>
  <c r="AN294" i="22"/>
  <c r="AE294" i="22"/>
  <c r="AR294" i="22" s="1"/>
  <c r="Z294" i="22"/>
  <c r="U294" i="22"/>
  <c r="AP294" i="22" s="1"/>
  <c r="Q294" i="22"/>
  <c r="P294" i="22"/>
  <c r="K294" i="22"/>
  <c r="AS293" i="22"/>
  <c r="AR293" i="22"/>
  <c r="AQ293" i="22"/>
  <c r="Z293" i="22" s="1"/>
  <c r="AO293" i="22"/>
  <c r="AJ293" i="22"/>
  <c r="AE293" i="22"/>
  <c r="U293" i="22"/>
  <c r="AP293" i="22" s="1"/>
  <c r="Q293" i="22"/>
  <c r="P293" i="22"/>
  <c r="K293" i="22"/>
  <c r="AN293" i="22" s="1"/>
  <c r="AS292" i="22"/>
  <c r="AJ292" i="22" s="1"/>
  <c r="AQ292" i="22"/>
  <c r="AP292" i="22"/>
  <c r="AO292" i="22"/>
  <c r="AE292" i="22"/>
  <c r="AR292" i="22" s="1"/>
  <c r="Z292" i="22"/>
  <c r="U292" i="22"/>
  <c r="Q292" i="22"/>
  <c r="P292" i="22"/>
  <c r="K292" i="22"/>
  <c r="AN292" i="22" s="1"/>
  <c r="AS291" i="22"/>
  <c r="AJ291" i="22" s="1"/>
  <c r="AR291" i="22"/>
  <c r="AQ291" i="22"/>
  <c r="Z291" i="22" s="1"/>
  <c r="AO291" i="22"/>
  <c r="P291" i="22" s="1"/>
  <c r="AE291" i="22"/>
  <c r="U291" i="22"/>
  <c r="AP291" i="22" s="1"/>
  <c r="Q291" i="22"/>
  <c r="K291" i="22"/>
  <c r="AN291" i="22" s="1"/>
  <c r="AS290" i="22"/>
  <c r="AJ290" i="22" s="1"/>
  <c r="AR290" i="22"/>
  <c r="AQ290" i="22"/>
  <c r="AP290" i="22"/>
  <c r="AO290" i="22"/>
  <c r="AN290" i="22"/>
  <c r="AE290" i="22"/>
  <c r="Z290" i="22"/>
  <c r="U290" i="22"/>
  <c r="Q290" i="22"/>
  <c r="P290" i="22"/>
  <c r="K290" i="22"/>
  <c r="AS289" i="22"/>
  <c r="AJ289" i="22" s="1"/>
  <c r="AR289" i="22"/>
  <c r="AQ289" i="22"/>
  <c r="Z289" i="22" s="1"/>
  <c r="AO289" i="22"/>
  <c r="AN289" i="22"/>
  <c r="AE289" i="22"/>
  <c r="U289" i="22"/>
  <c r="AP289" i="22" s="1"/>
  <c r="Q289" i="22"/>
  <c r="P289" i="22"/>
  <c r="K289" i="22"/>
  <c r="AS288" i="22"/>
  <c r="AR288" i="22"/>
  <c r="AQ288" i="22"/>
  <c r="AO288" i="22"/>
  <c r="AN288" i="22"/>
  <c r="AJ288" i="22"/>
  <c r="AE288" i="22"/>
  <c r="Z288" i="22"/>
  <c r="U288" i="22"/>
  <c r="AP288" i="22" s="1"/>
  <c r="Q288" i="22"/>
  <c r="P288" i="22"/>
  <c r="K288" i="22"/>
  <c r="AS287" i="22"/>
  <c r="AQ287" i="22"/>
  <c r="AP287" i="22"/>
  <c r="AO287" i="22"/>
  <c r="P287" i="22" s="1"/>
  <c r="AJ287" i="22"/>
  <c r="AE287" i="22"/>
  <c r="AR287" i="22" s="1"/>
  <c r="Z287" i="22"/>
  <c r="U287" i="22"/>
  <c r="Q287" i="22"/>
  <c r="K287" i="22"/>
  <c r="AN287" i="22" s="1"/>
  <c r="AS286" i="22"/>
  <c r="AJ286" i="22" s="1"/>
  <c r="AQ286" i="22"/>
  <c r="AO286" i="22"/>
  <c r="AN286" i="22"/>
  <c r="AE286" i="22"/>
  <c r="AR286" i="22" s="1"/>
  <c r="Z286" i="22"/>
  <c r="U286" i="22"/>
  <c r="AP286" i="22" s="1"/>
  <c r="Q286" i="22"/>
  <c r="P286" i="22"/>
  <c r="K286" i="22"/>
  <c r="AS285" i="22"/>
  <c r="AR285" i="22"/>
  <c r="AQ285" i="22"/>
  <c r="AO285" i="22"/>
  <c r="AJ285" i="22"/>
  <c r="AE285" i="22"/>
  <c r="Z285" i="22"/>
  <c r="U285" i="22"/>
  <c r="AP285" i="22" s="1"/>
  <c r="Q285" i="22"/>
  <c r="P285" i="22"/>
  <c r="K285" i="22"/>
  <c r="AN285" i="22" s="1"/>
  <c r="AS284" i="22"/>
  <c r="AJ284" i="22" s="1"/>
  <c r="AQ284" i="22"/>
  <c r="AP284" i="22"/>
  <c r="AO284" i="22"/>
  <c r="AE284" i="22"/>
  <c r="AR284" i="22" s="1"/>
  <c r="Z284" i="22"/>
  <c r="U284" i="22"/>
  <c r="Q284" i="22"/>
  <c r="P284" i="22"/>
  <c r="K284" i="22"/>
  <c r="AN284" i="22" s="1"/>
  <c r="AS283" i="22"/>
  <c r="AJ283" i="22" s="1"/>
  <c r="AQ283" i="22"/>
  <c r="Z283" i="22" s="1"/>
  <c r="AO283" i="22"/>
  <c r="P283" i="22" s="1"/>
  <c r="AE283" i="22"/>
  <c r="AR283" i="22" s="1"/>
  <c r="U283" i="22"/>
  <c r="AP283" i="22" s="1"/>
  <c r="Q283" i="22"/>
  <c r="K283" i="22"/>
  <c r="AN283" i="22" s="1"/>
  <c r="AS282" i="22"/>
  <c r="AJ282" i="22" s="1"/>
  <c r="AR282" i="22"/>
  <c r="AQ282" i="22"/>
  <c r="Z282" i="22" s="1"/>
  <c r="AO282" i="22"/>
  <c r="AN282" i="22"/>
  <c r="AE282" i="22"/>
  <c r="U282" i="22"/>
  <c r="AP282" i="22" s="1"/>
  <c r="Q282" i="22"/>
  <c r="P282" i="22"/>
  <c r="K282" i="22"/>
  <c r="AS281" i="22"/>
  <c r="AJ281" i="22" s="1"/>
  <c r="AQ281" i="22"/>
  <c r="Z281" i="22" s="1"/>
  <c r="AO281" i="22"/>
  <c r="AN281" i="22"/>
  <c r="AE281" i="22"/>
  <c r="AR281" i="22" s="1"/>
  <c r="U281" i="22"/>
  <c r="AP281" i="22" s="1"/>
  <c r="Q281" i="22"/>
  <c r="P281" i="22"/>
  <c r="K281" i="22"/>
  <c r="AS280" i="22"/>
  <c r="AR280" i="22"/>
  <c r="AQ280" i="22"/>
  <c r="Z280" i="22" s="1"/>
  <c r="AO280" i="22"/>
  <c r="AN280" i="22"/>
  <c r="AJ280" i="22"/>
  <c r="AE280" i="22"/>
  <c r="U280" i="22"/>
  <c r="AP280" i="22" s="1"/>
  <c r="Q280" i="22"/>
  <c r="P280" i="22"/>
  <c r="K280" i="22"/>
  <c r="AS279" i="22"/>
  <c r="AQ279" i="22"/>
  <c r="AP279" i="22"/>
  <c r="AO279" i="22"/>
  <c r="P279" i="22" s="1"/>
  <c r="AJ279" i="22"/>
  <c r="AE279" i="22"/>
  <c r="AR279" i="22" s="1"/>
  <c r="Z279" i="22"/>
  <c r="U279" i="22"/>
  <c r="Q279" i="22"/>
  <c r="K279" i="22"/>
  <c r="AN279" i="22" s="1"/>
  <c r="AS278" i="22"/>
  <c r="AJ278" i="22" s="1"/>
  <c r="AQ278" i="22"/>
  <c r="AO278" i="22"/>
  <c r="P278" i="22" s="1"/>
  <c r="AN278" i="22"/>
  <c r="AE278" i="22"/>
  <c r="AR278" i="22" s="1"/>
  <c r="Z278" i="22"/>
  <c r="U278" i="22"/>
  <c r="AP278" i="22" s="1"/>
  <c r="Q278" i="22"/>
  <c r="K278" i="22"/>
  <c r="AS277" i="22"/>
  <c r="AJ277" i="22" s="1"/>
  <c r="AR277" i="22"/>
  <c r="AQ277" i="22"/>
  <c r="Z277" i="22" s="1"/>
  <c r="AO277" i="22"/>
  <c r="P277" i="22" s="1"/>
  <c r="AN277" i="22"/>
  <c r="AE277" i="22"/>
  <c r="U277" i="22"/>
  <c r="AP277" i="22" s="1"/>
  <c r="Q277" i="22"/>
  <c r="K277" i="22"/>
  <c r="AS276" i="22"/>
  <c r="AQ276" i="22"/>
  <c r="AO276" i="22"/>
  <c r="AJ276" i="22"/>
  <c r="AE276" i="22"/>
  <c r="AR276" i="22" s="1"/>
  <c r="Z276" i="22"/>
  <c r="U276" i="22"/>
  <c r="AP276" i="22" s="1"/>
  <c r="Q276" i="22"/>
  <c r="P276" i="22"/>
  <c r="K276" i="22"/>
  <c r="AN276" i="22" s="1"/>
  <c r="AS275" i="22"/>
  <c r="AJ275" i="22" s="1"/>
  <c r="AQ275" i="22"/>
  <c r="AP275" i="22"/>
  <c r="AO275" i="22"/>
  <c r="P275" i="22" s="1"/>
  <c r="AE275" i="22"/>
  <c r="AR275" i="22" s="1"/>
  <c r="Z275" i="22"/>
  <c r="U275" i="22"/>
  <c r="Q275" i="22"/>
  <c r="K275" i="22"/>
  <c r="AN275" i="22" s="1"/>
  <c r="AS274" i="22"/>
  <c r="AJ274" i="22" s="1"/>
  <c r="AR274" i="22"/>
  <c r="AQ274" i="22"/>
  <c r="AO274" i="22"/>
  <c r="P274" i="22" s="1"/>
  <c r="AN274" i="22"/>
  <c r="AE274" i="22"/>
  <c r="Z274" i="22"/>
  <c r="U274" i="22"/>
  <c r="AP274" i="22" s="1"/>
  <c r="Q274" i="22"/>
  <c r="K274" i="22"/>
  <c r="AS273" i="22"/>
  <c r="AJ273" i="22" s="1"/>
  <c r="AR273" i="22"/>
  <c r="AQ273" i="22"/>
  <c r="Z273" i="22" s="1"/>
  <c r="AP273" i="22"/>
  <c r="AO273" i="22"/>
  <c r="AE273" i="22"/>
  <c r="U273" i="22"/>
  <c r="Q273" i="22"/>
  <c r="P273" i="22"/>
  <c r="K273" i="22"/>
  <c r="AN273" i="22" s="1"/>
  <c r="AS272" i="22"/>
  <c r="AR272" i="22"/>
  <c r="AQ272" i="22"/>
  <c r="AO272" i="22"/>
  <c r="AJ272" i="22"/>
  <c r="AE272" i="22"/>
  <c r="Z272" i="22"/>
  <c r="U272" i="22"/>
  <c r="AP272" i="22" s="1"/>
  <c r="Q272" i="22"/>
  <c r="P272" i="22"/>
  <c r="K272" i="22"/>
  <c r="AN272" i="22" s="1"/>
  <c r="AS271" i="22"/>
  <c r="AJ271" i="22" s="1"/>
  <c r="AQ271" i="22"/>
  <c r="AO271" i="22"/>
  <c r="P271" i="22" s="1"/>
  <c r="AE271" i="22"/>
  <c r="AR271" i="22" s="1"/>
  <c r="Z271" i="22"/>
  <c r="U271" i="22"/>
  <c r="AP271" i="22" s="1"/>
  <c r="Q271" i="22"/>
  <c r="K271" i="22"/>
  <c r="AN271" i="22" s="1"/>
  <c r="AS270" i="22"/>
  <c r="AJ270" i="22" s="1"/>
  <c r="AR270" i="22"/>
  <c r="AQ270" i="22"/>
  <c r="AO270" i="22"/>
  <c r="P270" i="22" s="1"/>
  <c r="AE270" i="22"/>
  <c r="Z270" i="22"/>
  <c r="U270" i="22"/>
  <c r="AP270" i="22" s="1"/>
  <c r="Q270" i="22"/>
  <c r="K270" i="22"/>
  <c r="AN270" i="22" s="1"/>
  <c r="AS269" i="22"/>
  <c r="AJ269" i="22" s="1"/>
  <c r="AR269" i="22"/>
  <c r="AQ269" i="22"/>
  <c r="Z269" i="22" s="1"/>
  <c r="AO269" i="22"/>
  <c r="P269" i="22" s="1"/>
  <c r="AE269" i="22"/>
  <c r="U269" i="22"/>
  <c r="AP269" i="22" s="1"/>
  <c r="Q269" i="22"/>
  <c r="K269" i="22"/>
  <c r="AN269" i="22" s="1"/>
  <c r="AS268" i="22"/>
  <c r="AQ268" i="22"/>
  <c r="AO268" i="22"/>
  <c r="AN268" i="22"/>
  <c r="AJ268" i="22"/>
  <c r="AE268" i="22"/>
  <c r="AR268" i="22" s="1"/>
  <c r="Z268" i="22"/>
  <c r="U268" i="22"/>
  <c r="AP268" i="22" s="1"/>
  <c r="Q268" i="22"/>
  <c r="P268" i="22"/>
  <c r="K268" i="22"/>
  <c r="AS267" i="22"/>
  <c r="AJ267" i="22" s="1"/>
  <c r="AR267" i="22"/>
  <c r="AQ267" i="22"/>
  <c r="AO267" i="22"/>
  <c r="P267" i="22" s="1"/>
  <c r="AE267" i="22"/>
  <c r="Z267" i="22"/>
  <c r="U267" i="22"/>
  <c r="AP267" i="22" s="1"/>
  <c r="Q267" i="22"/>
  <c r="K267" i="22"/>
  <c r="AN267" i="22" s="1"/>
  <c r="AS266" i="22"/>
  <c r="AR266" i="22"/>
  <c r="AQ266" i="22"/>
  <c r="AO266" i="22"/>
  <c r="P266" i="22" s="1"/>
  <c r="AN266" i="22"/>
  <c r="AJ266" i="22"/>
  <c r="AE266" i="22"/>
  <c r="Z266" i="22"/>
  <c r="U266" i="22"/>
  <c r="AP266" i="22" s="1"/>
  <c r="Q266" i="22"/>
  <c r="K266" i="22"/>
  <c r="AS265" i="22"/>
  <c r="AJ265" i="22" s="1"/>
  <c r="AR265" i="22"/>
  <c r="AQ265" i="22"/>
  <c r="AO265" i="22"/>
  <c r="AE265" i="22"/>
  <c r="Z265" i="22"/>
  <c r="U265" i="22"/>
  <c r="AP265" i="22" s="1"/>
  <c r="Q265" i="22"/>
  <c r="P265" i="22"/>
  <c r="K265" i="22"/>
  <c r="AN265" i="22" s="1"/>
  <c r="AS264" i="22"/>
  <c r="AJ264" i="22" s="1"/>
  <c r="AQ264" i="22"/>
  <c r="AP264" i="22"/>
  <c r="AO264" i="22"/>
  <c r="P264" i="22" s="1"/>
  <c r="AE264" i="22"/>
  <c r="AR264" i="22" s="1"/>
  <c r="Z264" i="22"/>
  <c r="U264" i="22"/>
  <c r="Q264" i="22"/>
  <c r="K264" i="22"/>
  <c r="AN264" i="22" s="1"/>
  <c r="AS263" i="22"/>
  <c r="AJ263" i="22" s="1"/>
  <c r="AQ263" i="22"/>
  <c r="AO263" i="22"/>
  <c r="P263" i="22" s="1"/>
  <c r="AN263" i="22"/>
  <c r="AE263" i="22"/>
  <c r="AR263" i="22" s="1"/>
  <c r="Z263" i="22"/>
  <c r="U263" i="22"/>
  <c r="AP263" i="22" s="1"/>
  <c r="Q263" i="22"/>
  <c r="K263" i="22"/>
  <c r="AS262" i="22"/>
  <c r="AJ262" i="22" s="1"/>
  <c r="AQ262" i="22"/>
  <c r="AP262" i="22"/>
  <c r="AO262" i="22"/>
  <c r="AE262" i="22"/>
  <c r="AR262" i="22" s="1"/>
  <c r="Z262" i="22"/>
  <c r="U262" i="22"/>
  <c r="Q262" i="22"/>
  <c r="P262" i="22"/>
  <c r="K262" i="22"/>
  <c r="AN262" i="22" s="1"/>
  <c r="AS261" i="22"/>
  <c r="AR261" i="22"/>
  <c r="AQ261" i="22"/>
  <c r="AO261" i="22"/>
  <c r="AN261" i="22"/>
  <c r="AJ261" i="22"/>
  <c r="AE261" i="22"/>
  <c r="Z261" i="22"/>
  <c r="U261" i="22"/>
  <c r="AP261" i="22" s="1"/>
  <c r="Q261" i="22"/>
  <c r="P261" i="22"/>
  <c r="K261" i="22"/>
  <c r="AS260" i="22"/>
  <c r="AQ260" i="22"/>
  <c r="AO260" i="22"/>
  <c r="P260" i="22" s="1"/>
  <c r="AJ260" i="22"/>
  <c r="AE260" i="22"/>
  <c r="AR260" i="22" s="1"/>
  <c r="Z260" i="22"/>
  <c r="U260" i="22"/>
  <c r="AP260" i="22" s="1"/>
  <c r="Q260" i="22"/>
  <c r="K260" i="22"/>
  <c r="AN260" i="22" s="1"/>
  <c r="AS259" i="22"/>
  <c r="AJ259" i="22" s="1"/>
  <c r="AQ259" i="22"/>
  <c r="AO259" i="22"/>
  <c r="P259" i="22" s="1"/>
  <c r="AN259" i="22"/>
  <c r="AE259" i="22"/>
  <c r="AR259" i="22" s="1"/>
  <c r="Z259" i="22"/>
  <c r="U259" i="22"/>
  <c r="AP259" i="22" s="1"/>
  <c r="Q259" i="22"/>
  <c r="K259" i="22"/>
  <c r="AS258" i="22"/>
  <c r="AJ258" i="22" s="1"/>
  <c r="AR258" i="22"/>
  <c r="AQ258" i="22"/>
  <c r="AO258" i="22"/>
  <c r="P258" i="22" s="1"/>
  <c r="AE258" i="22"/>
  <c r="Z258" i="22"/>
  <c r="U258" i="22"/>
  <c r="AP258" i="22" s="1"/>
  <c r="Q258" i="22"/>
  <c r="K258" i="22"/>
  <c r="AN258" i="22" s="1"/>
  <c r="AS257" i="22"/>
  <c r="AQ257" i="22"/>
  <c r="AO257" i="22"/>
  <c r="AN257" i="22"/>
  <c r="AJ257" i="22"/>
  <c r="AE257" i="22"/>
  <c r="AR257" i="22" s="1"/>
  <c r="Z257" i="22"/>
  <c r="U257" i="22"/>
  <c r="AP257" i="22" s="1"/>
  <c r="Q257" i="22"/>
  <c r="P257" i="22"/>
  <c r="K257" i="22"/>
  <c r="AS256" i="22"/>
  <c r="AJ256" i="22" s="1"/>
  <c r="AR256" i="22"/>
  <c r="AQ256" i="22"/>
  <c r="AP256" i="22"/>
  <c r="AO256" i="22"/>
  <c r="P256" i="22" s="1"/>
  <c r="AE256" i="22"/>
  <c r="Z256" i="22"/>
  <c r="U256" i="22"/>
  <c r="Q256" i="22"/>
  <c r="K256" i="22"/>
  <c r="AN256" i="22" s="1"/>
  <c r="AS255" i="22"/>
  <c r="AQ255" i="22"/>
  <c r="AO255" i="22"/>
  <c r="P255" i="22" s="1"/>
  <c r="AN255" i="22"/>
  <c r="AJ255" i="22"/>
  <c r="AE255" i="22"/>
  <c r="AR255" i="22" s="1"/>
  <c r="Z255" i="22"/>
  <c r="U255" i="22"/>
  <c r="AP255" i="22" s="1"/>
  <c r="Q255" i="22"/>
  <c r="K255" i="22"/>
  <c r="AS254" i="22"/>
  <c r="AJ254" i="22" s="1"/>
  <c r="AR254" i="22"/>
  <c r="AQ254" i="22"/>
  <c r="AO254" i="22"/>
  <c r="AE254" i="22"/>
  <c r="Z254" i="22"/>
  <c r="U254" i="22"/>
  <c r="AP254" i="22" s="1"/>
  <c r="Q254" i="22"/>
  <c r="P254" i="22"/>
  <c r="K254" i="22"/>
  <c r="AN254" i="22" s="1"/>
  <c r="AS253" i="22"/>
  <c r="AR253" i="22"/>
  <c r="AQ253" i="22"/>
  <c r="AO253" i="22"/>
  <c r="P253" i="22" s="1"/>
  <c r="AJ253" i="22"/>
  <c r="AE253" i="22"/>
  <c r="Z253" i="22"/>
  <c r="U253" i="22"/>
  <c r="AP253" i="22" s="1"/>
  <c r="Q253" i="22"/>
  <c r="K253" i="22"/>
  <c r="AN253" i="22" s="1"/>
  <c r="AS252" i="22"/>
  <c r="AJ252" i="22" s="1"/>
  <c r="AQ252" i="22"/>
  <c r="AO252" i="22"/>
  <c r="P252" i="22" s="1"/>
  <c r="AN252" i="22"/>
  <c r="AE252" i="22"/>
  <c r="AR252" i="22" s="1"/>
  <c r="Z252" i="22"/>
  <c r="U252" i="22"/>
  <c r="AP252" i="22" s="1"/>
  <c r="Q252" i="22"/>
  <c r="K252" i="22"/>
  <c r="AS251" i="22"/>
  <c r="AR251" i="22"/>
  <c r="AQ251" i="22"/>
  <c r="AO251" i="22"/>
  <c r="AN251" i="22"/>
  <c r="AJ251" i="22"/>
  <c r="AE251" i="22"/>
  <c r="Z251" i="22"/>
  <c r="U251" i="22"/>
  <c r="AP251" i="22" s="1"/>
  <c r="Q251" i="22"/>
  <c r="P251" i="22"/>
  <c r="K251" i="22"/>
  <c r="AS250" i="22"/>
  <c r="AQ250" i="22"/>
  <c r="Z250" i="22" s="1"/>
  <c r="AO250" i="22"/>
  <c r="P250" i="22" s="1"/>
  <c r="AJ250" i="22"/>
  <c r="AE250" i="22"/>
  <c r="AR250" i="22" s="1"/>
  <c r="U250" i="22"/>
  <c r="AP250" i="22" s="1"/>
  <c r="Q250" i="22"/>
  <c r="K250" i="22"/>
  <c r="AN250" i="22" s="1"/>
  <c r="AS249" i="22"/>
  <c r="AJ249" i="22" s="1"/>
  <c r="AQ249" i="22"/>
  <c r="AO249" i="22"/>
  <c r="AE249" i="22"/>
  <c r="AR249" i="22" s="1"/>
  <c r="Z249" i="22"/>
  <c r="U249" i="22"/>
  <c r="AP249" i="22" s="1"/>
  <c r="Q249" i="22"/>
  <c r="P249" i="22"/>
  <c r="K249" i="22"/>
  <c r="AN249" i="22" s="1"/>
  <c r="AS248" i="22"/>
  <c r="AJ248" i="22" s="1"/>
  <c r="AR248" i="22"/>
  <c r="AQ248" i="22"/>
  <c r="Z248" i="22" s="1"/>
  <c r="AO248" i="22"/>
  <c r="P248" i="22" s="1"/>
  <c r="AE248" i="22"/>
  <c r="U248" i="22"/>
  <c r="AP248" i="22" s="1"/>
  <c r="Q248" i="22"/>
  <c r="K248" i="22"/>
  <c r="AN248" i="22" s="1"/>
  <c r="AS247" i="22"/>
  <c r="AJ247" i="22" s="1"/>
  <c r="AQ247" i="22"/>
  <c r="AO247" i="22"/>
  <c r="AN247" i="22"/>
  <c r="AE247" i="22"/>
  <c r="AR247" i="22" s="1"/>
  <c r="Z247" i="22"/>
  <c r="U247" i="22"/>
  <c r="AP247" i="22" s="1"/>
  <c r="Q247" i="22"/>
  <c r="P247" i="22"/>
  <c r="K247" i="22"/>
  <c r="AS246" i="22"/>
  <c r="AJ246" i="22" s="1"/>
  <c r="AR246" i="22"/>
  <c r="AQ246" i="22"/>
  <c r="AO246" i="22"/>
  <c r="AE246" i="22"/>
  <c r="Z246" i="22"/>
  <c r="U246" i="22"/>
  <c r="AP246" i="22" s="1"/>
  <c r="Q246" i="22"/>
  <c r="P246" i="22"/>
  <c r="K246" i="22"/>
  <c r="AN246" i="22" s="1"/>
  <c r="AS245" i="22"/>
  <c r="AR245" i="22"/>
  <c r="AQ245" i="22"/>
  <c r="AO245" i="22"/>
  <c r="P245" i="22" s="1"/>
  <c r="AJ245" i="22"/>
  <c r="AE245" i="22"/>
  <c r="Z245" i="22"/>
  <c r="U245" i="22"/>
  <c r="AP245" i="22" s="1"/>
  <c r="Q245" i="22"/>
  <c r="K245" i="22"/>
  <c r="AN245" i="22" s="1"/>
  <c r="AS244" i="22"/>
  <c r="AJ244" i="22" s="1"/>
  <c r="AQ244" i="22"/>
  <c r="Z244" i="22" s="1"/>
  <c r="AO244" i="22"/>
  <c r="AN244" i="22"/>
  <c r="AE244" i="22"/>
  <c r="AR244" i="22" s="1"/>
  <c r="U244" i="22"/>
  <c r="AP244" i="22" s="1"/>
  <c r="Q244" i="22"/>
  <c r="P244" i="22"/>
  <c r="K244" i="22"/>
  <c r="AS243" i="22"/>
  <c r="AR243" i="22"/>
  <c r="AQ243" i="22"/>
  <c r="AO243" i="22"/>
  <c r="P243" i="22" s="1"/>
  <c r="AJ243" i="22"/>
  <c r="AE243" i="22"/>
  <c r="Z243" i="22"/>
  <c r="U243" i="22"/>
  <c r="AP243" i="22" s="1"/>
  <c r="Q243" i="22"/>
  <c r="K243" i="22"/>
  <c r="AN243" i="22" s="1"/>
  <c r="AS242" i="22"/>
  <c r="AJ242" i="22" s="1"/>
  <c r="AQ242" i="22"/>
  <c r="Z242" i="22" s="1"/>
  <c r="AO242" i="22"/>
  <c r="P242" i="22" s="1"/>
  <c r="AN242" i="22"/>
  <c r="AE242" i="22"/>
  <c r="AR242" i="22" s="1"/>
  <c r="U242" i="22"/>
  <c r="AP242" i="22" s="1"/>
  <c r="Q242" i="22"/>
  <c r="K242" i="22"/>
  <c r="AS241" i="22"/>
  <c r="AR241" i="22"/>
  <c r="AQ241" i="22"/>
  <c r="AO241" i="22"/>
  <c r="AJ241" i="22"/>
  <c r="AE241" i="22"/>
  <c r="Z241" i="22"/>
  <c r="U241" i="22"/>
  <c r="AP241" i="22" s="1"/>
  <c r="Q241" i="22"/>
  <c r="P241" i="22"/>
  <c r="K241" i="22"/>
  <c r="AN241" i="22" s="1"/>
  <c r="AS240" i="22"/>
  <c r="AQ240" i="22"/>
  <c r="Z240" i="22" s="1"/>
  <c r="AO240" i="22"/>
  <c r="P240" i="22" s="1"/>
  <c r="AJ240" i="22"/>
  <c r="AE240" i="22"/>
  <c r="AR240" i="22" s="1"/>
  <c r="U240" i="22"/>
  <c r="AP240" i="22" s="1"/>
  <c r="Q240" i="22"/>
  <c r="K240" i="22"/>
  <c r="AN240" i="22" s="1"/>
  <c r="AS239" i="22"/>
  <c r="AJ239" i="22" s="1"/>
  <c r="AR239" i="22"/>
  <c r="AQ239" i="22"/>
  <c r="AO239" i="22"/>
  <c r="AN239" i="22"/>
  <c r="AE239" i="22"/>
  <c r="Z239" i="22"/>
  <c r="U239" i="22"/>
  <c r="AP239" i="22" s="1"/>
  <c r="Q239" i="22"/>
  <c r="P239" i="22"/>
  <c r="K239" i="22"/>
  <c r="AS238" i="22"/>
  <c r="AJ238" i="22" s="1"/>
  <c r="AQ238" i="22"/>
  <c r="Z238" i="22" s="1"/>
  <c r="AP238" i="22"/>
  <c r="AO238" i="22"/>
  <c r="AE238" i="22"/>
  <c r="AR238" i="22" s="1"/>
  <c r="U238" i="22"/>
  <c r="Q238" i="22"/>
  <c r="P238" i="22"/>
  <c r="K238" i="22"/>
  <c r="AN238" i="22" s="1"/>
  <c r="AS237" i="22"/>
  <c r="AR237" i="22"/>
  <c r="AQ237" i="22"/>
  <c r="AO237" i="22"/>
  <c r="AN237" i="22"/>
  <c r="AJ237" i="22"/>
  <c r="AE237" i="22"/>
  <c r="Z237" i="22"/>
  <c r="U237" i="22"/>
  <c r="AP237" i="22" s="1"/>
  <c r="Q237" i="22"/>
  <c r="P237" i="22"/>
  <c r="K237" i="22"/>
  <c r="AS236" i="22"/>
  <c r="AQ236" i="22"/>
  <c r="AO236" i="22"/>
  <c r="AJ236" i="22"/>
  <c r="AE236" i="22"/>
  <c r="AR236" i="22" s="1"/>
  <c r="Z236" i="22"/>
  <c r="U236" i="22"/>
  <c r="AP236" i="22" s="1"/>
  <c r="Q236" i="22"/>
  <c r="P236" i="22"/>
  <c r="K236" i="22"/>
  <c r="AN236" i="22" s="1"/>
  <c r="AS235" i="22"/>
  <c r="AQ235" i="22"/>
  <c r="AO235" i="22"/>
  <c r="P235" i="22" s="1"/>
  <c r="AJ235" i="22"/>
  <c r="AE235" i="22"/>
  <c r="AR235" i="22" s="1"/>
  <c r="Z235" i="22"/>
  <c r="U235" i="22"/>
  <c r="AP235" i="22" s="1"/>
  <c r="Q235" i="22"/>
  <c r="K235" i="22"/>
  <c r="AN235" i="22" s="1"/>
  <c r="AS234" i="22"/>
  <c r="AJ234" i="22" s="1"/>
  <c r="AR234" i="22"/>
  <c r="AQ234" i="22"/>
  <c r="AO234" i="22"/>
  <c r="AN234" i="22"/>
  <c r="AE234" i="22"/>
  <c r="Z234" i="22"/>
  <c r="U234" i="22"/>
  <c r="AP234" i="22" s="1"/>
  <c r="Q234" i="22"/>
  <c r="P234" i="22"/>
  <c r="K234" i="22"/>
  <c r="AS233" i="22"/>
  <c r="AR233" i="22"/>
  <c r="AQ233" i="22"/>
  <c r="Z233" i="22" s="1"/>
  <c r="AP233" i="22"/>
  <c r="AO233" i="22"/>
  <c r="AJ233" i="22"/>
  <c r="AE233" i="22"/>
  <c r="U233" i="22"/>
  <c r="Q233" i="22"/>
  <c r="P233" i="22"/>
  <c r="K233" i="22"/>
  <c r="AN233" i="22" s="1"/>
  <c r="AS232" i="22"/>
  <c r="AJ232" i="22" s="1"/>
  <c r="AQ232" i="22"/>
  <c r="Z232" i="22" s="1"/>
  <c r="AP232" i="22"/>
  <c r="AO232" i="22"/>
  <c r="P232" i="22" s="1"/>
  <c r="AE232" i="22"/>
  <c r="AR232" i="22" s="1"/>
  <c r="U232" i="22"/>
  <c r="Q232" i="22"/>
  <c r="K232" i="22"/>
  <c r="AN232" i="22" s="1"/>
  <c r="AS231" i="22"/>
  <c r="AQ231" i="22"/>
  <c r="AO231" i="22"/>
  <c r="AN231" i="22"/>
  <c r="AJ231" i="22"/>
  <c r="AE231" i="22"/>
  <c r="AR231" i="22" s="1"/>
  <c r="Z231" i="22"/>
  <c r="U231" i="22"/>
  <c r="AP231" i="22" s="1"/>
  <c r="Q231" i="22"/>
  <c r="P231" i="22"/>
  <c r="K231" i="22"/>
  <c r="AS230" i="22"/>
  <c r="AJ230" i="22" s="1"/>
  <c r="AQ230" i="22"/>
  <c r="AP230" i="22"/>
  <c r="AO230" i="22"/>
  <c r="AE230" i="22"/>
  <c r="AR230" i="22" s="1"/>
  <c r="Z230" i="22"/>
  <c r="U230" i="22"/>
  <c r="Q230" i="22"/>
  <c r="P230" i="22"/>
  <c r="K230" i="22"/>
  <c r="AN230" i="22" s="1"/>
  <c r="AS229" i="22"/>
  <c r="AR229" i="22"/>
  <c r="AQ229" i="22"/>
  <c r="Z229" i="22" s="1"/>
  <c r="AO229" i="22"/>
  <c r="AN229" i="22"/>
  <c r="AJ229" i="22"/>
  <c r="AE229" i="22"/>
  <c r="U229" i="22"/>
  <c r="AP229" i="22" s="1"/>
  <c r="Q229" i="22"/>
  <c r="P229" i="22"/>
  <c r="K229" i="22"/>
  <c r="AS228" i="22"/>
  <c r="AQ228" i="22"/>
  <c r="AO228" i="22"/>
  <c r="P228" i="22" s="1"/>
  <c r="AN228" i="22"/>
  <c r="AJ228" i="22"/>
  <c r="AE228" i="22"/>
  <c r="AR228" i="22" s="1"/>
  <c r="Z228" i="22"/>
  <c r="U228" i="22"/>
  <c r="AP228" i="22" s="1"/>
  <c r="Q228" i="22"/>
  <c r="K228" i="22"/>
  <c r="AS227" i="22"/>
  <c r="AJ227" i="22" s="1"/>
  <c r="AQ227" i="22"/>
  <c r="AO227" i="22"/>
  <c r="AN227" i="22"/>
  <c r="AE227" i="22"/>
  <c r="AR227" i="22" s="1"/>
  <c r="Z227" i="22"/>
  <c r="U227" i="22"/>
  <c r="AP227" i="22" s="1"/>
  <c r="Q227" i="22"/>
  <c r="P227" i="22"/>
  <c r="K227" i="22"/>
  <c r="AS226" i="22"/>
  <c r="AR226" i="22"/>
  <c r="AQ226" i="22"/>
  <c r="AO226" i="22"/>
  <c r="AJ226" i="22"/>
  <c r="AE226" i="22"/>
  <c r="Z226" i="22"/>
  <c r="U226" i="22"/>
  <c r="AP226" i="22" s="1"/>
  <c r="Q226" i="22"/>
  <c r="P226" i="22"/>
  <c r="K226" i="22"/>
  <c r="AN226" i="22" s="1"/>
  <c r="AS225" i="22"/>
  <c r="AJ225" i="22" s="1"/>
  <c r="AQ225" i="22"/>
  <c r="AO225" i="22"/>
  <c r="AE225" i="22"/>
  <c r="AR225" i="22" s="1"/>
  <c r="Z225" i="22"/>
  <c r="U225" i="22"/>
  <c r="AP225" i="22" s="1"/>
  <c r="Q225" i="22"/>
  <c r="P225" i="22"/>
  <c r="K225" i="22"/>
  <c r="AN225" i="22" s="1"/>
  <c r="AS224" i="22"/>
  <c r="AJ224" i="22" s="1"/>
  <c r="AR224" i="22"/>
  <c r="AQ224" i="22"/>
  <c r="AO224" i="22"/>
  <c r="P224" i="22" s="1"/>
  <c r="AE224" i="22"/>
  <c r="Z224" i="22"/>
  <c r="U224" i="22"/>
  <c r="AP224" i="22" s="1"/>
  <c r="Q224" i="22"/>
  <c r="K224" i="22"/>
  <c r="AN224" i="22" s="1"/>
  <c r="AS223" i="22"/>
  <c r="AQ223" i="22"/>
  <c r="AO223" i="22"/>
  <c r="P223" i="22" s="1"/>
  <c r="AN223" i="22"/>
  <c r="AJ223" i="22"/>
  <c r="AE223" i="22"/>
  <c r="AR223" i="22" s="1"/>
  <c r="Z223" i="22"/>
  <c r="U223" i="22"/>
  <c r="AP223" i="22" s="1"/>
  <c r="Q223" i="22"/>
  <c r="K223" i="22"/>
  <c r="AS222" i="22"/>
  <c r="AJ222" i="22" s="1"/>
  <c r="AR222" i="22"/>
  <c r="AQ222" i="22"/>
  <c r="AP222" i="22"/>
  <c r="AO222" i="22"/>
  <c r="AE222" i="22"/>
  <c r="Z222" i="22"/>
  <c r="U222" i="22"/>
  <c r="Q222" i="22"/>
  <c r="P222" i="22"/>
  <c r="K222" i="22"/>
  <c r="AN222" i="22" s="1"/>
  <c r="AS221" i="22"/>
  <c r="AR221" i="22"/>
  <c r="AQ221" i="22"/>
  <c r="AO221" i="22"/>
  <c r="AJ221" i="22"/>
  <c r="AE221" i="22"/>
  <c r="Z221" i="22"/>
  <c r="U221" i="22"/>
  <c r="AP221" i="22" s="1"/>
  <c r="Q221" i="22"/>
  <c r="P221" i="22"/>
  <c r="K221" i="22"/>
  <c r="AN221" i="22" s="1"/>
  <c r="AS220" i="22"/>
  <c r="AJ220" i="22" s="1"/>
  <c r="AQ220" i="22"/>
  <c r="AO220" i="22"/>
  <c r="P220" i="22" s="1"/>
  <c r="AN220" i="22"/>
  <c r="AE220" i="22"/>
  <c r="AR220" i="22" s="1"/>
  <c r="Z220" i="22"/>
  <c r="U220" i="22"/>
  <c r="AP220" i="22" s="1"/>
  <c r="Q220" i="22"/>
  <c r="K220" i="22"/>
  <c r="AS219" i="22"/>
  <c r="AJ219" i="22" s="1"/>
  <c r="AR219" i="22"/>
  <c r="AQ219" i="22"/>
  <c r="AO219" i="22"/>
  <c r="AN219" i="22"/>
  <c r="AE219" i="22"/>
  <c r="Z219" i="22"/>
  <c r="U219" i="22"/>
  <c r="AP219" i="22" s="1"/>
  <c r="Q219" i="22"/>
  <c r="P219" i="22"/>
  <c r="K219" i="22"/>
  <c r="AS218" i="22"/>
  <c r="AQ218" i="22"/>
  <c r="Z218" i="22" s="1"/>
  <c r="AO218" i="22"/>
  <c r="P218" i="22" s="1"/>
  <c r="AN218" i="22"/>
  <c r="AJ218" i="22"/>
  <c r="AE218" i="22"/>
  <c r="AR218" i="22" s="1"/>
  <c r="U218" i="22"/>
  <c r="AP218" i="22" s="1"/>
  <c r="Q218" i="22"/>
  <c r="K218" i="22"/>
  <c r="AS217" i="22"/>
  <c r="AJ217" i="22" s="1"/>
  <c r="AQ217" i="22"/>
  <c r="AO217" i="22"/>
  <c r="AN217" i="22"/>
  <c r="AE217" i="22"/>
  <c r="AR217" i="22" s="1"/>
  <c r="Z217" i="22"/>
  <c r="U217" i="22"/>
  <c r="AP217" i="22" s="1"/>
  <c r="Q217" i="22"/>
  <c r="P217" i="22"/>
  <c r="K217" i="22"/>
  <c r="AS216" i="22"/>
  <c r="AR216" i="22"/>
  <c r="AQ216" i="22"/>
  <c r="AO216" i="22"/>
  <c r="P216" i="22" s="1"/>
  <c r="AJ216" i="22"/>
  <c r="AE216" i="22"/>
  <c r="Z216" i="22"/>
  <c r="U216" i="22"/>
  <c r="AP216" i="22" s="1"/>
  <c r="Q216" i="22"/>
  <c r="K216" i="22"/>
  <c r="AN216" i="22" s="1"/>
  <c r="AS215" i="22"/>
  <c r="AJ215" i="22" s="1"/>
  <c r="AQ215" i="22"/>
  <c r="AO215" i="22"/>
  <c r="P215" i="22" s="1"/>
  <c r="AN215" i="22"/>
  <c r="AE215" i="22"/>
  <c r="AR215" i="22" s="1"/>
  <c r="Z215" i="22"/>
  <c r="U215" i="22"/>
  <c r="AP215" i="22" s="1"/>
  <c r="Q215" i="22"/>
  <c r="K215" i="22"/>
  <c r="AS214" i="22"/>
  <c r="AJ214" i="22" s="1"/>
  <c r="AR214" i="22"/>
  <c r="AQ214" i="22"/>
  <c r="Z214" i="22" s="1"/>
  <c r="AO214" i="22"/>
  <c r="AE214" i="22"/>
  <c r="U214" i="22"/>
  <c r="AP214" i="22" s="1"/>
  <c r="Q214" i="22"/>
  <c r="P214" i="22"/>
  <c r="K214" i="22"/>
  <c r="AN214" i="22" s="1"/>
  <c r="AS213" i="22"/>
  <c r="AR213" i="22"/>
  <c r="AQ213" i="22"/>
  <c r="AO213" i="22"/>
  <c r="P213" i="22" s="1"/>
  <c r="AN213" i="22"/>
  <c r="AJ213" i="22"/>
  <c r="AE213" i="22"/>
  <c r="Z213" i="22"/>
  <c r="U213" i="22"/>
  <c r="AP213" i="22" s="1"/>
  <c r="Q213" i="22"/>
  <c r="K213" i="22"/>
  <c r="AS212" i="22"/>
  <c r="AJ212" i="22" s="1"/>
  <c r="AQ212" i="22"/>
  <c r="AO212" i="22"/>
  <c r="AE212" i="22"/>
  <c r="AR212" i="22" s="1"/>
  <c r="Z212" i="22"/>
  <c r="U212" i="22"/>
  <c r="AP212" i="22" s="1"/>
  <c r="Q212" i="22"/>
  <c r="P212" i="22"/>
  <c r="K212" i="22"/>
  <c r="AN212" i="22" s="1"/>
  <c r="AS211" i="22"/>
  <c r="AQ211" i="22"/>
  <c r="AO211" i="22"/>
  <c r="AJ211" i="22"/>
  <c r="AE211" i="22"/>
  <c r="AR211" i="22" s="1"/>
  <c r="Z211" i="22"/>
  <c r="U211" i="22"/>
  <c r="AP211" i="22" s="1"/>
  <c r="Q211" i="22"/>
  <c r="P211" i="22"/>
  <c r="K211" i="22"/>
  <c r="AN211" i="22" s="1"/>
  <c r="AS210" i="22"/>
  <c r="AJ210" i="22" s="1"/>
  <c r="AQ210" i="22"/>
  <c r="AO210" i="22"/>
  <c r="P210" i="22" s="1"/>
  <c r="AE210" i="22"/>
  <c r="AR210" i="22" s="1"/>
  <c r="Z210" i="22"/>
  <c r="U210" i="22"/>
  <c r="AP210" i="22" s="1"/>
  <c r="Q210" i="22"/>
  <c r="K210" i="22"/>
  <c r="AN210" i="22" s="1"/>
  <c r="AS209" i="22"/>
  <c r="AJ209" i="22" s="1"/>
  <c r="AQ209" i="22"/>
  <c r="AO209" i="22"/>
  <c r="P209" i="22" s="1"/>
  <c r="AN209" i="22"/>
  <c r="AE209" i="22"/>
  <c r="AR209" i="22" s="1"/>
  <c r="Z209" i="22"/>
  <c r="U209" i="22"/>
  <c r="AP209" i="22" s="1"/>
  <c r="Q209" i="22"/>
  <c r="K209" i="22"/>
  <c r="AS208" i="22"/>
  <c r="AJ208" i="22" s="1"/>
  <c r="AR208" i="22"/>
  <c r="AQ208" i="22"/>
  <c r="Z208" i="22" s="1"/>
  <c r="AO208" i="22"/>
  <c r="AN208" i="22"/>
  <c r="AE208" i="22"/>
  <c r="U208" i="22"/>
  <c r="AP208" i="22" s="1"/>
  <c r="Q208" i="22"/>
  <c r="P208" i="22"/>
  <c r="K208" i="22"/>
  <c r="AS207" i="22"/>
  <c r="AR207" i="22"/>
  <c r="AQ207" i="22"/>
  <c r="Z207" i="22" s="1"/>
  <c r="AO207" i="22"/>
  <c r="P207" i="22" s="1"/>
  <c r="AJ207" i="22"/>
  <c r="AE207" i="22"/>
  <c r="U207" i="22"/>
  <c r="AP207" i="22" s="1"/>
  <c r="Q207" i="22"/>
  <c r="K207" i="22"/>
  <c r="AN207" i="22" s="1"/>
  <c r="AS206" i="22"/>
  <c r="AQ206" i="22"/>
  <c r="AO206" i="22"/>
  <c r="P206" i="22" s="1"/>
  <c r="AN206" i="22"/>
  <c r="AJ206" i="22"/>
  <c r="AE206" i="22"/>
  <c r="AR206" i="22" s="1"/>
  <c r="Z206" i="22"/>
  <c r="U206" i="22"/>
  <c r="AP206" i="22" s="1"/>
  <c r="Q206" i="22"/>
  <c r="K206" i="22"/>
  <c r="AS205" i="22"/>
  <c r="AJ205" i="22" s="1"/>
  <c r="AQ205" i="22"/>
  <c r="AO205" i="22"/>
  <c r="AN205" i="22"/>
  <c r="AE205" i="22"/>
  <c r="AR205" i="22" s="1"/>
  <c r="Z205" i="22"/>
  <c r="U205" i="22"/>
  <c r="AP205" i="22" s="1"/>
  <c r="Q205" i="22"/>
  <c r="P205" i="22"/>
  <c r="K205" i="22"/>
  <c r="AS204" i="22"/>
  <c r="AR204" i="22"/>
  <c r="AQ204" i="22"/>
  <c r="AO204" i="22"/>
  <c r="AN204" i="22"/>
  <c r="AJ204" i="22"/>
  <c r="AE204" i="22"/>
  <c r="Z204" i="22"/>
  <c r="U204" i="22"/>
  <c r="AP204" i="22" s="1"/>
  <c r="Q204" i="22"/>
  <c r="P204" i="22"/>
  <c r="K204" i="22"/>
  <c r="AS203" i="22"/>
  <c r="AQ203" i="22"/>
  <c r="AO203" i="22"/>
  <c r="AJ203" i="22"/>
  <c r="AE203" i="22"/>
  <c r="AR203" i="22" s="1"/>
  <c r="Z203" i="22"/>
  <c r="U203" i="22"/>
  <c r="AP203" i="22" s="1"/>
  <c r="Q203" i="22"/>
  <c r="P203" i="22"/>
  <c r="K203" i="22"/>
  <c r="AN203" i="22" s="1"/>
  <c r="AS202" i="22"/>
  <c r="AQ202" i="22"/>
  <c r="AO202" i="22"/>
  <c r="P202" i="22" s="1"/>
  <c r="AJ202" i="22"/>
  <c r="AE202" i="22"/>
  <c r="AR202" i="22" s="1"/>
  <c r="Z202" i="22"/>
  <c r="U202" i="22"/>
  <c r="AP202" i="22" s="1"/>
  <c r="Q202" i="22"/>
  <c r="K202" i="22"/>
  <c r="AN202" i="22" s="1"/>
  <c r="AS201" i="22"/>
  <c r="AJ201" i="22" s="1"/>
  <c r="AR201" i="22"/>
  <c r="AQ201" i="22"/>
  <c r="AO201" i="22"/>
  <c r="P201" i="22" s="1"/>
  <c r="AN201" i="22"/>
  <c r="AE201" i="22"/>
  <c r="Z201" i="22"/>
  <c r="U201" i="22"/>
  <c r="AP201" i="22" s="1"/>
  <c r="Q201" i="22"/>
  <c r="K201" i="22"/>
  <c r="AS200" i="22"/>
  <c r="AJ200" i="22" s="1"/>
  <c r="AR200" i="22"/>
  <c r="AQ200" i="22"/>
  <c r="Z200" i="22" s="1"/>
  <c r="AO200" i="22"/>
  <c r="AN200" i="22"/>
  <c r="AE200" i="22"/>
  <c r="U200" i="22"/>
  <c r="AP200" i="22" s="1"/>
  <c r="Q200" i="22"/>
  <c r="P200" i="22"/>
  <c r="K200" i="22"/>
  <c r="AS199" i="22"/>
  <c r="AR199" i="22"/>
  <c r="AQ199" i="22"/>
  <c r="Z199" i="22" s="1"/>
  <c r="AO199" i="22"/>
  <c r="P199" i="22" s="1"/>
  <c r="AJ199" i="22"/>
  <c r="AE199" i="22"/>
  <c r="U199" i="22"/>
  <c r="AP199" i="22" s="1"/>
  <c r="Q199" i="22"/>
  <c r="K199" i="22"/>
  <c r="AN199" i="22" s="1"/>
  <c r="AS198" i="22"/>
  <c r="AQ198" i="22"/>
  <c r="AO198" i="22"/>
  <c r="P198" i="22" s="1"/>
  <c r="AN198" i="22"/>
  <c r="AJ198" i="22"/>
  <c r="AE198" i="22"/>
  <c r="AR198" i="22" s="1"/>
  <c r="Z198" i="22"/>
  <c r="U198" i="22"/>
  <c r="AP198" i="22" s="1"/>
  <c r="Q198" i="22"/>
  <c r="K198" i="22"/>
  <c r="AS197" i="22"/>
  <c r="AJ197" i="22" s="1"/>
  <c r="AQ197" i="22"/>
  <c r="AO197" i="22"/>
  <c r="AN197" i="22"/>
  <c r="AE197" i="22"/>
  <c r="AR197" i="22" s="1"/>
  <c r="Z197" i="22"/>
  <c r="U197" i="22"/>
  <c r="AP197" i="22" s="1"/>
  <c r="Q197" i="22"/>
  <c r="P197" i="22"/>
  <c r="K197" i="22"/>
  <c r="AS196" i="22"/>
  <c r="AR196" i="22"/>
  <c r="AQ196" i="22"/>
  <c r="AO196" i="22"/>
  <c r="AN196" i="22"/>
  <c r="AJ196" i="22"/>
  <c r="AE196" i="22"/>
  <c r="Z196" i="22"/>
  <c r="U196" i="22"/>
  <c r="AP196" i="22" s="1"/>
  <c r="Q196" i="22"/>
  <c r="P196" i="22"/>
  <c r="K196" i="22"/>
  <c r="AS195" i="22"/>
  <c r="AQ195" i="22"/>
  <c r="AO195" i="22"/>
  <c r="AJ195" i="22"/>
  <c r="AE195" i="22"/>
  <c r="AR195" i="22" s="1"/>
  <c r="Z195" i="22"/>
  <c r="U195" i="22"/>
  <c r="AP195" i="22" s="1"/>
  <c r="Q195" i="22"/>
  <c r="P195" i="22"/>
  <c r="K195" i="22"/>
  <c r="AN195" i="22" s="1"/>
  <c r="AS194" i="22"/>
  <c r="AJ194" i="22" s="1"/>
  <c r="AQ194" i="22"/>
  <c r="AO194" i="22"/>
  <c r="P194" i="22" s="1"/>
  <c r="AE194" i="22"/>
  <c r="AR194" i="22" s="1"/>
  <c r="Z194" i="22"/>
  <c r="U194" i="22"/>
  <c r="AP194" i="22" s="1"/>
  <c r="Q194" i="22"/>
  <c r="K194" i="22"/>
  <c r="AN194" i="22" s="1"/>
  <c r="AS193" i="22"/>
  <c r="AJ193" i="22" s="1"/>
  <c r="AQ193" i="22"/>
  <c r="AO193" i="22"/>
  <c r="P193" i="22" s="1"/>
  <c r="AN193" i="22"/>
  <c r="AE193" i="22"/>
  <c r="AR193" i="22" s="1"/>
  <c r="Z193" i="22"/>
  <c r="U193" i="22"/>
  <c r="AP193" i="22" s="1"/>
  <c r="Q193" i="22"/>
  <c r="K193" i="22"/>
  <c r="AS192" i="22"/>
  <c r="AJ192" i="22" s="1"/>
  <c r="AR192" i="22"/>
  <c r="AQ192" i="22"/>
  <c r="Z192" i="22" s="1"/>
  <c r="AO192" i="22"/>
  <c r="AN192" i="22"/>
  <c r="AE192" i="22"/>
  <c r="U192" i="22"/>
  <c r="AP192" i="22" s="1"/>
  <c r="Q192" i="22"/>
  <c r="P192" i="22"/>
  <c r="K192" i="22"/>
  <c r="AS191" i="22"/>
  <c r="AR191" i="22"/>
  <c r="AQ191" i="22"/>
  <c r="Z191" i="22" s="1"/>
  <c r="AO191" i="22"/>
  <c r="P191" i="22" s="1"/>
  <c r="AJ191" i="22"/>
  <c r="AE191" i="22"/>
  <c r="U191" i="22"/>
  <c r="AP191" i="22" s="1"/>
  <c r="Q191" i="22"/>
  <c r="K191" i="22"/>
  <c r="AN191" i="22" s="1"/>
  <c r="AS190" i="22"/>
  <c r="AQ190" i="22"/>
  <c r="AO190" i="22"/>
  <c r="P190" i="22" s="1"/>
  <c r="AN190" i="22"/>
  <c r="AJ190" i="22"/>
  <c r="AE190" i="22"/>
  <c r="AR190" i="22" s="1"/>
  <c r="Z190" i="22"/>
  <c r="U190" i="22"/>
  <c r="AP190" i="22" s="1"/>
  <c r="Q190" i="22"/>
  <c r="K190" i="22"/>
  <c r="AS189" i="22"/>
  <c r="AJ189" i="22" s="1"/>
  <c r="AQ189" i="22"/>
  <c r="AO189" i="22"/>
  <c r="AN189" i="22"/>
  <c r="AE189" i="22"/>
  <c r="AR189" i="22" s="1"/>
  <c r="Z189" i="22"/>
  <c r="U189" i="22"/>
  <c r="AP189" i="22" s="1"/>
  <c r="Q189" i="22"/>
  <c r="P189" i="22"/>
  <c r="K189" i="22"/>
  <c r="AS188" i="22"/>
  <c r="AR188" i="22"/>
  <c r="AQ188" i="22"/>
  <c r="AO188" i="22"/>
  <c r="AJ188" i="22"/>
  <c r="AE188" i="22"/>
  <c r="Z188" i="22"/>
  <c r="U188" i="22"/>
  <c r="AP188" i="22" s="1"/>
  <c r="Q188" i="22"/>
  <c r="P188" i="22"/>
  <c r="K188" i="22"/>
  <c r="AN188" i="22" s="1"/>
  <c r="AS187" i="22"/>
  <c r="AQ187" i="22"/>
  <c r="AO187" i="22"/>
  <c r="AJ187" i="22"/>
  <c r="AE187" i="22"/>
  <c r="AR187" i="22" s="1"/>
  <c r="Z187" i="22"/>
  <c r="U187" i="22"/>
  <c r="AP187" i="22" s="1"/>
  <c r="Q187" i="22"/>
  <c r="P187" i="22"/>
  <c r="K187" i="22"/>
  <c r="AN187" i="22" s="1"/>
  <c r="AS186" i="22"/>
  <c r="AQ186" i="22"/>
  <c r="AP186" i="22"/>
  <c r="AO186" i="22"/>
  <c r="P186" i="22" s="1"/>
  <c r="AJ186" i="22"/>
  <c r="AE186" i="22"/>
  <c r="AR186" i="22" s="1"/>
  <c r="Z186" i="22"/>
  <c r="U186" i="22"/>
  <c r="Q186" i="22"/>
  <c r="K186" i="22"/>
  <c r="AN186" i="22" s="1"/>
  <c r="AS185" i="22"/>
  <c r="AJ185" i="22" s="1"/>
  <c r="AR185" i="22"/>
  <c r="AQ185" i="22"/>
  <c r="AO185" i="22"/>
  <c r="P185" i="22" s="1"/>
  <c r="AN185" i="22"/>
  <c r="AE185" i="22"/>
  <c r="Z185" i="22"/>
  <c r="U185" i="22"/>
  <c r="AP185" i="22" s="1"/>
  <c r="Q185" i="22"/>
  <c r="K185" i="22"/>
  <c r="AS184" i="22"/>
  <c r="AJ184" i="22" s="1"/>
  <c r="AR184" i="22"/>
  <c r="AQ184" i="22"/>
  <c r="Z184" i="22" s="1"/>
  <c r="AO184" i="22"/>
  <c r="AN184" i="22"/>
  <c r="AE184" i="22"/>
  <c r="U184" i="22"/>
  <c r="AP184" i="22" s="1"/>
  <c r="Q184" i="22"/>
  <c r="P184" i="22"/>
  <c r="K184" i="22"/>
  <c r="AS183" i="22"/>
  <c r="AR183" i="22"/>
  <c r="AQ183" i="22"/>
  <c r="AP183" i="22"/>
  <c r="AO183" i="22"/>
  <c r="P183" i="22" s="1"/>
  <c r="AJ183" i="22"/>
  <c r="AE183" i="22"/>
  <c r="Z183" i="22"/>
  <c r="U183" i="22"/>
  <c r="Q183" i="22"/>
  <c r="K183" i="22"/>
  <c r="AN183" i="22" s="1"/>
  <c r="AS182" i="22"/>
  <c r="AQ182" i="22"/>
  <c r="AO182" i="22"/>
  <c r="P182" i="22" s="1"/>
  <c r="AN182" i="22"/>
  <c r="AJ182" i="22"/>
  <c r="AE182" i="22"/>
  <c r="AR182" i="22" s="1"/>
  <c r="Z182" i="22"/>
  <c r="U182" i="22"/>
  <c r="AP182" i="22" s="1"/>
  <c r="Q182" i="22"/>
  <c r="K182" i="22"/>
  <c r="AS181" i="22"/>
  <c r="AJ181" i="22" s="1"/>
  <c r="AQ181" i="22"/>
  <c r="AO181" i="22"/>
  <c r="AN181" i="22"/>
  <c r="AE181" i="22"/>
  <c r="AR181" i="22" s="1"/>
  <c r="Z181" i="22"/>
  <c r="U181" i="22"/>
  <c r="AP181" i="22" s="1"/>
  <c r="Q181" i="22"/>
  <c r="P181" i="22"/>
  <c r="K181" i="22"/>
  <c r="AS180" i="22"/>
  <c r="AR180" i="22"/>
  <c r="AQ180" i="22"/>
  <c r="AO180" i="22"/>
  <c r="AJ180" i="22"/>
  <c r="AE180" i="22"/>
  <c r="Z180" i="22"/>
  <c r="U180" i="22"/>
  <c r="AP180" i="22" s="1"/>
  <c r="Q180" i="22"/>
  <c r="P180" i="22"/>
  <c r="K180" i="22"/>
  <c r="AN180" i="22" s="1"/>
  <c r="AS179" i="22"/>
  <c r="AQ179" i="22"/>
  <c r="Z179" i="22" s="1"/>
  <c r="AO179" i="22"/>
  <c r="AJ179" i="22"/>
  <c r="AE179" i="22"/>
  <c r="AR179" i="22" s="1"/>
  <c r="U179" i="22"/>
  <c r="AP179" i="22" s="1"/>
  <c r="Q179" i="22"/>
  <c r="P179" i="22"/>
  <c r="K179" i="22"/>
  <c r="AN179" i="22" s="1"/>
  <c r="AS178" i="22"/>
  <c r="AJ178" i="22" s="1"/>
  <c r="AQ178" i="22"/>
  <c r="AO178" i="22"/>
  <c r="P178" i="22" s="1"/>
  <c r="AE178" i="22"/>
  <c r="AR178" i="22" s="1"/>
  <c r="Z178" i="22"/>
  <c r="U178" i="22"/>
  <c r="AP178" i="22" s="1"/>
  <c r="Q178" i="22"/>
  <c r="K178" i="22"/>
  <c r="AN178" i="22" s="1"/>
  <c r="AS177" i="22"/>
  <c r="AJ177" i="22" s="1"/>
  <c r="AR177" i="22"/>
  <c r="AQ177" i="22"/>
  <c r="AO177" i="22"/>
  <c r="P177" i="22" s="1"/>
  <c r="AN177" i="22"/>
  <c r="AE177" i="22"/>
  <c r="Z177" i="22"/>
  <c r="U177" i="22"/>
  <c r="AP177" i="22" s="1"/>
  <c r="Q177" i="22"/>
  <c r="K177" i="22"/>
  <c r="AS176" i="22"/>
  <c r="AJ176" i="22" s="1"/>
  <c r="AR176" i="22"/>
  <c r="AQ176" i="22"/>
  <c r="AO176" i="22"/>
  <c r="AN176" i="22"/>
  <c r="AE176" i="22"/>
  <c r="Z176" i="22"/>
  <c r="U176" i="22"/>
  <c r="AP176" i="22" s="1"/>
  <c r="Q176" i="22"/>
  <c r="P176" i="22"/>
  <c r="K176" i="22"/>
  <c r="AS175" i="22"/>
  <c r="AR175" i="22"/>
  <c r="AQ175" i="22"/>
  <c r="Z175" i="22" s="1"/>
  <c r="AP175" i="22"/>
  <c r="AO175" i="22"/>
  <c r="P175" i="22" s="1"/>
  <c r="AJ175" i="22"/>
  <c r="AE175" i="22"/>
  <c r="U175" i="22"/>
  <c r="Q175" i="22"/>
  <c r="K175" i="22"/>
  <c r="AN175" i="22" s="1"/>
  <c r="AS174" i="22"/>
  <c r="AQ174" i="22"/>
  <c r="AO174" i="22"/>
  <c r="P174" i="22" s="1"/>
  <c r="AN174" i="22"/>
  <c r="AJ174" i="22"/>
  <c r="AE174" i="22"/>
  <c r="AR174" i="22" s="1"/>
  <c r="Z174" i="22"/>
  <c r="U174" i="22"/>
  <c r="AP174" i="22" s="1"/>
  <c r="Q174" i="22"/>
  <c r="K174" i="22"/>
  <c r="AS173" i="22"/>
  <c r="AJ173" i="22" s="1"/>
  <c r="AQ173" i="22"/>
  <c r="AO173" i="22"/>
  <c r="AN173" i="22"/>
  <c r="AE173" i="22"/>
  <c r="AR173" i="22" s="1"/>
  <c r="Z173" i="22"/>
  <c r="U173" i="22"/>
  <c r="AP173" i="22" s="1"/>
  <c r="Q173" i="22"/>
  <c r="P173" i="22"/>
  <c r="K173" i="22"/>
  <c r="AS172" i="22"/>
  <c r="AR172" i="22"/>
  <c r="AQ172" i="22"/>
  <c r="AO172" i="22"/>
  <c r="AJ172" i="22"/>
  <c r="AE172" i="22"/>
  <c r="Z172" i="22"/>
  <c r="U172" i="22"/>
  <c r="AP172" i="22" s="1"/>
  <c r="Q172" i="22"/>
  <c r="P172" i="22"/>
  <c r="K172" i="22"/>
  <c r="AN172" i="22" s="1"/>
  <c r="AS171" i="22"/>
  <c r="AQ171" i="22"/>
  <c r="AO171" i="22"/>
  <c r="AJ171" i="22"/>
  <c r="AE171" i="22"/>
  <c r="AR171" i="22" s="1"/>
  <c r="Z171" i="22"/>
  <c r="U171" i="22"/>
  <c r="AP171" i="22" s="1"/>
  <c r="Q171" i="22"/>
  <c r="P171" i="22"/>
  <c r="K171" i="22"/>
  <c r="AN171" i="22" s="1"/>
  <c r="AS170" i="22"/>
  <c r="AJ170" i="22" s="1"/>
  <c r="AQ170" i="22"/>
  <c r="AP170" i="22"/>
  <c r="AO170" i="22"/>
  <c r="P170" i="22" s="1"/>
  <c r="AE170" i="22"/>
  <c r="AR170" i="22" s="1"/>
  <c r="Z170" i="22"/>
  <c r="U170" i="22"/>
  <c r="Q170" i="22"/>
  <c r="K170" i="22"/>
  <c r="AN170" i="22" s="1"/>
  <c r="AS169" i="22"/>
  <c r="AJ169" i="22" s="1"/>
  <c r="AQ169" i="22"/>
  <c r="AO169" i="22"/>
  <c r="AN169" i="22"/>
  <c r="AE169" i="22"/>
  <c r="AR169" i="22" s="1"/>
  <c r="Z169" i="22"/>
  <c r="U169" i="22"/>
  <c r="AP169" i="22" s="1"/>
  <c r="Q169" i="22"/>
  <c r="P169" i="22"/>
  <c r="K169" i="22"/>
  <c r="AS168" i="22"/>
  <c r="AJ168" i="22" s="1"/>
  <c r="AR168" i="22"/>
  <c r="AQ168" i="22"/>
  <c r="Z168" i="22" s="1"/>
  <c r="AO168" i="22"/>
  <c r="AE168" i="22"/>
  <c r="U168" i="22"/>
  <c r="AP168" i="22" s="1"/>
  <c r="Q168" i="22"/>
  <c r="P168" i="22"/>
  <c r="K168" i="22"/>
  <c r="AN168" i="22" s="1"/>
  <c r="AS167" i="22"/>
  <c r="AR167" i="22"/>
  <c r="AQ167" i="22"/>
  <c r="Z167" i="22" s="1"/>
  <c r="AO167" i="22"/>
  <c r="P167" i="22" s="1"/>
  <c r="AJ167" i="22"/>
  <c r="AE167" i="22"/>
  <c r="U167" i="22"/>
  <c r="AP167" i="22" s="1"/>
  <c r="Q167" i="22"/>
  <c r="K167" i="22"/>
  <c r="AN167" i="22" s="1"/>
  <c r="AS166" i="22"/>
  <c r="AJ166" i="22" s="1"/>
  <c r="AQ166" i="22"/>
  <c r="AO166" i="22"/>
  <c r="P166" i="22" s="1"/>
  <c r="AN166" i="22"/>
  <c r="AE166" i="22"/>
  <c r="AR166" i="22" s="1"/>
  <c r="Z166" i="22"/>
  <c r="U166" i="22"/>
  <c r="AP166" i="22" s="1"/>
  <c r="Q166" i="22"/>
  <c r="K166" i="22"/>
  <c r="AS165" i="22"/>
  <c r="AJ165" i="22" s="1"/>
  <c r="AR165" i="22"/>
  <c r="AQ165" i="22"/>
  <c r="AO165" i="22"/>
  <c r="AN165" i="22"/>
  <c r="AE165" i="22"/>
  <c r="Z165" i="22"/>
  <c r="U165" i="22"/>
  <c r="AP165" i="22" s="1"/>
  <c r="Q165" i="22"/>
  <c r="P165" i="22"/>
  <c r="K165" i="22"/>
  <c r="AS164" i="22"/>
  <c r="AR164" i="22"/>
  <c r="AQ164" i="22"/>
  <c r="AO164" i="22"/>
  <c r="AJ164" i="22"/>
  <c r="AE164" i="22"/>
  <c r="Z164" i="22"/>
  <c r="U164" i="22"/>
  <c r="AP164" i="22" s="1"/>
  <c r="Q164" i="22"/>
  <c r="P164" i="22"/>
  <c r="K164" i="22"/>
  <c r="AN164" i="22" s="1"/>
  <c r="AS163" i="22"/>
  <c r="AQ163" i="22"/>
  <c r="Z163" i="22" s="1"/>
  <c r="AO163" i="22"/>
  <c r="AJ163" i="22"/>
  <c r="AE163" i="22"/>
  <c r="AR163" i="22" s="1"/>
  <c r="U163" i="22"/>
  <c r="AP163" i="22" s="1"/>
  <c r="Q163" i="22"/>
  <c r="P163" i="22"/>
  <c r="K163" i="22"/>
  <c r="AN163" i="22" s="1"/>
  <c r="AS162" i="22"/>
  <c r="AJ162" i="22" s="1"/>
  <c r="AQ162" i="22"/>
  <c r="AP162" i="22"/>
  <c r="AO162" i="22"/>
  <c r="P162" i="22" s="1"/>
  <c r="AE162" i="22"/>
  <c r="AR162" i="22" s="1"/>
  <c r="Z162" i="22"/>
  <c r="U162" i="22"/>
  <c r="Q162" i="22"/>
  <c r="K162" i="22"/>
  <c r="AN162" i="22" s="1"/>
  <c r="AS161" i="22"/>
  <c r="AJ161" i="22" s="1"/>
  <c r="AQ161" i="22"/>
  <c r="AO161" i="22"/>
  <c r="AN161" i="22"/>
  <c r="AE161" i="22"/>
  <c r="AR161" i="22" s="1"/>
  <c r="Z161" i="22"/>
  <c r="U161" i="22"/>
  <c r="AP161" i="22" s="1"/>
  <c r="Q161" i="22"/>
  <c r="P161" i="22"/>
  <c r="K161" i="22"/>
  <c r="AS160" i="22"/>
  <c r="AJ160" i="22" s="1"/>
  <c r="AR160" i="22"/>
  <c r="AQ160" i="22"/>
  <c r="Z160" i="22" s="1"/>
  <c r="AO160" i="22"/>
  <c r="AE160" i="22"/>
  <c r="U160" i="22"/>
  <c r="AP160" i="22" s="1"/>
  <c r="Q160" i="22"/>
  <c r="P160" i="22"/>
  <c r="K160" i="22"/>
  <c r="AN160" i="22" s="1"/>
  <c r="AS159" i="22"/>
  <c r="AR159" i="22"/>
  <c r="AQ159" i="22"/>
  <c r="Z159" i="22" s="1"/>
  <c r="AP159" i="22"/>
  <c r="AO159" i="22"/>
  <c r="P159" i="22" s="1"/>
  <c r="AJ159" i="22"/>
  <c r="AE159" i="22"/>
  <c r="U159" i="22"/>
  <c r="Q159" i="22"/>
  <c r="K159" i="22"/>
  <c r="AN159" i="22" s="1"/>
  <c r="AS158" i="22"/>
  <c r="AJ158" i="22" s="1"/>
  <c r="AQ158" i="22"/>
  <c r="Z158" i="22" s="1"/>
  <c r="AO158" i="22"/>
  <c r="P158" i="22" s="1"/>
  <c r="AN158" i="22"/>
  <c r="AE158" i="22"/>
  <c r="AR158" i="22" s="1"/>
  <c r="U158" i="22"/>
  <c r="AP158" i="22" s="1"/>
  <c r="Q158" i="22"/>
  <c r="K158" i="22"/>
  <c r="AS157" i="22"/>
  <c r="AJ157" i="22" s="1"/>
  <c r="AR157" i="22"/>
  <c r="AQ157" i="22"/>
  <c r="AP157" i="22"/>
  <c r="AO157" i="22"/>
  <c r="AN157" i="22"/>
  <c r="AE157" i="22"/>
  <c r="Z157" i="22"/>
  <c r="U157" i="22"/>
  <c r="Q157" i="22"/>
  <c r="P157" i="22"/>
  <c r="K157" i="22"/>
  <c r="AS156" i="22"/>
  <c r="AR156" i="22"/>
  <c r="AQ156" i="22"/>
  <c r="Z156" i="22" s="1"/>
  <c r="AO156" i="22"/>
  <c r="AJ156" i="22"/>
  <c r="AE156" i="22"/>
  <c r="U156" i="22"/>
  <c r="AP156" i="22" s="1"/>
  <c r="Q156" i="22"/>
  <c r="P156" i="22"/>
  <c r="K156" i="22"/>
  <c r="AN156" i="22" s="1"/>
  <c r="AS155" i="22"/>
  <c r="AQ155" i="22"/>
  <c r="AO155" i="22"/>
  <c r="AJ155" i="22"/>
  <c r="AE155" i="22"/>
  <c r="AR155" i="22" s="1"/>
  <c r="Z155" i="22"/>
  <c r="U155" i="22"/>
  <c r="AP155" i="22" s="1"/>
  <c r="Q155" i="22"/>
  <c r="P155" i="22"/>
  <c r="K155" i="22"/>
  <c r="AN155" i="22" s="1"/>
  <c r="AS154" i="22"/>
  <c r="AJ154" i="22" s="1"/>
  <c r="AQ154" i="22"/>
  <c r="AO154" i="22"/>
  <c r="P154" i="22" s="1"/>
  <c r="AE154" i="22"/>
  <c r="AR154" i="22" s="1"/>
  <c r="Z154" i="22"/>
  <c r="U154" i="22"/>
  <c r="AP154" i="22" s="1"/>
  <c r="Q154" i="22"/>
  <c r="K154" i="22"/>
  <c r="AN154" i="22" s="1"/>
  <c r="AS153" i="22"/>
  <c r="AR153" i="22"/>
  <c r="AQ153" i="22"/>
  <c r="AO153" i="22"/>
  <c r="AN153" i="22"/>
  <c r="AJ153" i="22"/>
  <c r="AE153" i="22"/>
  <c r="Z153" i="22"/>
  <c r="U153" i="22"/>
  <c r="AP153" i="22" s="1"/>
  <c r="Q153" i="22"/>
  <c r="P153" i="22"/>
  <c r="K153" i="22"/>
  <c r="AS152" i="22"/>
  <c r="AJ152" i="22" s="1"/>
  <c r="AQ152" i="22"/>
  <c r="AO152" i="22"/>
  <c r="AE152" i="22"/>
  <c r="AR152" i="22" s="1"/>
  <c r="Z152" i="22"/>
  <c r="U152" i="22"/>
  <c r="AP152" i="22" s="1"/>
  <c r="Q152" i="22"/>
  <c r="P152" i="22"/>
  <c r="K152" i="22"/>
  <c r="AN152" i="22" s="1"/>
  <c r="AS151" i="22"/>
  <c r="AR151" i="22"/>
  <c r="AQ151" i="22"/>
  <c r="Z151" i="22" s="1"/>
  <c r="AP151" i="22"/>
  <c r="AO151" i="22"/>
  <c r="P151" i="22" s="1"/>
  <c r="AJ151" i="22"/>
  <c r="AE151" i="22"/>
  <c r="U151" i="22"/>
  <c r="Q151" i="22"/>
  <c r="K151" i="22"/>
  <c r="AN151" i="22" s="1"/>
  <c r="AS150" i="22"/>
  <c r="AQ150" i="22"/>
  <c r="AO150" i="22"/>
  <c r="P150" i="22" s="1"/>
  <c r="AN150" i="22"/>
  <c r="AJ150" i="22"/>
  <c r="AE150" i="22"/>
  <c r="AR150" i="22" s="1"/>
  <c r="Z150" i="22"/>
  <c r="U150" i="22"/>
  <c r="AP150" i="22" s="1"/>
  <c r="Q150" i="22"/>
  <c r="K150" i="22"/>
  <c r="AS149" i="22"/>
  <c r="AJ149" i="22" s="1"/>
  <c r="AR149" i="22"/>
  <c r="AQ149" i="22"/>
  <c r="AP149" i="22"/>
  <c r="AO149" i="22"/>
  <c r="AN149" i="22"/>
  <c r="AE149" i="22"/>
  <c r="Z149" i="22"/>
  <c r="U149" i="22"/>
  <c r="Q149" i="22"/>
  <c r="P149" i="22"/>
  <c r="K149" i="22"/>
  <c r="AS148" i="22"/>
  <c r="AR148" i="22"/>
  <c r="AQ148" i="22"/>
  <c r="Z148" i="22" s="1"/>
  <c r="AO148" i="22"/>
  <c r="P148" i="22" s="1"/>
  <c r="AJ148" i="22"/>
  <c r="AE148" i="22"/>
  <c r="U148" i="22"/>
  <c r="AP148" i="22" s="1"/>
  <c r="Q148" i="22"/>
  <c r="K148" i="22"/>
  <c r="AN148" i="22" s="1"/>
  <c r="AS147" i="22"/>
  <c r="AQ147" i="22"/>
  <c r="AO147" i="22"/>
  <c r="AJ147" i="22"/>
  <c r="AE147" i="22"/>
  <c r="AR147" i="22" s="1"/>
  <c r="Z147" i="22"/>
  <c r="U147" i="22"/>
  <c r="AP147" i="22" s="1"/>
  <c r="Q147" i="22"/>
  <c r="P147" i="22"/>
  <c r="K147" i="22"/>
  <c r="AN147" i="22" s="1"/>
  <c r="AS146" i="22"/>
  <c r="AQ146" i="22"/>
  <c r="AO146" i="22"/>
  <c r="P146" i="22" s="1"/>
  <c r="AJ146" i="22"/>
  <c r="AE146" i="22"/>
  <c r="AR146" i="22" s="1"/>
  <c r="Z146" i="22"/>
  <c r="U146" i="22"/>
  <c r="AP146" i="22" s="1"/>
  <c r="Q146" i="22"/>
  <c r="K146" i="22"/>
  <c r="AN146" i="22" s="1"/>
  <c r="AS145" i="22"/>
  <c r="AJ145" i="22" s="1"/>
  <c r="AR145" i="22"/>
  <c r="AQ145" i="22"/>
  <c r="AO145" i="22"/>
  <c r="P145" i="22" s="1"/>
  <c r="AN145" i="22"/>
  <c r="AE145" i="22"/>
  <c r="Z145" i="22"/>
  <c r="U145" i="22"/>
  <c r="AP145" i="22" s="1"/>
  <c r="Q145" i="22"/>
  <c r="K145" i="22"/>
  <c r="AS144" i="22"/>
  <c r="AJ144" i="22" s="1"/>
  <c r="AR144" i="22"/>
  <c r="AQ144" i="22"/>
  <c r="Z144" i="22" s="1"/>
  <c r="AO144" i="22"/>
  <c r="AE144" i="22"/>
  <c r="U144" i="22"/>
  <c r="AP144" i="22" s="1"/>
  <c r="Q144" i="22"/>
  <c r="P144" i="22"/>
  <c r="K144" i="22"/>
  <c r="AN144" i="22" s="1"/>
  <c r="AS143" i="22"/>
  <c r="AR143" i="22"/>
  <c r="AQ143" i="22"/>
  <c r="Z143" i="22" s="1"/>
  <c r="AO143" i="22"/>
  <c r="P143" i="22" s="1"/>
  <c r="AJ143" i="22"/>
  <c r="AE143" i="22"/>
  <c r="U143" i="22"/>
  <c r="AP143" i="22" s="1"/>
  <c r="Q143" i="22"/>
  <c r="K143" i="22"/>
  <c r="AN143" i="22" s="1"/>
  <c r="AS142" i="22"/>
  <c r="AJ142" i="22" s="1"/>
  <c r="AQ142" i="22"/>
  <c r="AO142" i="22"/>
  <c r="P142" i="22" s="1"/>
  <c r="AN142" i="22"/>
  <c r="AE142" i="22"/>
  <c r="AR142" i="22" s="1"/>
  <c r="Z142" i="22"/>
  <c r="U142" i="22"/>
  <c r="AP142" i="22" s="1"/>
  <c r="Q142" i="22"/>
  <c r="K142" i="22"/>
  <c r="AS141" i="22"/>
  <c r="AJ141" i="22" s="1"/>
  <c r="AR141" i="22"/>
  <c r="AQ141" i="22"/>
  <c r="Z141" i="22" s="1"/>
  <c r="AO141" i="22"/>
  <c r="AN141" i="22"/>
  <c r="AE141" i="22"/>
  <c r="U141" i="22"/>
  <c r="AP141" i="22" s="1"/>
  <c r="Q141" i="22"/>
  <c r="P141" i="22"/>
  <c r="K141" i="22"/>
  <c r="AS140" i="22"/>
  <c r="AR140" i="22"/>
  <c r="AQ140" i="22"/>
  <c r="AO140" i="22"/>
  <c r="AJ140" i="22"/>
  <c r="AE140" i="22"/>
  <c r="Z140" i="22"/>
  <c r="U140" i="22"/>
  <c r="AP140" i="22" s="1"/>
  <c r="Q140" i="22"/>
  <c r="P140" i="22"/>
  <c r="K140" i="22"/>
  <c r="AN140" i="22" s="1"/>
  <c r="AS139" i="22"/>
  <c r="AQ139" i="22"/>
  <c r="Z139" i="22" s="1"/>
  <c r="AO139" i="22"/>
  <c r="P139" i="22" s="1"/>
  <c r="AJ139" i="22"/>
  <c r="AE139" i="22"/>
  <c r="AR139" i="22" s="1"/>
  <c r="U139" i="22"/>
  <c r="AP139" i="22" s="1"/>
  <c r="Q139" i="22"/>
  <c r="K139" i="22"/>
  <c r="AN139" i="22" s="1"/>
  <c r="AS138" i="22"/>
  <c r="AJ138" i="22" s="1"/>
  <c r="AQ138" i="22"/>
  <c r="AO138" i="22"/>
  <c r="P138" i="22" s="1"/>
  <c r="AE138" i="22"/>
  <c r="AR138" i="22" s="1"/>
  <c r="Z138" i="22"/>
  <c r="U138" i="22"/>
  <c r="AP138" i="22" s="1"/>
  <c r="Q138" i="22"/>
  <c r="K138" i="22"/>
  <c r="AN138" i="22" s="1"/>
  <c r="AS137" i="22"/>
  <c r="AJ137" i="22" s="1"/>
  <c r="AR137" i="22"/>
  <c r="AQ137" i="22"/>
  <c r="AO137" i="22"/>
  <c r="AE137" i="22"/>
  <c r="Z137" i="22"/>
  <c r="U137" i="22"/>
  <c r="AP137" i="22" s="1"/>
  <c r="Q137" i="22"/>
  <c r="P137" i="22"/>
  <c r="K137" i="22"/>
  <c r="AN137" i="22" s="1"/>
  <c r="AS136" i="22"/>
  <c r="AQ136" i="22"/>
  <c r="AO136" i="22"/>
  <c r="AJ136" i="22"/>
  <c r="AE136" i="22"/>
  <c r="AR136" i="22" s="1"/>
  <c r="Z136" i="22"/>
  <c r="U136" i="22"/>
  <c r="AP136" i="22" s="1"/>
  <c r="Q136" i="22"/>
  <c r="P136" i="22"/>
  <c r="K136" i="22"/>
  <c r="AN136" i="22" s="1"/>
  <c r="AS135" i="22"/>
  <c r="AJ135" i="22" s="1"/>
  <c r="AR135" i="22"/>
  <c r="AQ135" i="22"/>
  <c r="AP135" i="22"/>
  <c r="AO135" i="22"/>
  <c r="P135" i="22" s="1"/>
  <c r="AE135" i="22"/>
  <c r="Z135" i="22"/>
  <c r="U135" i="22"/>
  <c r="Q135" i="22"/>
  <c r="K135" i="22"/>
  <c r="AN135" i="22" s="1"/>
  <c r="AS134" i="22"/>
  <c r="AJ134" i="22" s="1"/>
  <c r="AQ134" i="22"/>
  <c r="AO134" i="22"/>
  <c r="P134" i="22" s="1"/>
  <c r="AN134" i="22"/>
  <c r="AE134" i="22"/>
  <c r="AR134" i="22" s="1"/>
  <c r="Z134" i="22"/>
  <c r="U134" i="22"/>
  <c r="AP134" i="22" s="1"/>
  <c r="Q134" i="22"/>
  <c r="K134" i="22"/>
  <c r="AS133" i="22"/>
  <c r="AJ133" i="22" s="1"/>
  <c r="AR133" i="22"/>
  <c r="AQ133" i="22"/>
  <c r="Z133" i="22" s="1"/>
  <c r="AO133" i="22"/>
  <c r="AN133" i="22"/>
  <c r="AE133" i="22"/>
  <c r="U133" i="22"/>
  <c r="AP133" i="22" s="1"/>
  <c r="Q133" i="22"/>
  <c r="P133" i="22"/>
  <c r="K133" i="22"/>
  <c r="AS132" i="22"/>
  <c r="AR132" i="22"/>
  <c r="AQ132" i="22"/>
  <c r="AO132" i="22"/>
  <c r="AJ132" i="22"/>
  <c r="AE132" i="22"/>
  <c r="Z132" i="22"/>
  <c r="U132" i="22"/>
  <c r="AP132" i="22" s="1"/>
  <c r="Q132" i="22"/>
  <c r="P132" i="22"/>
  <c r="K132" i="22"/>
  <c r="AN132" i="22" s="1"/>
  <c r="AS131" i="22"/>
  <c r="AQ131" i="22"/>
  <c r="Z131" i="22" s="1"/>
  <c r="AO131" i="22"/>
  <c r="P131" i="22" s="1"/>
  <c r="AJ131" i="22"/>
  <c r="AE131" i="22"/>
  <c r="AR131" i="22" s="1"/>
  <c r="U131" i="22"/>
  <c r="AP131" i="22" s="1"/>
  <c r="Q131" i="22"/>
  <c r="K131" i="22"/>
  <c r="AN131" i="22" s="1"/>
  <c r="AS130" i="22"/>
  <c r="AJ130" i="22" s="1"/>
  <c r="AQ130" i="22"/>
  <c r="AO130" i="22"/>
  <c r="P130" i="22" s="1"/>
  <c r="AE130" i="22"/>
  <c r="AR130" i="22" s="1"/>
  <c r="Z130" i="22"/>
  <c r="U130" i="22"/>
  <c r="AP130" i="22" s="1"/>
  <c r="Q130" i="22"/>
  <c r="K130" i="22"/>
  <c r="AN130" i="22" s="1"/>
  <c r="AS129" i="22"/>
  <c r="AJ129" i="22" s="1"/>
  <c r="AR129" i="22"/>
  <c r="AQ129" i="22"/>
  <c r="AO129" i="22"/>
  <c r="AE129" i="22"/>
  <c r="Z129" i="22"/>
  <c r="U129" i="22"/>
  <c r="AP129" i="22" s="1"/>
  <c r="Q129" i="22"/>
  <c r="P129" i="22"/>
  <c r="K129" i="22"/>
  <c r="AN129" i="22" s="1"/>
  <c r="AS128" i="22"/>
  <c r="AQ128" i="22"/>
  <c r="AO128" i="22"/>
  <c r="AJ128" i="22"/>
  <c r="AE128" i="22"/>
  <c r="AR128" i="22" s="1"/>
  <c r="Z128" i="22"/>
  <c r="U128" i="22"/>
  <c r="AP128" i="22" s="1"/>
  <c r="Q128" i="22"/>
  <c r="P128" i="22"/>
  <c r="K128" i="22"/>
  <c r="AN128" i="22" s="1"/>
  <c r="AS127" i="22"/>
  <c r="AJ127" i="22" s="1"/>
  <c r="AR127" i="22"/>
  <c r="AQ127" i="22"/>
  <c r="AP127" i="22"/>
  <c r="AO127" i="22"/>
  <c r="P127" i="22" s="1"/>
  <c r="AE127" i="22"/>
  <c r="Z127" i="22"/>
  <c r="U127" i="22"/>
  <c r="Q127" i="22"/>
  <c r="K127" i="22"/>
  <c r="AN127" i="22" s="1"/>
  <c r="AS126" i="22"/>
  <c r="AJ126" i="22" s="1"/>
  <c r="AQ126" i="22"/>
  <c r="AO126" i="22"/>
  <c r="P126" i="22" s="1"/>
  <c r="AN126" i="22"/>
  <c r="AE126" i="22"/>
  <c r="AR126" i="22" s="1"/>
  <c r="Z126" i="22"/>
  <c r="U126" i="22"/>
  <c r="AP126" i="22" s="1"/>
  <c r="Q126" i="22"/>
  <c r="K126" i="22"/>
  <c r="AS125" i="22"/>
  <c r="AJ125" i="22" s="1"/>
  <c r="AR125" i="22"/>
  <c r="AQ125" i="22"/>
  <c r="Z125" i="22" s="1"/>
  <c r="AO125" i="22"/>
  <c r="AN125" i="22"/>
  <c r="AE125" i="22"/>
  <c r="U125" i="22"/>
  <c r="AP125" i="22" s="1"/>
  <c r="Q125" i="22"/>
  <c r="P125" i="22"/>
  <c r="K125" i="22"/>
  <c r="AS124" i="22"/>
  <c r="AR124" i="22"/>
  <c r="AQ124" i="22"/>
  <c r="AO124" i="22"/>
  <c r="AJ124" i="22"/>
  <c r="AE124" i="22"/>
  <c r="Z124" i="22"/>
  <c r="U124" i="22"/>
  <c r="AP124" i="22" s="1"/>
  <c r="Q124" i="22"/>
  <c r="P124" i="22"/>
  <c r="K124" i="22"/>
  <c r="AN124" i="22" s="1"/>
  <c r="AS123" i="22"/>
  <c r="AQ123" i="22"/>
  <c r="Z123" i="22" s="1"/>
  <c r="AO123" i="22"/>
  <c r="P123" i="22" s="1"/>
  <c r="AJ123" i="22"/>
  <c r="AE123" i="22"/>
  <c r="AR123" i="22" s="1"/>
  <c r="U123" i="22"/>
  <c r="AP123" i="22" s="1"/>
  <c r="Q123" i="22"/>
  <c r="K123" i="22"/>
  <c r="AN123" i="22" s="1"/>
  <c r="AS122" i="22"/>
  <c r="AJ122" i="22" s="1"/>
  <c r="AQ122" i="22"/>
  <c r="AO122" i="22"/>
  <c r="P122" i="22" s="1"/>
  <c r="AE122" i="22"/>
  <c r="AR122" i="22" s="1"/>
  <c r="Z122" i="22"/>
  <c r="U122" i="22"/>
  <c r="AP122" i="22" s="1"/>
  <c r="Q122" i="22"/>
  <c r="K122" i="22"/>
  <c r="AN122" i="22" s="1"/>
  <c r="AS121" i="22"/>
  <c r="AJ121" i="22" s="1"/>
  <c r="AR121" i="22"/>
  <c r="AQ121" i="22"/>
  <c r="AO121" i="22"/>
  <c r="AE121" i="22"/>
  <c r="Z121" i="22"/>
  <c r="U121" i="22"/>
  <c r="AP121" i="22" s="1"/>
  <c r="Q121" i="22"/>
  <c r="P121" i="22"/>
  <c r="K121" i="22"/>
  <c r="AN121" i="22" s="1"/>
  <c r="AS120" i="22"/>
  <c r="AQ120" i="22"/>
  <c r="AO120" i="22"/>
  <c r="AJ120" i="22"/>
  <c r="AE120" i="22"/>
  <c r="AR120" i="22" s="1"/>
  <c r="Z120" i="22"/>
  <c r="U120" i="22"/>
  <c r="AP120" i="22" s="1"/>
  <c r="Q120" i="22"/>
  <c r="P120" i="22"/>
  <c r="K120" i="22"/>
  <c r="AN120" i="22" s="1"/>
  <c r="AS119" i="22"/>
  <c r="AJ119" i="22" s="1"/>
  <c r="AR119" i="22"/>
  <c r="AQ119" i="22"/>
  <c r="AP119" i="22"/>
  <c r="AO119" i="22"/>
  <c r="P119" i="22" s="1"/>
  <c r="AE119" i="22"/>
  <c r="Z119" i="22"/>
  <c r="U119" i="22"/>
  <c r="Q119" i="22"/>
  <c r="K119" i="22"/>
  <c r="AN119" i="22" s="1"/>
  <c r="AS118" i="22"/>
  <c r="AJ118" i="22" s="1"/>
  <c r="AQ118" i="22"/>
  <c r="AO118" i="22"/>
  <c r="P118" i="22" s="1"/>
  <c r="AN118" i="22"/>
  <c r="AE118" i="22"/>
  <c r="AR118" i="22" s="1"/>
  <c r="Z118" i="22"/>
  <c r="U118" i="22"/>
  <c r="AP118" i="22" s="1"/>
  <c r="Q118" i="22"/>
  <c r="K118" i="22"/>
  <c r="AS117" i="22"/>
  <c r="AJ117" i="22" s="1"/>
  <c r="AR117" i="22"/>
  <c r="AQ117" i="22"/>
  <c r="Z117" i="22" s="1"/>
  <c r="AO117" i="22"/>
  <c r="AN117" i="22"/>
  <c r="AE117" i="22"/>
  <c r="U117" i="22"/>
  <c r="AP117" i="22" s="1"/>
  <c r="Q117" i="22"/>
  <c r="P117" i="22"/>
  <c r="K117" i="22"/>
  <c r="AS116" i="22"/>
  <c r="AR116" i="22"/>
  <c r="AQ116" i="22"/>
  <c r="AO116" i="22"/>
  <c r="P116" i="22" s="1"/>
  <c r="AJ116" i="22"/>
  <c r="AE116" i="22"/>
  <c r="Z116" i="22"/>
  <c r="U116" i="22"/>
  <c r="AP116" i="22" s="1"/>
  <c r="Q116" i="22"/>
  <c r="K116" i="22"/>
  <c r="AN116" i="22" s="1"/>
  <c r="AS115" i="22"/>
  <c r="AQ115" i="22"/>
  <c r="AO115" i="22"/>
  <c r="P115" i="22" s="1"/>
  <c r="AJ115" i="22"/>
  <c r="AE115" i="22"/>
  <c r="AR115" i="22" s="1"/>
  <c r="Z115" i="22"/>
  <c r="U115" i="22"/>
  <c r="AP115" i="22" s="1"/>
  <c r="Q115" i="22"/>
  <c r="K115" i="22"/>
  <c r="AN115" i="22" s="1"/>
  <c r="AS114" i="22"/>
  <c r="AJ114" i="22" s="1"/>
  <c r="AQ114" i="22"/>
  <c r="AP114" i="22"/>
  <c r="AO114" i="22"/>
  <c r="P114" i="22" s="1"/>
  <c r="AE114" i="22"/>
  <c r="AR114" i="22" s="1"/>
  <c r="Z114" i="22"/>
  <c r="U114" i="22"/>
  <c r="Q114" i="22"/>
  <c r="K114" i="22"/>
  <c r="AN114" i="22" s="1"/>
  <c r="AS113" i="22"/>
  <c r="AJ113" i="22" s="1"/>
  <c r="AR113" i="22"/>
  <c r="AQ113" i="22"/>
  <c r="AO113" i="22"/>
  <c r="AE113" i="22"/>
  <c r="Z113" i="22"/>
  <c r="U113" i="22"/>
  <c r="AP113" i="22" s="1"/>
  <c r="Q113" i="22"/>
  <c r="P113" i="22"/>
  <c r="K113" i="22"/>
  <c r="AN113" i="22" s="1"/>
  <c r="AS112" i="22"/>
  <c r="AQ112" i="22"/>
  <c r="AO112" i="22"/>
  <c r="AJ112" i="22"/>
  <c r="AE112" i="22"/>
  <c r="AR112" i="22" s="1"/>
  <c r="Z112" i="22"/>
  <c r="U112" i="22"/>
  <c r="AP112" i="22" s="1"/>
  <c r="Q112" i="22"/>
  <c r="P112" i="22"/>
  <c r="K112" i="22"/>
  <c r="AN112" i="22" s="1"/>
  <c r="AS111" i="22"/>
  <c r="AJ111" i="22" s="1"/>
  <c r="AR111" i="22"/>
  <c r="AQ111" i="22"/>
  <c r="AP111" i="22"/>
  <c r="AO111" i="22"/>
  <c r="P111" i="22" s="1"/>
  <c r="AE111" i="22"/>
  <c r="Z111" i="22"/>
  <c r="U111" i="22"/>
  <c r="Q111" i="22"/>
  <c r="K111" i="22"/>
  <c r="AN111" i="22" s="1"/>
  <c r="AS110" i="22"/>
  <c r="AJ110" i="22" s="1"/>
  <c r="AQ110" i="22"/>
  <c r="AP110" i="22"/>
  <c r="AO110" i="22"/>
  <c r="P110" i="22" s="1"/>
  <c r="AN110" i="22"/>
  <c r="AE110" i="22"/>
  <c r="AR110" i="22" s="1"/>
  <c r="Z110" i="22"/>
  <c r="U110" i="22"/>
  <c r="Q110" i="22"/>
  <c r="K110" i="22"/>
  <c r="AS109" i="22"/>
  <c r="AJ109" i="22" s="1"/>
  <c r="AR109" i="22"/>
  <c r="AQ109" i="22"/>
  <c r="Z109" i="22" s="1"/>
  <c r="AO109" i="22"/>
  <c r="P109" i="22" s="1"/>
  <c r="AN109" i="22"/>
  <c r="AE109" i="22"/>
  <c r="U109" i="22"/>
  <c r="AP109" i="22" s="1"/>
  <c r="Q109" i="22"/>
  <c r="K109" i="22"/>
  <c r="AS108" i="22"/>
  <c r="AR108" i="22"/>
  <c r="AQ108" i="22"/>
  <c r="AO108" i="22"/>
  <c r="P108" i="22" s="1"/>
  <c r="AJ108" i="22"/>
  <c r="AE108" i="22"/>
  <c r="Z108" i="22"/>
  <c r="U108" i="22"/>
  <c r="AP108" i="22" s="1"/>
  <c r="Q108" i="22"/>
  <c r="K108" i="22"/>
  <c r="AN108" i="22" s="1"/>
  <c r="AS107" i="22"/>
  <c r="AQ107" i="22"/>
  <c r="Z107" i="22" s="1"/>
  <c r="AO107" i="22"/>
  <c r="P107" i="22" s="1"/>
  <c r="AJ107" i="22"/>
  <c r="AE107" i="22"/>
  <c r="AR107" i="22" s="1"/>
  <c r="U107" i="22"/>
  <c r="AP107" i="22" s="1"/>
  <c r="Q107" i="22"/>
  <c r="K107" i="22"/>
  <c r="AN107" i="22" s="1"/>
  <c r="AS106" i="22"/>
  <c r="AJ106" i="22" s="1"/>
  <c r="AQ106" i="22"/>
  <c r="AP106" i="22"/>
  <c r="AO106" i="22"/>
  <c r="P106" i="22" s="1"/>
  <c r="AE106" i="22"/>
  <c r="AR106" i="22" s="1"/>
  <c r="Z106" i="22"/>
  <c r="U106" i="22"/>
  <c r="Q106" i="22"/>
  <c r="K106" i="22"/>
  <c r="AN106" i="22" s="1"/>
  <c r="AS105" i="22"/>
  <c r="AJ105" i="22" s="1"/>
  <c r="AR105" i="22"/>
  <c r="AQ105" i="22"/>
  <c r="AO105" i="22"/>
  <c r="AE105" i="22"/>
  <c r="Z105" i="22"/>
  <c r="U105" i="22"/>
  <c r="AP105" i="22" s="1"/>
  <c r="Q105" i="22"/>
  <c r="P105" i="22"/>
  <c r="K105" i="22"/>
  <c r="AN105" i="22" s="1"/>
  <c r="AS104" i="22"/>
  <c r="AQ104" i="22"/>
  <c r="AO104" i="22"/>
  <c r="AJ104" i="22"/>
  <c r="AE104" i="22"/>
  <c r="AR104" i="22" s="1"/>
  <c r="Z104" i="22"/>
  <c r="U104" i="22"/>
  <c r="AP104" i="22" s="1"/>
  <c r="Q104" i="22"/>
  <c r="P104" i="22"/>
  <c r="K104" i="22"/>
  <c r="AN104" i="22" s="1"/>
  <c r="AS103" i="22"/>
  <c r="AJ103" i="22" s="1"/>
  <c r="AQ103" i="22"/>
  <c r="AP103" i="22"/>
  <c r="AO103" i="22"/>
  <c r="P103" i="22" s="1"/>
  <c r="AE103" i="22"/>
  <c r="AR103" i="22" s="1"/>
  <c r="Z103" i="22"/>
  <c r="U103" i="22"/>
  <c r="Q103" i="22"/>
  <c r="K103" i="22"/>
  <c r="AN103" i="22" s="1"/>
  <c r="AS102" i="22"/>
  <c r="AJ102" i="22" s="1"/>
  <c r="AR102" i="22"/>
  <c r="AQ102" i="22"/>
  <c r="Z102" i="22" s="1"/>
  <c r="AP102" i="22"/>
  <c r="AO102" i="22"/>
  <c r="P102" i="22" s="1"/>
  <c r="AN102" i="22"/>
  <c r="AE102" i="22"/>
  <c r="U102" i="22"/>
  <c r="Q102" i="22"/>
  <c r="K102" i="22"/>
  <c r="AS101" i="22"/>
  <c r="AJ101" i="22" s="1"/>
  <c r="AR101" i="22"/>
  <c r="AQ101" i="22"/>
  <c r="Z101" i="22" s="1"/>
  <c r="AP101" i="22"/>
  <c r="AO101" i="22"/>
  <c r="AN101" i="22"/>
  <c r="AE101" i="22"/>
  <c r="U101" i="22"/>
  <c r="Q101" i="22"/>
  <c r="P101" i="22"/>
  <c r="K101" i="22"/>
  <c r="AS100" i="22"/>
  <c r="AR100" i="22"/>
  <c r="AQ100" i="22"/>
  <c r="AO100" i="22"/>
  <c r="AN100" i="22"/>
  <c r="AJ100" i="22"/>
  <c r="AE100" i="22"/>
  <c r="Z100" i="22"/>
  <c r="U100" i="22"/>
  <c r="AP100" i="22" s="1"/>
  <c r="Q100" i="22"/>
  <c r="P100" i="22"/>
  <c r="K100" i="22"/>
  <c r="AS99" i="22"/>
  <c r="AQ99" i="22"/>
  <c r="Z99" i="22" s="1"/>
  <c r="AO99" i="22"/>
  <c r="P99" i="22" s="1"/>
  <c r="AJ99" i="22"/>
  <c r="AE99" i="22"/>
  <c r="AR99" i="22" s="1"/>
  <c r="U99" i="22"/>
  <c r="AP99" i="22" s="1"/>
  <c r="Q99" i="22"/>
  <c r="K99" i="22"/>
  <c r="AN99" i="22" s="1"/>
  <c r="AS98" i="22"/>
  <c r="AJ98" i="22" s="1"/>
  <c r="AQ98" i="22"/>
  <c r="AO98" i="22"/>
  <c r="P98" i="22" s="1"/>
  <c r="AE98" i="22"/>
  <c r="AR98" i="22" s="1"/>
  <c r="Z98" i="22"/>
  <c r="U98" i="22"/>
  <c r="AP98" i="22" s="1"/>
  <c r="Q98" i="22"/>
  <c r="K98" i="22"/>
  <c r="AN98" i="22" s="1"/>
  <c r="AS97" i="22"/>
  <c r="AJ97" i="22" s="1"/>
  <c r="AR97" i="22"/>
  <c r="AQ97" i="22"/>
  <c r="AO97" i="22"/>
  <c r="AE97" i="22"/>
  <c r="Z97" i="22"/>
  <c r="U97" i="22"/>
  <c r="AP97" i="22" s="1"/>
  <c r="Q97" i="22"/>
  <c r="P97" i="22"/>
  <c r="K97" i="22"/>
  <c r="AN97" i="22" s="1"/>
  <c r="AS96" i="22"/>
  <c r="AQ96" i="22"/>
  <c r="AO96" i="22"/>
  <c r="AN96" i="22"/>
  <c r="AJ96" i="22"/>
  <c r="AE96" i="22"/>
  <c r="AR96" i="22" s="1"/>
  <c r="Z96" i="22"/>
  <c r="U96" i="22"/>
  <c r="AP96" i="22" s="1"/>
  <c r="Q96" i="22"/>
  <c r="P96" i="22"/>
  <c r="K96" i="22"/>
  <c r="AS95" i="22"/>
  <c r="AJ95" i="22" s="1"/>
  <c r="AR95" i="22"/>
  <c r="AQ95" i="22"/>
  <c r="AP95" i="22"/>
  <c r="AO95" i="22"/>
  <c r="P95" i="22" s="1"/>
  <c r="AE95" i="22"/>
  <c r="Z95" i="22"/>
  <c r="U95" i="22"/>
  <c r="Q95" i="22"/>
  <c r="K95" i="22"/>
  <c r="AN95" i="22" s="1"/>
  <c r="AS94" i="22"/>
  <c r="AJ94" i="22" s="1"/>
  <c r="AR94" i="22"/>
  <c r="AQ94" i="22"/>
  <c r="AP94" i="22"/>
  <c r="AO94" i="22"/>
  <c r="P94" i="22" s="1"/>
  <c r="AN94" i="22"/>
  <c r="AE94" i="22"/>
  <c r="Z94" i="22"/>
  <c r="U94" i="22"/>
  <c r="Q94" i="22"/>
  <c r="K94" i="22"/>
  <c r="AS93" i="22"/>
  <c r="AJ93" i="22" s="1"/>
  <c r="AR93" i="22"/>
  <c r="AQ93" i="22"/>
  <c r="Z93" i="22" s="1"/>
  <c r="AO93" i="22"/>
  <c r="P93" i="22" s="1"/>
  <c r="AN93" i="22"/>
  <c r="AE93" i="22"/>
  <c r="U93" i="22"/>
  <c r="AP93" i="22" s="1"/>
  <c r="Q93" i="22"/>
  <c r="K93" i="22"/>
  <c r="AS92" i="22"/>
  <c r="AR92" i="22"/>
  <c r="AQ92" i="22"/>
  <c r="AO92" i="22"/>
  <c r="AN92" i="22"/>
  <c r="AJ92" i="22"/>
  <c r="AE92" i="22"/>
  <c r="Z92" i="22"/>
  <c r="U92" i="22"/>
  <c r="AP92" i="22" s="1"/>
  <c r="Q92" i="22"/>
  <c r="P92" i="22"/>
  <c r="K92" i="22"/>
  <c r="AS91" i="22"/>
  <c r="AQ91" i="22"/>
  <c r="Z91" i="22" s="1"/>
  <c r="AO91" i="22"/>
  <c r="P91" i="22" s="1"/>
  <c r="AJ91" i="22"/>
  <c r="AE91" i="22"/>
  <c r="AR91" i="22" s="1"/>
  <c r="U91" i="22"/>
  <c r="AP91" i="22" s="1"/>
  <c r="Q91" i="22"/>
  <c r="K91" i="22"/>
  <c r="AN91" i="22" s="1"/>
  <c r="AS90" i="22"/>
  <c r="AJ90" i="22" s="1"/>
  <c r="AQ90" i="22"/>
  <c r="AP90" i="22"/>
  <c r="AO90" i="22"/>
  <c r="P90" i="22" s="1"/>
  <c r="AE90" i="22"/>
  <c r="AR90" i="22" s="1"/>
  <c r="Z90" i="22"/>
  <c r="U90" i="22"/>
  <c r="Q90" i="22"/>
  <c r="K90" i="22"/>
  <c r="AN90" i="22" s="1"/>
  <c r="AS89" i="22"/>
  <c r="AJ89" i="22" s="1"/>
  <c r="AR89" i="22"/>
  <c r="AQ89" i="22"/>
  <c r="AO89" i="22"/>
  <c r="AE89" i="22"/>
  <c r="Z89" i="22"/>
  <c r="U89" i="22"/>
  <c r="AP89" i="22" s="1"/>
  <c r="Q89" i="22"/>
  <c r="P89" i="22"/>
  <c r="K89" i="22"/>
  <c r="AN89" i="22" s="1"/>
  <c r="AS88" i="22"/>
  <c r="AQ88" i="22"/>
  <c r="AO88" i="22"/>
  <c r="AN88" i="22"/>
  <c r="AJ88" i="22"/>
  <c r="AE88" i="22"/>
  <c r="AR88" i="22" s="1"/>
  <c r="Z88" i="22"/>
  <c r="U88" i="22"/>
  <c r="AP88" i="22" s="1"/>
  <c r="Q88" i="22"/>
  <c r="P88" i="22"/>
  <c r="K88" i="22"/>
  <c r="AS87" i="22"/>
  <c r="AR87" i="22"/>
  <c r="AQ87" i="22"/>
  <c r="AP87" i="22"/>
  <c r="AO87" i="22"/>
  <c r="P87" i="22" s="1"/>
  <c r="AJ87" i="22"/>
  <c r="AE87" i="22"/>
  <c r="Z87" i="22"/>
  <c r="U87" i="22"/>
  <c r="Q87" i="22"/>
  <c r="K87" i="22"/>
  <c r="AN87" i="22" s="1"/>
  <c r="AS86" i="22"/>
  <c r="AJ86" i="22" s="1"/>
  <c r="AR86" i="22"/>
  <c r="AQ86" i="22"/>
  <c r="AP86" i="22"/>
  <c r="AO86" i="22"/>
  <c r="P86" i="22" s="1"/>
  <c r="AN86" i="22"/>
  <c r="AE86" i="22"/>
  <c r="Z86" i="22"/>
  <c r="U86" i="22"/>
  <c r="Q86" i="22"/>
  <c r="K86" i="22"/>
  <c r="AS85" i="22"/>
  <c r="AJ85" i="22" s="1"/>
  <c r="AR85" i="22"/>
  <c r="AQ85" i="22"/>
  <c r="Z85" i="22" s="1"/>
  <c r="AP85" i="22"/>
  <c r="AO85" i="22"/>
  <c r="P85" i="22" s="1"/>
  <c r="AN85" i="22"/>
  <c r="AE85" i="22"/>
  <c r="U85" i="22"/>
  <c r="Q85" i="22"/>
  <c r="K85" i="22"/>
  <c r="AS84" i="22"/>
  <c r="AR84" i="22"/>
  <c r="AQ84" i="22"/>
  <c r="AO84" i="22"/>
  <c r="AJ84" i="22"/>
  <c r="AE84" i="22"/>
  <c r="Z84" i="22"/>
  <c r="U84" i="22"/>
  <c r="AP84" i="22" s="1"/>
  <c r="Q84" i="22"/>
  <c r="P84" i="22"/>
  <c r="K84" i="22"/>
  <c r="AN84" i="22" s="1"/>
  <c r="AS83" i="22"/>
  <c r="AQ83" i="22"/>
  <c r="Z83" i="22" s="1"/>
  <c r="AO83" i="22"/>
  <c r="P83" i="22" s="1"/>
  <c r="AJ83" i="22"/>
  <c r="AE83" i="22"/>
  <c r="AR83" i="22" s="1"/>
  <c r="U83" i="22"/>
  <c r="AP83" i="22" s="1"/>
  <c r="Q83" i="22"/>
  <c r="K83" i="22"/>
  <c r="AN83" i="22" s="1"/>
  <c r="AS82" i="22"/>
  <c r="AJ82" i="22" s="1"/>
  <c r="AQ82" i="22"/>
  <c r="AO82" i="22"/>
  <c r="P82" i="22" s="1"/>
  <c r="AE82" i="22"/>
  <c r="AR82" i="22" s="1"/>
  <c r="Z82" i="22"/>
  <c r="U82" i="22"/>
  <c r="AP82" i="22" s="1"/>
  <c r="Q82" i="22"/>
  <c r="K82" i="22"/>
  <c r="AN82" i="22" s="1"/>
  <c r="AS81" i="22"/>
  <c r="AJ81" i="22" s="1"/>
  <c r="AR81" i="22"/>
  <c r="AQ81" i="22"/>
  <c r="AO81" i="22"/>
  <c r="AE81" i="22"/>
  <c r="Z81" i="22"/>
  <c r="U81" i="22"/>
  <c r="AP81" i="22" s="1"/>
  <c r="Q81" i="22"/>
  <c r="P81" i="22"/>
  <c r="K81" i="22"/>
  <c r="AN81" i="22" s="1"/>
  <c r="AS80" i="22"/>
  <c r="AQ80" i="22"/>
  <c r="AO80" i="22"/>
  <c r="AJ80" i="22"/>
  <c r="AE80" i="22"/>
  <c r="AR80" i="22" s="1"/>
  <c r="Z80" i="22"/>
  <c r="U80" i="22"/>
  <c r="AP80" i="22" s="1"/>
  <c r="Q80" i="22"/>
  <c r="P80" i="22"/>
  <c r="K80" i="22"/>
  <c r="AN80" i="22" s="1"/>
  <c r="AS79" i="22"/>
  <c r="AJ79" i="22" s="1"/>
  <c r="AR79" i="22"/>
  <c r="AQ79" i="22"/>
  <c r="AP79" i="22"/>
  <c r="AO79" i="22"/>
  <c r="P79" i="22" s="1"/>
  <c r="AE79" i="22"/>
  <c r="Z79" i="22"/>
  <c r="U79" i="22"/>
  <c r="Q79" i="22"/>
  <c r="K79" i="22"/>
  <c r="AN79" i="22" s="1"/>
  <c r="AS78" i="22"/>
  <c r="AJ78" i="22" s="1"/>
  <c r="AQ78" i="22"/>
  <c r="AP78" i="22"/>
  <c r="AO78" i="22"/>
  <c r="P78" i="22" s="1"/>
  <c r="AN78" i="22"/>
  <c r="AE78" i="22"/>
  <c r="AR78" i="22" s="1"/>
  <c r="Z78" i="22"/>
  <c r="U78" i="22"/>
  <c r="Q78" i="22"/>
  <c r="K78" i="22"/>
  <c r="AS77" i="22"/>
  <c r="AJ77" i="22" s="1"/>
  <c r="AR77" i="22"/>
  <c r="AQ77" i="22"/>
  <c r="Z77" i="22" s="1"/>
  <c r="AO77" i="22"/>
  <c r="P77" i="22" s="1"/>
  <c r="AN77" i="22"/>
  <c r="AE77" i="22"/>
  <c r="U77" i="22"/>
  <c r="AP77" i="22" s="1"/>
  <c r="Q77" i="22"/>
  <c r="K77" i="22"/>
  <c r="AS76" i="22"/>
  <c r="AR76" i="22"/>
  <c r="AQ76" i="22"/>
  <c r="Z76" i="22" s="1"/>
  <c r="AO76" i="22"/>
  <c r="AJ76" i="22"/>
  <c r="AE76" i="22"/>
  <c r="U76" i="22"/>
  <c r="AP76" i="22" s="1"/>
  <c r="Q76" i="22"/>
  <c r="P76" i="22"/>
  <c r="K76" i="22"/>
  <c r="AN76" i="22" s="1"/>
  <c r="AS75" i="22"/>
  <c r="AQ75" i="22"/>
  <c r="Z75" i="22" s="1"/>
  <c r="AO75" i="22"/>
  <c r="P75" i="22" s="1"/>
  <c r="AJ75" i="22"/>
  <c r="AE75" i="22"/>
  <c r="AR75" i="22" s="1"/>
  <c r="U75" i="22"/>
  <c r="AP75" i="22" s="1"/>
  <c r="Q75" i="22"/>
  <c r="K75" i="22"/>
  <c r="AN75" i="22" s="1"/>
  <c r="AS74" i="22"/>
  <c r="AJ74" i="22" s="1"/>
  <c r="AQ74" i="22"/>
  <c r="AO74" i="22"/>
  <c r="P74" i="22" s="1"/>
  <c r="AE74" i="22"/>
  <c r="AR74" i="22" s="1"/>
  <c r="Z74" i="22"/>
  <c r="U74" i="22"/>
  <c r="AP74" i="22" s="1"/>
  <c r="Q74" i="22"/>
  <c r="K74" i="22"/>
  <c r="AN74" i="22" s="1"/>
  <c r="AS73" i="22"/>
  <c r="AJ73" i="22" s="1"/>
  <c r="AQ73" i="22"/>
  <c r="AO73" i="22"/>
  <c r="AE73" i="22"/>
  <c r="AR73" i="22" s="1"/>
  <c r="Z73" i="22"/>
  <c r="U73" i="22"/>
  <c r="AP73" i="22" s="1"/>
  <c r="Q73" i="22"/>
  <c r="P73" i="22"/>
  <c r="K73" i="22"/>
  <c r="AN73" i="22" s="1"/>
  <c r="AS72" i="22"/>
  <c r="AR72" i="22"/>
  <c r="AQ72" i="22"/>
  <c r="AO72" i="22"/>
  <c r="AN72" i="22"/>
  <c r="AJ72" i="22"/>
  <c r="AE72" i="22"/>
  <c r="Z72" i="22"/>
  <c r="U72" i="22"/>
  <c r="AP72" i="22" s="1"/>
  <c r="Q72" i="22"/>
  <c r="P72" i="22"/>
  <c r="K72" i="22"/>
  <c r="AS71" i="22"/>
  <c r="AJ71" i="22" s="1"/>
  <c r="AR71" i="22"/>
  <c r="AQ71" i="22"/>
  <c r="AP71" i="22"/>
  <c r="AO71" i="22"/>
  <c r="P71" i="22" s="1"/>
  <c r="AE71" i="22"/>
  <c r="Z71" i="22"/>
  <c r="U71" i="22"/>
  <c r="Q71" i="22"/>
  <c r="K71" i="22"/>
  <c r="AN71" i="22" s="1"/>
  <c r="AS70" i="22"/>
  <c r="AJ70" i="22" s="1"/>
  <c r="AR70" i="22"/>
  <c r="AQ70" i="22"/>
  <c r="AP70" i="22"/>
  <c r="AO70" i="22"/>
  <c r="P70" i="22" s="1"/>
  <c r="AN70" i="22"/>
  <c r="AE70" i="22"/>
  <c r="Z70" i="22"/>
  <c r="U70" i="22"/>
  <c r="Q70" i="22"/>
  <c r="K70" i="22"/>
  <c r="AS69" i="22"/>
  <c r="AJ69" i="22" s="1"/>
  <c r="AR69" i="22"/>
  <c r="AQ69" i="22"/>
  <c r="Z69" i="22" s="1"/>
  <c r="AO69" i="22"/>
  <c r="P69" i="22" s="1"/>
  <c r="AN69" i="22"/>
  <c r="AE69" i="22"/>
  <c r="U69" i="22"/>
  <c r="AP69" i="22" s="1"/>
  <c r="Q69" i="22"/>
  <c r="K69" i="22"/>
  <c r="AS68" i="22"/>
  <c r="AR68" i="22"/>
  <c r="AQ68" i="22"/>
  <c r="AO68" i="22"/>
  <c r="AN68" i="22"/>
  <c r="AJ68" i="22"/>
  <c r="AE68" i="22"/>
  <c r="Z68" i="22"/>
  <c r="U68" i="22"/>
  <c r="AP68" i="22" s="1"/>
  <c r="Q68" i="22"/>
  <c r="P68" i="22"/>
  <c r="K68" i="22"/>
  <c r="AS67" i="22"/>
  <c r="AQ67" i="22"/>
  <c r="Z67" i="22" s="1"/>
  <c r="AO67" i="22"/>
  <c r="P67" i="22" s="1"/>
  <c r="AJ67" i="22"/>
  <c r="AE67" i="22"/>
  <c r="AR67" i="22" s="1"/>
  <c r="U67" i="22"/>
  <c r="AP67" i="22" s="1"/>
  <c r="Q67" i="22"/>
  <c r="K67" i="22"/>
  <c r="AN67" i="22" s="1"/>
  <c r="AS66" i="22"/>
  <c r="AJ66" i="22" s="1"/>
  <c r="AQ66" i="22"/>
  <c r="AP66" i="22"/>
  <c r="AO66" i="22"/>
  <c r="P66" i="22" s="1"/>
  <c r="AE66" i="22"/>
  <c r="AR66" i="22" s="1"/>
  <c r="Z66" i="22"/>
  <c r="U66" i="22"/>
  <c r="Q66" i="22"/>
  <c r="K66" i="22"/>
  <c r="AN66" i="22" s="1"/>
  <c r="AS65" i="22"/>
  <c r="AJ65" i="22" s="1"/>
  <c r="AQ65" i="22"/>
  <c r="AO65" i="22"/>
  <c r="AE65" i="22"/>
  <c r="AR65" i="22" s="1"/>
  <c r="Z65" i="22"/>
  <c r="U65" i="22"/>
  <c r="AP65" i="22" s="1"/>
  <c r="Q65" i="22"/>
  <c r="P65" i="22"/>
  <c r="K65" i="22"/>
  <c r="AN65" i="22" s="1"/>
  <c r="AS64" i="22"/>
  <c r="AR64" i="22"/>
  <c r="AQ64" i="22"/>
  <c r="AO64" i="22"/>
  <c r="AJ64" i="22"/>
  <c r="AE64" i="22"/>
  <c r="Z64" i="22"/>
  <c r="U64" i="22"/>
  <c r="AP64" i="22" s="1"/>
  <c r="Q64" i="22"/>
  <c r="P64" i="22"/>
  <c r="K64" i="22"/>
  <c r="AN64" i="22" s="1"/>
  <c r="AS63" i="22"/>
  <c r="AJ63" i="22" s="1"/>
  <c r="AQ63" i="22"/>
  <c r="AP63" i="22"/>
  <c r="AO63" i="22"/>
  <c r="P63" i="22" s="1"/>
  <c r="AE63" i="22"/>
  <c r="AR63" i="22" s="1"/>
  <c r="Z63" i="22"/>
  <c r="U63" i="22"/>
  <c r="Q63" i="22"/>
  <c r="K63" i="22"/>
  <c r="AN63" i="22" s="1"/>
  <c r="AS62" i="22"/>
  <c r="AJ62" i="22" s="1"/>
  <c r="AQ62" i="22"/>
  <c r="Z62" i="22" s="1"/>
  <c r="AP62" i="22"/>
  <c r="AO62" i="22"/>
  <c r="P62" i="22" s="1"/>
  <c r="AN62" i="22"/>
  <c r="AE62" i="22"/>
  <c r="AR62" i="22" s="1"/>
  <c r="U62" i="22"/>
  <c r="Q62" i="22"/>
  <c r="K62" i="22"/>
  <c r="AS61" i="22"/>
  <c r="AJ61" i="22" s="1"/>
  <c r="AR61" i="22"/>
  <c r="AQ61" i="22"/>
  <c r="Z61" i="22" s="1"/>
  <c r="AP61" i="22"/>
  <c r="AO61" i="22"/>
  <c r="AN61" i="22"/>
  <c r="AE61" i="22"/>
  <c r="U61" i="22"/>
  <c r="Q61" i="22"/>
  <c r="P61" i="22"/>
  <c r="K61" i="22"/>
  <c r="AS60" i="22"/>
  <c r="AR60" i="22"/>
  <c r="AQ60" i="22"/>
  <c r="AO60" i="22"/>
  <c r="P60" i="22" s="1"/>
  <c r="AJ60" i="22"/>
  <c r="AE60" i="22"/>
  <c r="Z60" i="22"/>
  <c r="U60" i="22"/>
  <c r="AP60" i="22" s="1"/>
  <c r="Q60" i="22"/>
  <c r="K60" i="22"/>
  <c r="AN60" i="22" s="1"/>
  <c r="AS59" i="22"/>
  <c r="AQ59" i="22"/>
  <c r="AO59" i="22"/>
  <c r="P59" i="22" s="1"/>
  <c r="AJ59" i="22"/>
  <c r="AE59" i="22"/>
  <c r="AR59" i="22" s="1"/>
  <c r="Z59" i="22"/>
  <c r="U59" i="22"/>
  <c r="AP59" i="22" s="1"/>
  <c r="Q59" i="22"/>
  <c r="K59" i="22"/>
  <c r="AN59" i="22" s="1"/>
  <c r="AS58" i="22"/>
  <c r="AJ58" i="22" s="1"/>
  <c r="AQ58" i="22"/>
  <c r="AP58" i="22"/>
  <c r="AO58" i="22"/>
  <c r="P58" i="22" s="1"/>
  <c r="AE58" i="22"/>
  <c r="AR58" i="22" s="1"/>
  <c r="Z58" i="22"/>
  <c r="U58" i="22"/>
  <c r="Q58" i="22"/>
  <c r="K58" i="22"/>
  <c r="AN58" i="22" s="1"/>
  <c r="AS57" i="22"/>
  <c r="AJ57" i="22" s="1"/>
  <c r="AR57" i="22"/>
  <c r="AQ57" i="22"/>
  <c r="AO57" i="22"/>
  <c r="AE57" i="22"/>
  <c r="Z57" i="22"/>
  <c r="U57" i="22"/>
  <c r="AP57" i="22" s="1"/>
  <c r="Q57" i="22"/>
  <c r="P57" i="22"/>
  <c r="K57" i="22"/>
  <c r="AN57" i="22" s="1"/>
  <c r="AS56" i="22"/>
  <c r="AQ56" i="22"/>
  <c r="AO56" i="22"/>
  <c r="AJ56" i="22"/>
  <c r="AE56" i="22"/>
  <c r="AR56" i="22" s="1"/>
  <c r="Z56" i="22"/>
  <c r="U56" i="22"/>
  <c r="AP56" i="22" s="1"/>
  <c r="Q56" i="22"/>
  <c r="P56" i="22"/>
  <c r="K56" i="22"/>
  <c r="AN56" i="22" s="1"/>
  <c r="AS55" i="22"/>
  <c r="AQ55" i="22"/>
  <c r="AP55" i="22"/>
  <c r="AO55" i="22"/>
  <c r="P55" i="22" s="1"/>
  <c r="AJ55" i="22"/>
  <c r="AE55" i="22"/>
  <c r="AR55" i="22" s="1"/>
  <c r="Z55" i="22"/>
  <c r="U55" i="22"/>
  <c r="Q55" i="22"/>
  <c r="K55" i="22"/>
  <c r="AN55" i="22" s="1"/>
  <c r="AS54" i="22"/>
  <c r="AJ54" i="22" s="1"/>
  <c r="AR54" i="22"/>
  <c r="AQ54" i="22"/>
  <c r="Z54" i="22" s="1"/>
  <c r="AO54" i="22"/>
  <c r="P54" i="22" s="1"/>
  <c r="AN54" i="22"/>
  <c r="AE54" i="22"/>
  <c r="U54" i="22"/>
  <c r="AP54" i="22" s="1"/>
  <c r="Q54" i="22"/>
  <c r="K54" i="22"/>
  <c r="AS53" i="22"/>
  <c r="AJ53" i="22" s="1"/>
  <c r="AR53" i="22"/>
  <c r="AQ53" i="22"/>
  <c r="Z53" i="22" s="1"/>
  <c r="AP53" i="22"/>
  <c r="AO53" i="22"/>
  <c r="P53" i="22" s="1"/>
  <c r="AN53" i="22"/>
  <c r="AE53" i="22"/>
  <c r="U53" i="22"/>
  <c r="Q53" i="22"/>
  <c r="K53" i="22"/>
  <c r="AS52" i="22"/>
  <c r="AR52" i="22"/>
  <c r="AQ52" i="22"/>
  <c r="Z52" i="22" s="1"/>
  <c r="AO52" i="22"/>
  <c r="P52" i="22" s="1"/>
  <c r="AJ52" i="22"/>
  <c r="AE52" i="22"/>
  <c r="U52" i="22"/>
  <c r="AP52" i="22" s="1"/>
  <c r="Q52" i="22"/>
  <c r="K52" i="22"/>
  <c r="AN52" i="22" s="1"/>
  <c r="AS51" i="22"/>
  <c r="AQ51" i="22"/>
  <c r="Z51" i="22" s="1"/>
  <c r="AO51" i="22"/>
  <c r="AJ51" i="22"/>
  <c r="AE51" i="22"/>
  <c r="AR51" i="22" s="1"/>
  <c r="U51" i="22"/>
  <c r="AP51" i="22" s="1"/>
  <c r="Q51" i="22"/>
  <c r="P51" i="22"/>
  <c r="K51" i="22"/>
  <c r="AN51" i="22" s="1"/>
  <c r="AS50" i="22"/>
  <c r="AQ50" i="22"/>
  <c r="AO50" i="22"/>
  <c r="P50" i="22" s="1"/>
  <c r="AJ50" i="22"/>
  <c r="AE50" i="22"/>
  <c r="AR50" i="22" s="1"/>
  <c r="Z50" i="22"/>
  <c r="U50" i="22"/>
  <c r="AP50" i="22" s="1"/>
  <c r="Q50" i="22"/>
  <c r="K50" i="22"/>
  <c r="AN50" i="22" s="1"/>
  <c r="AS49" i="22"/>
  <c r="AJ49" i="22" s="1"/>
  <c r="AR49" i="22"/>
  <c r="AQ49" i="22"/>
  <c r="AO49" i="22"/>
  <c r="AE49" i="22"/>
  <c r="Z49" i="22"/>
  <c r="U49" i="22"/>
  <c r="AP49" i="22" s="1"/>
  <c r="Q49" i="22"/>
  <c r="P49" i="22"/>
  <c r="K49" i="22"/>
  <c r="AN49" i="22" s="1"/>
  <c r="AS48" i="22"/>
  <c r="AQ48" i="22"/>
  <c r="Z48" i="22" s="1"/>
  <c r="AO48" i="22"/>
  <c r="AJ48" i="22"/>
  <c r="AE48" i="22"/>
  <c r="AR48" i="22" s="1"/>
  <c r="U48" i="22"/>
  <c r="AP48" i="22" s="1"/>
  <c r="Q48" i="22"/>
  <c r="P48" i="22"/>
  <c r="K48" i="22"/>
  <c r="AN48" i="22" s="1"/>
  <c r="AS47" i="22"/>
  <c r="AQ47" i="22"/>
  <c r="AP47" i="22"/>
  <c r="AO47" i="22"/>
  <c r="P47" i="22" s="1"/>
  <c r="AJ47" i="22"/>
  <c r="AE47" i="22"/>
  <c r="AR47" i="22" s="1"/>
  <c r="Z47" i="22"/>
  <c r="U47" i="22"/>
  <c r="Q47" i="22"/>
  <c r="K47" i="22"/>
  <c r="AN47" i="22" s="1"/>
  <c r="AS46" i="22"/>
  <c r="AR46" i="22"/>
  <c r="AQ46" i="22"/>
  <c r="AO46" i="22"/>
  <c r="P46" i="22" s="1"/>
  <c r="AN46" i="22"/>
  <c r="AJ46" i="22"/>
  <c r="AE46" i="22"/>
  <c r="Z46" i="22"/>
  <c r="U46" i="22"/>
  <c r="AP46" i="22" s="1"/>
  <c r="Q46" i="22"/>
  <c r="K46" i="22"/>
  <c r="AS45" i="22"/>
  <c r="AJ45" i="22" s="1"/>
  <c r="AR45" i="22"/>
  <c r="AQ45" i="22"/>
  <c r="AP45" i="22"/>
  <c r="AO45" i="22"/>
  <c r="AN45" i="22"/>
  <c r="AE45" i="22"/>
  <c r="Z45" i="22"/>
  <c r="U45" i="22"/>
  <c r="Q45" i="22"/>
  <c r="P45" i="22"/>
  <c r="K45" i="22"/>
  <c r="AS44" i="22"/>
  <c r="AR44" i="22"/>
  <c r="AQ44" i="22"/>
  <c r="AO44" i="22"/>
  <c r="AJ44" i="22"/>
  <c r="AE44" i="22"/>
  <c r="Z44" i="22"/>
  <c r="U44" i="22"/>
  <c r="AP44" i="22" s="1"/>
  <c r="Q44" i="22"/>
  <c r="P44" i="22"/>
  <c r="K44" i="22"/>
  <c r="AN44" i="22" s="1"/>
  <c r="AS43" i="22"/>
  <c r="AQ43" i="22"/>
  <c r="Z43" i="22" s="1"/>
  <c r="AO43" i="22"/>
  <c r="P43" i="22" s="1"/>
  <c r="AJ43" i="22"/>
  <c r="AE43" i="22"/>
  <c r="AR43" i="22" s="1"/>
  <c r="U43" i="22"/>
  <c r="AP43" i="22" s="1"/>
  <c r="Q43" i="22"/>
  <c r="K43" i="22"/>
  <c r="AN43" i="22" s="1"/>
  <c r="AS42" i="22"/>
  <c r="AJ42" i="22" s="1"/>
  <c r="AQ42" i="22"/>
  <c r="AP42" i="22"/>
  <c r="AO42" i="22"/>
  <c r="P42" i="22" s="1"/>
  <c r="AE42" i="22"/>
  <c r="AR42" i="22" s="1"/>
  <c r="Z42" i="22"/>
  <c r="U42" i="22"/>
  <c r="Q42" i="22"/>
  <c r="K42" i="22"/>
  <c r="AN42" i="22" s="1"/>
  <c r="AS41" i="22"/>
  <c r="AJ41" i="22" s="1"/>
  <c r="AQ41" i="22"/>
  <c r="AO41" i="22"/>
  <c r="AE41" i="22"/>
  <c r="AR41" i="22" s="1"/>
  <c r="Z41" i="22"/>
  <c r="U41" i="22"/>
  <c r="AP41" i="22" s="1"/>
  <c r="Q41" i="22"/>
  <c r="P41" i="22"/>
  <c r="K41" i="22"/>
  <c r="AN41" i="22" s="1"/>
  <c r="AS40" i="22"/>
  <c r="AR40" i="22"/>
  <c r="AQ40" i="22"/>
  <c r="AO40" i="22"/>
  <c r="AN40" i="22"/>
  <c r="AJ40" i="22"/>
  <c r="AE40" i="22"/>
  <c r="Z40" i="22"/>
  <c r="U40" i="22"/>
  <c r="AP40" i="22" s="1"/>
  <c r="Q40" i="22"/>
  <c r="P40" i="22"/>
  <c r="K40" i="22"/>
  <c r="AS39" i="22"/>
  <c r="AJ39" i="22" s="1"/>
  <c r="AR39" i="22"/>
  <c r="AQ39" i="22"/>
  <c r="AP39" i="22"/>
  <c r="AO39" i="22"/>
  <c r="P39" i="22" s="1"/>
  <c r="AE39" i="22"/>
  <c r="Z39" i="22"/>
  <c r="U39" i="22"/>
  <c r="Q39" i="22"/>
  <c r="K39" i="22"/>
  <c r="AN39" i="22" s="1"/>
  <c r="AS38" i="22"/>
  <c r="AJ38" i="22" s="1"/>
  <c r="AQ38" i="22"/>
  <c r="AO38" i="22"/>
  <c r="P38" i="22" s="1"/>
  <c r="AN38" i="22"/>
  <c r="AE38" i="22"/>
  <c r="AR38" i="22" s="1"/>
  <c r="Z38" i="22"/>
  <c r="U38" i="22"/>
  <c r="AP38" i="22" s="1"/>
  <c r="Q38" i="22"/>
  <c r="K38" i="22"/>
  <c r="AS37" i="22"/>
  <c r="AJ37" i="22" s="1"/>
  <c r="AR37" i="22"/>
  <c r="AQ37" i="22"/>
  <c r="Z37" i="22" s="1"/>
  <c r="AO37" i="22"/>
  <c r="AN37" i="22"/>
  <c r="AE37" i="22"/>
  <c r="U37" i="22"/>
  <c r="AP37" i="22" s="1"/>
  <c r="Q37" i="22"/>
  <c r="P37" i="22"/>
  <c r="K37" i="22"/>
  <c r="AS36" i="22"/>
  <c r="AR36" i="22"/>
  <c r="AQ36" i="22"/>
  <c r="AO36" i="22"/>
  <c r="P36" i="22" s="1"/>
  <c r="AN36" i="22"/>
  <c r="AJ36" i="22"/>
  <c r="AE36" i="22"/>
  <c r="Z36" i="22"/>
  <c r="U36" i="22"/>
  <c r="AP36" i="22" s="1"/>
  <c r="Q36" i="22"/>
  <c r="K36" i="22"/>
  <c r="AS35" i="22"/>
  <c r="AQ35" i="22"/>
  <c r="AO35" i="22"/>
  <c r="AN35" i="22"/>
  <c r="AJ35" i="22"/>
  <c r="AE35" i="22"/>
  <c r="AR35" i="22" s="1"/>
  <c r="Z35" i="22"/>
  <c r="U35" i="22"/>
  <c r="AP35" i="22" s="1"/>
  <c r="Q35" i="22"/>
  <c r="P35" i="22"/>
  <c r="K35" i="22"/>
  <c r="AS34" i="22"/>
  <c r="AQ34" i="22"/>
  <c r="AO34" i="22"/>
  <c r="P34" i="22" s="1"/>
  <c r="AJ34" i="22"/>
  <c r="AE34" i="22"/>
  <c r="AR34" i="22" s="1"/>
  <c r="Z34" i="22"/>
  <c r="U34" i="22"/>
  <c r="AP34" i="22" s="1"/>
  <c r="Q34" i="22"/>
  <c r="K34" i="22"/>
  <c r="AN34" i="22" s="1"/>
  <c r="AS33" i="22"/>
  <c r="AJ33" i="22" s="1"/>
  <c r="AR33" i="22"/>
  <c r="AQ33" i="22"/>
  <c r="AO33" i="22"/>
  <c r="AE33" i="22"/>
  <c r="Z33" i="22"/>
  <c r="U33" i="22"/>
  <c r="AP33" i="22" s="1"/>
  <c r="Q33" i="22"/>
  <c r="P33" i="22"/>
  <c r="K33" i="22"/>
  <c r="AN33" i="22" s="1"/>
  <c r="AS32" i="22"/>
  <c r="AQ32" i="22"/>
  <c r="Z32" i="22" s="1"/>
  <c r="AO32" i="22"/>
  <c r="AJ32" i="22"/>
  <c r="AE32" i="22"/>
  <c r="AR32" i="22" s="1"/>
  <c r="U32" i="22"/>
  <c r="AP32" i="22" s="1"/>
  <c r="Q32" i="22"/>
  <c r="P32" i="22"/>
  <c r="K32" i="22"/>
  <c r="AN32" i="22" s="1"/>
  <c r="AS31" i="22"/>
  <c r="AQ31" i="22"/>
  <c r="AP31" i="22"/>
  <c r="AO31" i="22"/>
  <c r="P31" i="22" s="1"/>
  <c r="AJ31" i="22"/>
  <c r="AE31" i="22"/>
  <c r="AR31" i="22" s="1"/>
  <c r="Z31" i="22"/>
  <c r="U31" i="22"/>
  <c r="Q31" i="22"/>
  <c r="K31" i="22"/>
  <c r="AN31" i="22" s="1"/>
  <c r="AS30" i="22"/>
  <c r="AR30" i="22"/>
  <c r="AQ30" i="22"/>
  <c r="AO30" i="22"/>
  <c r="P30" i="22" s="1"/>
  <c r="AN30" i="22"/>
  <c r="AJ30" i="22"/>
  <c r="AE30" i="22"/>
  <c r="Z30" i="22"/>
  <c r="U30" i="22"/>
  <c r="AP30" i="22" s="1"/>
  <c r="Q30" i="22"/>
  <c r="K30" i="22"/>
  <c r="AS29" i="22"/>
  <c r="AJ29" i="22" s="1"/>
  <c r="AR29" i="22"/>
  <c r="AQ29" i="22"/>
  <c r="AP29" i="22"/>
  <c r="AO29" i="22"/>
  <c r="AN29" i="22"/>
  <c r="AE29" i="22"/>
  <c r="Z29" i="22"/>
  <c r="U29" i="22"/>
  <c r="Q29" i="22"/>
  <c r="P29" i="22"/>
  <c r="K29" i="22"/>
  <c r="AS28" i="22"/>
  <c r="AR28" i="22"/>
  <c r="AQ28" i="22"/>
  <c r="AO28" i="22"/>
  <c r="AJ28" i="22"/>
  <c r="AE28" i="22"/>
  <c r="Z28" i="22"/>
  <c r="U28" i="22"/>
  <c r="AP28" i="22" s="1"/>
  <c r="Q28" i="22"/>
  <c r="P28" i="22"/>
  <c r="K28" i="22"/>
  <c r="AN28" i="22" s="1"/>
  <c r="AS27" i="22"/>
  <c r="AQ27" i="22"/>
  <c r="Z27" i="22" s="1"/>
  <c r="AO27" i="22"/>
  <c r="P27" i="22" s="1"/>
  <c r="AJ27" i="22"/>
  <c r="AE27" i="22"/>
  <c r="AR27" i="22" s="1"/>
  <c r="U27" i="22"/>
  <c r="AP27" i="22" s="1"/>
  <c r="Q27" i="22"/>
  <c r="K27" i="22"/>
  <c r="AN27" i="22" s="1"/>
  <c r="AS26" i="22"/>
  <c r="AJ26" i="22" s="1"/>
  <c r="AQ26" i="22"/>
  <c r="AP26" i="22"/>
  <c r="AO26" i="22"/>
  <c r="P26" i="22" s="1"/>
  <c r="AE26" i="22"/>
  <c r="AR26" i="22" s="1"/>
  <c r="Z26" i="22"/>
  <c r="U26" i="22"/>
  <c r="Q26" i="22"/>
  <c r="K26" i="22"/>
  <c r="AN26" i="22" s="1"/>
  <c r="AS25" i="22"/>
  <c r="AJ25" i="22" s="1"/>
  <c r="AQ25" i="22"/>
  <c r="AO25" i="22"/>
  <c r="AE25" i="22"/>
  <c r="AR25" i="22" s="1"/>
  <c r="Z25" i="22"/>
  <c r="U25" i="22"/>
  <c r="AP25" i="22" s="1"/>
  <c r="Q25" i="22"/>
  <c r="P25" i="22"/>
  <c r="K25" i="22"/>
  <c r="AN25" i="22" s="1"/>
  <c r="AS24" i="22"/>
  <c r="AR24" i="22"/>
  <c r="AQ24" i="22"/>
  <c r="AO24" i="22"/>
  <c r="AN24" i="22"/>
  <c r="AJ24" i="22"/>
  <c r="AE24" i="22"/>
  <c r="Z24" i="22"/>
  <c r="U24" i="22"/>
  <c r="AP24" i="22" s="1"/>
  <c r="Q24" i="22"/>
  <c r="P24" i="22"/>
  <c r="K24" i="22"/>
  <c r="AS23" i="22"/>
  <c r="AJ23" i="22" s="1"/>
  <c r="AR23" i="22"/>
  <c r="AQ23" i="22"/>
  <c r="AP23" i="22"/>
  <c r="AO23" i="22"/>
  <c r="P23" i="22" s="1"/>
  <c r="AE23" i="22"/>
  <c r="Z23" i="22"/>
  <c r="U23" i="22"/>
  <c r="Q23" i="22"/>
  <c r="K23" i="22"/>
  <c r="AN23" i="22" s="1"/>
  <c r="AS22" i="22"/>
  <c r="AJ22" i="22" s="1"/>
  <c r="AQ22" i="22"/>
  <c r="AO22" i="22"/>
  <c r="P22" i="22" s="1"/>
  <c r="AN22" i="22"/>
  <c r="AE22" i="22"/>
  <c r="AR22" i="22" s="1"/>
  <c r="Z22" i="22"/>
  <c r="U22" i="22"/>
  <c r="AP22" i="22" s="1"/>
  <c r="Q22" i="22"/>
  <c r="K22" i="22"/>
  <c r="AS21" i="22"/>
  <c r="AJ21" i="22" s="1"/>
  <c r="AR21" i="22"/>
  <c r="AQ21" i="22"/>
  <c r="Z21" i="22" s="1"/>
  <c r="AO21" i="22"/>
  <c r="AN21" i="22"/>
  <c r="AE21" i="22"/>
  <c r="U21" i="22"/>
  <c r="AP21" i="22" s="1"/>
  <c r="Q21" i="22"/>
  <c r="P21" i="22"/>
  <c r="K21" i="22"/>
  <c r="AS20" i="22"/>
  <c r="AR20" i="22"/>
  <c r="AQ20" i="22"/>
  <c r="AO20" i="22"/>
  <c r="P20" i="22" s="1"/>
  <c r="AN20" i="22"/>
  <c r="AJ20" i="22"/>
  <c r="AE20" i="22"/>
  <c r="Z20" i="22"/>
  <c r="U20" i="22"/>
  <c r="AP20" i="22" s="1"/>
  <c r="Q20" i="22"/>
  <c r="K20" i="22"/>
  <c r="AS19" i="22"/>
  <c r="AQ19" i="22"/>
  <c r="Z19" i="22" s="1"/>
  <c r="AO19" i="22"/>
  <c r="AN19" i="22"/>
  <c r="AJ19" i="22"/>
  <c r="AE19" i="22"/>
  <c r="AR19" i="22" s="1"/>
  <c r="U19" i="22"/>
  <c r="AP19" i="22" s="1"/>
  <c r="Q19" i="22"/>
  <c r="P19" i="22"/>
  <c r="K19" i="22"/>
  <c r="AS18" i="22"/>
  <c r="AQ18" i="22"/>
  <c r="AO18" i="22"/>
  <c r="AR18" i="22"/>
  <c r="AP18" i="22"/>
  <c r="AN18" i="22"/>
  <c r="AS17" i="22"/>
  <c r="AR17" i="22"/>
  <c r="AQ17" i="22"/>
  <c r="AO17" i="22"/>
  <c r="AP17" i="22"/>
  <c r="AN17" i="22"/>
  <c r="AS16" i="22"/>
  <c r="AR16" i="22"/>
  <c r="AQ16" i="22"/>
  <c r="AO16" i="22"/>
  <c r="AN16" i="22"/>
  <c r="AP16" i="22"/>
  <c r="AS15" i="22"/>
  <c r="AQ15" i="22"/>
  <c r="AO15" i="22"/>
  <c r="AR15" i="22"/>
  <c r="AP15" i="22"/>
  <c r="AN15" i="22"/>
  <c r="AS14" i="22"/>
  <c r="AR14" i="22"/>
  <c r="AQ14" i="22"/>
  <c r="AO14" i="22"/>
  <c r="AN14" i="22"/>
  <c r="AP14" i="22"/>
  <c r="AS13" i="22"/>
  <c r="AR13" i="22"/>
  <c r="AQ13" i="22"/>
  <c r="AP13" i="22"/>
  <c r="AO13" i="22"/>
  <c r="AN13" i="22"/>
  <c r="AS12" i="22"/>
  <c r="AR12" i="22"/>
  <c r="AQ12" i="22"/>
  <c r="AO12" i="22"/>
  <c r="AP12" i="22"/>
  <c r="AN12" i="22"/>
  <c r="AS11" i="22"/>
  <c r="AQ11" i="22"/>
  <c r="AO11" i="22"/>
  <c r="AR11" i="22"/>
  <c r="AP11" i="22"/>
  <c r="AN11" i="22"/>
  <c r="AS10" i="22"/>
  <c r="AR10" i="22"/>
  <c r="AQ10" i="22"/>
  <c r="AO10" i="22"/>
  <c r="AN10" i="22"/>
  <c r="AP10" i="22"/>
  <c r="AS9" i="22"/>
  <c r="AR9" i="22"/>
  <c r="AQ9" i="22"/>
  <c r="AO9" i="22"/>
  <c r="AP9" i="22"/>
  <c r="AN9" i="22"/>
  <c r="AS8" i="22"/>
  <c r="AQ8" i="22"/>
  <c r="AP8" i="22"/>
  <c r="AO8" i="22"/>
  <c r="AR8" i="22"/>
  <c r="AN8" i="22"/>
  <c r="AS400" i="21"/>
  <c r="AJ400" i="21" s="1"/>
  <c r="AQ400" i="21"/>
  <c r="Z400" i="21" s="1"/>
  <c r="AO400" i="21"/>
  <c r="P400" i="21" s="1"/>
  <c r="AE400" i="21"/>
  <c r="AR400" i="21" s="1"/>
  <c r="U400" i="21"/>
  <c r="AP400" i="21" s="1"/>
  <c r="Q400" i="21"/>
  <c r="K400" i="21"/>
  <c r="AN400" i="21" s="1"/>
  <c r="AS399" i="21"/>
  <c r="AQ399" i="21"/>
  <c r="AO399" i="21"/>
  <c r="P399" i="21" s="1"/>
  <c r="AJ399" i="21"/>
  <c r="AE399" i="21"/>
  <c r="AR399" i="21" s="1"/>
  <c r="Z399" i="21"/>
  <c r="U399" i="21"/>
  <c r="AP399" i="21" s="1"/>
  <c r="Q399" i="21"/>
  <c r="K399" i="21"/>
  <c r="AN399" i="21" s="1"/>
  <c r="AS398" i="21"/>
  <c r="AJ398" i="21" s="1"/>
  <c r="AQ398" i="21"/>
  <c r="AO398" i="21"/>
  <c r="P398" i="21" s="1"/>
  <c r="AE398" i="21"/>
  <c r="AR398" i="21" s="1"/>
  <c r="Z398" i="21"/>
  <c r="U398" i="21"/>
  <c r="AP398" i="21" s="1"/>
  <c r="Q398" i="21"/>
  <c r="K398" i="21"/>
  <c r="AN398" i="21" s="1"/>
  <c r="AS397" i="21"/>
  <c r="AJ397" i="21" s="1"/>
  <c r="AQ397" i="21"/>
  <c r="AO397" i="21"/>
  <c r="AE397" i="21"/>
  <c r="AR397" i="21" s="1"/>
  <c r="Z397" i="21"/>
  <c r="U397" i="21"/>
  <c r="AP397" i="21" s="1"/>
  <c r="Q397" i="21"/>
  <c r="P397" i="21"/>
  <c r="K397" i="21"/>
  <c r="AN397" i="21" s="1"/>
  <c r="AS396" i="21"/>
  <c r="AJ396" i="21" s="1"/>
  <c r="AQ396" i="21"/>
  <c r="Z396" i="21" s="1"/>
  <c r="AO396" i="21"/>
  <c r="AE396" i="21"/>
  <c r="AR396" i="21" s="1"/>
  <c r="U396" i="21"/>
  <c r="AP396" i="21" s="1"/>
  <c r="Q396" i="21"/>
  <c r="P396" i="21"/>
  <c r="K396" i="21"/>
  <c r="AN396" i="21" s="1"/>
  <c r="AS395" i="21"/>
  <c r="AJ395" i="21" s="1"/>
  <c r="AQ395" i="21"/>
  <c r="AO395" i="21"/>
  <c r="P395" i="21" s="1"/>
  <c r="AE395" i="21"/>
  <c r="AR395" i="21" s="1"/>
  <c r="Z395" i="21"/>
  <c r="U395" i="21"/>
  <c r="AP395" i="21" s="1"/>
  <c r="Q395" i="21"/>
  <c r="K395" i="21"/>
  <c r="AN395" i="21" s="1"/>
  <c r="AS394" i="21"/>
  <c r="AJ394" i="21" s="1"/>
  <c r="AR394" i="21"/>
  <c r="AQ394" i="21"/>
  <c r="AO394" i="21"/>
  <c r="P394" i="21" s="1"/>
  <c r="AE394" i="21"/>
  <c r="Z394" i="21"/>
  <c r="U394" i="21"/>
  <c r="AP394" i="21" s="1"/>
  <c r="Q394" i="21"/>
  <c r="K394" i="21"/>
  <c r="AN394" i="21" s="1"/>
  <c r="AS393" i="21"/>
  <c r="AJ393" i="21" s="1"/>
  <c r="AR393" i="21"/>
  <c r="AQ393" i="21"/>
  <c r="Z393" i="21" s="1"/>
  <c r="AO393" i="21"/>
  <c r="P393" i="21" s="1"/>
  <c r="AN393" i="21"/>
  <c r="AE393" i="21"/>
  <c r="U393" i="21"/>
  <c r="AP393" i="21" s="1"/>
  <c r="Q393" i="21"/>
  <c r="K393" i="21"/>
  <c r="AS392" i="21"/>
  <c r="AJ392" i="21" s="1"/>
  <c r="AR392" i="21"/>
  <c r="AQ392" i="21"/>
  <c r="AO392" i="21"/>
  <c r="P392" i="21" s="1"/>
  <c r="AE392" i="21"/>
  <c r="Z392" i="21"/>
  <c r="U392" i="21"/>
  <c r="AP392" i="21" s="1"/>
  <c r="Q392" i="21"/>
  <c r="K392" i="21"/>
  <c r="AN392" i="21" s="1"/>
  <c r="AS391" i="21"/>
  <c r="AQ391" i="21"/>
  <c r="Z391" i="21" s="1"/>
  <c r="AO391" i="21"/>
  <c r="P391" i="21" s="1"/>
  <c r="AJ391" i="21"/>
  <c r="AE391" i="21"/>
  <c r="AR391" i="21" s="1"/>
  <c r="U391" i="21"/>
  <c r="AP391" i="21" s="1"/>
  <c r="Q391" i="21"/>
  <c r="K391" i="21"/>
  <c r="AN391" i="21" s="1"/>
  <c r="AS390" i="21"/>
  <c r="AJ390" i="21" s="1"/>
  <c r="AQ390" i="21"/>
  <c r="Z390" i="21" s="1"/>
  <c r="AO390" i="21"/>
  <c r="AE390" i="21"/>
  <c r="AR390" i="21" s="1"/>
  <c r="U390" i="21"/>
  <c r="AP390" i="21" s="1"/>
  <c r="Q390" i="21"/>
  <c r="P390" i="21"/>
  <c r="K390" i="21"/>
  <c r="AN390" i="21" s="1"/>
  <c r="AS389" i="21"/>
  <c r="AR389" i="21"/>
  <c r="AQ389" i="21"/>
  <c r="AO389" i="21"/>
  <c r="AJ389" i="21"/>
  <c r="AE389" i="21"/>
  <c r="Z389" i="21"/>
  <c r="U389" i="21"/>
  <c r="AP389" i="21" s="1"/>
  <c r="Q389" i="21"/>
  <c r="P389" i="21"/>
  <c r="K389" i="21"/>
  <c r="AN389" i="21" s="1"/>
  <c r="AS388" i="21"/>
  <c r="AJ388" i="21" s="1"/>
  <c r="AQ388" i="21"/>
  <c r="Z388" i="21" s="1"/>
  <c r="AO388" i="21"/>
  <c r="P388" i="21" s="1"/>
  <c r="AE388" i="21"/>
  <c r="AR388" i="21" s="1"/>
  <c r="U388" i="21"/>
  <c r="AP388" i="21" s="1"/>
  <c r="Q388" i="21"/>
  <c r="K388" i="21"/>
  <c r="AN388" i="21" s="1"/>
  <c r="AS387" i="21"/>
  <c r="AJ387" i="21" s="1"/>
  <c r="AQ387" i="21"/>
  <c r="Z387" i="21" s="1"/>
  <c r="AO387" i="21"/>
  <c r="P387" i="21" s="1"/>
  <c r="AE387" i="21"/>
  <c r="AR387" i="21" s="1"/>
  <c r="U387" i="21"/>
  <c r="AP387" i="21" s="1"/>
  <c r="Q387" i="21"/>
  <c r="K387" i="21"/>
  <c r="AN387" i="21" s="1"/>
  <c r="AS386" i="21"/>
  <c r="AJ386" i="21" s="1"/>
  <c r="AQ386" i="21"/>
  <c r="Z386" i="21" s="1"/>
  <c r="AO386" i="21"/>
  <c r="P386" i="21" s="1"/>
  <c r="AE386" i="21"/>
  <c r="AR386" i="21" s="1"/>
  <c r="U386" i="21"/>
  <c r="AP386" i="21" s="1"/>
  <c r="Q386" i="21"/>
  <c r="K386" i="21"/>
  <c r="AN386" i="21" s="1"/>
  <c r="AS385" i="21"/>
  <c r="AJ385" i="21" s="1"/>
  <c r="AR385" i="21"/>
  <c r="AQ385" i="21"/>
  <c r="Z385" i="21" s="1"/>
  <c r="AO385" i="21"/>
  <c r="AE385" i="21"/>
  <c r="U385" i="21"/>
  <c r="AP385" i="21" s="1"/>
  <c r="Q385" i="21"/>
  <c r="P385" i="21"/>
  <c r="K385" i="21"/>
  <c r="AN385" i="21" s="1"/>
  <c r="AS384" i="21"/>
  <c r="AQ384" i="21"/>
  <c r="Z384" i="21" s="1"/>
  <c r="AP384" i="21"/>
  <c r="AO384" i="21"/>
  <c r="P384" i="21" s="1"/>
  <c r="AJ384" i="21"/>
  <c r="AE384" i="21"/>
  <c r="AR384" i="21" s="1"/>
  <c r="U384" i="21"/>
  <c r="Q384" i="21"/>
  <c r="K384" i="21"/>
  <c r="AN384" i="21" s="1"/>
  <c r="AS383" i="21"/>
  <c r="AJ383" i="21" s="1"/>
  <c r="AQ383" i="21"/>
  <c r="AO383" i="21"/>
  <c r="P383" i="21" s="1"/>
  <c r="AE383" i="21"/>
  <c r="AR383" i="21" s="1"/>
  <c r="Z383" i="21"/>
  <c r="U383" i="21"/>
  <c r="AP383" i="21" s="1"/>
  <c r="Q383" i="21"/>
  <c r="K383" i="21"/>
  <c r="AN383" i="21" s="1"/>
  <c r="AS382" i="21"/>
  <c r="AJ382" i="21" s="1"/>
  <c r="AQ382" i="21"/>
  <c r="Z382" i="21" s="1"/>
  <c r="AO382" i="21"/>
  <c r="AE382" i="21"/>
  <c r="AR382" i="21" s="1"/>
  <c r="U382" i="21"/>
  <c r="AP382" i="21" s="1"/>
  <c r="Q382" i="21"/>
  <c r="P382" i="21"/>
  <c r="K382" i="21"/>
  <c r="AN382" i="21" s="1"/>
  <c r="AS381" i="21"/>
  <c r="AJ381" i="21" s="1"/>
  <c r="AQ381" i="21"/>
  <c r="AO381" i="21"/>
  <c r="AE381" i="21"/>
  <c r="AR381" i="21" s="1"/>
  <c r="Z381" i="21"/>
  <c r="U381" i="21"/>
  <c r="AP381" i="21" s="1"/>
  <c r="Q381" i="21"/>
  <c r="P381" i="21"/>
  <c r="K381" i="21"/>
  <c r="AN381" i="21" s="1"/>
  <c r="AS380" i="21"/>
  <c r="AJ380" i="21" s="1"/>
  <c r="AQ380" i="21"/>
  <c r="Z380" i="21" s="1"/>
  <c r="AO380" i="21"/>
  <c r="P380" i="21" s="1"/>
  <c r="AE380" i="21"/>
  <c r="AR380" i="21" s="1"/>
  <c r="U380" i="21"/>
  <c r="AP380" i="21" s="1"/>
  <c r="Q380" i="21"/>
  <c r="K380" i="21"/>
  <c r="AN380" i="21" s="1"/>
  <c r="AS379" i="21"/>
  <c r="AJ379" i="21" s="1"/>
  <c r="AQ379" i="21"/>
  <c r="Z379" i="21" s="1"/>
  <c r="AO379" i="21"/>
  <c r="P379" i="21" s="1"/>
  <c r="AE379" i="21"/>
  <c r="AR379" i="21" s="1"/>
  <c r="U379" i="21"/>
  <c r="AP379" i="21" s="1"/>
  <c r="Q379" i="21"/>
  <c r="K379" i="21"/>
  <c r="AN379" i="21" s="1"/>
  <c r="AS378" i="21"/>
  <c r="AJ378" i="21" s="1"/>
  <c r="AR378" i="21"/>
  <c r="AQ378" i="21"/>
  <c r="AO378" i="21"/>
  <c r="P378" i="21" s="1"/>
  <c r="AN378" i="21"/>
  <c r="AE378" i="21"/>
  <c r="Z378" i="21"/>
  <c r="U378" i="21"/>
  <c r="AP378" i="21" s="1"/>
  <c r="Q378" i="21"/>
  <c r="K378" i="21"/>
  <c r="AS377" i="21"/>
  <c r="AJ377" i="21" s="1"/>
  <c r="AR377" i="21"/>
  <c r="AQ377" i="21"/>
  <c r="AO377" i="21"/>
  <c r="P377" i="21" s="1"/>
  <c r="AE377" i="21"/>
  <c r="Z377" i="21"/>
  <c r="U377" i="21"/>
  <c r="AP377" i="21" s="1"/>
  <c r="Q377" i="21"/>
  <c r="K377" i="21"/>
  <c r="AN377" i="21" s="1"/>
  <c r="AS376" i="21"/>
  <c r="AQ376" i="21"/>
  <c r="Z376" i="21" s="1"/>
  <c r="AP376" i="21"/>
  <c r="AO376" i="21"/>
  <c r="P376" i="21" s="1"/>
  <c r="AJ376" i="21"/>
  <c r="AE376" i="21"/>
  <c r="AR376" i="21" s="1"/>
  <c r="U376" i="21"/>
  <c r="Q376" i="21"/>
  <c r="K376" i="21"/>
  <c r="AN376" i="21" s="1"/>
  <c r="AS375" i="21"/>
  <c r="AQ375" i="21"/>
  <c r="Z375" i="21" s="1"/>
  <c r="AO375" i="21"/>
  <c r="P375" i="21" s="1"/>
  <c r="AJ375" i="21"/>
  <c r="AE375" i="21"/>
  <c r="AR375" i="21" s="1"/>
  <c r="U375" i="21"/>
  <c r="AP375" i="21" s="1"/>
  <c r="Q375" i="21"/>
  <c r="K375" i="21"/>
  <c r="AN375" i="21" s="1"/>
  <c r="AS374" i="21"/>
  <c r="AJ374" i="21" s="1"/>
  <c r="AQ374" i="21"/>
  <c r="AO374" i="21"/>
  <c r="AE374" i="21"/>
  <c r="AR374" i="21" s="1"/>
  <c r="Z374" i="21"/>
  <c r="U374" i="21"/>
  <c r="AP374" i="21" s="1"/>
  <c r="Q374" i="21"/>
  <c r="P374" i="21"/>
  <c r="K374" i="21"/>
  <c r="AN374" i="21" s="1"/>
  <c r="AS373" i="21"/>
  <c r="AR373" i="21"/>
  <c r="AQ373" i="21"/>
  <c r="Z373" i="21" s="1"/>
  <c r="AO373" i="21"/>
  <c r="AJ373" i="21"/>
  <c r="AE373" i="21"/>
  <c r="U373" i="21"/>
  <c r="AP373" i="21" s="1"/>
  <c r="Q373" i="21"/>
  <c r="P373" i="21"/>
  <c r="K373" i="21"/>
  <c r="AN373" i="21" s="1"/>
  <c r="AS372" i="21"/>
  <c r="AQ372" i="21"/>
  <c r="Z372" i="21" s="1"/>
  <c r="AO372" i="21"/>
  <c r="P372" i="21" s="1"/>
  <c r="AJ372" i="21"/>
  <c r="AE372" i="21"/>
  <c r="AR372" i="21" s="1"/>
  <c r="U372" i="21"/>
  <c r="AP372" i="21" s="1"/>
  <c r="Q372" i="21"/>
  <c r="K372" i="21"/>
  <c r="AN372" i="21" s="1"/>
  <c r="AS371" i="21"/>
  <c r="AJ371" i="21" s="1"/>
  <c r="AQ371" i="21"/>
  <c r="AO371" i="21"/>
  <c r="P371" i="21" s="1"/>
  <c r="AE371" i="21"/>
  <c r="AR371" i="21" s="1"/>
  <c r="Z371" i="21"/>
  <c r="U371" i="21"/>
  <c r="AP371" i="21" s="1"/>
  <c r="Q371" i="21"/>
  <c r="K371" i="21"/>
  <c r="AN371" i="21" s="1"/>
  <c r="AS370" i="21"/>
  <c r="AJ370" i="21" s="1"/>
  <c r="AR370" i="21"/>
  <c r="AQ370" i="21"/>
  <c r="AO370" i="21"/>
  <c r="P370" i="21" s="1"/>
  <c r="AN370" i="21"/>
  <c r="AE370" i="21"/>
  <c r="Z370" i="21"/>
  <c r="U370" i="21"/>
  <c r="AP370" i="21" s="1"/>
  <c r="Q370" i="21"/>
  <c r="K370" i="21"/>
  <c r="AS369" i="21"/>
  <c r="AJ369" i="21" s="1"/>
  <c r="AR369" i="21"/>
  <c r="AQ369" i="21"/>
  <c r="Z369" i="21" s="1"/>
  <c r="AO369" i="21"/>
  <c r="AE369" i="21"/>
  <c r="U369" i="21"/>
  <c r="AP369" i="21" s="1"/>
  <c r="Q369" i="21"/>
  <c r="P369" i="21"/>
  <c r="K369" i="21"/>
  <c r="AN369" i="21" s="1"/>
  <c r="AS368" i="21"/>
  <c r="AQ368" i="21"/>
  <c r="AO368" i="21"/>
  <c r="P368" i="21" s="1"/>
  <c r="AJ368" i="21"/>
  <c r="AE368" i="21"/>
  <c r="AR368" i="21" s="1"/>
  <c r="Z368" i="21"/>
  <c r="U368" i="21"/>
  <c r="AP368" i="21" s="1"/>
  <c r="Q368" i="21"/>
  <c r="K368" i="21"/>
  <c r="AN368" i="21" s="1"/>
  <c r="AS367" i="21"/>
  <c r="AJ367" i="21" s="1"/>
  <c r="AQ367" i="21"/>
  <c r="Z367" i="21" s="1"/>
  <c r="AO367" i="21"/>
  <c r="P367" i="21" s="1"/>
  <c r="AN367" i="21"/>
  <c r="AE367" i="21"/>
  <c r="AR367" i="21" s="1"/>
  <c r="U367" i="21"/>
  <c r="AP367" i="21" s="1"/>
  <c r="Q367" i="21"/>
  <c r="K367" i="21"/>
  <c r="AS366" i="21"/>
  <c r="AJ366" i="21" s="1"/>
  <c r="AQ366" i="21"/>
  <c r="AO366" i="21"/>
  <c r="AE366" i="21"/>
  <c r="AR366" i="21" s="1"/>
  <c r="Z366" i="21"/>
  <c r="U366" i="21"/>
  <c r="AP366" i="21" s="1"/>
  <c r="Q366" i="21"/>
  <c r="P366" i="21"/>
  <c r="K366" i="21"/>
  <c r="AN366" i="21" s="1"/>
  <c r="AS365" i="21"/>
  <c r="AJ365" i="21" s="1"/>
  <c r="AR365" i="21"/>
  <c r="AQ365" i="21"/>
  <c r="AO365" i="21"/>
  <c r="P365" i="21" s="1"/>
  <c r="AE365" i="21"/>
  <c r="Z365" i="21"/>
  <c r="U365" i="21"/>
  <c r="AP365" i="21" s="1"/>
  <c r="Q365" i="21"/>
  <c r="K365" i="21"/>
  <c r="AN365" i="21" s="1"/>
  <c r="AS364" i="21"/>
  <c r="AJ364" i="21" s="1"/>
  <c r="AQ364" i="21"/>
  <c r="Z364" i="21" s="1"/>
  <c r="AO364" i="21"/>
  <c r="AE364" i="21"/>
  <c r="AR364" i="21" s="1"/>
  <c r="U364" i="21"/>
  <c r="AP364" i="21" s="1"/>
  <c r="Q364" i="21"/>
  <c r="P364" i="21"/>
  <c r="K364" i="21"/>
  <c r="AN364" i="21" s="1"/>
  <c r="AS363" i="21"/>
  <c r="AJ363" i="21" s="1"/>
  <c r="AR363" i="21"/>
  <c r="AQ363" i="21"/>
  <c r="Z363" i="21" s="1"/>
  <c r="AO363" i="21"/>
  <c r="P363" i="21" s="1"/>
  <c r="AE363" i="21"/>
  <c r="U363" i="21"/>
  <c r="AP363" i="21" s="1"/>
  <c r="Q363" i="21"/>
  <c r="K363" i="21"/>
  <c r="AN363" i="21" s="1"/>
  <c r="AS362" i="21"/>
  <c r="AJ362" i="21" s="1"/>
  <c r="AQ362" i="21"/>
  <c r="Z362" i="21" s="1"/>
  <c r="AO362" i="21"/>
  <c r="P362" i="21" s="1"/>
  <c r="AE362" i="21"/>
  <c r="AR362" i="21" s="1"/>
  <c r="U362" i="21"/>
  <c r="AP362" i="21" s="1"/>
  <c r="Q362" i="21"/>
  <c r="K362" i="21"/>
  <c r="AN362" i="21" s="1"/>
  <c r="AS361" i="21"/>
  <c r="AR361" i="21"/>
  <c r="AQ361" i="21"/>
  <c r="Z361" i="21" s="1"/>
  <c r="AO361" i="21"/>
  <c r="P361" i="21" s="1"/>
  <c r="AJ361" i="21"/>
  <c r="AE361" i="21"/>
  <c r="U361" i="21"/>
  <c r="AP361" i="21" s="1"/>
  <c r="Q361" i="21"/>
  <c r="K361" i="21"/>
  <c r="AN361" i="21" s="1"/>
  <c r="AS360" i="21"/>
  <c r="AJ360" i="21" s="1"/>
  <c r="AQ360" i="21"/>
  <c r="Z360" i="21" s="1"/>
  <c r="AO360" i="21"/>
  <c r="P360" i="21" s="1"/>
  <c r="AE360" i="21"/>
  <c r="AR360" i="21" s="1"/>
  <c r="U360" i="21"/>
  <c r="AP360" i="21" s="1"/>
  <c r="Q360" i="21"/>
  <c r="K360" i="21"/>
  <c r="AN360" i="21" s="1"/>
  <c r="AS359" i="21"/>
  <c r="AQ359" i="21"/>
  <c r="Z359" i="21" s="1"/>
  <c r="AO359" i="21"/>
  <c r="P359" i="21" s="1"/>
  <c r="AJ359" i="21"/>
  <c r="AE359" i="21"/>
  <c r="AR359" i="21" s="1"/>
  <c r="U359" i="21"/>
  <c r="AP359" i="21" s="1"/>
  <c r="Q359" i="21"/>
  <c r="K359" i="21"/>
  <c r="AN359" i="21" s="1"/>
  <c r="AS358" i="21"/>
  <c r="AJ358" i="21" s="1"/>
  <c r="AR358" i="21"/>
  <c r="AQ358" i="21"/>
  <c r="AO358" i="21"/>
  <c r="P358" i="21" s="1"/>
  <c r="AE358" i="21"/>
  <c r="Z358" i="21"/>
  <c r="U358" i="21"/>
  <c r="AP358" i="21" s="1"/>
  <c r="Q358" i="21"/>
  <c r="K358" i="21"/>
  <c r="AN358" i="21" s="1"/>
  <c r="AS357" i="21"/>
  <c r="AQ357" i="21"/>
  <c r="Z357" i="21" s="1"/>
  <c r="AO357" i="21"/>
  <c r="P357" i="21" s="1"/>
  <c r="AJ357" i="21"/>
  <c r="AE357" i="21"/>
  <c r="AR357" i="21" s="1"/>
  <c r="U357" i="21"/>
  <c r="AP357" i="21" s="1"/>
  <c r="Q357" i="21"/>
  <c r="K357" i="21"/>
  <c r="AN357" i="21" s="1"/>
  <c r="AS356" i="21"/>
  <c r="AJ356" i="21" s="1"/>
  <c r="AQ356" i="21"/>
  <c r="AP356" i="21"/>
  <c r="AO356" i="21"/>
  <c r="AE356" i="21"/>
  <c r="AR356" i="21" s="1"/>
  <c r="Z356" i="21"/>
  <c r="U356" i="21"/>
  <c r="Q356" i="21"/>
  <c r="P356" i="21"/>
  <c r="K356" i="21"/>
  <c r="AN356" i="21" s="1"/>
  <c r="AS355" i="21"/>
  <c r="AJ355" i="21" s="1"/>
  <c r="AR355" i="21"/>
  <c r="AQ355" i="21"/>
  <c r="AP355" i="21"/>
  <c r="AO355" i="21"/>
  <c r="P355" i="21" s="1"/>
  <c r="AE355" i="21"/>
  <c r="Z355" i="21"/>
  <c r="U355" i="21"/>
  <c r="Q355" i="21"/>
  <c r="K355" i="21"/>
  <c r="AN355" i="21" s="1"/>
  <c r="AS354" i="21"/>
  <c r="AJ354" i="21" s="1"/>
  <c r="AQ354" i="21"/>
  <c r="Z354" i="21" s="1"/>
  <c r="AO354" i="21"/>
  <c r="AN354" i="21"/>
  <c r="AE354" i="21"/>
  <c r="AR354" i="21" s="1"/>
  <c r="U354" i="21"/>
  <c r="AP354" i="21" s="1"/>
  <c r="Q354" i="21"/>
  <c r="P354" i="21"/>
  <c r="K354" i="21"/>
  <c r="AS353" i="21"/>
  <c r="AJ353" i="21" s="1"/>
  <c r="AR353" i="21"/>
  <c r="AQ353" i="21"/>
  <c r="Z353" i="21" s="1"/>
  <c r="AO353" i="21"/>
  <c r="AE353" i="21"/>
  <c r="U353" i="21"/>
  <c r="AP353" i="21" s="1"/>
  <c r="Q353" i="21"/>
  <c r="P353" i="21"/>
  <c r="K353" i="21"/>
  <c r="AN353" i="21" s="1"/>
  <c r="AS352" i="21"/>
  <c r="AQ352" i="21"/>
  <c r="Z352" i="21" s="1"/>
  <c r="AO352" i="21"/>
  <c r="P352" i="21" s="1"/>
  <c r="AJ352" i="21"/>
  <c r="AE352" i="21"/>
  <c r="AR352" i="21" s="1"/>
  <c r="U352" i="21"/>
  <c r="AP352" i="21" s="1"/>
  <c r="Q352" i="21"/>
  <c r="K352" i="21"/>
  <c r="AN352" i="21" s="1"/>
  <c r="AS351" i="21"/>
  <c r="AJ351" i="21" s="1"/>
  <c r="AQ351" i="21"/>
  <c r="Z351" i="21" s="1"/>
  <c r="AO351" i="21"/>
  <c r="AE351" i="21"/>
  <c r="AR351" i="21" s="1"/>
  <c r="U351" i="21"/>
  <c r="AP351" i="21" s="1"/>
  <c r="Q351" i="21"/>
  <c r="P351" i="21"/>
  <c r="K351" i="21"/>
  <c r="AN351" i="21" s="1"/>
  <c r="AS350" i="21"/>
  <c r="AJ350" i="21" s="1"/>
  <c r="AQ350" i="21"/>
  <c r="Z350" i="21" s="1"/>
  <c r="AO350" i="21"/>
  <c r="AE350" i="21"/>
  <c r="AR350" i="21" s="1"/>
  <c r="U350" i="21"/>
  <c r="AP350" i="21" s="1"/>
  <c r="Q350" i="21"/>
  <c r="P350" i="21"/>
  <c r="K350" i="21"/>
  <c r="AN350" i="21" s="1"/>
  <c r="AS349" i="21"/>
  <c r="AJ349" i="21" s="1"/>
  <c r="AR349" i="21"/>
  <c r="AQ349" i="21"/>
  <c r="Z349" i="21" s="1"/>
  <c r="AO349" i="21"/>
  <c r="AE349" i="21"/>
  <c r="U349" i="21"/>
  <c r="AP349" i="21" s="1"/>
  <c r="Q349" i="21"/>
  <c r="P349" i="21"/>
  <c r="K349" i="21"/>
  <c r="AN349" i="21" s="1"/>
  <c r="AS348" i="21"/>
  <c r="AQ348" i="21"/>
  <c r="Z348" i="21" s="1"/>
  <c r="AO348" i="21"/>
  <c r="P348" i="21" s="1"/>
  <c r="AJ348" i="21"/>
  <c r="AE348" i="21"/>
  <c r="AR348" i="21" s="1"/>
  <c r="U348" i="21"/>
  <c r="AP348" i="21" s="1"/>
  <c r="Q348" i="21"/>
  <c r="K348" i="21"/>
  <c r="AN348" i="21" s="1"/>
  <c r="AS347" i="21"/>
  <c r="AJ347" i="21" s="1"/>
  <c r="AQ347" i="21"/>
  <c r="Z347" i="21" s="1"/>
  <c r="AP347" i="21"/>
  <c r="AO347" i="21"/>
  <c r="P347" i="21" s="1"/>
  <c r="AE347" i="21"/>
  <c r="AR347" i="21" s="1"/>
  <c r="U347" i="21"/>
  <c r="Q347" i="21"/>
  <c r="K347" i="21"/>
  <c r="AN347" i="21" s="1"/>
  <c r="AS346" i="21"/>
  <c r="AJ346" i="21" s="1"/>
  <c r="AQ346" i="21"/>
  <c r="Z346" i="21" s="1"/>
  <c r="AO346" i="21"/>
  <c r="AN346" i="21"/>
  <c r="AE346" i="21"/>
  <c r="AR346" i="21" s="1"/>
  <c r="U346" i="21"/>
  <c r="AP346" i="21" s="1"/>
  <c r="Q346" i="21"/>
  <c r="P346" i="21"/>
  <c r="K346" i="21"/>
  <c r="AS345" i="21"/>
  <c r="AJ345" i="21" s="1"/>
  <c r="AR345" i="21"/>
  <c r="AQ345" i="21"/>
  <c r="Z345" i="21" s="1"/>
  <c r="AO345" i="21"/>
  <c r="P345" i="21" s="1"/>
  <c r="AE345" i="21"/>
  <c r="U345" i="21"/>
  <c r="AP345" i="21" s="1"/>
  <c r="Q345" i="21"/>
  <c r="K345" i="21"/>
  <c r="AN345" i="21" s="1"/>
  <c r="AS344" i="21"/>
  <c r="AQ344" i="21"/>
  <c r="Z344" i="21" s="1"/>
  <c r="AO344" i="21"/>
  <c r="P344" i="21" s="1"/>
  <c r="AJ344" i="21"/>
  <c r="AE344" i="21"/>
  <c r="AR344" i="21" s="1"/>
  <c r="U344" i="21"/>
  <c r="AP344" i="21" s="1"/>
  <c r="Q344" i="21"/>
  <c r="K344" i="21"/>
  <c r="AN344" i="21" s="1"/>
  <c r="AS343" i="21"/>
  <c r="AJ343" i="21" s="1"/>
  <c r="AQ343" i="21"/>
  <c r="Z343" i="21" s="1"/>
  <c r="AP343" i="21"/>
  <c r="AO343" i="21"/>
  <c r="P343" i="21" s="1"/>
  <c r="AE343" i="21"/>
  <c r="AR343" i="21" s="1"/>
  <c r="U343" i="21"/>
  <c r="Q343" i="21"/>
  <c r="K343" i="21"/>
  <c r="AN343" i="21" s="1"/>
  <c r="AS342" i="21"/>
  <c r="AJ342" i="21" s="1"/>
  <c r="AR342" i="21"/>
  <c r="AQ342" i="21"/>
  <c r="AO342" i="21"/>
  <c r="P342" i="21" s="1"/>
  <c r="AE342" i="21"/>
  <c r="Z342" i="21"/>
  <c r="U342" i="21"/>
  <c r="AP342" i="21" s="1"/>
  <c r="Q342" i="21"/>
  <c r="K342" i="21"/>
  <c r="AN342" i="21" s="1"/>
  <c r="AS341" i="21"/>
  <c r="AQ341" i="21"/>
  <c r="Z341" i="21" s="1"/>
  <c r="AO341" i="21"/>
  <c r="P341" i="21" s="1"/>
  <c r="AJ341" i="21"/>
  <c r="AE341" i="21"/>
  <c r="AR341" i="21" s="1"/>
  <c r="U341" i="21"/>
  <c r="AP341" i="21" s="1"/>
  <c r="Q341" i="21"/>
  <c r="K341" i="21"/>
  <c r="AN341" i="21" s="1"/>
  <c r="AS340" i="21"/>
  <c r="AJ340" i="21" s="1"/>
  <c r="AQ340" i="21"/>
  <c r="Z340" i="21" s="1"/>
  <c r="AO340" i="21"/>
  <c r="P340" i="21" s="1"/>
  <c r="AE340" i="21"/>
  <c r="AR340" i="21" s="1"/>
  <c r="U340" i="21"/>
  <c r="AP340" i="21" s="1"/>
  <c r="Q340" i="21"/>
  <c r="K340" i="21"/>
  <c r="AN340" i="21" s="1"/>
  <c r="AS339" i="21"/>
  <c r="AR339" i="21"/>
  <c r="AQ339" i="21"/>
  <c r="AO339" i="21"/>
  <c r="P339" i="21" s="1"/>
  <c r="AJ339" i="21"/>
  <c r="AE339" i="21"/>
  <c r="Z339" i="21"/>
  <c r="U339" i="21"/>
  <c r="AP339" i="21" s="1"/>
  <c r="Q339" i="21"/>
  <c r="K339" i="21"/>
  <c r="AN339" i="21" s="1"/>
  <c r="AS338" i="21"/>
  <c r="AJ338" i="21" s="1"/>
  <c r="AR338" i="21"/>
  <c r="AQ338" i="21"/>
  <c r="AO338" i="21"/>
  <c r="AE338" i="21"/>
  <c r="Z338" i="21"/>
  <c r="U338" i="21"/>
  <c r="AP338" i="21" s="1"/>
  <c r="Q338" i="21"/>
  <c r="P338" i="21"/>
  <c r="K338" i="21"/>
  <c r="AN338" i="21" s="1"/>
  <c r="AS337" i="21"/>
  <c r="AQ337" i="21"/>
  <c r="Z337" i="21" s="1"/>
  <c r="AP337" i="21"/>
  <c r="AO337" i="21"/>
  <c r="P337" i="21" s="1"/>
  <c r="AJ337" i="21"/>
  <c r="AE337" i="21"/>
  <c r="AR337" i="21" s="1"/>
  <c r="U337" i="21"/>
  <c r="Q337" i="21"/>
  <c r="K337" i="21"/>
  <c r="AN337" i="21" s="1"/>
  <c r="AS336" i="21"/>
  <c r="AJ336" i="21" s="1"/>
  <c r="AQ336" i="21"/>
  <c r="Z336" i="21" s="1"/>
  <c r="AO336" i="21"/>
  <c r="P336" i="21" s="1"/>
  <c r="AE336" i="21"/>
  <c r="AR336" i="21" s="1"/>
  <c r="U336" i="21"/>
  <c r="AP336" i="21" s="1"/>
  <c r="Q336" i="21"/>
  <c r="K336" i="21"/>
  <c r="AN336" i="21" s="1"/>
  <c r="AS335" i="21"/>
  <c r="AJ335" i="21" s="1"/>
  <c r="AQ335" i="21"/>
  <c r="AO335" i="21"/>
  <c r="P335" i="21" s="1"/>
  <c r="AN335" i="21"/>
  <c r="AE335" i="21"/>
  <c r="AR335" i="21" s="1"/>
  <c r="Z335" i="21"/>
  <c r="U335" i="21"/>
  <c r="AP335" i="21" s="1"/>
  <c r="Q335" i="21"/>
  <c r="K335" i="21"/>
  <c r="AS334" i="21"/>
  <c r="AJ334" i="21" s="1"/>
  <c r="AR334" i="21"/>
  <c r="AQ334" i="21"/>
  <c r="AO334" i="21"/>
  <c r="P334" i="21" s="1"/>
  <c r="AE334" i="21"/>
  <c r="Z334" i="21"/>
  <c r="U334" i="21"/>
  <c r="AP334" i="21" s="1"/>
  <c r="Q334" i="21"/>
  <c r="K334" i="21"/>
  <c r="AN334" i="21" s="1"/>
  <c r="AS333" i="21"/>
  <c r="AR333" i="21"/>
  <c r="AQ333" i="21"/>
  <c r="Z333" i="21" s="1"/>
  <c r="AO333" i="21"/>
  <c r="P333" i="21" s="1"/>
  <c r="AJ333" i="21"/>
  <c r="AE333" i="21"/>
  <c r="U333" i="21"/>
  <c r="AP333" i="21" s="1"/>
  <c r="Q333" i="21"/>
  <c r="K333" i="21"/>
  <c r="AN333" i="21" s="1"/>
  <c r="AS332" i="21"/>
  <c r="AJ332" i="21" s="1"/>
  <c r="AQ332" i="21"/>
  <c r="Z332" i="21" s="1"/>
  <c r="AO332" i="21"/>
  <c r="P332" i="21" s="1"/>
  <c r="AE332" i="21"/>
  <c r="AR332" i="21" s="1"/>
  <c r="U332" i="21"/>
  <c r="AP332" i="21" s="1"/>
  <c r="Q332" i="21"/>
  <c r="K332" i="21"/>
  <c r="AN332" i="21" s="1"/>
  <c r="AS331" i="21"/>
  <c r="AJ331" i="21" s="1"/>
  <c r="AQ331" i="21"/>
  <c r="AO331" i="21"/>
  <c r="P331" i="21" s="1"/>
  <c r="AE331" i="21"/>
  <c r="AR331" i="21" s="1"/>
  <c r="Z331" i="21"/>
  <c r="U331" i="21"/>
  <c r="AP331" i="21" s="1"/>
  <c r="Q331" i="21"/>
  <c r="K331" i="21"/>
  <c r="AN331" i="21" s="1"/>
  <c r="AS330" i="21"/>
  <c r="AJ330" i="21" s="1"/>
  <c r="AQ330" i="21"/>
  <c r="Z330" i="21" s="1"/>
  <c r="AO330" i="21"/>
  <c r="P330" i="21" s="1"/>
  <c r="AE330" i="21"/>
  <c r="AR330" i="21" s="1"/>
  <c r="U330" i="21"/>
  <c r="AP330" i="21" s="1"/>
  <c r="Q330" i="21"/>
  <c r="K330" i="21"/>
  <c r="AN330" i="21" s="1"/>
  <c r="AS329" i="21"/>
  <c r="AJ329" i="21" s="1"/>
  <c r="AR329" i="21"/>
  <c r="AQ329" i="21"/>
  <c r="AO329" i="21"/>
  <c r="P329" i="21" s="1"/>
  <c r="AE329" i="21"/>
  <c r="Z329" i="21"/>
  <c r="U329" i="21"/>
  <c r="AP329" i="21" s="1"/>
  <c r="Q329" i="21"/>
  <c r="K329" i="21"/>
  <c r="AN329" i="21" s="1"/>
  <c r="AS328" i="21"/>
  <c r="AQ328" i="21"/>
  <c r="Z328" i="21" s="1"/>
  <c r="AP328" i="21"/>
  <c r="AO328" i="21"/>
  <c r="P328" i="21" s="1"/>
  <c r="AJ328" i="21"/>
  <c r="AE328" i="21"/>
  <c r="AR328" i="21" s="1"/>
  <c r="U328" i="21"/>
  <c r="Q328" i="21"/>
  <c r="K328" i="21"/>
  <c r="AN328" i="21" s="1"/>
  <c r="AS327" i="21"/>
  <c r="AJ327" i="21" s="1"/>
  <c r="AQ327" i="21"/>
  <c r="Z327" i="21" s="1"/>
  <c r="AO327" i="21"/>
  <c r="AE327" i="21"/>
  <c r="AR327" i="21" s="1"/>
  <c r="U327" i="21"/>
  <c r="AP327" i="21" s="1"/>
  <c r="Q327" i="21"/>
  <c r="P327" i="21"/>
  <c r="K327" i="21"/>
  <c r="AN327" i="21" s="1"/>
  <c r="AS326" i="21"/>
  <c r="AJ326" i="21" s="1"/>
  <c r="AQ326" i="21"/>
  <c r="Z326" i="21" s="1"/>
  <c r="AO326" i="21"/>
  <c r="P326" i="21" s="1"/>
  <c r="AE326" i="21"/>
  <c r="AR326" i="21" s="1"/>
  <c r="U326" i="21"/>
  <c r="AP326" i="21" s="1"/>
  <c r="Q326" i="21"/>
  <c r="K326" i="21"/>
  <c r="AN326" i="21" s="1"/>
  <c r="AS325" i="21"/>
  <c r="AJ325" i="21" s="1"/>
  <c r="AR325" i="21"/>
  <c r="AQ325" i="21"/>
  <c r="AO325" i="21"/>
  <c r="AE325" i="21"/>
  <c r="Z325" i="21"/>
  <c r="U325" i="21"/>
  <c r="AP325" i="21" s="1"/>
  <c r="Q325" i="21"/>
  <c r="P325" i="21"/>
  <c r="K325" i="21"/>
  <c r="AN325" i="21" s="1"/>
  <c r="AS324" i="21"/>
  <c r="AQ324" i="21"/>
  <c r="Z324" i="21" s="1"/>
  <c r="AO324" i="21"/>
  <c r="P324" i="21" s="1"/>
  <c r="AJ324" i="21"/>
  <c r="AE324" i="21"/>
  <c r="AR324" i="21" s="1"/>
  <c r="U324" i="21"/>
  <c r="AP324" i="21" s="1"/>
  <c r="Q324" i="21"/>
  <c r="K324" i="21"/>
  <c r="AN324" i="21" s="1"/>
  <c r="AS323" i="21"/>
  <c r="AJ323" i="21" s="1"/>
  <c r="AR323" i="21"/>
  <c r="AQ323" i="21"/>
  <c r="AO323" i="21"/>
  <c r="P323" i="21" s="1"/>
  <c r="AE323" i="21"/>
  <c r="Z323" i="21"/>
  <c r="U323" i="21"/>
  <c r="AP323" i="21" s="1"/>
  <c r="Q323" i="21"/>
  <c r="K323" i="21"/>
  <c r="AN323" i="21" s="1"/>
  <c r="AS322" i="21"/>
  <c r="AJ322" i="21" s="1"/>
  <c r="AQ322" i="21"/>
  <c r="Z322" i="21" s="1"/>
  <c r="AO322" i="21"/>
  <c r="P322" i="21" s="1"/>
  <c r="AN322" i="21"/>
  <c r="AE322" i="21"/>
  <c r="AR322" i="21" s="1"/>
  <c r="U322" i="21"/>
  <c r="AP322" i="21" s="1"/>
  <c r="Q322" i="21"/>
  <c r="K322" i="21"/>
  <c r="AS321" i="21"/>
  <c r="AJ321" i="21" s="1"/>
  <c r="AR321" i="21"/>
  <c r="AQ321" i="21"/>
  <c r="Z321" i="21" s="1"/>
  <c r="AO321" i="21"/>
  <c r="P321" i="21" s="1"/>
  <c r="AE321" i="21"/>
  <c r="U321" i="21"/>
  <c r="AP321" i="21" s="1"/>
  <c r="Q321" i="21"/>
  <c r="K321" i="21"/>
  <c r="AN321" i="21" s="1"/>
  <c r="AS320" i="21"/>
  <c r="AQ320" i="21"/>
  <c r="Z320" i="21" s="1"/>
  <c r="AO320" i="21"/>
  <c r="P320" i="21" s="1"/>
  <c r="AJ320" i="21"/>
  <c r="AE320" i="21"/>
  <c r="AR320" i="21" s="1"/>
  <c r="U320" i="21"/>
  <c r="AP320" i="21" s="1"/>
  <c r="Q320" i="21"/>
  <c r="K320" i="21"/>
  <c r="AN320" i="21" s="1"/>
  <c r="AS319" i="21"/>
  <c r="AJ319" i="21" s="1"/>
  <c r="AQ319" i="21"/>
  <c r="Z319" i="21" s="1"/>
  <c r="AO319" i="21"/>
  <c r="AN319" i="21"/>
  <c r="AE319" i="21"/>
  <c r="AR319" i="21" s="1"/>
  <c r="U319" i="21"/>
  <c r="AP319" i="21" s="1"/>
  <c r="Q319" i="21"/>
  <c r="P319" i="21"/>
  <c r="K319" i="21"/>
  <c r="AS318" i="21"/>
  <c r="AJ318" i="21" s="1"/>
  <c r="AQ318" i="21"/>
  <c r="AO318" i="21"/>
  <c r="P318" i="21" s="1"/>
  <c r="AE318" i="21"/>
  <c r="AR318" i="21" s="1"/>
  <c r="Z318" i="21"/>
  <c r="U318" i="21"/>
  <c r="AP318" i="21" s="1"/>
  <c r="Q318" i="21"/>
  <c r="K318" i="21"/>
  <c r="AN318" i="21" s="1"/>
  <c r="AS317" i="21"/>
  <c r="AJ317" i="21" s="1"/>
  <c r="AR317" i="21"/>
  <c r="AQ317" i="21"/>
  <c r="Z317" i="21" s="1"/>
  <c r="AO317" i="21"/>
  <c r="AE317" i="21"/>
  <c r="U317" i="21"/>
  <c r="AP317" i="21" s="1"/>
  <c r="Q317" i="21"/>
  <c r="P317" i="21"/>
  <c r="K317" i="21"/>
  <c r="AN317" i="21" s="1"/>
  <c r="AS316" i="21"/>
  <c r="AQ316" i="21"/>
  <c r="Z316" i="21" s="1"/>
  <c r="AO316" i="21"/>
  <c r="P316" i="21" s="1"/>
  <c r="AJ316" i="21"/>
  <c r="AE316" i="21"/>
  <c r="AR316" i="21" s="1"/>
  <c r="U316" i="21"/>
  <c r="AP316" i="21" s="1"/>
  <c r="Q316" i="21"/>
  <c r="K316" i="21"/>
  <c r="AN316" i="21" s="1"/>
  <c r="AS315" i="21"/>
  <c r="AJ315" i="21" s="1"/>
  <c r="AQ315" i="21"/>
  <c r="AP315" i="21"/>
  <c r="AO315" i="21"/>
  <c r="P315" i="21" s="1"/>
  <c r="AE315" i="21"/>
  <c r="AR315" i="21" s="1"/>
  <c r="Z315" i="21"/>
  <c r="U315" i="21"/>
  <c r="Q315" i="21"/>
  <c r="K315" i="21"/>
  <c r="AN315" i="21" s="1"/>
  <c r="AS314" i="21"/>
  <c r="AJ314" i="21" s="1"/>
  <c r="AQ314" i="21"/>
  <c r="Z314" i="21" s="1"/>
  <c r="AO314" i="21"/>
  <c r="AE314" i="21"/>
  <c r="AR314" i="21" s="1"/>
  <c r="U314" i="21"/>
  <c r="AP314" i="21" s="1"/>
  <c r="Q314" i="21"/>
  <c r="P314" i="21"/>
  <c r="K314" i="21"/>
  <c r="AN314" i="21" s="1"/>
  <c r="AS313" i="21"/>
  <c r="AQ313" i="21"/>
  <c r="AO313" i="21"/>
  <c r="AJ313" i="21"/>
  <c r="AE313" i="21"/>
  <c r="AR313" i="21" s="1"/>
  <c r="Z313" i="21"/>
  <c r="U313" i="21"/>
  <c r="AP313" i="21" s="1"/>
  <c r="Q313" i="21"/>
  <c r="P313" i="21"/>
  <c r="K313" i="21"/>
  <c r="AN313" i="21" s="1"/>
  <c r="AS312" i="21"/>
  <c r="AJ312" i="21" s="1"/>
  <c r="AQ312" i="21"/>
  <c r="Z312" i="21" s="1"/>
  <c r="AP312" i="21"/>
  <c r="AO312" i="21"/>
  <c r="P312" i="21" s="1"/>
  <c r="AE312" i="21"/>
  <c r="AR312" i="21" s="1"/>
  <c r="U312" i="21"/>
  <c r="Q312" i="21"/>
  <c r="K312" i="21"/>
  <c r="AN312" i="21" s="1"/>
  <c r="AS311" i="21"/>
  <c r="AJ311" i="21" s="1"/>
  <c r="AQ311" i="21"/>
  <c r="AP311" i="21"/>
  <c r="AO311" i="21"/>
  <c r="AE311" i="21"/>
  <c r="AR311" i="21" s="1"/>
  <c r="Z311" i="21"/>
  <c r="U311" i="21"/>
  <c r="Q311" i="21"/>
  <c r="P311" i="21"/>
  <c r="K311" i="21"/>
  <c r="AN311" i="21" s="1"/>
  <c r="AS310" i="21"/>
  <c r="AJ310" i="21" s="1"/>
  <c r="AQ310" i="21"/>
  <c r="Z310" i="21" s="1"/>
  <c r="AO310" i="21"/>
  <c r="AE310" i="21"/>
  <c r="AR310" i="21" s="1"/>
  <c r="U310" i="21"/>
  <c r="AP310" i="21" s="1"/>
  <c r="Q310" i="21"/>
  <c r="P310" i="21"/>
  <c r="K310" i="21"/>
  <c r="AN310" i="21" s="1"/>
  <c r="AS309" i="21"/>
  <c r="AQ309" i="21"/>
  <c r="AO309" i="21"/>
  <c r="AJ309" i="21"/>
  <c r="AE309" i="21"/>
  <c r="AR309" i="21" s="1"/>
  <c r="Z309" i="21"/>
  <c r="U309" i="21"/>
  <c r="AP309" i="21" s="1"/>
  <c r="Q309" i="21"/>
  <c r="P309" i="21"/>
  <c r="K309" i="21"/>
  <c r="AN309" i="21" s="1"/>
  <c r="AS308" i="21"/>
  <c r="AJ308" i="21" s="1"/>
  <c r="AQ308" i="21"/>
  <c r="Z308" i="21" s="1"/>
  <c r="AO308" i="21"/>
  <c r="P308" i="21" s="1"/>
  <c r="AE308" i="21"/>
  <c r="AR308" i="21" s="1"/>
  <c r="U308" i="21"/>
  <c r="AP308" i="21" s="1"/>
  <c r="Q308" i="21"/>
  <c r="K308" i="21"/>
  <c r="AN308" i="21" s="1"/>
  <c r="AS307" i="21"/>
  <c r="AQ307" i="21"/>
  <c r="AP307" i="21"/>
  <c r="AO307" i="21"/>
  <c r="P307" i="21" s="1"/>
  <c r="AJ307" i="21"/>
  <c r="AE307" i="21"/>
  <c r="AR307" i="21" s="1"/>
  <c r="Z307" i="21"/>
  <c r="U307" i="21"/>
  <c r="Q307" i="21"/>
  <c r="K307" i="21"/>
  <c r="AN307" i="21" s="1"/>
  <c r="AS306" i="21"/>
  <c r="AJ306" i="21" s="1"/>
  <c r="AQ306" i="21"/>
  <c r="Z306" i="21" s="1"/>
  <c r="AO306" i="21"/>
  <c r="P306" i="21" s="1"/>
  <c r="AE306" i="21"/>
  <c r="AR306" i="21" s="1"/>
  <c r="U306" i="21"/>
  <c r="AP306" i="21" s="1"/>
  <c r="Q306" i="21"/>
  <c r="K306" i="21"/>
  <c r="AN306" i="21" s="1"/>
  <c r="AS305" i="21"/>
  <c r="AQ305" i="21"/>
  <c r="Z305" i="21" s="1"/>
  <c r="AO305" i="21"/>
  <c r="AJ305" i="21"/>
  <c r="AE305" i="21"/>
  <c r="AR305" i="21" s="1"/>
  <c r="U305" i="21"/>
  <c r="AP305" i="21" s="1"/>
  <c r="Q305" i="21"/>
  <c r="P305" i="21"/>
  <c r="K305" i="21"/>
  <c r="AN305" i="21" s="1"/>
  <c r="AS304" i="21"/>
  <c r="AJ304" i="21" s="1"/>
  <c r="AQ304" i="21"/>
  <c r="Z304" i="21" s="1"/>
  <c r="AO304" i="21"/>
  <c r="P304" i="21" s="1"/>
  <c r="AE304" i="21"/>
  <c r="AR304" i="21" s="1"/>
  <c r="U304" i="21"/>
  <c r="AP304" i="21" s="1"/>
  <c r="Q304" i="21"/>
  <c r="K304" i="21"/>
  <c r="AN304" i="21" s="1"/>
  <c r="AS303" i="21"/>
  <c r="AQ303" i="21"/>
  <c r="Z303" i="21" s="1"/>
  <c r="AO303" i="21"/>
  <c r="AJ303" i="21"/>
  <c r="AE303" i="21"/>
  <c r="AR303" i="21" s="1"/>
  <c r="U303" i="21"/>
  <c r="AP303" i="21" s="1"/>
  <c r="Q303" i="21"/>
  <c r="P303" i="21"/>
  <c r="K303" i="21"/>
  <c r="AN303" i="21" s="1"/>
  <c r="AS302" i="21"/>
  <c r="AJ302" i="21" s="1"/>
  <c r="AQ302" i="21"/>
  <c r="AO302" i="21"/>
  <c r="AE302" i="21"/>
  <c r="AR302" i="21" s="1"/>
  <c r="Z302" i="21"/>
  <c r="U302" i="21"/>
  <c r="AP302" i="21" s="1"/>
  <c r="Q302" i="21"/>
  <c r="P302" i="21"/>
  <c r="K302" i="21"/>
  <c r="AN302" i="21" s="1"/>
  <c r="AS301" i="21"/>
  <c r="AR301" i="21"/>
  <c r="AQ301" i="21"/>
  <c r="Z301" i="21" s="1"/>
  <c r="AO301" i="21"/>
  <c r="AJ301" i="21"/>
  <c r="AE301" i="21"/>
  <c r="U301" i="21"/>
  <c r="AP301" i="21" s="1"/>
  <c r="Q301" i="21"/>
  <c r="P301" i="21"/>
  <c r="K301" i="21"/>
  <c r="AN301" i="21" s="1"/>
  <c r="AS300" i="21"/>
  <c r="AJ300" i="21" s="1"/>
  <c r="AQ300" i="21"/>
  <c r="AO300" i="21"/>
  <c r="AE300" i="21"/>
  <c r="AR300" i="21" s="1"/>
  <c r="Z300" i="21"/>
  <c r="U300" i="21"/>
  <c r="AP300" i="21" s="1"/>
  <c r="Q300" i="21"/>
  <c r="P300" i="21"/>
  <c r="K300" i="21"/>
  <c r="AN300" i="21" s="1"/>
  <c r="AS299" i="21"/>
  <c r="AJ299" i="21" s="1"/>
  <c r="AR299" i="21"/>
  <c r="AQ299" i="21"/>
  <c r="Z299" i="21" s="1"/>
  <c r="AP299" i="21"/>
  <c r="AO299" i="21"/>
  <c r="P299" i="21" s="1"/>
  <c r="AE299" i="21"/>
  <c r="U299" i="21"/>
  <c r="Q299" i="21"/>
  <c r="K299" i="21"/>
  <c r="AN299" i="21" s="1"/>
  <c r="AS298" i="21"/>
  <c r="AJ298" i="21" s="1"/>
  <c r="AQ298" i="21"/>
  <c r="Z298" i="21" s="1"/>
  <c r="AO298" i="21"/>
  <c r="AE298" i="21"/>
  <c r="AR298" i="21" s="1"/>
  <c r="U298" i="21"/>
  <c r="AP298" i="21" s="1"/>
  <c r="Q298" i="21"/>
  <c r="P298" i="21"/>
  <c r="K298" i="21"/>
  <c r="AN298" i="21" s="1"/>
  <c r="AS297" i="21"/>
  <c r="AQ297" i="21"/>
  <c r="Z297" i="21" s="1"/>
  <c r="AO297" i="21"/>
  <c r="P297" i="21" s="1"/>
  <c r="AJ297" i="21"/>
  <c r="AE297" i="21"/>
  <c r="AR297" i="21" s="1"/>
  <c r="U297" i="21"/>
  <c r="AP297" i="21" s="1"/>
  <c r="Q297" i="21"/>
  <c r="K297" i="21"/>
  <c r="AN297" i="21" s="1"/>
  <c r="AS296" i="21"/>
  <c r="AJ296" i="21" s="1"/>
  <c r="AQ296" i="21"/>
  <c r="Z296" i="21" s="1"/>
  <c r="AO296" i="21"/>
  <c r="P296" i="21" s="1"/>
  <c r="AE296" i="21"/>
  <c r="AR296" i="21" s="1"/>
  <c r="U296" i="21"/>
  <c r="AP296" i="21" s="1"/>
  <c r="Q296" i="21"/>
  <c r="K296" i="21"/>
  <c r="AN296" i="21" s="1"/>
  <c r="AS295" i="21"/>
  <c r="AJ295" i="21" s="1"/>
  <c r="AQ295" i="21"/>
  <c r="AO295" i="21"/>
  <c r="P295" i="21" s="1"/>
  <c r="AE295" i="21"/>
  <c r="AR295" i="21" s="1"/>
  <c r="Z295" i="21"/>
  <c r="U295" i="21"/>
  <c r="AP295" i="21" s="1"/>
  <c r="Q295" i="21"/>
  <c r="K295" i="21"/>
  <c r="AN295" i="21" s="1"/>
  <c r="AS294" i="21"/>
  <c r="AJ294" i="21" s="1"/>
  <c r="AQ294" i="21"/>
  <c r="Z294" i="21" s="1"/>
  <c r="AO294" i="21"/>
  <c r="P294" i="21" s="1"/>
  <c r="AE294" i="21"/>
  <c r="AR294" i="21" s="1"/>
  <c r="U294" i="21"/>
  <c r="AP294" i="21" s="1"/>
  <c r="Q294" i="21"/>
  <c r="K294" i="21"/>
  <c r="AN294" i="21" s="1"/>
  <c r="AS293" i="21"/>
  <c r="AJ293" i="21" s="1"/>
  <c r="AQ293" i="21"/>
  <c r="AO293" i="21"/>
  <c r="P293" i="21" s="1"/>
  <c r="AE293" i="21"/>
  <c r="AR293" i="21" s="1"/>
  <c r="Z293" i="21"/>
  <c r="U293" i="21"/>
  <c r="AP293" i="21" s="1"/>
  <c r="Q293" i="21"/>
  <c r="K293" i="21"/>
  <c r="AN293" i="21" s="1"/>
  <c r="AS292" i="21"/>
  <c r="AJ292" i="21" s="1"/>
  <c r="AQ292" i="21"/>
  <c r="Z292" i="21" s="1"/>
  <c r="AP292" i="21"/>
  <c r="AO292" i="21"/>
  <c r="P292" i="21" s="1"/>
  <c r="AE292" i="21"/>
  <c r="AR292" i="21" s="1"/>
  <c r="U292" i="21"/>
  <c r="Q292" i="21"/>
  <c r="K292" i="21"/>
  <c r="AN292" i="21" s="1"/>
  <c r="AS291" i="21"/>
  <c r="AJ291" i="21" s="1"/>
  <c r="AQ291" i="21"/>
  <c r="AO291" i="21"/>
  <c r="P291" i="21" s="1"/>
  <c r="AN291" i="21"/>
  <c r="AE291" i="21"/>
  <c r="AR291" i="21" s="1"/>
  <c r="Z291" i="21"/>
  <c r="U291" i="21"/>
  <c r="AP291" i="21" s="1"/>
  <c r="Q291" i="21"/>
  <c r="K291" i="21"/>
  <c r="AS290" i="21"/>
  <c r="AJ290" i="21" s="1"/>
  <c r="AR290" i="21"/>
  <c r="AQ290" i="21"/>
  <c r="Z290" i="21" s="1"/>
  <c r="AO290" i="21"/>
  <c r="P290" i="21" s="1"/>
  <c r="AN290" i="21"/>
  <c r="AE290" i="21"/>
  <c r="U290" i="21"/>
  <c r="AP290" i="21" s="1"/>
  <c r="Q290" i="21"/>
  <c r="K290" i="21"/>
  <c r="AS289" i="21"/>
  <c r="AJ289" i="21" s="1"/>
  <c r="AR289" i="21"/>
  <c r="AQ289" i="21"/>
  <c r="AO289" i="21"/>
  <c r="AE289" i="21"/>
  <c r="Z289" i="21"/>
  <c r="U289" i="21"/>
  <c r="AP289" i="21" s="1"/>
  <c r="Q289" i="21"/>
  <c r="P289" i="21"/>
  <c r="K289" i="21"/>
  <c r="AN289" i="21" s="1"/>
  <c r="AS288" i="21"/>
  <c r="AJ288" i="21" s="1"/>
  <c r="AQ288" i="21"/>
  <c r="AP288" i="21"/>
  <c r="AO288" i="21"/>
  <c r="P288" i="21" s="1"/>
  <c r="AE288" i="21"/>
  <c r="AR288" i="21" s="1"/>
  <c r="Z288" i="21"/>
  <c r="U288" i="21"/>
  <c r="Q288" i="21"/>
  <c r="K288" i="21"/>
  <c r="AN288" i="21" s="1"/>
  <c r="AS287" i="21"/>
  <c r="AQ287" i="21"/>
  <c r="AO287" i="21"/>
  <c r="P287" i="21" s="1"/>
  <c r="AJ287" i="21"/>
  <c r="AE287" i="21"/>
  <c r="AR287" i="21" s="1"/>
  <c r="Z287" i="21"/>
  <c r="U287" i="21"/>
  <c r="AP287" i="21" s="1"/>
  <c r="Q287" i="21"/>
  <c r="K287" i="21"/>
  <c r="AN287" i="21" s="1"/>
  <c r="AS286" i="21"/>
  <c r="AJ286" i="21" s="1"/>
  <c r="AQ286" i="21"/>
  <c r="Z286" i="21" s="1"/>
  <c r="AO286" i="21"/>
  <c r="AE286" i="21"/>
  <c r="AR286" i="21" s="1"/>
  <c r="U286" i="21"/>
  <c r="AP286" i="21" s="1"/>
  <c r="Q286" i="21"/>
  <c r="P286" i="21"/>
  <c r="K286" i="21"/>
  <c r="AN286" i="21" s="1"/>
  <c r="AS285" i="21"/>
  <c r="AQ285" i="21"/>
  <c r="AO285" i="21"/>
  <c r="AJ285" i="21"/>
  <c r="AE285" i="21"/>
  <c r="AR285" i="21" s="1"/>
  <c r="Z285" i="21"/>
  <c r="U285" i="21"/>
  <c r="AP285" i="21" s="1"/>
  <c r="Q285" i="21"/>
  <c r="P285" i="21"/>
  <c r="K285" i="21"/>
  <c r="AN285" i="21" s="1"/>
  <c r="AS284" i="21"/>
  <c r="AJ284" i="21" s="1"/>
  <c r="AQ284" i="21"/>
  <c r="Z284" i="21" s="1"/>
  <c r="AO284" i="21"/>
  <c r="P284" i="21" s="1"/>
  <c r="AE284" i="21"/>
  <c r="AR284" i="21" s="1"/>
  <c r="U284" i="21"/>
  <c r="AP284" i="21" s="1"/>
  <c r="Q284" i="21"/>
  <c r="K284" i="21"/>
  <c r="AN284" i="21" s="1"/>
  <c r="AS283" i="21"/>
  <c r="AJ283" i="21" s="1"/>
  <c r="AQ283" i="21"/>
  <c r="AO283" i="21"/>
  <c r="P283" i="21" s="1"/>
  <c r="AE283" i="21"/>
  <c r="AR283" i="21" s="1"/>
  <c r="Z283" i="21"/>
  <c r="U283" i="21"/>
  <c r="AP283" i="21" s="1"/>
  <c r="Q283" i="21"/>
  <c r="K283" i="21"/>
  <c r="AN283" i="21" s="1"/>
  <c r="AS282" i="21"/>
  <c r="AJ282" i="21" s="1"/>
  <c r="AR282" i="21"/>
  <c r="AQ282" i="21"/>
  <c r="Z282" i="21" s="1"/>
  <c r="AO282" i="21"/>
  <c r="P282" i="21" s="1"/>
  <c r="AE282" i="21"/>
  <c r="U282" i="21"/>
  <c r="AP282" i="21" s="1"/>
  <c r="Q282" i="21"/>
  <c r="K282" i="21"/>
  <c r="AN282" i="21" s="1"/>
  <c r="AS281" i="21"/>
  <c r="AQ281" i="21"/>
  <c r="AO281" i="21"/>
  <c r="AJ281" i="21"/>
  <c r="AE281" i="21"/>
  <c r="AR281" i="21" s="1"/>
  <c r="Z281" i="21"/>
  <c r="U281" i="21"/>
  <c r="AP281" i="21" s="1"/>
  <c r="Q281" i="21"/>
  <c r="P281" i="21"/>
  <c r="K281" i="21"/>
  <c r="AN281" i="21" s="1"/>
  <c r="AS280" i="21"/>
  <c r="AJ280" i="21" s="1"/>
  <c r="AQ280" i="21"/>
  <c r="Z280" i="21" s="1"/>
  <c r="AP280" i="21"/>
  <c r="AO280" i="21"/>
  <c r="P280" i="21" s="1"/>
  <c r="AE280" i="21"/>
  <c r="AR280" i="21" s="1"/>
  <c r="U280" i="21"/>
  <c r="Q280" i="21"/>
  <c r="K280" i="21"/>
  <c r="AN280" i="21" s="1"/>
  <c r="AS279" i="21"/>
  <c r="AQ279" i="21"/>
  <c r="Z279" i="21" s="1"/>
  <c r="AO279" i="21"/>
  <c r="AJ279" i="21"/>
  <c r="AE279" i="21"/>
  <c r="AR279" i="21" s="1"/>
  <c r="U279" i="21"/>
  <c r="AP279" i="21" s="1"/>
  <c r="Q279" i="21"/>
  <c r="P279" i="21"/>
  <c r="K279" i="21"/>
  <c r="AN279" i="21" s="1"/>
  <c r="AS278" i="21"/>
  <c r="AJ278" i="21" s="1"/>
  <c r="AQ278" i="21"/>
  <c r="AO278" i="21"/>
  <c r="AE278" i="21"/>
  <c r="AR278" i="21" s="1"/>
  <c r="Z278" i="21"/>
  <c r="U278" i="21"/>
  <c r="AP278" i="21" s="1"/>
  <c r="Q278" i="21"/>
  <c r="P278" i="21"/>
  <c r="K278" i="21"/>
  <c r="AN278" i="21" s="1"/>
  <c r="AS277" i="21"/>
  <c r="AQ277" i="21"/>
  <c r="Z277" i="21" s="1"/>
  <c r="AO277" i="21"/>
  <c r="AJ277" i="21"/>
  <c r="AE277" i="21"/>
  <c r="AR277" i="21" s="1"/>
  <c r="U277" i="21"/>
  <c r="AP277" i="21" s="1"/>
  <c r="Q277" i="21"/>
  <c r="P277" i="21"/>
  <c r="K277" i="21"/>
  <c r="AN277" i="21" s="1"/>
  <c r="AS276" i="21"/>
  <c r="AJ276" i="21" s="1"/>
  <c r="AQ276" i="21"/>
  <c r="Z276" i="21" s="1"/>
  <c r="AO276" i="21"/>
  <c r="P276" i="21" s="1"/>
  <c r="AE276" i="21"/>
  <c r="AR276" i="21" s="1"/>
  <c r="U276" i="21"/>
  <c r="AP276" i="21" s="1"/>
  <c r="Q276" i="21"/>
  <c r="K276" i="21"/>
  <c r="AN276" i="21" s="1"/>
  <c r="AS275" i="21"/>
  <c r="AJ275" i="21" s="1"/>
  <c r="AQ275" i="21"/>
  <c r="AO275" i="21"/>
  <c r="P275" i="21" s="1"/>
  <c r="AE275" i="21"/>
  <c r="AR275" i="21" s="1"/>
  <c r="Z275" i="21"/>
  <c r="U275" i="21"/>
  <c r="AP275" i="21" s="1"/>
  <c r="Q275" i="21"/>
  <c r="K275" i="21"/>
  <c r="AN275" i="21" s="1"/>
  <c r="AS274" i="21"/>
  <c r="AJ274" i="21" s="1"/>
  <c r="AQ274" i="21"/>
  <c r="Z274" i="21" s="1"/>
  <c r="AO274" i="21"/>
  <c r="P274" i="21" s="1"/>
  <c r="AN274" i="21"/>
  <c r="AE274" i="21"/>
  <c r="AR274" i="21" s="1"/>
  <c r="U274" i="21"/>
  <c r="AP274" i="21" s="1"/>
  <c r="Q274" i="21"/>
  <c r="K274" i="21"/>
  <c r="AS273" i="21"/>
  <c r="AJ273" i="21" s="1"/>
  <c r="AR273" i="21"/>
  <c r="AQ273" i="21"/>
  <c r="AO273" i="21"/>
  <c r="P273" i="21" s="1"/>
  <c r="AN273" i="21"/>
  <c r="AE273" i="21"/>
  <c r="Z273" i="21"/>
  <c r="U273" i="21"/>
  <c r="AP273" i="21" s="1"/>
  <c r="Q273" i="21"/>
  <c r="K273" i="21"/>
  <c r="AS272" i="21"/>
  <c r="AQ272" i="21"/>
  <c r="Z272" i="21" s="1"/>
  <c r="AO272" i="21"/>
  <c r="P272" i="21" s="1"/>
  <c r="AJ272" i="21"/>
  <c r="AE272" i="21"/>
  <c r="AR272" i="21" s="1"/>
  <c r="U272" i="21"/>
  <c r="AP272" i="21" s="1"/>
  <c r="Q272" i="21"/>
  <c r="K272" i="21"/>
  <c r="AN272" i="21" s="1"/>
  <c r="AS271" i="21"/>
  <c r="AJ271" i="21" s="1"/>
  <c r="AQ271" i="21"/>
  <c r="Z271" i="21" s="1"/>
  <c r="AO271" i="21"/>
  <c r="P271" i="21" s="1"/>
  <c r="AN271" i="21"/>
  <c r="AE271" i="21"/>
  <c r="AR271" i="21" s="1"/>
  <c r="U271" i="21"/>
  <c r="AP271" i="21" s="1"/>
  <c r="Q271" i="21"/>
  <c r="K271" i="21"/>
  <c r="AS270" i="21"/>
  <c r="AJ270" i="21" s="1"/>
  <c r="AQ270" i="21"/>
  <c r="Z270" i="21" s="1"/>
  <c r="AO270" i="21"/>
  <c r="P270" i="21" s="1"/>
  <c r="AE270" i="21"/>
  <c r="AR270" i="21" s="1"/>
  <c r="U270" i="21"/>
  <c r="AP270" i="21" s="1"/>
  <c r="Q270" i="21"/>
  <c r="K270" i="21"/>
  <c r="AN270" i="21" s="1"/>
  <c r="AS269" i="21"/>
  <c r="AJ269" i="21" s="1"/>
  <c r="AR269" i="21"/>
  <c r="AQ269" i="21"/>
  <c r="AO269" i="21"/>
  <c r="P269" i="21" s="1"/>
  <c r="AE269" i="21"/>
  <c r="Z269" i="21"/>
  <c r="U269" i="21"/>
  <c r="AP269" i="21" s="1"/>
  <c r="Q269" i="21"/>
  <c r="K269" i="21"/>
  <c r="AN269" i="21" s="1"/>
  <c r="AS268" i="21"/>
  <c r="AQ268" i="21"/>
  <c r="Z268" i="21" s="1"/>
  <c r="AO268" i="21"/>
  <c r="P268" i="21" s="1"/>
  <c r="AJ268" i="21"/>
  <c r="AE268" i="21"/>
  <c r="AR268" i="21" s="1"/>
  <c r="U268" i="21"/>
  <c r="AP268" i="21" s="1"/>
  <c r="Q268" i="21"/>
  <c r="K268" i="21"/>
  <c r="AN268" i="21" s="1"/>
  <c r="AS267" i="21"/>
  <c r="AJ267" i="21" s="1"/>
  <c r="AR267" i="21"/>
  <c r="AQ267" i="21"/>
  <c r="Z267" i="21" s="1"/>
  <c r="AO267" i="21"/>
  <c r="P267" i="21" s="1"/>
  <c r="AE267" i="21"/>
  <c r="U267" i="21"/>
  <c r="AP267" i="21" s="1"/>
  <c r="Q267" i="21"/>
  <c r="K267" i="21"/>
  <c r="AN267" i="21" s="1"/>
  <c r="AS266" i="21"/>
  <c r="AJ266" i="21" s="1"/>
  <c r="AQ266" i="21"/>
  <c r="AO266" i="21"/>
  <c r="AE266" i="21"/>
  <c r="AR266" i="21" s="1"/>
  <c r="Z266" i="21"/>
  <c r="U266" i="21"/>
  <c r="AP266" i="21" s="1"/>
  <c r="Q266" i="21"/>
  <c r="P266" i="21"/>
  <c r="K266" i="21"/>
  <c r="AN266" i="21" s="1"/>
  <c r="AS265" i="21"/>
  <c r="AJ265" i="21" s="1"/>
  <c r="AR265" i="21"/>
  <c r="AQ265" i="21"/>
  <c r="AO265" i="21"/>
  <c r="P265" i="21" s="1"/>
  <c r="AE265" i="21"/>
  <c r="Z265" i="21"/>
  <c r="U265" i="21"/>
  <c r="AP265" i="21" s="1"/>
  <c r="Q265" i="21"/>
  <c r="K265" i="21"/>
  <c r="AN265" i="21" s="1"/>
  <c r="AS264" i="21"/>
  <c r="AQ264" i="21"/>
  <c r="AO264" i="21"/>
  <c r="AJ264" i="21"/>
  <c r="AE264" i="21"/>
  <c r="AR264" i="21" s="1"/>
  <c r="Z264" i="21"/>
  <c r="U264" i="21"/>
  <c r="AP264" i="21" s="1"/>
  <c r="Q264" i="21"/>
  <c r="P264" i="21"/>
  <c r="K264" i="21"/>
  <c r="AN264" i="21" s="1"/>
  <c r="AS263" i="21"/>
  <c r="AJ263" i="21" s="1"/>
  <c r="AQ263" i="21"/>
  <c r="Z263" i="21" s="1"/>
  <c r="AO263" i="21"/>
  <c r="P263" i="21" s="1"/>
  <c r="AE263" i="21"/>
  <c r="AR263" i="21" s="1"/>
  <c r="U263" i="21"/>
  <c r="AP263" i="21" s="1"/>
  <c r="Q263" i="21"/>
  <c r="K263" i="21"/>
  <c r="AN263" i="21" s="1"/>
  <c r="AS262" i="21"/>
  <c r="AJ262" i="21" s="1"/>
  <c r="AQ262" i="21"/>
  <c r="AO262" i="21"/>
  <c r="AE262" i="21"/>
  <c r="AR262" i="21" s="1"/>
  <c r="Z262" i="21"/>
  <c r="U262" i="21"/>
  <c r="AP262" i="21" s="1"/>
  <c r="Q262" i="21"/>
  <c r="P262" i="21"/>
  <c r="K262" i="21"/>
  <c r="AN262" i="21" s="1"/>
  <c r="AS261" i="21"/>
  <c r="AJ261" i="21" s="1"/>
  <c r="AQ261" i="21"/>
  <c r="AP261" i="21"/>
  <c r="AO261" i="21"/>
  <c r="AE261" i="21"/>
  <c r="AR261" i="21" s="1"/>
  <c r="Z261" i="21"/>
  <c r="U261" i="21"/>
  <c r="Q261" i="21"/>
  <c r="P261" i="21"/>
  <c r="K261" i="21"/>
  <c r="AN261" i="21" s="1"/>
  <c r="AS260" i="21"/>
  <c r="AQ260" i="21"/>
  <c r="Z260" i="21" s="1"/>
  <c r="AO260" i="21"/>
  <c r="AJ260" i="21"/>
  <c r="AE260" i="21"/>
  <c r="AR260" i="21" s="1"/>
  <c r="U260" i="21"/>
  <c r="AP260" i="21" s="1"/>
  <c r="Q260" i="21"/>
  <c r="P260" i="21"/>
  <c r="K260" i="21"/>
  <c r="AN260" i="21" s="1"/>
  <c r="AS259" i="21"/>
  <c r="AJ259" i="21" s="1"/>
  <c r="AQ259" i="21"/>
  <c r="AO259" i="21"/>
  <c r="P259" i="21" s="1"/>
  <c r="AE259" i="21"/>
  <c r="AR259" i="21" s="1"/>
  <c r="Z259" i="21"/>
  <c r="U259" i="21"/>
  <c r="AP259" i="21" s="1"/>
  <c r="Q259" i="21"/>
  <c r="K259" i="21"/>
  <c r="AN259" i="21" s="1"/>
  <c r="AS258" i="21"/>
  <c r="AJ258" i="21" s="1"/>
  <c r="AQ258" i="21"/>
  <c r="AO258" i="21"/>
  <c r="AE258" i="21"/>
  <c r="AR258" i="21" s="1"/>
  <c r="Z258" i="21"/>
  <c r="U258" i="21"/>
  <c r="AP258" i="21" s="1"/>
  <c r="Q258" i="21"/>
  <c r="P258" i="21"/>
  <c r="K258" i="21"/>
  <c r="AN258" i="21" s="1"/>
  <c r="AS257" i="21"/>
  <c r="AJ257" i="21" s="1"/>
  <c r="AQ257" i="21"/>
  <c r="Z257" i="21" s="1"/>
  <c r="AO257" i="21"/>
  <c r="AE257" i="21"/>
  <c r="AR257" i="21" s="1"/>
  <c r="U257" i="21"/>
  <c r="AP257" i="21" s="1"/>
  <c r="Q257" i="21"/>
  <c r="P257" i="21"/>
  <c r="K257" i="21"/>
  <c r="AN257" i="21" s="1"/>
  <c r="AS256" i="21"/>
  <c r="AQ256" i="21"/>
  <c r="AO256" i="21"/>
  <c r="AJ256" i="21"/>
  <c r="AE256" i="21"/>
  <c r="AR256" i="21" s="1"/>
  <c r="Z256" i="21"/>
  <c r="U256" i="21"/>
  <c r="AP256" i="21" s="1"/>
  <c r="Q256" i="21"/>
  <c r="P256" i="21"/>
  <c r="K256" i="21"/>
  <c r="AN256" i="21" s="1"/>
  <c r="AS255" i="21"/>
  <c r="AJ255" i="21" s="1"/>
  <c r="AR255" i="21"/>
  <c r="AQ255" i="21"/>
  <c r="Z255" i="21" s="1"/>
  <c r="AO255" i="21"/>
  <c r="P255" i="21" s="1"/>
  <c r="AE255" i="21"/>
  <c r="U255" i="21"/>
  <c r="AP255" i="21" s="1"/>
  <c r="Q255" i="21"/>
  <c r="K255" i="21"/>
  <c r="AN255" i="21" s="1"/>
  <c r="AS254" i="21"/>
  <c r="AQ254" i="21"/>
  <c r="Z254" i="21" s="1"/>
  <c r="AO254" i="21"/>
  <c r="P254" i="21" s="1"/>
  <c r="AJ254" i="21"/>
  <c r="AE254" i="21"/>
  <c r="AR254" i="21" s="1"/>
  <c r="U254" i="21"/>
  <c r="AP254" i="21" s="1"/>
  <c r="Q254" i="21"/>
  <c r="K254" i="21"/>
  <c r="AN254" i="21" s="1"/>
  <c r="AS253" i="21"/>
  <c r="AJ253" i="21" s="1"/>
  <c r="AQ253" i="21"/>
  <c r="Z253" i="21" s="1"/>
  <c r="AO253" i="21"/>
  <c r="P253" i="21" s="1"/>
  <c r="AE253" i="21"/>
  <c r="AR253" i="21" s="1"/>
  <c r="U253" i="21"/>
  <c r="AP253" i="21" s="1"/>
  <c r="Q253" i="21"/>
  <c r="K253" i="21"/>
  <c r="AN253" i="21" s="1"/>
  <c r="AS252" i="21"/>
  <c r="AQ252" i="21"/>
  <c r="AO252" i="21"/>
  <c r="AJ252" i="21"/>
  <c r="AE252" i="21"/>
  <c r="AR252" i="21" s="1"/>
  <c r="Z252" i="21"/>
  <c r="U252" i="21"/>
  <c r="AP252" i="21" s="1"/>
  <c r="Q252" i="21"/>
  <c r="P252" i="21"/>
  <c r="K252" i="21"/>
  <c r="AN252" i="21" s="1"/>
  <c r="AS251" i="21"/>
  <c r="AJ251" i="21" s="1"/>
  <c r="AQ251" i="21"/>
  <c r="AO251" i="21"/>
  <c r="P251" i="21" s="1"/>
  <c r="AE251" i="21"/>
  <c r="AR251" i="21" s="1"/>
  <c r="Z251" i="21"/>
  <c r="U251" i="21"/>
  <c r="AP251" i="21" s="1"/>
  <c r="Q251" i="21"/>
  <c r="K251" i="21"/>
  <c r="AN251" i="21" s="1"/>
  <c r="AS250" i="21"/>
  <c r="AJ250" i="21" s="1"/>
  <c r="AQ250" i="21"/>
  <c r="AO250" i="21"/>
  <c r="AE250" i="21"/>
  <c r="AR250" i="21" s="1"/>
  <c r="Z250" i="21"/>
  <c r="U250" i="21"/>
  <c r="AP250" i="21" s="1"/>
  <c r="Q250" i="21"/>
  <c r="P250" i="21"/>
  <c r="K250" i="21"/>
  <c r="AN250" i="21" s="1"/>
  <c r="AS249" i="21"/>
  <c r="AJ249" i="21" s="1"/>
  <c r="AQ249" i="21"/>
  <c r="Z249" i="21" s="1"/>
  <c r="AO249" i="21"/>
  <c r="P249" i="21" s="1"/>
  <c r="AE249" i="21"/>
  <c r="AR249" i="21" s="1"/>
  <c r="U249" i="21"/>
  <c r="AP249" i="21" s="1"/>
  <c r="Q249" i="21"/>
  <c r="K249" i="21"/>
  <c r="AN249" i="21" s="1"/>
  <c r="AS248" i="21"/>
  <c r="AJ248" i="21" s="1"/>
  <c r="AQ248" i="21"/>
  <c r="AO248" i="21"/>
  <c r="AE248" i="21"/>
  <c r="AR248" i="21" s="1"/>
  <c r="Z248" i="21"/>
  <c r="U248" i="21"/>
  <c r="AP248" i="21" s="1"/>
  <c r="Q248" i="21"/>
  <c r="P248" i="21"/>
  <c r="K248" i="21"/>
  <c r="AN248" i="21" s="1"/>
  <c r="AS247" i="21"/>
  <c r="AJ247" i="21" s="1"/>
  <c r="AQ247" i="21"/>
  <c r="Z247" i="21" s="1"/>
  <c r="AO247" i="21"/>
  <c r="P247" i="21" s="1"/>
  <c r="AE247" i="21"/>
  <c r="AR247" i="21" s="1"/>
  <c r="U247" i="21"/>
  <c r="AP247" i="21" s="1"/>
  <c r="Q247" i="21"/>
  <c r="K247" i="21"/>
  <c r="AN247" i="21" s="1"/>
  <c r="AS246" i="21"/>
  <c r="AQ246" i="21"/>
  <c r="Z246" i="21" s="1"/>
  <c r="AO246" i="21"/>
  <c r="P246" i="21" s="1"/>
  <c r="AN246" i="21"/>
  <c r="AJ246" i="21"/>
  <c r="AE246" i="21"/>
  <c r="AR246" i="21" s="1"/>
  <c r="U246" i="21"/>
  <c r="AP246" i="21" s="1"/>
  <c r="Q246" i="21"/>
  <c r="K246" i="21"/>
  <c r="AS245" i="21"/>
  <c r="AJ245" i="21" s="1"/>
  <c r="AR245" i="21"/>
  <c r="AQ245" i="21"/>
  <c r="Z245" i="21" s="1"/>
  <c r="AO245" i="21"/>
  <c r="AE245" i="21"/>
  <c r="U245" i="21"/>
  <c r="AP245" i="21" s="1"/>
  <c r="Q245" i="21"/>
  <c r="P245" i="21"/>
  <c r="K245" i="21"/>
  <c r="AN245" i="21" s="1"/>
  <c r="AS244" i="21"/>
  <c r="AQ244" i="21"/>
  <c r="Z244" i="21" s="1"/>
  <c r="AO244" i="21"/>
  <c r="P244" i="21" s="1"/>
  <c r="AN244" i="21"/>
  <c r="AJ244" i="21"/>
  <c r="AE244" i="21"/>
  <c r="AR244" i="21" s="1"/>
  <c r="U244" i="21"/>
  <c r="AP244" i="21" s="1"/>
  <c r="Q244" i="21"/>
  <c r="K244" i="21"/>
  <c r="AS243" i="21"/>
  <c r="AJ243" i="21" s="1"/>
  <c r="AQ243" i="21"/>
  <c r="Z243" i="21" s="1"/>
  <c r="AO243" i="21"/>
  <c r="P243" i="21" s="1"/>
  <c r="AE243" i="21"/>
  <c r="AR243" i="21" s="1"/>
  <c r="U243" i="21"/>
  <c r="AP243" i="21" s="1"/>
  <c r="Q243" i="21"/>
  <c r="K243" i="21"/>
  <c r="AN243" i="21" s="1"/>
  <c r="AS242" i="21"/>
  <c r="AQ242" i="21"/>
  <c r="AO242" i="21"/>
  <c r="AJ242" i="21"/>
  <c r="AE242" i="21"/>
  <c r="AR242" i="21" s="1"/>
  <c r="Z242" i="21"/>
  <c r="U242" i="21"/>
  <c r="AP242" i="21" s="1"/>
  <c r="Q242" i="21"/>
  <c r="P242" i="21"/>
  <c r="K242" i="21"/>
  <c r="AN242" i="21" s="1"/>
  <c r="AS241" i="21"/>
  <c r="AJ241" i="21" s="1"/>
  <c r="AQ241" i="21"/>
  <c r="Z241" i="21" s="1"/>
  <c r="AO241" i="21"/>
  <c r="P241" i="21" s="1"/>
  <c r="AE241" i="21"/>
  <c r="AR241" i="21" s="1"/>
  <c r="U241" i="21"/>
  <c r="AP241" i="21" s="1"/>
  <c r="Q241" i="21"/>
  <c r="K241" i="21"/>
  <c r="AN241" i="21" s="1"/>
  <c r="AS240" i="21"/>
  <c r="AJ240" i="21" s="1"/>
  <c r="AQ240" i="21"/>
  <c r="Z240" i="21" s="1"/>
  <c r="AO240" i="21"/>
  <c r="P240" i="21" s="1"/>
  <c r="AN240" i="21"/>
  <c r="AE240" i="21"/>
  <c r="AR240" i="21" s="1"/>
  <c r="U240" i="21"/>
  <c r="AP240" i="21" s="1"/>
  <c r="Q240" i="21"/>
  <c r="K240" i="21"/>
  <c r="AS239" i="21"/>
  <c r="AJ239" i="21" s="1"/>
  <c r="AR239" i="21"/>
  <c r="AQ239" i="21"/>
  <c r="Z239" i="21" s="1"/>
  <c r="AO239" i="21"/>
  <c r="P239" i="21" s="1"/>
  <c r="AE239" i="21"/>
  <c r="U239" i="21"/>
  <c r="AP239" i="21" s="1"/>
  <c r="Q239" i="21"/>
  <c r="K239" i="21"/>
  <c r="AN239" i="21" s="1"/>
  <c r="AS238" i="21"/>
  <c r="AQ238" i="21"/>
  <c r="AO238" i="21"/>
  <c r="P238" i="21" s="1"/>
  <c r="AJ238" i="21"/>
  <c r="AE238" i="21"/>
  <c r="AR238" i="21" s="1"/>
  <c r="Z238" i="21"/>
  <c r="U238" i="21"/>
  <c r="AP238" i="21" s="1"/>
  <c r="Q238" i="21"/>
  <c r="K238" i="21"/>
  <c r="AN238" i="21" s="1"/>
  <c r="AS237" i="21"/>
  <c r="AJ237" i="21" s="1"/>
  <c r="AQ237" i="21"/>
  <c r="Z237" i="21" s="1"/>
  <c r="AO237" i="21"/>
  <c r="P237" i="21" s="1"/>
  <c r="AE237" i="21"/>
  <c r="AR237" i="21" s="1"/>
  <c r="U237" i="21"/>
  <c r="AP237" i="21" s="1"/>
  <c r="Q237" i="21"/>
  <c r="K237" i="21"/>
  <c r="AN237" i="21" s="1"/>
  <c r="AS236" i="21"/>
  <c r="AQ236" i="21"/>
  <c r="AO236" i="21"/>
  <c r="P236" i="21" s="1"/>
  <c r="AJ236" i="21"/>
  <c r="AE236" i="21"/>
  <c r="AR236" i="21" s="1"/>
  <c r="Z236" i="21"/>
  <c r="U236" i="21"/>
  <c r="AP236" i="21" s="1"/>
  <c r="Q236" i="21"/>
  <c r="K236" i="21"/>
  <c r="AN236" i="21" s="1"/>
  <c r="AS235" i="21"/>
  <c r="AJ235" i="21" s="1"/>
  <c r="AQ235" i="21"/>
  <c r="Z235" i="21" s="1"/>
  <c r="AP235" i="21"/>
  <c r="AO235" i="21"/>
  <c r="P235" i="21" s="1"/>
  <c r="AE235" i="21"/>
  <c r="AR235" i="21" s="1"/>
  <c r="U235" i="21"/>
  <c r="Q235" i="21"/>
  <c r="K235" i="21"/>
  <c r="AN235" i="21" s="1"/>
  <c r="AS234" i="21"/>
  <c r="AR234" i="21"/>
  <c r="AQ234" i="21"/>
  <c r="Z234" i="21" s="1"/>
  <c r="AO234" i="21"/>
  <c r="P234" i="21" s="1"/>
  <c r="AJ234" i="21"/>
  <c r="AE234" i="21"/>
  <c r="U234" i="21"/>
  <c r="AP234" i="21" s="1"/>
  <c r="Q234" i="21"/>
  <c r="K234" i="21"/>
  <c r="AN234" i="21" s="1"/>
  <c r="AS233" i="21"/>
  <c r="AJ233" i="21" s="1"/>
  <c r="AQ233" i="21"/>
  <c r="Z233" i="21" s="1"/>
  <c r="AO233" i="21"/>
  <c r="P233" i="21" s="1"/>
  <c r="AE233" i="21"/>
  <c r="AR233" i="21" s="1"/>
  <c r="U233" i="21"/>
  <c r="AP233" i="21" s="1"/>
  <c r="Q233" i="21"/>
  <c r="K233" i="21"/>
  <c r="AN233" i="21" s="1"/>
  <c r="AS232" i="21"/>
  <c r="AJ232" i="21" s="1"/>
  <c r="AQ232" i="21"/>
  <c r="Z232" i="21" s="1"/>
  <c r="AO232" i="21"/>
  <c r="AE232" i="21"/>
  <c r="AR232" i="21" s="1"/>
  <c r="U232" i="21"/>
  <c r="AP232" i="21" s="1"/>
  <c r="Q232" i="21"/>
  <c r="P232" i="21"/>
  <c r="K232" i="21"/>
  <c r="AN232" i="21" s="1"/>
  <c r="AS231" i="21"/>
  <c r="AJ231" i="21" s="1"/>
  <c r="AQ231" i="21"/>
  <c r="AO231" i="21"/>
  <c r="P231" i="21" s="1"/>
  <c r="AE231" i="21"/>
  <c r="AR231" i="21" s="1"/>
  <c r="Z231" i="21"/>
  <c r="U231" i="21"/>
  <c r="AP231" i="21" s="1"/>
  <c r="Q231" i="21"/>
  <c r="K231" i="21"/>
  <c r="AN231" i="21" s="1"/>
  <c r="AS230" i="21"/>
  <c r="AJ230" i="21" s="1"/>
  <c r="AR230" i="21"/>
  <c r="AQ230" i="21"/>
  <c r="Z230" i="21" s="1"/>
  <c r="AP230" i="21"/>
  <c r="AO230" i="21"/>
  <c r="P230" i="21" s="1"/>
  <c r="AE230" i="21"/>
  <c r="U230" i="21"/>
  <c r="Q230" i="21"/>
  <c r="K230" i="21"/>
  <c r="AN230" i="21" s="1"/>
  <c r="AS229" i="21"/>
  <c r="AJ229" i="21" s="1"/>
  <c r="AQ229" i="21"/>
  <c r="AO229" i="21"/>
  <c r="AE229" i="21"/>
  <c r="AR229" i="21" s="1"/>
  <c r="Z229" i="21"/>
  <c r="U229" i="21"/>
  <c r="AP229" i="21" s="1"/>
  <c r="Q229" i="21"/>
  <c r="P229" i="21"/>
  <c r="K229" i="21"/>
  <c r="AN229" i="21" s="1"/>
  <c r="AS228" i="21"/>
  <c r="AR228" i="21"/>
  <c r="AQ228" i="21"/>
  <c r="Z228" i="21" s="1"/>
  <c r="AO228" i="21"/>
  <c r="P228" i="21" s="1"/>
  <c r="AJ228" i="21"/>
  <c r="AE228" i="21"/>
  <c r="U228" i="21"/>
  <c r="AP228" i="21" s="1"/>
  <c r="Q228" i="21"/>
  <c r="K228" i="21"/>
  <c r="AN228" i="21" s="1"/>
  <c r="AS227" i="21"/>
  <c r="AJ227" i="21" s="1"/>
  <c r="AQ227" i="21"/>
  <c r="AO227" i="21"/>
  <c r="AE227" i="21"/>
  <c r="AR227" i="21" s="1"/>
  <c r="Z227" i="21"/>
  <c r="U227" i="21"/>
  <c r="AP227" i="21" s="1"/>
  <c r="Q227" i="21"/>
  <c r="P227" i="21"/>
  <c r="K227" i="21"/>
  <c r="AN227" i="21" s="1"/>
  <c r="AS226" i="21"/>
  <c r="AR226" i="21"/>
  <c r="AQ226" i="21"/>
  <c r="Z226" i="21" s="1"/>
  <c r="AP226" i="21"/>
  <c r="AO226" i="21"/>
  <c r="P226" i="21" s="1"/>
  <c r="AJ226" i="21"/>
  <c r="AE226" i="21"/>
  <c r="U226" i="21"/>
  <c r="Q226" i="21"/>
  <c r="K226" i="21"/>
  <c r="AN226" i="21" s="1"/>
  <c r="AS225" i="21"/>
  <c r="AJ225" i="21" s="1"/>
  <c r="AQ225" i="21"/>
  <c r="AO225" i="21"/>
  <c r="P225" i="21" s="1"/>
  <c r="AE225" i="21"/>
  <c r="AR225" i="21" s="1"/>
  <c r="Z225" i="21"/>
  <c r="U225" i="21"/>
  <c r="AP225" i="21" s="1"/>
  <c r="Q225" i="21"/>
  <c r="K225" i="21"/>
  <c r="AN225" i="21" s="1"/>
  <c r="AS224" i="21"/>
  <c r="AJ224" i="21" s="1"/>
  <c r="AR224" i="21"/>
  <c r="AQ224" i="21"/>
  <c r="Z224" i="21" s="1"/>
  <c r="AO224" i="21"/>
  <c r="P224" i="21" s="1"/>
  <c r="AE224" i="21"/>
  <c r="U224" i="21"/>
  <c r="AP224" i="21" s="1"/>
  <c r="Q224" i="21"/>
  <c r="K224" i="21"/>
  <c r="AN224" i="21" s="1"/>
  <c r="AS223" i="21"/>
  <c r="AQ223" i="21"/>
  <c r="Z223" i="21" s="1"/>
  <c r="AO223" i="21"/>
  <c r="P223" i="21" s="1"/>
  <c r="AJ223" i="21"/>
  <c r="AE223" i="21"/>
  <c r="AR223" i="21" s="1"/>
  <c r="U223" i="21"/>
  <c r="AP223" i="21" s="1"/>
  <c r="Q223" i="21"/>
  <c r="K223" i="21"/>
  <c r="AN223" i="21" s="1"/>
  <c r="AS222" i="21"/>
  <c r="AJ222" i="21" s="1"/>
  <c r="AQ222" i="21"/>
  <c r="Z222" i="21" s="1"/>
  <c r="AO222" i="21"/>
  <c r="P222" i="21" s="1"/>
  <c r="AE222" i="21"/>
  <c r="AR222" i="21" s="1"/>
  <c r="U222" i="21"/>
  <c r="AP222" i="21" s="1"/>
  <c r="Q222" i="21"/>
  <c r="K222" i="21"/>
  <c r="AN222" i="21" s="1"/>
  <c r="AS221" i="21"/>
  <c r="AJ221" i="21" s="1"/>
  <c r="AR221" i="21"/>
  <c r="AQ221" i="21"/>
  <c r="Z221" i="21" s="1"/>
  <c r="AO221" i="21"/>
  <c r="AE221" i="21"/>
  <c r="U221" i="21"/>
  <c r="AP221" i="21" s="1"/>
  <c r="Q221" i="21"/>
  <c r="P221" i="21"/>
  <c r="K221" i="21"/>
  <c r="AN221" i="21" s="1"/>
  <c r="AS220" i="21"/>
  <c r="AR220" i="21"/>
  <c r="AQ220" i="21"/>
  <c r="AO220" i="21"/>
  <c r="P220" i="21" s="1"/>
  <c r="AJ220" i="21"/>
  <c r="AE220" i="21"/>
  <c r="Z220" i="21"/>
  <c r="U220" i="21"/>
  <c r="AP220" i="21" s="1"/>
  <c r="Q220" i="21"/>
  <c r="K220" i="21"/>
  <c r="AN220" i="21" s="1"/>
  <c r="AS219" i="21"/>
  <c r="AQ219" i="21"/>
  <c r="Z219" i="21" s="1"/>
  <c r="AO219" i="21"/>
  <c r="AJ219" i="21"/>
  <c r="AE219" i="21"/>
  <c r="AR219" i="21" s="1"/>
  <c r="U219" i="21"/>
  <c r="AP219" i="21" s="1"/>
  <c r="Q219" i="21"/>
  <c r="P219" i="21"/>
  <c r="K219" i="21"/>
  <c r="AN219" i="21" s="1"/>
  <c r="AS218" i="21"/>
  <c r="AJ218" i="21" s="1"/>
  <c r="AQ218" i="21"/>
  <c r="Z218" i="21" s="1"/>
  <c r="AO218" i="21"/>
  <c r="P218" i="21" s="1"/>
  <c r="AE218" i="21"/>
  <c r="AR218" i="21" s="1"/>
  <c r="U218" i="21"/>
  <c r="AP218" i="21" s="1"/>
  <c r="Q218" i="21"/>
  <c r="K218" i="21"/>
  <c r="AN218" i="21" s="1"/>
  <c r="AS217" i="21"/>
  <c r="AJ217" i="21" s="1"/>
  <c r="AR217" i="21"/>
  <c r="AQ217" i="21"/>
  <c r="AO217" i="21"/>
  <c r="AE217" i="21"/>
  <c r="Z217" i="21"/>
  <c r="U217" i="21"/>
  <c r="AP217" i="21" s="1"/>
  <c r="Q217" i="21"/>
  <c r="P217" i="21"/>
  <c r="K217" i="21"/>
  <c r="AN217" i="21" s="1"/>
  <c r="AS216" i="21"/>
  <c r="AJ216" i="21" s="1"/>
  <c r="AQ216" i="21"/>
  <c r="Z216" i="21" s="1"/>
  <c r="AP216" i="21"/>
  <c r="AO216" i="21"/>
  <c r="AE216" i="21"/>
  <c r="AR216" i="21" s="1"/>
  <c r="U216" i="21"/>
  <c r="Q216" i="21"/>
  <c r="P216" i="21"/>
  <c r="K216" i="21"/>
  <c r="AN216" i="21" s="1"/>
  <c r="AS215" i="21"/>
  <c r="AJ215" i="21" s="1"/>
  <c r="AQ215" i="21"/>
  <c r="Z215" i="21" s="1"/>
  <c r="AP215" i="21"/>
  <c r="AO215" i="21"/>
  <c r="P215" i="21" s="1"/>
  <c r="AE215" i="21"/>
  <c r="AR215" i="21" s="1"/>
  <c r="U215" i="21"/>
  <c r="Q215" i="21"/>
  <c r="K215" i="21"/>
  <c r="AN215" i="21" s="1"/>
  <c r="AS214" i="21"/>
  <c r="AJ214" i="21" s="1"/>
  <c r="AQ214" i="21"/>
  <c r="Z214" i="21" s="1"/>
  <c r="AO214" i="21"/>
  <c r="P214" i="21" s="1"/>
  <c r="AN214" i="21"/>
  <c r="AE214" i="21"/>
  <c r="AR214" i="21" s="1"/>
  <c r="U214" i="21"/>
  <c r="AP214" i="21" s="1"/>
  <c r="Q214" i="21"/>
  <c r="K214" i="21"/>
  <c r="AS213" i="21"/>
  <c r="AJ213" i="21" s="1"/>
  <c r="AR213" i="21"/>
  <c r="AQ213" i="21"/>
  <c r="Z213" i="21" s="1"/>
  <c r="AO213" i="21"/>
  <c r="AE213" i="21"/>
  <c r="U213" i="21"/>
  <c r="AP213" i="21" s="1"/>
  <c r="Q213" i="21"/>
  <c r="P213" i="21"/>
  <c r="K213" i="21"/>
  <c r="AN213" i="21" s="1"/>
  <c r="AS212" i="21"/>
  <c r="AR212" i="21"/>
  <c r="AQ212" i="21"/>
  <c r="AO212" i="21"/>
  <c r="AJ212" i="21"/>
  <c r="AE212" i="21"/>
  <c r="Z212" i="21"/>
  <c r="U212" i="21"/>
  <c r="AP212" i="21" s="1"/>
  <c r="Q212" i="21"/>
  <c r="P212" i="21"/>
  <c r="K212" i="21"/>
  <c r="AN212" i="21" s="1"/>
  <c r="AS211" i="21"/>
  <c r="AJ211" i="21" s="1"/>
  <c r="AQ211" i="21"/>
  <c r="AO211" i="21"/>
  <c r="AE211" i="21"/>
  <c r="AR211" i="21" s="1"/>
  <c r="Z211" i="21"/>
  <c r="U211" i="21"/>
  <c r="AP211" i="21" s="1"/>
  <c r="Q211" i="21"/>
  <c r="P211" i="21"/>
  <c r="K211" i="21"/>
  <c r="AN211" i="21" s="1"/>
  <c r="AS210" i="21"/>
  <c r="AJ210" i="21" s="1"/>
  <c r="AQ210" i="21"/>
  <c r="AO210" i="21"/>
  <c r="AE210" i="21"/>
  <c r="AR210" i="21" s="1"/>
  <c r="Z210" i="21"/>
  <c r="U210" i="21"/>
  <c r="AP210" i="21" s="1"/>
  <c r="Q210" i="21"/>
  <c r="P210" i="21"/>
  <c r="K210" i="21"/>
  <c r="AN210" i="21" s="1"/>
  <c r="AS209" i="21"/>
  <c r="AJ209" i="21" s="1"/>
  <c r="AR209" i="21"/>
  <c r="AQ209" i="21"/>
  <c r="AO209" i="21"/>
  <c r="P209" i="21" s="1"/>
  <c r="AE209" i="21"/>
  <c r="Z209" i="21"/>
  <c r="U209" i="21"/>
  <c r="AP209" i="21" s="1"/>
  <c r="Q209" i="21"/>
  <c r="K209" i="21"/>
  <c r="AN209" i="21" s="1"/>
  <c r="AS208" i="21"/>
  <c r="AJ208" i="21" s="1"/>
  <c r="AQ208" i="21"/>
  <c r="Z208" i="21" s="1"/>
  <c r="AO208" i="21"/>
  <c r="AE208" i="21"/>
  <c r="AR208" i="21" s="1"/>
  <c r="U208" i="21"/>
  <c r="AP208" i="21" s="1"/>
  <c r="Q208" i="21"/>
  <c r="P208" i="21"/>
  <c r="K208" i="21"/>
  <c r="AN208" i="21" s="1"/>
  <c r="AS207" i="21"/>
  <c r="AJ207" i="21" s="1"/>
  <c r="AQ207" i="21"/>
  <c r="Z207" i="21" s="1"/>
  <c r="AO207" i="21"/>
  <c r="P207" i="21" s="1"/>
  <c r="AE207" i="21"/>
  <c r="AR207" i="21" s="1"/>
  <c r="U207" i="21"/>
  <c r="AP207" i="21" s="1"/>
  <c r="Q207" i="21"/>
  <c r="K207" i="21"/>
  <c r="AN207" i="21" s="1"/>
  <c r="AS206" i="21"/>
  <c r="AJ206" i="21" s="1"/>
  <c r="AR206" i="21"/>
  <c r="AQ206" i="21"/>
  <c r="AO206" i="21"/>
  <c r="AE206" i="21"/>
  <c r="Z206" i="21"/>
  <c r="U206" i="21"/>
  <c r="AP206" i="21" s="1"/>
  <c r="Q206" i="21"/>
  <c r="P206" i="21"/>
  <c r="K206" i="21"/>
  <c r="AN206" i="21" s="1"/>
  <c r="AS205" i="21"/>
  <c r="AJ205" i="21" s="1"/>
  <c r="AR205" i="21"/>
  <c r="AQ205" i="21"/>
  <c r="AO205" i="21"/>
  <c r="P205" i="21" s="1"/>
  <c r="AE205" i="21"/>
  <c r="Z205" i="21"/>
  <c r="U205" i="21"/>
  <c r="AP205" i="21" s="1"/>
  <c r="Q205" i="21"/>
  <c r="K205" i="21"/>
  <c r="AN205" i="21" s="1"/>
  <c r="AS204" i="21"/>
  <c r="AJ204" i="21" s="1"/>
  <c r="AQ204" i="21"/>
  <c r="Z204" i="21" s="1"/>
  <c r="AO204" i="21"/>
  <c r="P204" i="21" s="1"/>
  <c r="AN204" i="21"/>
  <c r="AE204" i="21"/>
  <c r="AR204" i="21" s="1"/>
  <c r="U204" i="21"/>
  <c r="AP204" i="21" s="1"/>
  <c r="Q204" i="21"/>
  <c r="K204" i="21"/>
  <c r="AS203" i="21"/>
  <c r="AJ203" i="21" s="1"/>
  <c r="AQ203" i="21"/>
  <c r="Z203" i="21" s="1"/>
  <c r="AO203" i="21"/>
  <c r="AE203" i="21"/>
  <c r="AR203" i="21" s="1"/>
  <c r="U203" i="21"/>
  <c r="AP203" i="21" s="1"/>
  <c r="Q203" i="21"/>
  <c r="P203" i="21"/>
  <c r="K203" i="21"/>
  <c r="AN203" i="21" s="1"/>
  <c r="AS202" i="21"/>
  <c r="AJ202" i="21" s="1"/>
  <c r="AQ202" i="21"/>
  <c r="AO202" i="21"/>
  <c r="P202" i="21" s="1"/>
  <c r="AE202" i="21"/>
  <c r="AR202" i="21" s="1"/>
  <c r="Z202" i="21"/>
  <c r="U202" i="21"/>
  <c r="AP202" i="21" s="1"/>
  <c r="Q202" i="21"/>
  <c r="K202" i="21"/>
  <c r="AN202" i="21" s="1"/>
  <c r="AS201" i="21"/>
  <c r="AJ201" i="21" s="1"/>
  <c r="AR201" i="21"/>
  <c r="AQ201" i="21"/>
  <c r="AO201" i="21"/>
  <c r="AE201" i="21"/>
  <c r="Z201" i="21"/>
  <c r="U201" i="21"/>
  <c r="AP201" i="21" s="1"/>
  <c r="Q201" i="21"/>
  <c r="P201" i="21"/>
  <c r="K201" i="21"/>
  <c r="AN201" i="21" s="1"/>
  <c r="AS200" i="21"/>
  <c r="AJ200" i="21" s="1"/>
  <c r="AQ200" i="21"/>
  <c r="Z200" i="21" s="1"/>
  <c r="AO200" i="21"/>
  <c r="P200" i="21" s="1"/>
  <c r="AE200" i="21"/>
  <c r="AR200" i="21" s="1"/>
  <c r="U200" i="21"/>
  <c r="AP200" i="21" s="1"/>
  <c r="Q200" i="21"/>
  <c r="K200" i="21"/>
  <c r="AN200" i="21" s="1"/>
  <c r="AS199" i="21"/>
  <c r="AJ199" i="21" s="1"/>
  <c r="AQ199" i="21"/>
  <c r="Z199" i="21" s="1"/>
  <c r="AP199" i="21"/>
  <c r="AO199" i="21"/>
  <c r="P199" i="21" s="1"/>
  <c r="AE199" i="21"/>
  <c r="AR199" i="21" s="1"/>
  <c r="U199" i="21"/>
  <c r="Q199" i="21"/>
  <c r="K199" i="21"/>
  <c r="AN199" i="21" s="1"/>
  <c r="AS198" i="21"/>
  <c r="AJ198" i="21" s="1"/>
  <c r="AQ198" i="21"/>
  <c r="AO198" i="21"/>
  <c r="AE198" i="21"/>
  <c r="AR198" i="21" s="1"/>
  <c r="Z198" i="21"/>
  <c r="U198" i="21"/>
  <c r="AP198" i="21" s="1"/>
  <c r="Q198" i="21"/>
  <c r="P198" i="21"/>
  <c r="K198" i="21"/>
  <c r="AN198" i="21" s="1"/>
  <c r="AS197" i="21"/>
  <c r="AJ197" i="21" s="1"/>
  <c r="AR197" i="21"/>
  <c r="AQ197" i="21"/>
  <c r="Z197" i="21" s="1"/>
  <c r="AO197" i="21"/>
  <c r="P197" i="21" s="1"/>
  <c r="AE197" i="21"/>
  <c r="U197" i="21"/>
  <c r="AP197" i="21" s="1"/>
  <c r="Q197" i="21"/>
  <c r="K197" i="21"/>
  <c r="AN197" i="21" s="1"/>
  <c r="AS196" i="21"/>
  <c r="AJ196" i="21" s="1"/>
  <c r="AR196" i="21"/>
  <c r="AQ196" i="21"/>
  <c r="AO196" i="21"/>
  <c r="P196" i="21" s="1"/>
  <c r="AE196" i="21"/>
  <c r="Z196" i="21"/>
  <c r="U196" i="21"/>
  <c r="AP196" i="21" s="1"/>
  <c r="Q196" i="21"/>
  <c r="K196" i="21"/>
  <c r="AN196" i="21" s="1"/>
  <c r="AS195" i="21"/>
  <c r="AJ195" i="21" s="1"/>
  <c r="AQ195" i="21"/>
  <c r="Z195" i="21" s="1"/>
  <c r="AO195" i="21"/>
  <c r="AE195" i="21"/>
  <c r="AR195" i="21" s="1"/>
  <c r="U195" i="21"/>
  <c r="AP195" i="21" s="1"/>
  <c r="Q195" i="21"/>
  <c r="P195" i="21"/>
  <c r="K195" i="21"/>
  <c r="AN195" i="21" s="1"/>
  <c r="AS194" i="21"/>
  <c r="AQ194" i="21"/>
  <c r="AO194" i="21"/>
  <c r="P194" i="21" s="1"/>
  <c r="AJ194" i="21"/>
  <c r="AE194" i="21"/>
  <c r="AR194" i="21" s="1"/>
  <c r="Z194" i="21"/>
  <c r="U194" i="21"/>
  <c r="AP194" i="21" s="1"/>
  <c r="Q194" i="21"/>
  <c r="K194" i="21"/>
  <c r="AN194" i="21" s="1"/>
  <c r="AS193" i="21"/>
  <c r="AJ193" i="21" s="1"/>
  <c r="AR193" i="21"/>
  <c r="AQ193" i="21"/>
  <c r="AO193" i="21"/>
  <c r="P193" i="21" s="1"/>
  <c r="AE193" i="21"/>
  <c r="Z193" i="21"/>
  <c r="U193" i="21"/>
  <c r="AP193" i="21" s="1"/>
  <c r="Q193" i="21"/>
  <c r="K193" i="21"/>
  <c r="AN193" i="21" s="1"/>
  <c r="AS192" i="21"/>
  <c r="AJ192" i="21" s="1"/>
  <c r="AQ192" i="21"/>
  <c r="AP192" i="21"/>
  <c r="AO192" i="21"/>
  <c r="AE192" i="21"/>
  <c r="AR192" i="21" s="1"/>
  <c r="Z192" i="21"/>
  <c r="U192" i="21"/>
  <c r="Q192" i="21"/>
  <c r="P192" i="21"/>
  <c r="K192" i="21"/>
  <c r="AN192" i="21" s="1"/>
  <c r="AS191" i="21"/>
  <c r="AJ191" i="21" s="1"/>
  <c r="AR191" i="21"/>
  <c r="AQ191" i="21"/>
  <c r="Z191" i="21" s="1"/>
  <c r="AO191" i="21"/>
  <c r="P191" i="21" s="1"/>
  <c r="AE191" i="21"/>
  <c r="U191" i="21"/>
  <c r="AP191" i="21" s="1"/>
  <c r="Q191" i="21"/>
  <c r="K191" i="21"/>
  <c r="AN191" i="21" s="1"/>
  <c r="AS190" i="21"/>
  <c r="AQ190" i="21"/>
  <c r="Z190" i="21" s="1"/>
  <c r="AO190" i="21"/>
  <c r="AJ190" i="21"/>
  <c r="AE190" i="21"/>
  <c r="AR190" i="21" s="1"/>
  <c r="U190" i="21"/>
  <c r="AP190" i="21" s="1"/>
  <c r="Q190" i="21"/>
  <c r="P190" i="21"/>
  <c r="K190" i="21"/>
  <c r="AN190" i="21" s="1"/>
  <c r="AS189" i="21"/>
  <c r="AJ189" i="21" s="1"/>
  <c r="AQ189" i="21"/>
  <c r="Z189" i="21" s="1"/>
  <c r="AO189" i="21"/>
  <c r="P189" i="21" s="1"/>
  <c r="AE189" i="21"/>
  <c r="AR189" i="21" s="1"/>
  <c r="U189" i="21"/>
  <c r="AP189" i="21" s="1"/>
  <c r="Q189" i="21"/>
  <c r="K189" i="21"/>
  <c r="AN189" i="21" s="1"/>
  <c r="AS188" i="21"/>
  <c r="AQ188" i="21"/>
  <c r="Z188" i="21" s="1"/>
  <c r="AO188" i="21"/>
  <c r="P188" i="21" s="1"/>
  <c r="AJ188" i="21"/>
  <c r="AE188" i="21"/>
  <c r="AR188" i="21" s="1"/>
  <c r="U188" i="21"/>
  <c r="AP188" i="21" s="1"/>
  <c r="Q188" i="21"/>
  <c r="K188" i="21"/>
  <c r="AN188" i="21" s="1"/>
  <c r="AS187" i="21"/>
  <c r="AQ187" i="21"/>
  <c r="Z187" i="21" s="1"/>
  <c r="AO187" i="21"/>
  <c r="P187" i="21" s="1"/>
  <c r="AJ187" i="21"/>
  <c r="AE187" i="21"/>
  <c r="AR187" i="21" s="1"/>
  <c r="U187" i="21"/>
  <c r="AP187" i="21" s="1"/>
  <c r="Q187" i="21"/>
  <c r="K187" i="21"/>
  <c r="AN187" i="21" s="1"/>
  <c r="AS186" i="21"/>
  <c r="AJ186" i="21" s="1"/>
  <c r="AQ186" i="21"/>
  <c r="Z186" i="21" s="1"/>
  <c r="AO186" i="21"/>
  <c r="AN186" i="21"/>
  <c r="AE186" i="21"/>
  <c r="AR186" i="21" s="1"/>
  <c r="U186" i="21"/>
  <c r="AP186" i="21" s="1"/>
  <c r="Q186" i="21"/>
  <c r="P186" i="21"/>
  <c r="K186" i="21"/>
  <c r="AS185" i="21"/>
  <c r="AJ185" i="21" s="1"/>
  <c r="AR185" i="21"/>
  <c r="AQ185" i="21"/>
  <c r="Z185" i="21" s="1"/>
  <c r="AO185" i="21"/>
  <c r="P185" i="21" s="1"/>
  <c r="AE185" i="21"/>
  <c r="U185" i="21"/>
  <c r="AP185" i="21" s="1"/>
  <c r="Q185" i="21"/>
  <c r="K185" i="21"/>
  <c r="AN185" i="21" s="1"/>
  <c r="AS184" i="21"/>
  <c r="AQ184" i="21"/>
  <c r="AO184" i="21"/>
  <c r="AJ184" i="21"/>
  <c r="AE184" i="21"/>
  <c r="AR184" i="21" s="1"/>
  <c r="Z184" i="21"/>
  <c r="U184" i="21"/>
  <c r="AP184" i="21" s="1"/>
  <c r="Q184" i="21"/>
  <c r="P184" i="21"/>
  <c r="K184" i="21"/>
  <c r="AN184" i="21" s="1"/>
  <c r="AS183" i="21"/>
  <c r="AJ183" i="21" s="1"/>
  <c r="AQ183" i="21"/>
  <c r="Z183" i="21" s="1"/>
  <c r="AO183" i="21"/>
  <c r="P183" i="21" s="1"/>
  <c r="AE183" i="21"/>
  <c r="AR183" i="21" s="1"/>
  <c r="U183" i="21"/>
  <c r="AP183" i="21" s="1"/>
  <c r="Q183" i="21"/>
  <c r="K183" i="21"/>
  <c r="AN183" i="21" s="1"/>
  <c r="AS182" i="21"/>
  <c r="AJ182" i="21" s="1"/>
  <c r="AQ182" i="21"/>
  <c r="Z182" i="21" s="1"/>
  <c r="AO182" i="21"/>
  <c r="P182" i="21" s="1"/>
  <c r="AE182" i="21"/>
  <c r="AR182" i="21" s="1"/>
  <c r="U182" i="21"/>
  <c r="AP182" i="21" s="1"/>
  <c r="Q182" i="21"/>
  <c r="K182" i="21"/>
  <c r="AN182" i="21" s="1"/>
  <c r="AS181" i="21"/>
  <c r="AJ181" i="21" s="1"/>
  <c r="AR181" i="21"/>
  <c r="AQ181" i="21"/>
  <c r="Z181" i="21" s="1"/>
  <c r="AP181" i="21"/>
  <c r="AO181" i="21"/>
  <c r="P181" i="21" s="1"/>
  <c r="AE181" i="21"/>
  <c r="U181" i="21"/>
  <c r="Q181" i="21"/>
  <c r="K181" i="21"/>
  <c r="AN181" i="21" s="1"/>
  <c r="AS180" i="21"/>
  <c r="AJ180" i="21" s="1"/>
  <c r="AR180" i="21"/>
  <c r="AQ180" i="21"/>
  <c r="AO180" i="21"/>
  <c r="AE180" i="21"/>
  <c r="Z180" i="21"/>
  <c r="U180" i="21"/>
  <c r="AP180" i="21" s="1"/>
  <c r="Q180" i="21"/>
  <c r="P180" i="21"/>
  <c r="K180" i="21"/>
  <c r="AN180" i="21" s="1"/>
  <c r="AS179" i="21"/>
  <c r="AQ179" i="21"/>
  <c r="AO179" i="21"/>
  <c r="AJ179" i="21"/>
  <c r="AE179" i="21"/>
  <c r="AR179" i="21" s="1"/>
  <c r="Z179" i="21"/>
  <c r="U179" i="21"/>
  <c r="AP179" i="21" s="1"/>
  <c r="Q179" i="21"/>
  <c r="P179" i="21"/>
  <c r="K179" i="21"/>
  <c r="AN179" i="21" s="1"/>
  <c r="AS178" i="21"/>
  <c r="AJ178" i="21" s="1"/>
  <c r="AQ178" i="21"/>
  <c r="AO178" i="21"/>
  <c r="P178" i="21" s="1"/>
  <c r="AE178" i="21"/>
  <c r="AR178" i="21" s="1"/>
  <c r="Z178" i="21"/>
  <c r="U178" i="21"/>
  <c r="AP178" i="21" s="1"/>
  <c r="Q178" i="21"/>
  <c r="K178" i="21"/>
  <c r="AN178" i="21" s="1"/>
  <c r="AS177" i="21"/>
  <c r="AJ177" i="21" s="1"/>
  <c r="AQ177" i="21"/>
  <c r="Z177" i="21" s="1"/>
  <c r="AO177" i="21"/>
  <c r="P177" i="21" s="1"/>
  <c r="AE177" i="21"/>
  <c r="AR177" i="21" s="1"/>
  <c r="U177" i="21"/>
  <c r="AP177" i="21" s="1"/>
  <c r="Q177" i="21"/>
  <c r="K177" i="21"/>
  <c r="AN177" i="21" s="1"/>
  <c r="AS176" i="21"/>
  <c r="AQ176" i="21"/>
  <c r="AO176" i="21"/>
  <c r="AN176" i="21"/>
  <c r="AJ176" i="21"/>
  <c r="AE176" i="21"/>
  <c r="AR176" i="21" s="1"/>
  <c r="Z176" i="21"/>
  <c r="U176" i="21"/>
  <c r="AP176" i="21" s="1"/>
  <c r="Q176" i="21"/>
  <c r="P176" i="21"/>
  <c r="K176" i="21"/>
  <c r="AS175" i="21"/>
  <c r="AJ175" i="21" s="1"/>
  <c r="AQ175" i="21"/>
  <c r="AO175" i="21"/>
  <c r="P175" i="21" s="1"/>
  <c r="AE175" i="21"/>
  <c r="AR175" i="21" s="1"/>
  <c r="Z175" i="21"/>
  <c r="U175" i="21"/>
  <c r="AP175" i="21" s="1"/>
  <c r="Q175" i="21"/>
  <c r="K175" i="21"/>
  <c r="AN175" i="21" s="1"/>
  <c r="AS174" i="21"/>
  <c r="AJ174" i="21" s="1"/>
  <c r="AR174" i="21"/>
  <c r="AQ174" i="21"/>
  <c r="Z174" i="21" s="1"/>
  <c r="AO174" i="21"/>
  <c r="P174" i="21" s="1"/>
  <c r="AN174" i="21"/>
  <c r="AE174" i="21"/>
  <c r="U174" i="21"/>
  <c r="AP174" i="21" s="1"/>
  <c r="Q174" i="21"/>
  <c r="K174" i="21"/>
  <c r="AS173" i="21"/>
  <c r="AJ173" i="21" s="1"/>
  <c r="AQ173" i="21"/>
  <c r="Z173" i="21" s="1"/>
  <c r="AO173" i="21"/>
  <c r="P173" i="21" s="1"/>
  <c r="AN173" i="21"/>
  <c r="AE173" i="21"/>
  <c r="AR173" i="21" s="1"/>
  <c r="U173" i="21"/>
  <c r="AP173" i="21" s="1"/>
  <c r="Q173" i="21"/>
  <c r="K173" i="21"/>
  <c r="AS172" i="21"/>
  <c r="AR172" i="21"/>
  <c r="AQ172" i="21"/>
  <c r="Z172" i="21" s="1"/>
  <c r="AP172" i="21"/>
  <c r="AO172" i="21"/>
  <c r="P172" i="21" s="1"/>
  <c r="AJ172" i="21"/>
  <c r="AE172" i="21"/>
  <c r="U172" i="21"/>
  <c r="Q172" i="21"/>
  <c r="K172" i="21"/>
  <c r="AN172" i="21" s="1"/>
  <c r="AS171" i="21"/>
  <c r="AJ171" i="21" s="1"/>
  <c r="AQ171" i="21"/>
  <c r="Z171" i="21" s="1"/>
  <c r="AO171" i="21"/>
  <c r="P171" i="21" s="1"/>
  <c r="AE171" i="21"/>
  <c r="AR171" i="21" s="1"/>
  <c r="U171" i="21"/>
  <c r="AP171" i="21" s="1"/>
  <c r="Q171" i="21"/>
  <c r="K171" i="21"/>
  <c r="AN171" i="21" s="1"/>
  <c r="AS170" i="21"/>
  <c r="AJ170" i="21" s="1"/>
  <c r="AQ170" i="21"/>
  <c r="Z170" i="21" s="1"/>
  <c r="AO170" i="21"/>
  <c r="AE170" i="21"/>
  <c r="AR170" i="21" s="1"/>
  <c r="U170" i="21"/>
  <c r="AP170" i="21" s="1"/>
  <c r="Q170" i="21"/>
  <c r="P170" i="21"/>
  <c r="K170" i="21"/>
  <c r="AN170" i="21" s="1"/>
  <c r="AS169" i="21"/>
  <c r="AQ169" i="21"/>
  <c r="Z169" i="21" s="1"/>
  <c r="AO169" i="21"/>
  <c r="P169" i="21" s="1"/>
  <c r="AJ169" i="21"/>
  <c r="AE169" i="21"/>
  <c r="AR169" i="21" s="1"/>
  <c r="U169" i="21"/>
  <c r="AP169" i="21" s="1"/>
  <c r="Q169" i="21"/>
  <c r="K169" i="21"/>
  <c r="AN169" i="21" s="1"/>
  <c r="AS168" i="21"/>
  <c r="AJ168" i="21" s="1"/>
  <c r="AR168" i="21"/>
  <c r="AQ168" i="21"/>
  <c r="Z168" i="21" s="1"/>
  <c r="AO168" i="21"/>
  <c r="P168" i="21" s="1"/>
  <c r="AE168" i="21"/>
  <c r="U168" i="21"/>
  <c r="AP168" i="21" s="1"/>
  <c r="Q168" i="21"/>
  <c r="K168" i="21"/>
  <c r="AN168" i="21" s="1"/>
  <c r="AS167" i="21"/>
  <c r="AJ167" i="21" s="1"/>
  <c r="AR167" i="21"/>
  <c r="AQ167" i="21"/>
  <c r="Z167" i="21" s="1"/>
  <c r="AO167" i="21"/>
  <c r="P167" i="21" s="1"/>
  <c r="AE167" i="21"/>
  <c r="U167" i="21"/>
  <c r="AP167" i="21" s="1"/>
  <c r="Q167" i="21"/>
  <c r="K167" i="21"/>
  <c r="AN167" i="21" s="1"/>
  <c r="AS166" i="21"/>
  <c r="AJ166" i="21" s="1"/>
  <c r="AQ166" i="21"/>
  <c r="Z166" i="21" s="1"/>
  <c r="AO166" i="21"/>
  <c r="AE166" i="21"/>
  <c r="AR166" i="21" s="1"/>
  <c r="U166" i="21"/>
  <c r="AP166" i="21" s="1"/>
  <c r="Q166" i="21"/>
  <c r="P166" i="21"/>
  <c r="K166" i="21"/>
  <c r="AN166" i="21" s="1"/>
  <c r="AS165" i="21"/>
  <c r="AJ165" i="21" s="1"/>
  <c r="AQ165" i="21"/>
  <c r="Z165" i="21" s="1"/>
  <c r="AO165" i="21"/>
  <c r="AE165" i="21"/>
  <c r="AR165" i="21" s="1"/>
  <c r="U165" i="21"/>
  <c r="AP165" i="21" s="1"/>
  <c r="Q165" i="21"/>
  <c r="P165" i="21"/>
  <c r="K165" i="21"/>
  <c r="AN165" i="21" s="1"/>
  <c r="AS164" i="21"/>
  <c r="AJ164" i="21" s="1"/>
  <c r="AQ164" i="21"/>
  <c r="Z164" i="21" s="1"/>
  <c r="AO164" i="21"/>
  <c r="AE164" i="21"/>
  <c r="AR164" i="21" s="1"/>
  <c r="U164" i="21"/>
  <c r="AP164" i="21" s="1"/>
  <c r="Q164" i="21"/>
  <c r="P164" i="21"/>
  <c r="K164" i="21"/>
  <c r="AN164" i="21" s="1"/>
  <c r="AS163" i="21"/>
  <c r="AJ163" i="21" s="1"/>
  <c r="AQ163" i="21"/>
  <c r="AP163" i="21"/>
  <c r="AO163" i="21"/>
  <c r="P163" i="21" s="1"/>
  <c r="AE163" i="21"/>
  <c r="AR163" i="21" s="1"/>
  <c r="Z163" i="21"/>
  <c r="U163" i="21"/>
  <c r="Q163" i="21"/>
  <c r="K163" i="21"/>
  <c r="AN163" i="21" s="1"/>
  <c r="AS162" i="21"/>
  <c r="AJ162" i="21" s="1"/>
  <c r="AQ162" i="21"/>
  <c r="Z162" i="21" s="1"/>
  <c r="AO162" i="21"/>
  <c r="P162" i="21" s="1"/>
  <c r="AN162" i="21"/>
  <c r="AE162" i="21"/>
  <c r="AR162" i="21" s="1"/>
  <c r="U162" i="21"/>
  <c r="AP162" i="21" s="1"/>
  <c r="Q162" i="21"/>
  <c r="K162" i="21"/>
  <c r="AS161" i="21"/>
  <c r="AJ161" i="21" s="1"/>
  <c r="AQ161" i="21"/>
  <c r="Z161" i="21" s="1"/>
  <c r="AO161" i="21"/>
  <c r="P161" i="21" s="1"/>
  <c r="AE161" i="21"/>
  <c r="AR161" i="21" s="1"/>
  <c r="U161" i="21"/>
  <c r="AP161" i="21" s="1"/>
  <c r="Q161" i="21"/>
  <c r="K161" i="21"/>
  <c r="AN161" i="21" s="1"/>
  <c r="AS160" i="21"/>
  <c r="AQ160" i="21"/>
  <c r="Z160" i="21" s="1"/>
  <c r="AO160" i="21"/>
  <c r="AJ160" i="21"/>
  <c r="AE160" i="21"/>
  <c r="AR160" i="21" s="1"/>
  <c r="U160" i="21"/>
  <c r="AP160" i="21" s="1"/>
  <c r="Q160" i="21"/>
  <c r="P160" i="21"/>
  <c r="K160" i="21"/>
  <c r="AN160" i="21" s="1"/>
  <c r="AS159" i="21"/>
  <c r="AJ159" i="21" s="1"/>
  <c r="AQ159" i="21"/>
  <c r="Z159" i="21" s="1"/>
  <c r="AO159" i="21"/>
  <c r="P159" i="21" s="1"/>
  <c r="AE159" i="21"/>
  <c r="AR159" i="21" s="1"/>
  <c r="U159" i="21"/>
  <c r="AP159" i="21" s="1"/>
  <c r="Q159" i="21"/>
  <c r="K159" i="21"/>
  <c r="AN159" i="21" s="1"/>
  <c r="AS158" i="21"/>
  <c r="AR158" i="21"/>
  <c r="AQ158" i="21"/>
  <c r="Z158" i="21" s="1"/>
  <c r="AO158" i="21"/>
  <c r="P158" i="21" s="1"/>
  <c r="AJ158" i="21"/>
  <c r="AE158" i="21"/>
  <c r="U158" i="21"/>
  <c r="AP158" i="21" s="1"/>
  <c r="Q158" i="21"/>
  <c r="K158" i="21"/>
  <c r="AN158" i="21" s="1"/>
  <c r="AS157" i="21"/>
  <c r="AJ157" i="21" s="1"/>
  <c r="AQ157" i="21"/>
  <c r="Z157" i="21" s="1"/>
  <c r="AO157" i="21"/>
  <c r="P157" i="21" s="1"/>
  <c r="AE157" i="21"/>
  <c r="AR157" i="21" s="1"/>
  <c r="U157" i="21"/>
  <c r="AP157" i="21" s="1"/>
  <c r="Q157" i="21"/>
  <c r="K157" i="21"/>
  <c r="AN157" i="21" s="1"/>
  <c r="AS156" i="21"/>
  <c r="AR156" i="21"/>
  <c r="AQ156" i="21"/>
  <c r="Z156" i="21" s="1"/>
  <c r="AO156" i="21"/>
  <c r="AJ156" i="21"/>
  <c r="AE156" i="21"/>
  <c r="U156" i="21"/>
  <c r="AP156" i="21" s="1"/>
  <c r="Q156" i="21"/>
  <c r="P156" i="21"/>
  <c r="K156" i="21"/>
  <c r="AN156" i="21" s="1"/>
  <c r="AS155" i="21"/>
  <c r="AQ155" i="21"/>
  <c r="AO155" i="21"/>
  <c r="P155" i="21" s="1"/>
  <c r="AJ155" i="21"/>
  <c r="AE155" i="21"/>
  <c r="AR155" i="21" s="1"/>
  <c r="Z155" i="21"/>
  <c r="U155" i="21"/>
  <c r="AP155" i="21" s="1"/>
  <c r="Q155" i="21"/>
  <c r="K155" i="21"/>
  <c r="AN155" i="21" s="1"/>
  <c r="AS154" i="21"/>
  <c r="AJ154" i="21" s="1"/>
  <c r="AQ154" i="21"/>
  <c r="Z154" i="21" s="1"/>
  <c r="AO154" i="21"/>
  <c r="AE154" i="21"/>
  <c r="AR154" i="21" s="1"/>
  <c r="U154" i="21"/>
  <c r="AP154" i="21" s="1"/>
  <c r="Q154" i="21"/>
  <c r="P154" i="21"/>
  <c r="K154" i="21"/>
  <c r="AN154" i="21" s="1"/>
  <c r="AS153" i="21"/>
  <c r="AJ153" i="21" s="1"/>
  <c r="AQ153" i="21"/>
  <c r="Z153" i="21" s="1"/>
  <c r="AO153" i="21"/>
  <c r="P153" i="21" s="1"/>
  <c r="AE153" i="21"/>
  <c r="AR153" i="21" s="1"/>
  <c r="U153" i="21"/>
  <c r="AP153" i="21" s="1"/>
  <c r="Q153" i="21"/>
  <c r="K153" i="21"/>
  <c r="AN153" i="21" s="1"/>
  <c r="AS152" i="21"/>
  <c r="AJ152" i="21" s="1"/>
  <c r="AQ152" i="21"/>
  <c r="AP152" i="21"/>
  <c r="AO152" i="21"/>
  <c r="AE152" i="21"/>
  <c r="AR152" i="21" s="1"/>
  <c r="Z152" i="21"/>
  <c r="U152" i="21"/>
  <c r="Q152" i="21"/>
  <c r="P152" i="21"/>
  <c r="K152" i="21"/>
  <c r="AN152" i="21" s="1"/>
  <c r="AS151" i="21"/>
  <c r="AR151" i="21"/>
  <c r="AQ151" i="21"/>
  <c r="AP151" i="21"/>
  <c r="AO151" i="21"/>
  <c r="P151" i="21" s="1"/>
  <c r="AJ151" i="21"/>
  <c r="AE151" i="21"/>
  <c r="Z151" i="21"/>
  <c r="U151" i="21"/>
  <c r="Q151" i="21"/>
  <c r="K151" i="21"/>
  <c r="AN151" i="21" s="1"/>
  <c r="AS150" i="21"/>
  <c r="AJ150" i="21" s="1"/>
  <c r="AQ150" i="21"/>
  <c r="Z150" i="21" s="1"/>
  <c r="AO150" i="21"/>
  <c r="P150" i="21" s="1"/>
  <c r="AN150" i="21"/>
  <c r="AE150" i="21"/>
  <c r="AR150" i="21" s="1"/>
  <c r="U150" i="21"/>
  <c r="AP150" i="21" s="1"/>
  <c r="Q150" i="21"/>
  <c r="K150" i="21"/>
  <c r="AS149" i="21"/>
  <c r="AJ149" i="21" s="1"/>
  <c r="AQ149" i="21"/>
  <c r="Z149" i="21" s="1"/>
  <c r="AO149" i="21"/>
  <c r="P149" i="21" s="1"/>
  <c r="AE149" i="21"/>
  <c r="AR149" i="21" s="1"/>
  <c r="U149" i="21"/>
  <c r="AP149" i="21" s="1"/>
  <c r="Q149" i="21"/>
  <c r="K149" i="21"/>
  <c r="AN149" i="21" s="1"/>
  <c r="AS148" i="21"/>
  <c r="AR148" i="21"/>
  <c r="AQ148" i="21"/>
  <c r="Z148" i="21" s="1"/>
  <c r="AO148" i="21"/>
  <c r="P148" i="21" s="1"/>
  <c r="AJ148" i="21"/>
  <c r="AE148" i="21"/>
  <c r="U148" i="21"/>
  <c r="AP148" i="21" s="1"/>
  <c r="Q148" i="21"/>
  <c r="K148" i="21"/>
  <c r="AN148" i="21" s="1"/>
  <c r="AS147" i="21"/>
  <c r="AJ147" i="21" s="1"/>
  <c r="AQ147" i="21"/>
  <c r="AO147" i="21"/>
  <c r="AE147" i="21"/>
  <c r="AR147" i="21" s="1"/>
  <c r="Z147" i="21"/>
  <c r="U147" i="21"/>
  <c r="AP147" i="21" s="1"/>
  <c r="Q147" i="21"/>
  <c r="P147" i="21"/>
  <c r="K147" i="21"/>
  <c r="AN147" i="21" s="1"/>
  <c r="AS146" i="21"/>
  <c r="AQ146" i="21"/>
  <c r="Z146" i="21" s="1"/>
  <c r="AO146" i="21"/>
  <c r="P146" i="21" s="1"/>
  <c r="AJ146" i="21"/>
  <c r="AE146" i="21"/>
  <c r="AR146" i="21" s="1"/>
  <c r="U146" i="21"/>
  <c r="AP146" i="21" s="1"/>
  <c r="Q146" i="21"/>
  <c r="K146" i="21"/>
  <c r="AN146" i="21" s="1"/>
  <c r="AS145" i="21"/>
  <c r="AJ145" i="21" s="1"/>
  <c r="AQ145" i="21"/>
  <c r="Z145" i="21" s="1"/>
  <c r="AO145" i="21"/>
  <c r="AE145" i="21"/>
  <c r="AR145" i="21" s="1"/>
  <c r="U145" i="21"/>
  <c r="AP145" i="21" s="1"/>
  <c r="Q145" i="21"/>
  <c r="P145" i="21"/>
  <c r="K145" i="21"/>
  <c r="AN145" i="21" s="1"/>
  <c r="AS144" i="21"/>
  <c r="AJ144" i="21" s="1"/>
  <c r="AQ144" i="21"/>
  <c r="Z144" i="21" s="1"/>
  <c r="AO144" i="21"/>
  <c r="P144" i="21" s="1"/>
  <c r="AE144" i="21"/>
  <c r="AR144" i="21" s="1"/>
  <c r="U144" i="21"/>
  <c r="AP144" i="21" s="1"/>
  <c r="Q144" i="21"/>
  <c r="K144" i="21"/>
  <c r="AN144" i="21" s="1"/>
  <c r="AS143" i="21"/>
  <c r="AJ143" i="21" s="1"/>
  <c r="AR143" i="21"/>
  <c r="AQ143" i="21"/>
  <c r="Z143" i="21" s="1"/>
  <c r="AO143" i="21"/>
  <c r="P143" i="21" s="1"/>
  <c r="AE143" i="21"/>
  <c r="U143" i="21"/>
  <c r="AP143" i="21" s="1"/>
  <c r="Q143" i="21"/>
  <c r="K143" i="21"/>
  <c r="AN143" i="21" s="1"/>
  <c r="AS142" i="21"/>
  <c r="AJ142" i="21" s="1"/>
  <c r="AR142" i="21"/>
  <c r="AQ142" i="21"/>
  <c r="AO142" i="21"/>
  <c r="AE142" i="21"/>
  <c r="Z142" i="21"/>
  <c r="U142" i="21"/>
  <c r="AP142" i="21" s="1"/>
  <c r="Q142" i="21"/>
  <c r="P142" i="21"/>
  <c r="K142" i="21"/>
  <c r="AN142" i="21" s="1"/>
  <c r="AS141" i="21"/>
  <c r="AJ141" i="21" s="1"/>
  <c r="AQ141" i="21"/>
  <c r="Z141" i="21" s="1"/>
  <c r="AO141" i="21"/>
  <c r="P141" i="21" s="1"/>
  <c r="AN141" i="21"/>
  <c r="AE141" i="21"/>
  <c r="AR141" i="21" s="1"/>
  <c r="U141" i="21"/>
  <c r="AP141" i="21" s="1"/>
  <c r="Q141" i="21"/>
  <c r="K141" i="21"/>
  <c r="AS140" i="21"/>
  <c r="AR140" i="21"/>
  <c r="AQ140" i="21"/>
  <c r="AO140" i="21"/>
  <c r="P140" i="21" s="1"/>
  <c r="AJ140" i="21"/>
  <c r="AE140" i="21"/>
  <c r="Z140" i="21"/>
  <c r="U140" i="21"/>
  <c r="AP140" i="21" s="1"/>
  <c r="Q140" i="21"/>
  <c r="K140" i="21"/>
  <c r="AN140" i="21" s="1"/>
  <c r="AS139" i="21"/>
  <c r="AJ139" i="21" s="1"/>
  <c r="AQ139" i="21"/>
  <c r="Z139" i="21" s="1"/>
  <c r="AO139" i="21"/>
  <c r="AE139" i="21"/>
  <c r="AR139" i="21" s="1"/>
  <c r="U139" i="21"/>
  <c r="AP139" i="21" s="1"/>
  <c r="Q139" i="21"/>
  <c r="P139" i="21"/>
  <c r="K139" i="21"/>
  <c r="AN139" i="21" s="1"/>
  <c r="AS138" i="21"/>
  <c r="AQ138" i="21"/>
  <c r="AO138" i="21"/>
  <c r="P138" i="21" s="1"/>
  <c r="AJ138" i="21"/>
  <c r="AE138" i="21"/>
  <c r="AR138" i="21" s="1"/>
  <c r="Z138" i="21"/>
  <c r="U138" i="21"/>
  <c r="AP138" i="21" s="1"/>
  <c r="Q138" i="21"/>
  <c r="K138" i="21"/>
  <c r="AN138" i="21" s="1"/>
  <c r="AS137" i="21"/>
  <c r="AJ137" i="21" s="1"/>
  <c r="AR137" i="21"/>
  <c r="AQ137" i="21"/>
  <c r="Z137" i="21" s="1"/>
  <c r="AO137" i="21"/>
  <c r="AN137" i="21"/>
  <c r="AE137" i="21"/>
  <c r="U137" i="21"/>
  <c r="AP137" i="21" s="1"/>
  <c r="Q137" i="21"/>
  <c r="P137" i="21"/>
  <c r="K137" i="21"/>
  <c r="AS136" i="21"/>
  <c r="AQ136" i="21"/>
  <c r="AO136" i="21"/>
  <c r="AJ136" i="21"/>
  <c r="AE136" i="21"/>
  <c r="AR136" i="21" s="1"/>
  <c r="Z136" i="21"/>
  <c r="U136" i="21"/>
  <c r="AP136" i="21" s="1"/>
  <c r="Q136" i="21"/>
  <c r="P136" i="21"/>
  <c r="K136" i="21"/>
  <c r="AN136" i="21" s="1"/>
  <c r="AS135" i="21"/>
  <c r="AJ135" i="21" s="1"/>
  <c r="AQ135" i="21"/>
  <c r="Z135" i="21" s="1"/>
  <c r="AO135" i="21"/>
  <c r="P135" i="21" s="1"/>
  <c r="AE135" i="21"/>
  <c r="AR135" i="21" s="1"/>
  <c r="U135" i="21"/>
  <c r="AP135" i="21" s="1"/>
  <c r="Q135" i="21"/>
  <c r="K135" i="21"/>
  <c r="AN135" i="21" s="1"/>
  <c r="AS134" i="21"/>
  <c r="AJ134" i="21" s="1"/>
  <c r="AQ134" i="21"/>
  <c r="AO134" i="21"/>
  <c r="AE134" i="21"/>
  <c r="AR134" i="21" s="1"/>
  <c r="Z134" i="21"/>
  <c r="U134" i="21"/>
  <c r="AP134" i="21" s="1"/>
  <c r="Q134" i="21"/>
  <c r="P134" i="21"/>
  <c r="K134" i="21"/>
  <c r="AN134" i="21" s="1"/>
  <c r="AS133" i="21"/>
  <c r="AJ133" i="21" s="1"/>
  <c r="AR133" i="21"/>
  <c r="AQ133" i="21"/>
  <c r="Z133" i="21" s="1"/>
  <c r="AO133" i="21"/>
  <c r="AE133" i="21"/>
  <c r="U133" i="21"/>
  <c r="AP133" i="21" s="1"/>
  <c r="Q133" i="21"/>
  <c r="P133" i="21"/>
  <c r="K133" i="21"/>
  <c r="AN133" i="21" s="1"/>
  <c r="AS132" i="21"/>
  <c r="AJ132" i="21" s="1"/>
  <c r="AQ132" i="21"/>
  <c r="Z132" i="21" s="1"/>
  <c r="AO132" i="21"/>
  <c r="P132" i="21" s="1"/>
  <c r="AE132" i="21"/>
  <c r="AR132" i="21" s="1"/>
  <c r="U132" i="21"/>
  <c r="AP132" i="21" s="1"/>
  <c r="Q132" i="21"/>
  <c r="K132" i="21"/>
  <c r="AN132" i="21" s="1"/>
  <c r="AS131" i="21"/>
  <c r="AJ131" i="21" s="1"/>
  <c r="AQ131" i="21"/>
  <c r="AP131" i="21"/>
  <c r="AO131" i="21"/>
  <c r="P131" i="21" s="1"/>
  <c r="AE131" i="21"/>
  <c r="AR131" i="21" s="1"/>
  <c r="Z131" i="21"/>
  <c r="U131" i="21"/>
  <c r="Q131" i="21"/>
  <c r="K131" i="21"/>
  <c r="AN131" i="21" s="1"/>
  <c r="AS130" i="21"/>
  <c r="AJ130" i="21" s="1"/>
  <c r="AQ130" i="21"/>
  <c r="Z130" i="21" s="1"/>
  <c r="AO130" i="21"/>
  <c r="AE130" i="21"/>
  <c r="AR130" i="21" s="1"/>
  <c r="U130" i="21"/>
  <c r="AP130" i="21" s="1"/>
  <c r="Q130" i="21"/>
  <c r="P130" i="21"/>
  <c r="K130" i="21"/>
  <c r="AN130" i="21" s="1"/>
  <c r="AS129" i="21"/>
  <c r="AJ129" i="21" s="1"/>
  <c r="AR129" i="21"/>
  <c r="AQ129" i="21"/>
  <c r="Z129" i="21" s="1"/>
  <c r="AO129" i="21"/>
  <c r="AE129" i="21"/>
  <c r="U129" i="21"/>
  <c r="AP129" i="21" s="1"/>
  <c r="Q129" i="21"/>
  <c r="P129" i="21"/>
  <c r="K129" i="21"/>
  <c r="AN129" i="21" s="1"/>
  <c r="AS128" i="21"/>
  <c r="AQ128" i="21"/>
  <c r="AO128" i="21"/>
  <c r="AJ128" i="21"/>
  <c r="AE128" i="21"/>
  <c r="AR128" i="21" s="1"/>
  <c r="Z128" i="21"/>
  <c r="U128" i="21"/>
  <c r="AP128" i="21" s="1"/>
  <c r="Q128" i="21"/>
  <c r="P128" i="21"/>
  <c r="K128" i="21"/>
  <c r="AN128" i="21" s="1"/>
  <c r="AS127" i="21"/>
  <c r="AJ127" i="21" s="1"/>
  <c r="AQ127" i="21"/>
  <c r="AO127" i="21"/>
  <c r="P127" i="21" s="1"/>
  <c r="AE127" i="21"/>
  <c r="AR127" i="21" s="1"/>
  <c r="Z127" i="21"/>
  <c r="U127" i="21"/>
  <c r="AP127" i="21" s="1"/>
  <c r="Q127" i="21"/>
  <c r="K127" i="21"/>
  <c r="AN127" i="21" s="1"/>
  <c r="AS126" i="21"/>
  <c r="AJ126" i="21" s="1"/>
  <c r="AQ126" i="21"/>
  <c r="Z126" i="21" s="1"/>
  <c r="AO126" i="21"/>
  <c r="P126" i="21" s="1"/>
  <c r="AE126" i="21"/>
  <c r="AR126" i="21" s="1"/>
  <c r="U126" i="21"/>
  <c r="AP126" i="21" s="1"/>
  <c r="Q126" i="21"/>
  <c r="K126" i="21"/>
  <c r="AN126" i="21" s="1"/>
  <c r="AS125" i="21"/>
  <c r="AJ125" i="21" s="1"/>
  <c r="AR125" i="21"/>
  <c r="AQ125" i="21"/>
  <c r="Z125" i="21" s="1"/>
  <c r="AO125" i="21"/>
  <c r="AE125" i="21"/>
  <c r="U125" i="21"/>
  <c r="AP125" i="21" s="1"/>
  <c r="Q125" i="21"/>
  <c r="P125" i="21"/>
  <c r="K125" i="21"/>
  <c r="AN125" i="21" s="1"/>
  <c r="AS124" i="21"/>
  <c r="AJ124" i="21" s="1"/>
  <c r="AQ124" i="21"/>
  <c r="Z124" i="21" s="1"/>
  <c r="AO124" i="21"/>
  <c r="P124" i="21" s="1"/>
  <c r="AE124" i="21"/>
  <c r="AR124" i="21" s="1"/>
  <c r="U124" i="21"/>
  <c r="AP124" i="21" s="1"/>
  <c r="Q124" i="21"/>
  <c r="K124" i="21"/>
  <c r="AN124" i="21" s="1"/>
  <c r="AS123" i="21"/>
  <c r="AJ123" i="21" s="1"/>
  <c r="AQ123" i="21"/>
  <c r="AP123" i="21"/>
  <c r="AO123" i="21"/>
  <c r="AE123" i="21"/>
  <c r="AR123" i="21" s="1"/>
  <c r="Z123" i="21"/>
  <c r="U123" i="21"/>
  <c r="Q123" i="21"/>
  <c r="P123" i="21"/>
  <c r="K123" i="21"/>
  <c r="AN123" i="21" s="1"/>
  <c r="AS122" i="21"/>
  <c r="AJ122" i="21" s="1"/>
  <c r="AQ122" i="21"/>
  <c r="AO122" i="21"/>
  <c r="AE122" i="21"/>
  <c r="AR122" i="21" s="1"/>
  <c r="Z122" i="21"/>
  <c r="U122" i="21"/>
  <c r="AP122" i="21" s="1"/>
  <c r="Q122" i="21"/>
  <c r="P122" i="21"/>
  <c r="K122" i="21"/>
  <c r="AN122" i="21" s="1"/>
  <c r="AS121" i="21"/>
  <c r="AJ121" i="21" s="1"/>
  <c r="AR121" i="21"/>
  <c r="AQ121" i="21"/>
  <c r="AO121" i="21"/>
  <c r="AE121" i="21"/>
  <c r="Z121" i="21"/>
  <c r="U121" i="21"/>
  <c r="AP121" i="21" s="1"/>
  <c r="Q121" i="21"/>
  <c r="P121" i="21"/>
  <c r="K121" i="21"/>
  <c r="AN121" i="21" s="1"/>
  <c r="AS120" i="21"/>
  <c r="AJ120" i="21" s="1"/>
  <c r="AQ120" i="21"/>
  <c r="AO120" i="21"/>
  <c r="AE120" i="21"/>
  <c r="AR120" i="21" s="1"/>
  <c r="Z120" i="21"/>
  <c r="U120" i="21"/>
  <c r="AP120" i="21" s="1"/>
  <c r="Q120" i="21"/>
  <c r="P120" i="21"/>
  <c r="K120" i="21"/>
  <c r="AN120" i="21" s="1"/>
  <c r="AS119" i="21"/>
  <c r="AJ119" i="21" s="1"/>
  <c r="AQ119" i="21"/>
  <c r="AO119" i="21"/>
  <c r="P119" i="21" s="1"/>
  <c r="AE119" i="21"/>
  <c r="AR119" i="21" s="1"/>
  <c r="Z119" i="21"/>
  <c r="U119" i="21"/>
  <c r="AP119" i="21" s="1"/>
  <c r="Q119" i="21"/>
  <c r="K119" i="21"/>
  <c r="AN119" i="21" s="1"/>
  <c r="AS118" i="21"/>
  <c r="AQ118" i="21"/>
  <c r="Z118" i="21" s="1"/>
  <c r="AO118" i="21"/>
  <c r="AJ118" i="21"/>
  <c r="AE118" i="21"/>
  <c r="AR118" i="21" s="1"/>
  <c r="U118" i="21"/>
  <c r="AP118" i="21" s="1"/>
  <c r="Q118" i="21"/>
  <c r="P118" i="21"/>
  <c r="K118" i="21"/>
  <c r="AN118" i="21" s="1"/>
  <c r="AS117" i="21"/>
  <c r="AJ117" i="21" s="1"/>
  <c r="AR117" i="21"/>
  <c r="AQ117" i="21"/>
  <c r="Z117" i="21" s="1"/>
  <c r="AO117" i="21"/>
  <c r="AE117" i="21"/>
  <c r="U117" i="21"/>
  <c r="AP117" i="21" s="1"/>
  <c r="Q117" i="21"/>
  <c r="P117" i="21"/>
  <c r="K117" i="21"/>
  <c r="AN117" i="21" s="1"/>
  <c r="AS116" i="21"/>
  <c r="AJ116" i="21" s="1"/>
  <c r="AQ116" i="21"/>
  <c r="Z116" i="21" s="1"/>
  <c r="AO116" i="21"/>
  <c r="P116" i="21" s="1"/>
  <c r="AE116" i="21"/>
  <c r="AR116" i="21" s="1"/>
  <c r="U116" i="21"/>
  <c r="AP116" i="21" s="1"/>
  <c r="Q116" i="21"/>
  <c r="K116" i="21"/>
  <c r="AN116" i="21" s="1"/>
  <c r="AS115" i="21"/>
  <c r="AJ115" i="21" s="1"/>
  <c r="AQ115" i="21"/>
  <c r="Z115" i="21" s="1"/>
  <c r="AO115" i="21"/>
  <c r="P115" i="21" s="1"/>
  <c r="AN115" i="21"/>
  <c r="AE115" i="21"/>
  <c r="AR115" i="21" s="1"/>
  <c r="U115" i="21"/>
  <c r="AP115" i="21" s="1"/>
  <c r="Q115" i="21"/>
  <c r="K115" i="21"/>
  <c r="AS114" i="21"/>
  <c r="AJ114" i="21" s="1"/>
  <c r="AQ114" i="21"/>
  <c r="AO114" i="21"/>
  <c r="P114" i="21" s="1"/>
  <c r="AE114" i="21"/>
  <c r="AR114" i="21" s="1"/>
  <c r="Z114" i="21"/>
  <c r="U114" i="21"/>
  <c r="AP114" i="21" s="1"/>
  <c r="Q114" i="21"/>
  <c r="K114" i="21"/>
  <c r="AN114" i="21" s="1"/>
  <c r="AS113" i="21"/>
  <c r="AQ113" i="21"/>
  <c r="AO113" i="21"/>
  <c r="AN113" i="21"/>
  <c r="AJ113" i="21"/>
  <c r="AE113" i="21"/>
  <c r="AR113" i="21" s="1"/>
  <c r="Z113" i="21"/>
  <c r="U113" i="21"/>
  <c r="AP113" i="21" s="1"/>
  <c r="Q113" i="21"/>
  <c r="P113" i="21"/>
  <c r="K113" i="21"/>
  <c r="AS112" i="21"/>
  <c r="AJ112" i="21" s="1"/>
  <c r="AQ112" i="21"/>
  <c r="AO112" i="21"/>
  <c r="AE112" i="21"/>
  <c r="AR112" i="21" s="1"/>
  <c r="Z112" i="21"/>
  <c r="U112" i="21"/>
  <c r="AP112" i="21" s="1"/>
  <c r="Q112" i="21"/>
  <c r="P112" i="21"/>
  <c r="K112" i="21"/>
  <c r="AN112" i="21" s="1"/>
  <c r="AS111" i="21"/>
  <c r="AJ111" i="21" s="1"/>
  <c r="AQ111" i="21"/>
  <c r="Z111" i="21" s="1"/>
  <c r="AO111" i="21"/>
  <c r="P111" i="21" s="1"/>
  <c r="AE111" i="21"/>
  <c r="AR111" i="21" s="1"/>
  <c r="U111" i="21"/>
  <c r="AP111" i="21" s="1"/>
  <c r="Q111" i="21"/>
  <c r="K111" i="21"/>
  <c r="AN111" i="21" s="1"/>
  <c r="AS110" i="21"/>
  <c r="AQ110" i="21"/>
  <c r="AO110" i="21"/>
  <c r="AJ110" i="21"/>
  <c r="AE110" i="21"/>
  <c r="AR110" i="21" s="1"/>
  <c r="Z110" i="21"/>
  <c r="U110" i="21"/>
  <c r="AP110" i="21" s="1"/>
  <c r="Q110" i="21"/>
  <c r="P110" i="21"/>
  <c r="K110" i="21"/>
  <c r="AN110" i="21" s="1"/>
  <c r="AS109" i="21"/>
  <c r="AJ109" i="21" s="1"/>
  <c r="AQ109" i="21"/>
  <c r="Z109" i="21" s="1"/>
  <c r="AO109" i="21"/>
  <c r="P109" i="21" s="1"/>
  <c r="AE109" i="21"/>
  <c r="AR109" i="21" s="1"/>
  <c r="U109" i="21"/>
  <c r="AP109" i="21" s="1"/>
  <c r="Q109" i="21"/>
  <c r="K109" i="21"/>
  <c r="AN109" i="21" s="1"/>
  <c r="AS108" i="21"/>
  <c r="AQ108" i="21"/>
  <c r="Z108" i="21" s="1"/>
  <c r="AO108" i="21"/>
  <c r="P108" i="21" s="1"/>
  <c r="AJ108" i="21"/>
  <c r="AE108" i="21"/>
  <c r="AR108" i="21" s="1"/>
  <c r="U108" i="21"/>
  <c r="AP108" i="21" s="1"/>
  <c r="Q108" i="21"/>
  <c r="K108" i="21"/>
  <c r="AN108" i="21" s="1"/>
  <c r="AS107" i="21"/>
  <c r="AJ107" i="21" s="1"/>
  <c r="AQ107" i="21"/>
  <c r="Z107" i="21" s="1"/>
  <c r="AO107" i="21"/>
  <c r="AN107" i="21"/>
  <c r="AE107" i="21"/>
  <c r="AR107" i="21" s="1"/>
  <c r="U107" i="21"/>
  <c r="AP107" i="21" s="1"/>
  <c r="Q107" i="21"/>
  <c r="P107" i="21"/>
  <c r="K107" i="21"/>
  <c r="AS106" i="21"/>
  <c r="AJ106" i="21" s="1"/>
  <c r="AR106" i="21"/>
  <c r="AQ106" i="21"/>
  <c r="AO106" i="21"/>
  <c r="P106" i="21" s="1"/>
  <c r="AE106" i="21"/>
  <c r="Z106" i="21"/>
  <c r="U106" i="21"/>
  <c r="AP106" i="21" s="1"/>
  <c r="Q106" i="21"/>
  <c r="K106" i="21"/>
  <c r="AN106" i="21" s="1"/>
  <c r="AS105" i="21"/>
  <c r="AQ105" i="21"/>
  <c r="AO105" i="21"/>
  <c r="P105" i="21" s="1"/>
  <c r="AJ105" i="21"/>
  <c r="AE105" i="21"/>
  <c r="AR105" i="21" s="1"/>
  <c r="Z105" i="21"/>
  <c r="U105" i="21"/>
  <c r="AP105" i="21" s="1"/>
  <c r="Q105" i="21"/>
  <c r="K105" i="21"/>
  <c r="AN105" i="21" s="1"/>
  <c r="AS104" i="21"/>
  <c r="AQ104" i="21"/>
  <c r="Z104" i="21" s="1"/>
  <c r="AO104" i="21"/>
  <c r="P104" i="21" s="1"/>
  <c r="AJ104" i="21"/>
  <c r="AE104" i="21"/>
  <c r="AR104" i="21" s="1"/>
  <c r="U104" i="21"/>
  <c r="AP104" i="21" s="1"/>
  <c r="Q104" i="21"/>
  <c r="K104" i="21"/>
  <c r="AN104" i="21" s="1"/>
  <c r="AS103" i="21"/>
  <c r="AJ103" i="21" s="1"/>
  <c r="AQ103" i="21"/>
  <c r="Z103" i="21" s="1"/>
  <c r="AO103" i="21"/>
  <c r="P103" i="21" s="1"/>
  <c r="AE103" i="21"/>
  <c r="AR103" i="21" s="1"/>
  <c r="U103" i="21"/>
  <c r="AP103" i="21" s="1"/>
  <c r="Q103" i="21"/>
  <c r="K103" i="21"/>
  <c r="AN103" i="21" s="1"/>
  <c r="AS102" i="21"/>
  <c r="AR102" i="21"/>
  <c r="AQ102" i="21"/>
  <c r="Z102" i="21" s="1"/>
  <c r="AO102" i="21"/>
  <c r="AJ102" i="21"/>
  <c r="AE102" i="21"/>
  <c r="U102" i="21"/>
  <c r="AP102" i="21" s="1"/>
  <c r="Q102" i="21"/>
  <c r="P102" i="21"/>
  <c r="K102" i="21"/>
  <c r="AN102" i="21" s="1"/>
  <c r="AS101" i="21"/>
  <c r="AJ101" i="21" s="1"/>
  <c r="AQ101" i="21"/>
  <c r="Z101" i="21" s="1"/>
  <c r="AO101" i="21"/>
  <c r="P101" i="21" s="1"/>
  <c r="AE101" i="21"/>
  <c r="AR101" i="21" s="1"/>
  <c r="U101" i="21"/>
  <c r="AP101" i="21" s="1"/>
  <c r="Q101" i="21"/>
  <c r="K101" i="21"/>
  <c r="AN101" i="21" s="1"/>
  <c r="AS100" i="21"/>
  <c r="AJ100" i="21" s="1"/>
  <c r="AQ100" i="21"/>
  <c r="Z100" i="21" s="1"/>
  <c r="AP100" i="21"/>
  <c r="AO100" i="21"/>
  <c r="P100" i="21" s="1"/>
  <c r="AE100" i="21"/>
  <c r="AR100" i="21" s="1"/>
  <c r="U100" i="21"/>
  <c r="Q100" i="21"/>
  <c r="K100" i="21"/>
  <c r="AN100" i="21" s="1"/>
  <c r="AS99" i="21"/>
  <c r="AJ99" i="21" s="1"/>
  <c r="AQ99" i="21"/>
  <c r="Z99" i="21" s="1"/>
  <c r="AO99" i="21"/>
  <c r="AE99" i="21"/>
  <c r="AR99" i="21" s="1"/>
  <c r="U99" i="21"/>
  <c r="AP99" i="21" s="1"/>
  <c r="Q99" i="21"/>
  <c r="P99" i="21"/>
  <c r="K99" i="21"/>
  <c r="AN99" i="21" s="1"/>
  <c r="AS98" i="21"/>
  <c r="AQ98" i="21"/>
  <c r="Z98" i="21" s="1"/>
  <c r="AO98" i="21"/>
  <c r="P98" i="21" s="1"/>
  <c r="AJ98" i="21"/>
  <c r="AE98" i="21"/>
  <c r="AR98" i="21" s="1"/>
  <c r="U98" i="21"/>
  <c r="AP98" i="21" s="1"/>
  <c r="Q98" i="21"/>
  <c r="K98" i="21"/>
  <c r="AN98" i="21" s="1"/>
  <c r="AS97" i="21"/>
  <c r="AJ97" i="21" s="1"/>
  <c r="AQ97" i="21"/>
  <c r="AO97" i="21"/>
  <c r="P97" i="21" s="1"/>
  <c r="AN97" i="21"/>
  <c r="AE97" i="21"/>
  <c r="AR97" i="21" s="1"/>
  <c r="Z97" i="21"/>
  <c r="U97" i="21"/>
  <c r="AP97" i="21" s="1"/>
  <c r="Q97" i="21"/>
  <c r="K97" i="21"/>
  <c r="AS96" i="21"/>
  <c r="AJ96" i="21" s="1"/>
  <c r="AQ96" i="21"/>
  <c r="Z96" i="21" s="1"/>
  <c r="AO96" i="21"/>
  <c r="AE96" i="21"/>
  <c r="AR96" i="21" s="1"/>
  <c r="U96" i="21"/>
  <c r="AP96" i="21" s="1"/>
  <c r="Q96" i="21"/>
  <c r="P96" i="21"/>
  <c r="K96" i="21"/>
  <c r="AN96" i="21" s="1"/>
  <c r="AS95" i="21"/>
  <c r="AJ95" i="21" s="1"/>
  <c r="AR95" i="21"/>
  <c r="AQ95" i="21"/>
  <c r="AO95" i="21"/>
  <c r="AE95" i="21"/>
  <c r="Z95" i="21"/>
  <c r="U95" i="21"/>
  <c r="AP95" i="21" s="1"/>
  <c r="Q95" i="21"/>
  <c r="P95" i="21"/>
  <c r="K95" i="21"/>
  <c r="AN95" i="21" s="1"/>
  <c r="AS94" i="21"/>
  <c r="AJ94" i="21" s="1"/>
  <c r="AQ94" i="21"/>
  <c r="Z94" i="21" s="1"/>
  <c r="AO94" i="21"/>
  <c r="P94" i="21" s="1"/>
  <c r="AE94" i="21"/>
  <c r="AR94" i="21" s="1"/>
  <c r="U94" i="21"/>
  <c r="AP94" i="21" s="1"/>
  <c r="Q94" i="21"/>
  <c r="K94" i="21"/>
  <c r="AN94" i="21" s="1"/>
  <c r="AS93" i="21"/>
  <c r="AJ93" i="21" s="1"/>
  <c r="AQ93" i="21"/>
  <c r="Z93" i="21" s="1"/>
  <c r="AO93" i="21"/>
  <c r="AE93" i="21"/>
  <c r="AR93" i="21" s="1"/>
  <c r="U93" i="21"/>
  <c r="AP93" i="21" s="1"/>
  <c r="Q93" i="21"/>
  <c r="P93" i="21"/>
  <c r="K93" i="21"/>
  <c r="AN93" i="21" s="1"/>
  <c r="AS92" i="21"/>
  <c r="AJ92" i="21" s="1"/>
  <c r="AQ92" i="21"/>
  <c r="Z92" i="21" s="1"/>
  <c r="AO92" i="21"/>
  <c r="P92" i="21" s="1"/>
  <c r="AE92" i="21"/>
  <c r="AR92" i="21" s="1"/>
  <c r="U92" i="21"/>
  <c r="AP92" i="21" s="1"/>
  <c r="Q92" i="21"/>
  <c r="K92" i="21"/>
  <c r="AN92" i="21" s="1"/>
  <c r="AS91" i="21"/>
  <c r="AJ91" i="21" s="1"/>
  <c r="AQ91" i="21"/>
  <c r="AO91" i="21"/>
  <c r="AE91" i="21"/>
  <c r="AR91" i="21" s="1"/>
  <c r="Z91" i="21"/>
  <c r="U91" i="21"/>
  <c r="AP91" i="21" s="1"/>
  <c r="Q91" i="21"/>
  <c r="P91" i="21"/>
  <c r="K91" i="21"/>
  <c r="AN91" i="21" s="1"/>
  <c r="AS90" i="21"/>
  <c r="AJ90" i="21" s="1"/>
  <c r="AQ90" i="21"/>
  <c r="AO90" i="21"/>
  <c r="P90" i="21" s="1"/>
  <c r="AE90" i="21"/>
  <c r="AR90" i="21" s="1"/>
  <c r="Z90" i="21"/>
  <c r="U90" i="21"/>
  <c r="AP90" i="21" s="1"/>
  <c r="Q90" i="21"/>
  <c r="K90" i="21"/>
  <c r="AN90" i="21" s="1"/>
  <c r="AS89" i="21"/>
  <c r="AQ89" i="21"/>
  <c r="AO89" i="21"/>
  <c r="P89" i="21" s="1"/>
  <c r="AJ89" i="21"/>
  <c r="AE89" i="21"/>
  <c r="AR89" i="21" s="1"/>
  <c r="Z89" i="21"/>
  <c r="U89" i="21"/>
  <c r="AP89" i="21" s="1"/>
  <c r="Q89" i="21"/>
  <c r="K89" i="21"/>
  <c r="AN89" i="21" s="1"/>
  <c r="AS88" i="21"/>
  <c r="AJ88" i="21" s="1"/>
  <c r="AQ88" i="21"/>
  <c r="Z88" i="21" s="1"/>
  <c r="AO88" i="21"/>
  <c r="AN88" i="21"/>
  <c r="AE88" i="21"/>
  <c r="AR88" i="21" s="1"/>
  <c r="U88" i="21"/>
  <c r="AP88" i="21" s="1"/>
  <c r="Q88" i="21"/>
  <c r="P88" i="21"/>
  <c r="K88" i="21"/>
  <c r="AS87" i="21"/>
  <c r="AJ87" i="21" s="1"/>
  <c r="AQ87" i="21"/>
  <c r="AO87" i="21"/>
  <c r="AE87" i="21"/>
  <c r="AR87" i="21" s="1"/>
  <c r="Z87" i="21"/>
  <c r="U87" i="21"/>
  <c r="AP87" i="21" s="1"/>
  <c r="Q87" i="21"/>
  <c r="P87" i="21"/>
  <c r="K87" i="21"/>
  <c r="AN87" i="21" s="1"/>
  <c r="AS86" i="21"/>
  <c r="AJ86" i="21" s="1"/>
  <c r="AR86" i="21"/>
  <c r="AQ86" i="21"/>
  <c r="Z86" i="21" s="1"/>
  <c r="AO86" i="21"/>
  <c r="AE86" i="21"/>
  <c r="U86" i="21"/>
  <c r="AP86" i="21" s="1"/>
  <c r="Q86" i="21"/>
  <c r="P86" i="21"/>
  <c r="K86" i="21"/>
  <c r="AN86" i="21" s="1"/>
  <c r="AS85" i="21"/>
  <c r="AJ85" i="21" s="1"/>
  <c r="AQ85" i="21"/>
  <c r="Z85" i="21" s="1"/>
  <c r="AO85" i="21"/>
  <c r="P85" i="21" s="1"/>
  <c r="AE85" i="21"/>
  <c r="AR85" i="21" s="1"/>
  <c r="U85" i="21"/>
  <c r="AP85" i="21" s="1"/>
  <c r="Q85" i="21"/>
  <c r="K85" i="21"/>
  <c r="AN85" i="21" s="1"/>
  <c r="AS84" i="21"/>
  <c r="AJ84" i="21" s="1"/>
  <c r="AR84" i="21"/>
  <c r="AQ84" i="21"/>
  <c r="Z84" i="21" s="1"/>
  <c r="AO84" i="21"/>
  <c r="P84" i="21" s="1"/>
  <c r="AE84" i="21"/>
  <c r="U84" i="21"/>
  <c r="AP84" i="21" s="1"/>
  <c r="Q84" i="21"/>
  <c r="K84" i="21"/>
  <c r="AN84" i="21" s="1"/>
  <c r="AS83" i="21"/>
  <c r="AJ83" i="21" s="1"/>
  <c r="AQ83" i="21"/>
  <c r="Z83" i="21" s="1"/>
  <c r="AO83" i="21"/>
  <c r="P83" i="21" s="1"/>
  <c r="AE83" i="21"/>
  <c r="AR83" i="21" s="1"/>
  <c r="U83" i="21"/>
  <c r="AP83" i="21" s="1"/>
  <c r="Q83" i="21"/>
  <c r="K83" i="21"/>
  <c r="AN83" i="21" s="1"/>
  <c r="AS82" i="21"/>
  <c r="AJ82" i="21" s="1"/>
  <c r="AR82" i="21"/>
  <c r="AQ82" i="21"/>
  <c r="Z82" i="21" s="1"/>
  <c r="AO82" i="21"/>
  <c r="AN82" i="21"/>
  <c r="AE82" i="21"/>
  <c r="U82" i="21"/>
  <c r="AP82" i="21" s="1"/>
  <c r="Q82" i="21"/>
  <c r="P82" i="21"/>
  <c r="K82" i="21"/>
  <c r="AS81" i="21"/>
  <c r="AQ81" i="21"/>
  <c r="AO81" i="21"/>
  <c r="P81" i="21" s="1"/>
  <c r="AJ81" i="21"/>
  <c r="AE81" i="21"/>
  <c r="AR81" i="21" s="1"/>
  <c r="Z81" i="21"/>
  <c r="U81" i="21"/>
  <c r="AP81" i="21" s="1"/>
  <c r="Q81" i="21"/>
  <c r="K81" i="21"/>
  <c r="AN81" i="21" s="1"/>
  <c r="AS80" i="21"/>
  <c r="AJ80" i="21" s="1"/>
  <c r="AQ80" i="21"/>
  <c r="Z80" i="21" s="1"/>
  <c r="AO80" i="21"/>
  <c r="AE80" i="21"/>
  <c r="AR80" i="21" s="1"/>
  <c r="U80" i="21"/>
  <c r="AP80" i="21" s="1"/>
  <c r="Q80" i="21"/>
  <c r="P80" i="21"/>
  <c r="K80" i="21"/>
  <c r="AN80" i="21" s="1"/>
  <c r="AS79" i="21"/>
  <c r="AQ79" i="21"/>
  <c r="AO79" i="21"/>
  <c r="P79" i="21" s="1"/>
  <c r="AJ79" i="21"/>
  <c r="AE79" i="21"/>
  <c r="AR79" i="21" s="1"/>
  <c r="Z79" i="21"/>
  <c r="U79" i="21"/>
  <c r="AP79" i="21" s="1"/>
  <c r="Q79" i="21"/>
  <c r="K79" i="21"/>
  <c r="AN79" i="21" s="1"/>
  <c r="AS78" i="21"/>
  <c r="AJ78" i="21" s="1"/>
  <c r="AR78" i="21"/>
  <c r="AQ78" i="21"/>
  <c r="Z78" i="21" s="1"/>
  <c r="AO78" i="21"/>
  <c r="AE78" i="21"/>
  <c r="U78" i="21"/>
  <c r="AP78" i="21" s="1"/>
  <c r="Q78" i="21"/>
  <c r="P78" i="21"/>
  <c r="K78" i="21"/>
  <c r="AN78" i="21" s="1"/>
  <c r="AS77" i="21"/>
  <c r="AJ77" i="21" s="1"/>
  <c r="AQ77" i="21"/>
  <c r="Z77" i="21" s="1"/>
  <c r="AO77" i="21"/>
  <c r="P77" i="21" s="1"/>
  <c r="AE77" i="21"/>
  <c r="AR77" i="21" s="1"/>
  <c r="U77" i="21"/>
  <c r="AP77" i="21" s="1"/>
  <c r="Q77" i="21"/>
  <c r="K77" i="21"/>
  <c r="AN77" i="21" s="1"/>
  <c r="AS76" i="21"/>
  <c r="AQ76" i="21"/>
  <c r="AP76" i="21"/>
  <c r="AO76" i="21"/>
  <c r="P76" i="21" s="1"/>
  <c r="AJ76" i="21"/>
  <c r="AE76" i="21"/>
  <c r="AR76" i="21" s="1"/>
  <c r="Z76" i="21"/>
  <c r="U76" i="21"/>
  <c r="Q76" i="21"/>
  <c r="K76" i="21"/>
  <c r="AN76" i="21" s="1"/>
  <c r="AS75" i="21"/>
  <c r="AJ75" i="21" s="1"/>
  <c r="AQ75" i="21"/>
  <c r="Z75" i="21" s="1"/>
  <c r="AP75" i="21"/>
  <c r="AO75" i="21"/>
  <c r="AN75" i="21"/>
  <c r="AE75" i="21"/>
  <c r="AR75" i="21" s="1"/>
  <c r="U75" i="21"/>
  <c r="Q75" i="21"/>
  <c r="P75" i="21"/>
  <c r="K75" i="21"/>
  <c r="AS74" i="21"/>
  <c r="AR74" i="21"/>
  <c r="AQ74" i="21"/>
  <c r="Z74" i="21" s="1"/>
  <c r="AO74" i="21"/>
  <c r="P74" i="21" s="1"/>
  <c r="AJ74" i="21"/>
  <c r="AE74" i="21"/>
  <c r="U74" i="21"/>
  <c r="AP74" i="21" s="1"/>
  <c r="Q74" i="21"/>
  <c r="K74" i="21"/>
  <c r="AN74" i="21" s="1"/>
  <c r="AS73" i="21"/>
  <c r="AQ73" i="21"/>
  <c r="AO73" i="21"/>
  <c r="P73" i="21" s="1"/>
  <c r="AJ73" i="21"/>
  <c r="AE73" i="21"/>
  <c r="AR73" i="21" s="1"/>
  <c r="Z73" i="21"/>
  <c r="U73" i="21"/>
  <c r="AP73" i="21" s="1"/>
  <c r="Q73" i="21"/>
  <c r="K73" i="21"/>
  <c r="AN73" i="21" s="1"/>
  <c r="AS72" i="21"/>
  <c r="AJ72" i="21" s="1"/>
  <c r="AQ72" i="21"/>
  <c r="Z72" i="21" s="1"/>
  <c r="AO72" i="21"/>
  <c r="P72" i="21" s="1"/>
  <c r="AE72" i="21"/>
  <c r="AR72" i="21" s="1"/>
  <c r="U72" i="21"/>
  <c r="AP72" i="21" s="1"/>
  <c r="Q72" i="21"/>
  <c r="K72" i="21"/>
  <c r="AN72" i="21" s="1"/>
  <c r="AS71" i="21"/>
  <c r="AJ71" i="21" s="1"/>
  <c r="AQ71" i="21"/>
  <c r="Z71" i="21" s="1"/>
  <c r="AO71" i="21"/>
  <c r="AE71" i="21"/>
  <c r="AR71" i="21" s="1"/>
  <c r="U71" i="21"/>
  <c r="AP71" i="21" s="1"/>
  <c r="Q71" i="21"/>
  <c r="P71" i="21"/>
  <c r="K71" i="21"/>
  <c r="AN71" i="21" s="1"/>
  <c r="AS70" i="21"/>
  <c r="AJ70" i="21" s="1"/>
  <c r="AR70" i="21"/>
  <c r="AQ70" i="21"/>
  <c r="Z70" i="21" s="1"/>
  <c r="AO70" i="21"/>
  <c r="AE70" i="21"/>
  <c r="U70" i="21"/>
  <c r="AP70" i="21" s="1"/>
  <c r="Q70" i="21"/>
  <c r="P70" i="21"/>
  <c r="K70" i="21"/>
  <c r="AN70" i="21" s="1"/>
  <c r="AS69" i="21"/>
  <c r="AJ69" i="21" s="1"/>
  <c r="AQ69" i="21"/>
  <c r="Z69" i="21" s="1"/>
  <c r="AO69" i="21"/>
  <c r="P69" i="21" s="1"/>
  <c r="AE69" i="21"/>
  <c r="AR69" i="21" s="1"/>
  <c r="U69" i="21"/>
  <c r="AP69" i="21" s="1"/>
  <c r="Q69" i="21"/>
  <c r="K69" i="21"/>
  <c r="AN69" i="21" s="1"/>
  <c r="AS68" i="21"/>
  <c r="AQ68" i="21"/>
  <c r="Z68" i="21" s="1"/>
  <c r="AO68" i="21"/>
  <c r="P68" i="21" s="1"/>
  <c r="AJ68" i="21"/>
  <c r="AE68" i="21"/>
  <c r="AR68" i="21" s="1"/>
  <c r="U68" i="21"/>
  <c r="AP68" i="21" s="1"/>
  <c r="Q68" i="21"/>
  <c r="K68" i="21"/>
  <c r="AN68" i="21" s="1"/>
  <c r="AS67" i="21"/>
  <c r="AJ67" i="21" s="1"/>
  <c r="AQ67" i="21"/>
  <c r="Z67" i="21" s="1"/>
  <c r="AO67" i="21"/>
  <c r="AN67" i="21"/>
  <c r="AE67" i="21"/>
  <c r="AR67" i="21" s="1"/>
  <c r="U67" i="21"/>
  <c r="AP67" i="21" s="1"/>
  <c r="Q67" i="21"/>
  <c r="P67" i="21"/>
  <c r="K67" i="21"/>
  <c r="AS66" i="21"/>
  <c r="AJ66" i="21" s="1"/>
  <c r="AQ66" i="21"/>
  <c r="Z66" i="21" s="1"/>
  <c r="AO66" i="21"/>
  <c r="P66" i="21" s="1"/>
  <c r="AE66" i="21"/>
  <c r="AR66" i="21" s="1"/>
  <c r="U66" i="21"/>
  <c r="AP66" i="21" s="1"/>
  <c r="Q66" i="21"/>
  <c r="K66" i="21"/>
  <c r="AN66" i="21" s="1"/>
  <c r="AS65" i="21"/>
  <c r="AJ65" i="21" s="1"/>
  <c r="AQ65" i="21"/>
  <c r="AO65" i="21"/>
  <c r="AN65" i="21"/>
  <c r="AE65" i="21"/>
  <c r="AR65" i="21" s="1"/>
  <c r="Z65" i="21"/>
  <c r="U65" i="21"/>
  <c r="AP65" i="21" s="1"/>
  <c r="Q65" i="21"/>
  <c r="P65" i="21"/>
  <c r="K65" i="21"/>
  <c r="AS64" i="21"/>
  <c r="AJ64" i="21" s="1"/>
  <c r="AQ64" i="21"/>
  <c r="AO64" i="21"/>
  <c r="P64" i="21" s="1"/>
  <c r="AE64" i="21"/>
  <c r="AR64" i="21" s="1"/>
  <c r="Z64" i="21"/>
  <c r="U64" i="21"/>
  <c r="AP64" i="21" s="1"/>
  <c r="Q64" i="21"/>
  <c r="K64" i="21"/>
  <c r="AN64" i="21" s="1"/>
  <c r="AS63" i="21"/>
  <c r="AJ63" i="21" s="1"/>
  <c r="AQ63" i="21"/>
  <c r="AO63" i="21"/>
  <c r="AE63" i="21"/>
  <c r="AR63" i="21" s="1"/>
  <c r="Z63" i="21"/>
  <c r="U63" i="21"/>
  <c r="AP63" i="21" s="1"/>
  <c r="Q63" i="21"/>
  <c r="P63" i="21"/>
  <c r="K63" i="21"/>
  <c r="AN63" i="21" s="1"/>
  <c r="AS62" i="21"/>
  <c r="AJ62" i="21" s="1"/>
  <c r="AR62" i="21"/>
  <c r="AQ62" i="21"/>
  <c r="Z62" i="21" s="1"/>
  <c r="AO62" i="21"/>
  <c r="AE62" i="21"/>
  <c r="U62" i="21"/>
  <c r="AP62" i="21" s="1"/>
  <c r="Q62" i="21"/>
  <c r="P62" i="21"/>
  <c r="K62" i="21"/>
  <c r="AN62" i="21" s="1"/>
  <c r="AS61" i="21"/>
  <c r="AR61" i="21"/>
  <c r="AQ61" i="21"/>
  <c r="Z61" i="21" s="1"/>
  <c r="AP61" i="21"/>
  <c r="AO61" i="21"/>
  <c r="AJ61" i="21"/>
  <c r="AE61" i="21"/>
  <c r="U61" i="21"/>
  <c r="Q61" i="21"/>
  <c r="P61" i="21"/>
  <c r="K61" i="21"/>
  <c r="AN61" i="21" s="1"/>
  <c r="AS60" i="21"/>
  <c r="AJ60" i="21" s="1"/>
  <c r="AQ60" i="21"/>
  <c r="Z60" i="21" s="1"/>
  <c r="AO60" i="21"/>
  <c r="P60" i="21" s="1"/>
  <c r="AE60" i="21"/>
  <c r="AR60" i="21" s="1"/>
  <c r="U60" i="21"/>
  <c r="AP60" i="21" s="1"/>
  <c r="Q60" i="21"/>
  <c r="K60" i="21"/>
  <c r="AN60" i="21" s="1"/>
  <c r="AS59" i="21"/>
  <c r="AJ59" i="21" s="1"/>
  <c r="AQ59" i="21"/>
  <c r="Z59" i="21" s="1"/>
  <c r="AO59" i="21"/>
  <c r="AE59" i="21"/>
  <c r="AR59" i="21" s="1"/>
  <c r="U59" i="21"/>
  <c r="AP59" i="21" s="1"/>
  <c r="Q59" i="21"/>
  <c r="P59" i="21"/>
  <c r="K59" i="21"/>
  <c r="AN59" i="21" s="1"/>
  <c r="AS58" i="21"/>
  <c r="AJ58" i="21" s="1"/>
  <c r="AR58" i="21"/>
  <c r="AQ58" i="21"/>
  <c r="Z58" i="21" s="1"/>
  <c r="AO58" i="21"/>
  <c r="AN58" i="21"/>
  <c r="AE58" i="21"/>
  <c r="U58" i="21"/>
  <c r="AP58" i="21" s="1"/>
  <c r="Q58" i="21"/>
  <c r="P58" i="21"/>
  <c r="K58" i="21"/>
  <c r="AS57" i="21"/>
  <c r="AQ57" i="21"/>
  <c r="Z57" i="21" s="1"/>
  <c r="AO57" i="21"/>
  <c r="AJ57" i="21"/>
  <c r="AE57" i="21"/>
  <c r="AR57" i="21" s="1"/>
  <c r="U57" i="21"/>
  <c r="AP57" i="21" s="1"/>
  <c r="Q57" i="21"/>
  <c r="P57" i="21"/>
  <c r="K57" i="21"/>
  <c r="AN57" i="21" s="1"/>
  <c r="AS56" i="21"/>
  <c r="AJ56" i="21" s="1"/>
  <c r="AQ56" i="21"/>
  <c r="AO56" i="21"/>
  <c r="AE56" i="21"/>
  <c r="AR56" i="21" s="1"/>
  <c r="Z56" i="21"/>
  <c r="U56" i="21"/>
  <c r="AP56" i="21" s="1"/>
  <c r="Q56" i="21"/>
  <c r="P56" i="21"/>
  <c r="K56" i="21"/>
  <c r="AN56" i="21" s="1"/>
  <c r="AS55" i="21"/>
  <c r="AJ55" i="21" s="1"/>
  <c r="AQ55" i="21"/>
  <c r="Z55" i="21" s="1"/>
  <c r="AO55" i="21"/>
  <c r="AN55" i="21"/>
  <c r="AE55" i="21"/>
  <c r="AR55" i="21" s="1"/>
  <c r="U55" i="21"/>
  <c r="AP55" i="21" s="1"/>
  <c r="Q55" i="21"/>
  <c r="P55" i="21"/>
  <c r="K55" i="21"/>
  <c r="AS54" i="21"/>
  <c r="AQ54" i="21"/>
  <c r="Z54" i="21" s="1"/>
  <c r="AO54" i="21"/>
  <c r="AJ54" i="21"/>
  <c r="AE54" i="21"/>
  <c r="AR54" i="21" s="1"/>
  <c r="U54" i="21"/>
  <c r="AP54" i="21" s="1"/>
  <c r="Q54" i="21"/>
  <c r="P54" i="21"/>
  <c r="K54" i="21"/>
  <c r="AN54" i="21" s="1"/>
  <c r="AS53" i="21"/>
  <c r="AJ53" i="21" s="1"/>
  <c r="AR53" i="21"/>
  <c r="AQ53" i="21"/>
  <c r="Z53" i="21" s="1"/>
  <c r="AO53" i="21"/>
  <c r="P53" i="21" s="1"/>
  <c r="AE53" i="21"/>
  <c r="U53" i="21"/>
  <c r="AP53" i="21" s="1"/>
  <c r="Q53" i="21"/>
  <c r="K53" i="21"/>
  <c r="AN53" i="21" s="1"/>
  <c r="AS52" i="21"/>
  <c r="AJ52" i="21" s="1"/>
  <c r="AQ52" i="21"/>
  <c r="AP52" i="21"/>
  <c r="AO52" i="21"/>
  <c r="P52" i="21" s="1"/>
  <c r="AE52" i="21"/>
  <c r="AR52" i="21" s="1"/>
  <c r="Z52" i="21"/>
  <c r="U52" i="21"/>
  <c r="Q52" i="21"/>
  <c r="K52" i="21"/>
  <c r="AN52" i="21" s="1"/>
  <c r="AS51" i="21"/>
  <c r="AJ51" i="21" s="1"/>
  <c r="AR51" i="21"/>
  <c r="AQ51" i="21"/>
  <c r="Z51" i="21" s="1"/>
  <c r="AO51" i="21"/>
  <c r="AN51" i="21"/>
  <c r="AE51" i="21"/>
  <c r="U51" i="21"/>
  <c r="AP51" i="21" s="1"/>
  <c r="Q51" i="21"/>
  <c r="P51" i="21"/>
  <c r="K51" i="21"/>
  <c r="AS50" i="21"/>
  <c r="AJ50" i="21" s="1"/>
  <c r="AQ50" i="21"/>
  <c r="AP50" i="21"/>
  <c r="AO50" i="21"/>
  <c r="AE50" i="21"/>
  <c r="AR50" i="21" s="1"/>
  <c r="Z50" i="21"/>
  <c r="U50" i="21"/>
  <c r="Q50" i="21"/>
  <c r="P50" i="21"/>
  <c r="K50" i="21"/>
  <c r="AN50" i="21" s="1"/>
  <c r="AS49" i="21"/>
  <c r="AJ49" i="21" s="1"/>
  <c r="AR49" i="21"/>
  <c r="AQ49" i="21"/>
  <c r="AO49" i="21"/>
  <c r="AE49" i="21"/>
  <c r="Z49" i="21"/>
  <c r="U49" i="21"/>
  <c r="AP49" i="21" s="1"/>
  <c r="Q49" i="21"/>
  <c r="P49" i="21"/>
  <c r="K49" i="21"/>
  <c r="AN49" i="21" s="1"/>
  <c r="AS48" i="21"/>
  <c r="AJ48" i="21" s="1"/>
  <c r="AQ48" i="21"/>
  <c r="AO48" i="21"/>
  <c r="P48" i="21" s="1"/>
  <c r="AE48" i="21"/>
  <c r="AR48" i="21" s="1"/>
  <c r="Z48" i="21"/>
  <c r="U48" i="21"/>
  <c r="AP48" i="21" s="1"/>
  <c r="Q48" i="21"/>
  <c r="K48" i="21"/>
  <c r="AN48" i="21" s="1"/>
  <c r="AS47" i="21"/>
  <c r="AJ47" i="21" s="1"/>
  <c r="AR47" i="21"/>
  <c r="AQ47" i="21"/>
  <c r="Z47" i="21" s="1"/>
  <c r="AO47" i="21"/>
  <c r="P47" i="21" s="1"/>
  <c r="AE47" i="21"/>
  <c r="U47" i="21"/>
  <c r="AP47" i="21" s="1"/>
  <c r="Q47" i="21"/>
  <c r="K47" i="21"/>
  <c r="AN47" i="21" s="1"/>
  <c r="AS46" i="21"/>
  <c r="AJ46" i="21" s="1"/>
  <c r="AQ46" i="21"/>
  <c r="Z46" i="21" s="1"/>
  <c r="AO46" i="21"/>
  <c r="P46" i="21" s="1"/>
  <c r="AE46" i="21"/>
  <c r="AR46" i="21" s="1"/>
  <c r="U46" i="21"/>
  <c r="AP46" i="21" s="1"/>
  <c r="Q46" i="21"/>
  <c r="K46" i="21"/>
  <c r="AN46" i="21" s="1"/>
  <c r="AS45" i="21"/>
  <c r="AQ45" i="21"/>
  <c r="AO45" i="21"/>
  <c r="AJ45" i="21"/>
  <c r="AE45" i="21"/>
  <c r="AR45" i="21" s="1"/>
  <c r="Z45" i="21"/>
  <c r="U45" i="21"/>
  <c r="AP45" i="21" s="1"/>
  <c r="Q45" i="21"/>
  <c r="P45" i="21"/>
  <c r="K45" i="21"/>
  <c r="AN45" i="21" s="1"/>
  <c r="AS44" i="21"/>
  <c r="AJ44" i="21" s="1"/>
  <c r="AR44" i="21"/>
  <c r="AQ44" i="21"/>
  <c r="AP44" i="21"/>
  <c r="AO44" i="21"/>
  <c r="P44" i="21" s="1"/>
  <c r="AE44" i="21"/>
  <c r="Z44" i="21"/>
  <c r="U44" i="21"/>
  <c r="Q44" i="21"/>
  <c r="K44" i="21"/>
  <c r="AN44" i="21" s="1"/>
  <c r="AS43" i="21"/>
  <c r="AJ43" i="21" s="1"/>
  <c r="AQ43" i="21"/>
  <c r="Z43" i="21" s="1"/>
  <c r="AO43" i="21"/>
  <c r="P43" i="21" s="1"/>
  <c r="AN43" i="21"/>
  <c r="AE43" i="21"/>
  <c r="AR43" i="21" s="1"/>
  <c r="U43" i="21"/>
  <c r="AP43" i="21" s="1"/>
  <c r="Q43" i="21"/>
  <c r="K43" i="21"/>
  <c r="AS42" i="21"/>
  <c r="AJ42" i="21" s="1"/>
  <c r="AQ42" i="21"/>
  <c r="AO42" i="21"/>
  <c r="P42" i="21" s="1"/>
  <c r="AE42" i="21"/>
  <c r="AR42" i="21" s="1"/>
  <c r="Z42" i="21"/>
  <c r="U42" i="21"/>
  <c r="AP42" i="21" s="1"/>
  <c r="Q42" i="21"/>
  <c r="K42" i="21"/>
  <c r="AN42" i="21" s="1"/>
  <c r="AS41" i="21"/>
  <c r="AQ41" i="21"/>
  <c r="Z41" i="21" s="1"/>
  <c r="AO41" i="21"/>
  <c r="AJ41" i="21"/>
  <c r="AE41" i="21"/>
  <c r="AR41" i="21" s="1"/>
  <c r="U41" i="21"/>
  <c r="AP41" i="21" s="1"/>
  <c r="Q41" i="21"/>
  <c r="P41" i="21"/>
  <c r="K41" i="21"/>
  <c r="AN41" i="21" s="1"/>
  <c r="AS40" i="21"/>
  <c r="AJ40" i="21" s="1"/>
  <c r="AQ40" i="21"/>
  <c r="AO40" i="21"/>
  <c r="P40" i="21" s="1"/>
  <c r="AE40" i="21"/>
  <c r="AR40" i="21" s="1"/>
  <c r="Z40" i="21"/>
  <c r="U40" i="21"/>
  <c r="AP40" i="21" s="1"/>
  <c r="Q40" i="21"/>
  <c r="K40" i="21"/>
  <c r="AN40" i="21" s="1"/>
  <c r="AS39" i="21"/>
  <c r="AJ39" i="21" s="1"/>
  <c r="AQ39" i="21"/>
  <c r="AO39" i="21"/>
  <c r="P39" i="21" s="1"/>
  <c r="AE39" i="21"/>
  <c r="AR39" i="21" s="1"/>
  <c r="Z39" i="21"/>
  <c r="U39" i="21"/>
  <c r="AP39" i="21" s="1"/>
  <c r="Q39" i="21"/>
  <c r="K39" i="21"/>
  <c r="AN39" i="21" s="1"/>
  <c r="AS38" i="21"/>
  <c r="AJ38" i="21" s="1"/>
  <c r="AQ38" i="21"/>
  <c r="Z38" i="21" s="1"/>
  <c r="AO38" i="21"/>
  <c r="P38" i="21" s="1"/>
  <c r="AE38" i="21"/>
  <c r="AR38" i="21" s="1"/>
  <c r="U38" i="21"/>
  <c r="AP38" i="21" s="1"/>
  <c r="Q38" i="21"/>
  <c r="K38" i="21"/>
  <c r="AN38" i="21" s="1"/>
  <c r="AS37" i="21"/>
  <c r="AJ37" i="21" s="1"/>
  <c r="AQ37" i="21"/>
  <c r="AP37" i="21"/>
  <c r="AO37" i="21"/>
  <c r="AE37" i="21"/>
  <c r="AR37" i="21" s="1"/>
  <c r="Z37" i="21"/>
  <c r="U37" i="21"/>
  <c r="Q37" i="21"/>
  <c r="P37" i="21"/>
  <c r="K37" i="21"/>
  <c r="AN37" i="21" s="1"/>
  <c r="AS36" i="21"/>
  <c r="AJ36" i="21" s="1"/>
  <c r="AQ36" i="21"/>
  <c r="Z36" i="21" s="1"/>
  <c r="AP36" i="21"/>
  <c r="AO36" i="21"/>
  <c r="P36" i="21" s="1"/>
  <c r="AE36" i="21"/>
  <c r="AR36" i="21" s="1"/>
  <c r="U36" i="21"/>
  <c r="Q36" i="21"/>
  <c r="K36" i="21"/>
  <c r="AN36" i="21" s="1"/>
  <c r="AS35" i="21"/>
  <c r="AJ35" i="21" s="1"/>
  <c r="AQ35" i="21"/>
  <c r="Z35" i="21" s="1"/>
  <c r="AO35" i="21"/>
  <c r="AN35" i="21"/>
  <c r="AE35" i="21"/>
  <c r="AR35" i="21" s="1"/>
  <c r="U35" i="21"/>
  <c r="AP35" i="21" s="1"/>
  <c r="Q35" i="21"/>
  <c r="P35" i="21"/>
  <c r="K35" i="21"/>
  <c r="AS34" i="21"/>
  <c r="AQ34" i="21"/>
  <c r="Z34" i="21" s="1"/>
  <c r="AO34" i="21"/>
  <c r="P34" i="21" s="1"/>
  <c r="AJ34" i="21"/>
  <c r="AE34" i="21"/>
  <c r="AR34" i="21" s="1"/>
  <c r="U34" i="21"/>
  <c r="AP34" i="21" s="1"/>
  <c r="Q34" i="21"/>
  <c r="K34" i="21"/>
  <c r="AN34" i="21" s="1"/>
  <c r="AS33" i="21"/>
  <c r="AQ33" i="21"/>
  <c r="AO33" i="21"/>
  <c r="AJ33" i="21"/>
  <c r="AE33" i="21"/>
  <c r="AR33" i="21" s="1"/>
  <c r="Z33" i="21"/>
  <c r="U33" i="21"/>
  <c r="AP33" i="21" s="1"/>
  <c r="Q33" i="21"/>
  <c r="P33" i="21"/>
  <c r="K33" i="21"/>
  <c r="AN33" i="21" s="1"/>
  <c r="AS32" i="21"/>
  <c r="AJ32" i="21" s="1"/>
  <c r="AQ32" i="21"/>
  <c r="AO32" i="21"/>
  <c r="P32" i="21" s="1"/>
  <c r="AE32" i="21"/>
  <c r="AR32" i="21" s="1"/>
  <c r="Z32" i="21"/>
  <c r="U32" i="21"/>
  <c r="AP32" i="21" s="1"/>
  <c r="Q32" i="21"/>
  <c r="K32" i="21"/>
  <c r="AN32" i="21" s="1"/>
  <c r="AS31" i="21"/>
  <c r="AJ31" i="21" s="1"/>
  <c r="AR31" i="21"/>
  <c r="AQ31" i="21"/>
  <c r="Z31" i="21" s="1"/>
  <c r="AO31" i="21"/>
  <c r="P31" i="21" s="1"/>
  <c r="AE31" i="21"/>
  <c r="U31" i="21"/>
  <c r="AP31" i="21" s="1"/>
  <c r="Q31" i="21"/>
  <c r="K31" i="21"/>
  <c r="AN31" i="21" s="1"/>
  <c r="AS30" i="21"/>
  <c r="AJ30" i="21" s="1"/>
  <c r="AQ30" i="21"/>
  <c r="Z30" i="21" s="1"/>
  <c r="AO30" i="21"/>
  <c r="AE30" i="21"/>
  <c r="AR30" i="21" s="1"/>
  <c r="U30" i="21"/>
  <c r="AP30" i="21" s="1"/>
  <c r="Q30" i="21"/>
  <c r="P30" i="21"/>
  <c r="K30" i="21"/>
  <c r="AN30" i="21" s="1"/>
  <c r="AS29" i="21"/>
  <c r="AQ29" i="21"/>
  <c r="Z29" i="21" s="1"/>
  <c r="AO29" i="21"/>
  <c r="AJ29" i="21"/>
  <c r="AE29" i="21"/>
  <c r="AR29" i="21" s="1"/>
  <c r="U29" i="21"/>
  <c r="AP29" i="21" s="1"/>
  <c r="Q29" i="21"/>
  <c r="P29" i="21"/>
  <c r="K29" i="21"/>
  <c r="AN29" i="21" s="1"/>
  <c r="AS28" i="21"/>
  <c r="AJ28" i="21" s="1"/>
  <c r="AR28" i="21"/>
  <c r="AQ28" i="21"/>
  <c r="AP28" i="21"/>
  <c r="AO28" i="21"/>
  <c r="P28" i="21" s="1"/>
  <c r="AE28" i="21"/>
  <c r="Z28" i="21"/>
  <c r="U28" i="21"/>
  <c r="Q28" i="21"/>
  <c r="K28" i="21"/>
  <c r="AN28" i="21" s="1"/>
  <c r="AS27" i="21"/>
  <c r="AJ27" i="21" s="1"/>
  <c r="AR27" i="21"/>
  <c r="AQ27" i="21"/>
  <c r="Z27" i="21" s="1"/>
  <c r="AO27" i="21"/>
  <c r="P27" i="21" s="1"/>
  <c r="AE27" i="21"/>
  <c r="U27" i="21"/>
  <c r="AP27" i="21" s="1"/>
  <c r="Q27" i="21"/>
  <c r="K27" i="21"/>
  <c r="AN27" i="21" s="1"/>
  <c r="AS26" i="21"/>
  <c r="AJ26" i="21" s="1"/>
  <c r="AQ26" i="21"/>
  <c r="Z26" i="21" s="1"/>
  <c r="AO26" i="21"/>
  <c r="P26" i="21" s="1"/>
  <c r="AE26" i="21"/>
  <c r="AR26" i="21" s="1"/>
  <c r="U26" i="21"/>
  <c r="AP26" i="21" s="1"/>
  <c r="Q26" i="21"/>
  <c r="K26" i="21"/>
  <c r="AN26" i="21" s="1"/>
  <c r="AS25" i="21"/>
  <c r="AQ25" i="21"/>
  <c r="AO25" i="21"/>
  <c r="AN25" i="21"/>
  <c r="AJ25" i="21"/>
  <c r="AE25" i="21"/>
  <c r="AR25" i="21" s="1"/>
  <c r="Z25" i="21"/>
  <c r="U25" i="21"/>
  <c r="AP25" i="21" s="1"/>
  <c r="Q25" i="21"/>
  <c r="P25" i="21"/>
  <c r="K25" i="21"/>
  <c r="AS24" i="21"/>
  <c r="AJ24" i="21" s="1"/>
  <c r="AQ24" i="21"/>
  <c r="Z24" i="21" s="1"/>
  <c r="AO24" i="21"/>
  <c r="AE24" i="21"/>
  <c r="AR24" i="21" s="1"/>
  <c r="U24" i="21"/>
  <c r="AP24" i="21" s="1"/>
  <c r="Q24" i="21"/>
  <c r="P24" i="21"/>
  <c r="K24" i="21"/>
  <c r="AN24" i="21" s="1"/>
  <c r="AS23" i="21"/>
  <c r="AQ23" i="21"/>
  <c r="AO23" i="21"/>
  <c r="AJ23" i="21"/>
  <c r="AE23" i="21"/>
  <c r="AR23" i="21" s="1"/>
  <c r="Z23" i="21"/>
  <c r="U23" i="21"/>
  <c r="AP23" i="21" s="1"/>
  <c r="Q23" i="21"/>
  <c r="P23" i="21"/>
  <c r="K23" i="21"/>
  <c r="AN23" i="21" s="1"/>
  <c r="AS22" i="21"/>
  <c r="AJ22" i="21" s="1"/>
  <c r="AQ22" i="21"/>
  <c r="Z22" i="21" s="1"/>
  <c r="AO22" i="21"/>
  <c r="P22" i="21" s="1"/>
  <c r="AE22" i="21"/>
  <c r="AR22" i="21" s="1"/>
  <c r="U22" i="21"/>
  <c r="AP22" i="21" s="1"/>
  <c r="Q22" i="21"/>
  <c r="K22" i="21"/>
  <c r="AN22" i="21" s="1"/>
  <c r="AS21" i="21"/>
  <c r="AJ21" i="21" s="1"/>
  <c r="AQ21" i="21"/>
  <c r="Z21" i="21" s="1"/>
  <c r="AO21" i="21"/>
  <c r="AE21" i="21"/>
  <c r="AR21" i="21" s="1"/>
  <c r="U21" i="21"/>
  <c r="AP21" i="21" s="1"/>
  <c r="Q21" i="21"/>
  <c r="P21" i="21"/>
  <c r="K21" i="21"/>
  <c r="AN21" i="21" s="1"/>
  <c r="AS20" i="21"/>
  <c r="AJ20" i="21" s="1"/>
  <c r="AR20" i="21"/>
  <c r="AQ20" i="21"/>
  <c r="Z20" i="21" s="1"/>
  <c r="AO20" i="21"/>
  <c r="P20" i="21" s="1"/>
  <c r="AE20" i="21"/>
  <c r="U20" i="21"/>
  <c r="AP20" i="21" s="1"/>
  <c r="Q20" i="21"/>
  <c r="K20" i="21"/>
  <c r="AN20" i="21" s="1"/>
  <c r="AS19" i="21"/>
  <c r="AQ19" i="21"/>
  <c r="Z19" i="21" s="1"/>
  <c r="AO19" i="21"/>
  <c r="AN19" i="21"/>
  <c r="AJ19" i="21"/>
  <c r="AE19" i="21"/>
  <c r="AR19" i="21" s="1"/>
  <c r="U19" i="21"/>
  <c r="AP19" i="21" s="1"/>
  <c r="Q19" i="21"/>
  <c r="P19" i="21"/>
  <c r="K19" i="21"/>
  <c r="AS18" i="21"/>
  <c r="AQ18" i="21"/>
  <c r="AO18" i="21"/>
  <c r="AR18" i="21"/>
  <c r="AP18" i="21"/>
  <c r="AN18" i="21"/>
  <c r="AS17" i="21"/>
  <c r="AQ17" i="21"/>
  <c r="AO17" i="21"/>
  <c r="AN17" i="21"/>
  <c r="AR17" i="21"/>
  <c r="AP17" i="21"/>
  <c r="AS16" i="21"/>
  <c r="AQ16" i="21"/>
  <c r="AO16" i="21"/>
  <c r="AR16" i="21"/>
  <c r="AP16" i="21"/>
  <c r="AN16" i="21"/>
  <c r="AS15" i="21"/>
  <c r="AQ15" i="21"/>
  <c r="AO15" i="21"/>
  <c r="AR15" i="21"/>
  <c r="AP15" i="21"/>
  <c r="AN15" i="21"/>
  <c r="AS14" i="21"/>
  <c r="AQ14" i="21"/>
  <c r="AO14" i="21"/>
  <c r="AR14" i="21"/>
  <c r="AP14" i="21"/>
  <c r="AN14" i="21"/>
  <c r="AS13" i="21"/>
  <c r="AQ13" i="21"/>
  <c r="AO13" i="21"/>
  <c r="AR13" i="21"/>
  <c r="AP13" i="21"/>
  <c r="AN13" i="21"/>
  <c r="AS12" i="21"/>
  <c r="AR12" i="21"/>
  <c r="AQ12" i="21"/>
  <c r="AO12" i="21"/>
  <c r="AP12" i="21"/>
  <c r="AN12" i="21"/>
  <c r="AS11" i="21"/>
  <c r="AQ11" i="21"/>
  <c r="AO11" i="21"/>
  <c r="AN11" i="21"/>
  <c r="AR11" i="21"/>
  <c r="AP11" i="21"/>
  <c r="AS10" i="21"/>
  <c r="AQ10" i="21"/>
  <c r="AO10" i="21"/>
  <c r="AR10" i="21"/>
  <c r="AP10" i="21"/>
  <c r="AN10" i="21"/>
  <c r="AS9" i="21"/>
  <c r="AQ9" i="21"/>
  <c r="AO9" i="21"/>
  <c r="AN9" i="21"/>
  <c r="AR9" i="21"/>
  <c r="AP9" i="21"/>
  <c r="AS8" i="21"/>
  <c r="AQ8" i="21"/>
  <c r="AO8" i="21"/>
  <c r="AR8" i="21"/>
  <c r="AP8" i="21"/>
  <c r="AN8" i="21"/>
  <c r="AS400" i="20"/>
  <c r="AR400" i="20"/>
  <c r="AQ400" i="20"/>
  <c r="AO400" i="20"/>
  <c r="AJ400" i="20"/>
  <c r="AE400" i="20"/>
  <c r="Z400" i="20"/>
  <c r="U400" i="20"/>
  <c r="AP400" i="20" s="1"/>
  <c r="Q400" i="20"/>
  <c r="P400" i="20"/>
  <c r="K400" i="20"/>
  <c r="AN400" i="20" s="1"/>
  <c r="AS399" i="20"/>
  <c r="AQ399" i="20"/>
  <c r="AO399" i="20"/>
  <c r="P399" i="20" s="1"/>
  <c r="AJ399" i="20"/>
  <c r="AE399" i="20"/>
  <c r="AR399" i="20" s="1"/>
  <c r="Z399" i="20"/>
  <c r="U399" i="20"/>
  <c r="AP399" i="20" s="1"/>
  <c r="Q399" i="20"/>
  <c r="K399" i="20"/>
  <c r="AN399" i="20" s="1"/>
  <c r="AS398" i="20"/>
  <c r="AJ398" i="20" s="1"/>
  <c r="AQ398" i="20"/>
  <c r="AO398" i="20"/>
  <c r="P398" i="20" s="1"/>
  <c r="AN398" i="20"/>
  <c r="AE398" i="20"/>
  <c r="AR398" i="20" s="1"/>
  <c r="Z398" i="20"/>
  <c r="U398" i="20"/>
  <c r="AP398" i="20" s="1"/>
  <c r="Q398" i="20"/>
  <c r="K398" i="20"/>
  <c r="AS397" i="20"/>
  <c r="AJ397" i="20" s="1"/>
  <c r="AR397" i="20"/>
  <c r="AQ397" i="20"/>
  <c r="AO397" i="20"/>
  <c r="AN397" i="20"/>
  <c r="AE397" i="20"/>
  <c r="Z397" i="20"/>
  <c r="U397" i="20"/>
  <c r="AP397" i="20" s="1"/>
  <c r="Q397" i="20"/>
  <c r="P397" i="20"/>
  <c r="K397" i="20"/>
  <c r="AS396" i="20"/>
  <c r="AR396" i="20"/>
  <c r="AQ396" i="20"/>
  <c r="Z396" i="20" s="1"/>
  <c r="AO396" i="20"/>
  <c r="AJ396" i="20"/>
  <c r="AE396" i="20"/>
  <c r="U396" i="20"/>
  <c r="AP396" i="20" s="1"/>
  <c r="Q396" i="20"/>
  <c r="P396" i="20"/>
  <c r="K396" i="20"/>
  <c r="AN396" i="20" s="1"/>
  <c r="AS395" i="20"/>
  <c r="AQ395" i="20"/>
  <c r="AO395" i="20"/>
  <c r="P395" i="20" s="1"/>
  <c r="AJ395" i="20"/>
  <c r="AE395" i="20"/>
  <c r="AR395" i="20" s="1"/>
  <c r="Z395" i="20"/>
  <c r="U395" i="20"/>
  <c r="AP395" i="20" s="1"/>
  <c r="Q395" i="20"/>
  <c r="K395" i="20"/>
  <c r="AN395" i="20" s="1"/>
  <c r="AS394" i="20"/>
  <c r="AJ394" i="20" s="1"/>
  <c r="AQ394" i="20"/>
  <c r="AO394" i="20"/>
  <c r="P394" i="20" s="1"/>
  <c r="AN394" i="20"/>
  <c r="AE394" i="20"/>
  <c r="AR394" i="20" s="1"/>
  <c r="Z394" i="20"/>
  <c r="U394" i="20"/>
  <c r="AP394" i="20" s="1"/>
  <c r="Q394" i="20"/>
  <c r="K394" i="20"/>
  <c r="AS393" i="20"/>
  <c r="AJ393" i="20" s="1"/>
  <c r="AR393" i="20"/>
  <c r="AQ393" i="20"/>
  <c r="AO393" i="20"/>
  <c r="AN393" i="20"/>
  <c r="AE393" i="20"/>
  <c r="Z393" i="20"/>
  <c r="U393" i="20"/>
  <c r="AP393" i="20" s="1"/>
  <c r="Q393" i="20"/>
  <c r="P393" i="20"/>
  <c r="K393" i="20"/>
  <c r="AS392" i="20"/>
  <c r="AR392" i="20"/>
  <c r="AQ392" i="20"/>
  <c r="Z392" i="20" s="1"/>
  <c r="AO392" i="20"/>
  <c r="AJ392" i="20"/>
  <c r="AE392" i="20"/>
  <c r="U392" i="20"/>
  <c r="AP392" i="20" s="1"/>
  <c r="Q392" i="20"/>
  <c r="P392" i="20"/>
  <c r="K392" i="20"/>
  <c r="AN392" i="20" s="1"/>
  <c r="AS391" i="20"/>
  <c r="AQ391" i="20"/>
  <c r="AO391" i="20"/>
  <c r="P391" i="20" s="1"/>
  <c r="AJ391" i="20"/>
  <c r="AE391" i="20"/>
  <c r="AR391" i="20" s="1"/>
  <c r="Z391" i="20"/>
  <c r="U391" i="20"/>
  <c r="AP391" i="20" s="1"/>
  <c r="Q391" i="20"/>
  <c r="K391" i="20"/>
  <c r="AN391" i="20" s="1"/>
  <c r="AS390" i="20"/>
  <c r="AJ390" i="20" s="1"/>
  <c r="AQ390" i="20"/>
  <c r="AO390" i="20"/>
  <c r="P390" i="20" s="1"/>
  <c r="AN390" i="20"/>
  <c r="AE390" i="20"/>
  <c r="AR390" i="20" s="1"/>
  <c r="Z390" i="20"/>
  <c r="U390" i="20"/>
  <c r="AP390" i="20" s="1"/>
  <c r="Q390" i="20"/>
  <c r="K390" i="20"/>
  <c r="AS389" i="20"/>
  <c r="AJ389" i="20" s="1"/>
  <c r="AR389" i="20"/>
  <c r="AQ389" i="20"/>
  <c r="AO389" i="20"/>
  <c r="AN389" i="20"/>
  <c r="AE389" i="20"/>
  <c r="Z389" i="20"/>
  <c r="U389" i="20"/>
  <c r="AP389" i="20" s="1"/>
  <c r="Q389" i="20"/>
  <c r="P389" i="20"/>
  <c r="K389" i="20"/>
  <c r="AS388" i="20"/>
  <c r="AR388" i="20"/>
  <c r="AQ388" i="20"/>
  <c r="Z388" i="20" s="1"/>
  <c r="AO388" i="20"/>
  <c r="AJ388" i="20"/>
  <c r="AE388" i="20"/>
  <c r="U388" i="20"/>
  <c r="AP388" i="20" s="1"/>
  <c r="Q388" i="20"/>
  <c r="P388" i="20"/>
  <c r="K388" i="20"/>
  <c r="AN388" i="20" s="1"/>
  <c r="AS387" i="20"/>
  <c r="AQ387" i="20"/>
  <c r="AP387" i="20"/>
  <c r="AO387" i="20"/>
  <c r="P387" i="20" s="1"/>
  <c r="AJ387" i="20"/>
  <c r="AE387" i="20"/>
  <c r="AR387" i="20" s="1"/>
  <c r="Z387" i="20"/>
  <c r="U387" i="20"/>
  <c r="Q387" i="20"/>
  <c r="K387" i="20"/>
  <c r="AN387" i="20" s="1"/>
  <c r="AS386" i="20"/>
  <c r="AJ386" i="20" s="1"/>
  <c r="AQ386" i="20"/>
  <c r="AO386" i="20"/>
  <c r="P386" i="20" s="1"/>
  <c r="AN386" i="20"/>
  <c r="AE386" i="20"/>
  <c r="AR386" i="20" s="1"/>
  <c r="Z386" i="20"/>
  <c r="U386" i="20"/>
  <c r="AP386" i="20" s="1"/>
  <c r="Q386" i="20"/>
  <c r="K386" i="20"/>
  <c r="AS385" i="20"/>
  <c r="AJ385" i="20" s="1"/>
  <c r="AR385" i="20"/>
  <c r="AQ385" i="20"/>
  <c r="AO385" i="20"/>
  <c r="AN385" i="20"/>
  <c r="AE385" i="20"/>
  <c r="Z385" i="20"/>
  <c r="U385" i="20"/>
  <c r="AP385" i="20" s="1"/>
  <c r="Q385" i="20"/>
  <c r="P385" i="20"/>
  <c r="K385" i="20"/>
  <c r="AS384" i="20"/>
  <c r="AR384" i="20"/>
  <c r="AQ384" i="20"/>
  <c r="Z384" i="20" s="1"/>
  <c r="AO384" i="20"/>
  <c r="AJ384" i="20"/>
  <c r="AE384" i="20"/>
  <c r="U384" i="20"/>
  <c r="AP384" i="20" s="1"/>
  <c r="Q384" i="20"/>
  <c r="P384" i="20"/>
  <c r="K384" i="20"/>
  <c r="AN384" i="20" s="1"/>
  <c r="AS383" i="20"/>
  <c r="AQ383" i="20"/>
  <c r="AP383" i="20"/>
  <c r="AO383" i="20"/>
  <c r="P383" i="20" s="1"/>
  <c r="AJ383" i="20"/>
  <c r="AE383" i="20"/>
  <c r="AR383" i="20" s="1"/>
  <c r="Z383" i="20"/>
  <c r="U383" i="20"/>
  <c r="Q383" i="20"/>
  <c r="K383" i="20"/>
  <c r="AN383" i="20" s="1"/>
  <c r="AS382" i="20"/>
  <c r="AJ382" i="20" s="1"/>
  <c r="AR382" i="20"/>
  <c r="AQ382" i="20"/>
  <c r="AO382" i="20"/>
  <c r="P382" i="20" s="1"/>
  <c r="AN382" i="20"/>
  <c r="AE382" i="20"/>
  <c r="Z382" i="20"/>
  <c r="U382" i="20"/>
  <c r="AP382" i="20" s="1"/>
  <c r="Q382" i="20"/>
  <c r="K382" i="20"/>
  <c r="AS381" i="20"/>
  <c r="AJ381" i="20" s="1"/>
  <c r="AR381" i="20"/>
  <c r="AQ381" i="20"/>
  <c r="Z381" i="20" s="1"/>
  <c r="AO381" i="20"/>
  <c r="AN381" i="20"/>
  <c r="AE381" i="20"/>
  <c r="U381" i="20"/>
  <c r="AP381" i="20" s="1"/>
  <c r="Q381" i="20"/>
  <c r="P381" i="20"/>
  <c r="K381" i="20"/>
  <c r="AS380" i="20"/>
  <c r="AR380" i="20"/>
  <c r="AQ380" i="20"/>
  <c r="Z380" i="20" s="1"/>
  <c r="AP380" i="20"/>
  <c r="AO380" i="20"/>
  <c r="AJ380" i="20"/>
  <c r="AE380" i="20"/>
  <c r="U380" i="20"/>
  <c r="Q380" i="20"/>
  <c r="P380" i="20"/>
  <c r="K380" i="20"/>
  <c r="AN380" i="20" s="1"/>
  <c r="AS379" i="20"/>
  <c r="AJ379" i="20" s="1"/>
  <c r="AQ379" i="20"/>
  <c r="Z379" i="20" s="1"/>
  <c r="AO379" i="20"/>
  <c r="P379" i="20" s="1"/>
  <c r="AE379" i="20"/>
  <c r="AR379" i="20" s="1"/>
  <c r="U379" i="20"/>
  <c r="AP379" i="20" s="1"/>
  <c r="Q379" i="20"/>
  <c r="K379" i="20"/>
  <c r="AN379" i="20" s="1"/>
  <c r="AS378" i="20"/>
  <c r="AJ378" i="20" s="1"/>
  <c r="AR378" i="20"/>
  <c r="AQ378" i="20"/>
  <c r="AP378" i="20"/>
  <c r="AO378" i="20"/>
  <c r="AN378" i="20"/>
  <c r="AE378" i="20"/>
  <c r="Z378" i="20"/>
  <c r="U378" i="20"/>
  <c r="Q378" i="20"/>
  <c r="P378" i="20"/>
  <c r="K378" i="20"/>
  <c r="AS377" i="20"/>
  <c r="AJ377" i="20" s="1"/>
  <c r="AR377" i="20"/>
  <c r="AQ377" i="20"/>
  <c r="AO377" i="20"/>
  <c r="AE377" i="20"/>
  <c r="Z377" i="20"/>
  <c r="U377" i="20"/>
  <c r="AP377" i="20" s="1"/>
  <c r="Q377" i="20"/>
  <c r="P377" i="20"/>
  <c r="K377" i="20"/>
  <c r="AN377" i="20" s="1"/>
  <c r="AS376" i="20"/>
  <c r="AR376" i="20"/>
  <c r="AQ376" i="20"/>
  <c r="AO376" i="20"/>
  <c r="AJ376" i="20"/>
  <c r="AE376" i="20"/>
  <c r="Z376" i="20"/>
  <c r="U376" i="20"/>
  <c r="AP376" i="20" s="1"/>
  <c r="Q376" i="20"/>
  <c r="P376" i="20"/>
  <c r="K376" i="20"/>
  <c r="AN376" i="20" s="1"/>
  <c r="AS375" i="20"/>
  <c r="AJ375" i="20" s="1"/>
  <c r="AQ375" i="20"/>
  <c r="AP375" i="20"/>
  <c r="AO375" i="20"/>
  <c r="P375" i="20" s="1"/>
  <c r="AE375" i="20"/>
  <c r="AR375" i="20" s="1"/>
  <c r="Z375" i="20"/>
  <c r="U375" i="20"/>
  <c r="Q375" i="20"/>
  <c r="K375" i="20"/>
  <c r="AN375" i="20" s="1"/>
  <c r="AS374" i="20"/>
  <c r="AQ374" i="20"/>
  <c r="AO374" i="20"/>
  <c r="AN374" i="20"/>
  <c r="AJ374" i="20"/>
  <c r="AE374" i="20"/>
  <c r="AR374" i="20" s="1"/>
  <c r="Z374" i="20"/>
  <c r="U374" i="20"/>
  <c r="AP374" i="20" s="1"/>
  <c r="Q374" i="20"/>
  <c r="P374" i="20"/>
  <c r="K374" i="20"/>
  <c r="AS373" i="20"/>
  <c r="AJ373" i="20" s="1"/>
  <c r="AR373" i="20"/>
  <c r="AQ373" i="20"/>
  <c r="AO373" i="20"/>
  <c r="AE373" i="20"/>
  <c r="Z373" i="20"/>
  <c r="U373" i="20"/>
  <c r="AP373" i="20" s="1"/>
  <c r="Q373" i="20"/>
  <c r="P373" i="20"/>
  <c r="K373" i="20"/>
  <c r="AN373" i="20" s="1"/>
  <c r="AS372" i="20"/>
  <c r="AR372" i="20"/>
  <c r="AQ372" i="20"/>
  <c r="Z372" i="20" s="1"/>
  <c r="AP372" i="20"/>
  <c r="AO372" i="20"/>
  <c r="AJ372" i="20"/>
  <c r="AE372" i="20"/>
  <c r="U372" i="20"/>
  <c r="Q372" i="20"/>
  <c r="P372" i="20"/>
  <c r="K372" i="20"/>
  <c r="AN372" i="20" s="1"/>
  <c r="AS371" i="20"/>
  <c r="AQ371" i="20"/>
  <c r="Z371" i="20" s="1"/>
  <c r="AP371" i="20"/>
  <c r="AO371" i="20"/>
  <c r="P371" i="20" s="1"/>
  <c r="AJ371" i="20"/>
  <c r="AE371" i="20"/>
  <c r="AR371" i="20" s="1"/>
  <c r="U371" i="20"/>
  <c r="Q371" i="20"/>
  <c r="K371" i="20"/>
  <c r="AN371" i="20" s="1"/>
  <c r="AS370" i="20"/>
  <c r="AJ370" i="20" s="1"/>
  <c r="AR370" i="20"/>
  <c r="AQ370" i="20"/>
  <c r="AO370" i="20"/>
  <c r="AN370" i="20"/>
  <c r="AE370" i="20"/>
  <c r="Z370" i="20"/>
  <c r="U370" i="20"/>
  <c r="AP370" i="20" s="1"/>
  <c r="Q370" i="20"/>
  <c r="P370" i="20"/>
  <c r="K370" i="20"/>
  <c r="AS369" i="20"/>
  <c r="AJ369" i="20" s="1"/>
  <c r="AR369" i="20"/>
  <c r="AQ369" i="20"/>
  <c r="Z369" i="20" s="1"/>
  <c r="AO369" i="20"/>
  <c r="AE369" i="20"/>
  <c r="U369" i="20"/>
  <c r="AP369" i="20" s="1"/>
  <c r="Q369" i="20"/>
  <c r="P369" i="20"/>
  <c r="K369" i="20"/>
  <c r="AN369" i="20" s="1"/>
  <c r="AS368" i="20"/>
  <c r="AR368" i="20"/>
  <c r="AQ368" i="20"/>
  <c r="AO368" i="20"/>
  <c r="AJ368" i="20"/>
  <c r="AE368" i="20"/>
  <c r="Z368" i="20"/>
  <c r="U368" i="20"/>
  <c r="AP368" i="20" s="1"/>
  <c r="Q368" i="20"/>
  <c r="P368" i="20"/>
  <c r="K368" i="20"/>
  <c r="AN368" i="20" s="1"/>
  <c r="AS367" i="20"/>
  <c r="AJ367" i="20" s="1"/>
  <c r="AQ367" i="20"/>
  <c r="AO367" i="20"/>
  <c r="P367" i="20" s="1"/>
  <c r="AE367" i="20"/>
  <c r="AR367" i="20" s="1"/>
  <c r="Z367" i="20"/>
  <c r="U367" i="20"/>
  <c r="AP367" i="20" s="1"/>
  <c r="Q367" i="20"/>
  <c r="K367" i="20"/>
  <c r="AN367" i="20" s="1"/>
  <c r="AS366" i="20"/>
  <c r="AJ366" i="20" s="1"/>
  <c r="AR366" i="20"/>
  <c r="AQ366" i="20"/>
  <c r="AO366" i="20"/>
  <c r="AN366" i="20"/>
  <c r="AE366" i="20"/>
  <c r="Z366" i="20"/>
  <c r="U366" i="20"/>
  <c r="AP366" i="20" s="1"/>
  <c r="Q366" i="20"/>
  <c r="P366" i="20"/>
  <c r="K366" i="20"/>
  <c r="AS365" i="20"/>
  <c r="AJ365" i="20" s="1"/>
  <c r="AQ365" i="20"/>
  <c r="Z365" i="20" s="1"/>
  <c r="AO365" i="20"/>
  <c r="AE365" i="20"/>
  <c r="AR365" i="20" s="1"/>
  <c r="U365" i="20"/>
  <c r="AP365" i="20" s="1"/>
  <c r="Q365" i="20"/>
  <c r="P365" i="20"/>
  <c r="K365" i="20"/>
  <c r="AN365" i="20" s="1"/>
  <c r="AS364" i="20"/>
  <c r="AR364" i="20"/>
  <c r="AQ364" i="20"/>
  <c r="AO364" i="20"/>
  <c r="AJ364" i="20"/>
  <c r="AE364" i="20"/>
  <c r="Z364" i="20"/>
  <c r="U364" i="20"/>
  <c r="AP364" i="20" s="1"/>
  <c r="Q364" i="20"/>
  <c r="P364" i="20"/>
  <c r="K364" i="20"/>
  <c r="AN364" i="20" s="1"/>
  <c r="AS363" i="20"/>
  <c r="AJ363" i="20" s="1"/>
  <c r="AQ363" i="20"/>
  <c r="Z363" i="20" s="1"/>
  <c r="AP363" i="20"/>
  <c r="AO363" i="20"/>
  <c r="P363" i="20" s="1"/>
  <c r="AE363" i="20"/>
  <c r="AR363" i="20" s="1"/>
  <c r="U363" i="20"/>
  <c r="Q363" i="20"/>
  <c r="K363" i="20"/>
  <c r="AN363" i="20" s="1"/>
  <c r="AS362" i="20"/>
  <c r="AJ362" i="20" s="1"/>
  <c r="AQ362" i="20"/>
  <c r="AP362" i="20"/>
  <c r="AO362" i="20"/>
  <c r="AN362" i="20"/>
  <c r="AE362" i="20"/>
  <c r="AR362" i="20" s="1"/>
  <c r="Z362" i="20"/>
  <c r="U362" i="20"/>
  <c r="Q362" i="20"/>
  <c r="P362" i="20"/>
  <c r="K362" i="20"/>
  <c r="AS361" i="20"/>
  <c r="AJ361" i="20" s="1"/>
  <c r="AR361" i="20"/>
  <c r="AQ361" i="20"/>
  <c r="AO361" i="20"/>
  <c r="AE361" i="20"/>
  <c r="Z361" i="20"/>
  <c r="U361" i="20"/>
  <c r="AP361" i="20" s="1"/>
  <c r="Q361" i="20"/>
  <c r="P361" i="20"/>
  <c r="K361" i="20"/>
  <c r="AN361" i="20" s="1"/>
  <c r="AS360" i="20"/>
  <c r="AR360" i="20"/>
  <c r="AQ360" i="20"/>
  <c r="AO360" i="20"/>
  <c r="AN360" i="20"/>
  <c r="AJ360" i="20"/>
  <c r="AE360" i="20"/>
  <c r="Z360" i="20"/>
  <c r="U360" i="20"/>
  <c r="AP360" i="20" s="1"/>
  <c r="Q360" i="20"/>
  <c r="P360" i="20"/>
  <c r="K360" i="20"/>
  <c r="AS359" i="20"/>
  <c r="AQ359" i="20"/>
  <c r="AO359" i="20"/>
  <c r="P359" i="20" s="1"/>
  <c r="AJ359" i="20"/>
  <c r="AE359" i="20"/>
  <c r="AR359" i="20" s="1"/>
  <c r="Z359" i="20"/>
  <c r="U359" i="20"/>
  <c r="AP359" i="20" s="1"/>
  <c r="Q359" i="20"/>
  <c r="K359" i="20"/>
  <c r="AN359" i="20" s="1"/>
  <c r="AS358" i="20"/>
  <c r="AJ358" i="20" s="1"/>
  <c r="AR358" i="20"/>
  <c r="AQ358" i="20"/>
  <c r="AO358" i="20"/>
  <c r="AN358" i="20"/>
  <c r="AE358" i="20"/>
  <c r="Z358" i="20"/>
  <c r="U358" i="20"/>
  <c r="AP358" i="20" s="1"/>
  <c r="Q358" i="20"/>
  <c r="P358" i="20"/>
  <c r="K358" i="20"/>
  <c r="AS357" i="20"/>
  <c r="AJ357" i="20" s="1"/>
  <c r="AR357" i="20"/>
  <c r="AQ357" i="20"/>
  <c r="Z357" i="20" s="1"/>
  <c r="AO357" i="20"/>
  <c r="AE357" i="20"/>
  <c r="U357" i="20"/>
  <c r="AP357" i="20" s="1"/>
  <c r="Q357" i="20"/>
  <c r="P357" i="20"/>
  <c r="K357" i="20"/>
  <c r="AN357" i="20" s="1"/>
  <c r="AS356" i="20"/>
  <c r="AR356" i="20"/>
  <c r="AQ356" i="20"/>
  <c r="Z356" i="20" s="1"/>
  <c r="AO356" i="20"/>
  <c r="AJ356" i="20"/>
  <c r="AE356" i="20"/>
  <c r="U356" i="20"/>
  <c r="AP356" i="20" s="1"/>
  <c r="Q356" i="20"/>
  <c r="P356" i="20"/>
  <c r="K356" i="20"/>
  <c r="AN356" i="20" s="1"/>
  <c r="AS355" i="20"/>
  <c r="AJ355" i="20" s="1"/>
  <c r="AQ355" i="20"/>
  <c r="AO355" i="20"/>
  <c r="P355" i="20" s="1"/>
  <c r="AE355" i="20"/>
  <c r="AR355" i="20" s="1"/>
  <c r="Z355" i="20"/>
  <c r="U355" i="20"/>
  <c r="AP355" i="20" s="1"/>
  <c r="Q355" i="20"/>
  <c r="K355" i="20"/>
  <c r="AN355" i="20" s="1"/>
  <c r="AS354" i="20"/>
  <c r="AJ354" i="20" s="1"/>
  <c r="AR354" i="20"/>
  <c r="AQ354" i="20"/>
  <c r="AP354" i="20"/>
  <c r="AO354" i="20"/>
  <c r="AN354" i="20"/>
  <c r="AE354" i="20"/>
  <c r="Z354" i="20"/>
  <c r="U354" i="20"/>
  <c r="Q354" i="20"/>
  <c r="P354" i="20"/>
  <c r="K354" i="20"/>
  <c r="AS353" i="20"/>
  <c r="AJ353" i="20" s="1"/>
  <c r="AR353" i="20"/>
  <c r="AQ353" i="20"/>
  <c r="Z353" i="20" s="1"/>
  <c r="AO353" i="20"/>
  <c r="AE353" i="20"/>
  <c r="U353" i="20"/>
  <c r="AP353" i="20" s="1"/>
  <c r="Q353" i="20"/>
  <c r="P353" i="20"/>
  <c r="K353" i="20"/>
  <c r="AN353" i="20" s="1"/>
  <c r="AS352" i="20"/>
  <c r="AR352" i="20"/>
  <c r="AQ352" i="20"/>
  <c r="AO352" i="20"/>
  <c r="AJ352" i="20"/>
  <c r="AE352" i="20"/>
  <c r="Z352" i="20"/>
  <c r="U352" i="20"/>
  <c r="AP352" i="20" s="1"/>
  <c r="Q352" i="20"/>
  <c r="P352" i="20"/>
  <c r="K352" i="20"/>
  <c r="AN352" i="20" s="1"/>
  <c r="AS351" i="20"/>
  <c r="AJ351" i="20" s="1"/>
  <c r="AQ351" i="20"/>
  <c r="AP351" i="20"/>
  <c r="AO351" i="20"/>
  <c r="P351" i="20" s="1"/>
  <c r="AE351" i="20"/>
  <c r="AR351" i="20" s="1"/>
  <c r="Z351" i="20"/>
  <c r="U351" i="20"/>
  <c r="Q351" i="20"/>
  <c r="K351" i="20"/>
  <c r="AN351" i="20" s="1"/>
  <c r="AS350" i="20"/>
  <c r="AQ350" i="20"/>
  <c r="AO350" i="20"/>
  <c r="AN350" i="20"/>
  <c r="AJ350" i="20"/>
  <c r="AE350" i="20"/>
  <c r="AR350" i="20" s="1"/>
  <c r="Z350" i="20"/>
  <c r="U350" i="20"/>
  <c r="AP350" i="20" s="1"/>
  <c r="Q350" i="20"/>
  <c r="P350" i="20"/>
  <c r="K350" i="20"/>
  <c r="AS349" i="20"/>
  <c r="AJ349" i="20" s="1"/>
  <c r="AR349" i="20"/>
  <c r="AQ349" i="20"/>
  <c r="AO349" i="20"/>
  <c r="AE349" i="20"/>
  <c r="Z349" i="20"/>
  <c r="U349" i="20"/>
  <c r="AP349" i="20" s="1"/>
  <c r="Q349" i="20"/>
  <c r="P349" i="20"/>
  <c r="K349" i="20"/>
  <c r="AN349" i="20" s="1"/>
  <c r="AS348" i="20"/>
  <c r="AR348" i="20"/>
  <c r="AQ348" i="20"/>
  <c r="Z348" i="20" s="1"/>
  <c r="AO348" i="20"/>
  <c r="AJ348" i="20"/>
  <c r="AE348" i="20"/>
  <c r="U348" i="20"/>
  <c r="AP348" i="20" s="1"/>
  <c r="Q348" i="20"/>
  <c r="P348" i="20"/>
  <c r="K348" i="20"/>
  <c r="AN348" i="20" s="1"/>
  <c r="AS347" i="20"/>
  <c r="AQ347" i="20"/>
  <c r="Z347" i="20" s="1"/>
  <c r="AO347" i="20"/>
  <c r="P347" i="20" s="1"/>
  <c r="AJ347" i="20"/>
  <c r="AE347" i="20"/>
  <c r="AR347" i="20" s="1"/>
  <c r="U347" i="20"/>
  <c r="AP347" i="20" s="1"/>
  <c r="Q347" i="20"/>
  <c r="K347" i="20"/>
  <c r="AN347" i="20" s="1"/>
  <c r="AS346" i="20"/>
  <c r="AJ346" i="20" s="1"/>
  <c r="AR346" i="20"/>
  <c r="AQ346" i="20"/>
  <c r="AO346" i="20"/>
  <c r="AN346" i="20"/>
  <c r="AE346" i="20"/>
  <c r="Z346" i="20"/>
  <c r="U346" i="20"/>
  <c r="AP346" i="20" s="1"/>
  <c r="Q346" i="20"/>
  <c r="P346" i="20"/>
  <c r="K346" i="20"/>
  <c r="AS345" i="20"/>
  <c r="AJ345" i="20" s="1"/>
  <c r="AR345" i="20"/>
  <c r="AQ345" i="20"/>
  <c r="Z345" i="20" s="1"/>
  <c r="AO345" i="20"/>
  <c r="AE345" i="20"/>
  <c r="U345" i="20"/>
  <c r="AP345" i="20" s="1"/>
  <c r="Q345" i="20"/>
  <c r="P345" i="20"/>
  <c r="K345" i="20"/>
  <c r="AN345" i="20" s="1"/>
  <c r="AS344" i="20"/>
  <c r="AR344" i="20"/>
  <c r="AQ344" i="20"/>
  <c r="AO344" i="20"/>
  <c r="AJ344" i="20"/>
  <c r="AE344" i="20"/>
  <c r="Z344" i="20"/>
  <c r="U344" i="20"/>
  <c r="AP344" i="20" s="1"/>
  <c r="Q344" i="20"/>
  <c r="P344" i="20"/>
  <c r="K344" i="20"/>
  <c r="AN344" i="20" s="1"/>
  <c r="AS343" i="20"/>
  <c r="AJ343" i="20" s="1"/>
  <c r="AQ343" i="20"/>
  <c r="AP343" i="20"/>
  <c r="AO343" i="20"/>
  <c r="P343" i="20" s="1"/>
  <c r="AE343" i="20"/>
  <c r="AR343" i="20" s="1"/>
  <c r="Z343" i="20"/>
  <c r="U343" i="20"/>
  <c r="Q343" i="20"/>
  <c r="K343" i="20"/>
  <c r="AN343" i="20" s="1"/>
  <c r="AS342" i="20"/>
  <c r="AJ342" i="20" s="1"/>
  <c r="AR342" i="20"/>
  <c r="AQ342" i="20"/>
  <c r="AO342" i="20"/>
  <c r="P342" i="20" s="1"/>
  <c r="AN342" i="20"/>
  <c r="AE342" i="20"/>
  <c r="Z342" i="20"/>
  <c r="U342" i="20"/>
  <c r="AP342" i="20" s="1"/>
  <c r="Q342" i="20"/>
  <c r="K342" i="20"/>
  <c r="AS341" i="20"/>
  <c r="AJ341" i="20" s="1"/>
  <c r="AQ341" i="20"/>
  <c r="Z341" i="20" s="1"/>
  <c r="AO341" i="20"/>
  <c r="AE341" i="20"/>
  <c r="AR341" i="20" s="1"/>
  <c r="U341" i="20"/>
  <c r="AP341" i="20" s="1"/>
  <c r="Q341" i="20"/>
  <c r="P341" i="20"/>
  <c r="K341" i="20"/>
  <c r="AN341" i="20" s="1"/>
  <c r="AS340" i="20"/>
  <c r="AR340" i="20"/>
  <c r="AQ340" i="20"/>
  <c r="AP340" i="20"/>
  <c r="AO340" i="20"/>
  <c r="AJ340" i="20"/>
  <c r="AE340" i="20"/>
  <c r="Z340" i="20"/>
  <c r="U340" i="20"/>
  <c r="Q340" i="20"/>
  <c r="P340" i="20"/>
  <c r="K340" i="20"/>
  <c r="AN340" i="20" s="1"/>
  <c r="AS339" i="20"/>
  <c r="AJ339" i="20" s="1"/>
  <c r="AQ339" i="20"/>
  <c r="Z339" i="20" s="1"/>
  <c r="AO339" i="20"/>
  <c r="P339" i="20" s="1"/>
  <c r="AE339" i="20"/>
  <c r="AR339" i="20" s="1"/>
  <c r="U339" i="20"/>
  <c r="AP339" i="20" s="1"/>
  <c r="Q339" i="20"/>
  <c r="K339" i="20"/>
  <c r="AN339" i="20" s="1"/>
  <c r="AS338" i="20"/>
  <c r="AJ338" i="20" s="1"/>
  <c r="AQ338" i="20"/>
  <c r="AO338" i="20"/>
  <c r="AN338" i="20"/>
  <c r="AE338" i="20"/>
  <c r="AR338" i="20" s="1"/>
  <c r="Z338" i="20"/>
  <c r="U338" i="20"/>
  <c r="AP338" i="20" s="1"/>
  <c r="Q338" i="20"/>
  <c r="P338" i="20"/>
  <c r="K338" i="20"/>
  <c r="AS337" i="20"/>
  <c r="AJ337" i="20" s="1"/>
  <c r="AR337" i="20"/>
  <c r="AQ337" i="20"/>
  <c r="AO337" i="20"/>
  <c r="AE337" i="20"/>
  <c r="Z337" i="20"/>
  <c r="U337" i="20"/>
  <c r="AP337" i="20" s="1"/>
  <c r="Q337" i="20"/>
  <c r="P337" i="20"/>
  <c r="K337" i="20"/>
  <c r="AN337" i="20" s="1"/>
  <c r="AS336" i="20"/>
  <c r="AR336" i="20"/>
  <c r="AQ336" i="20"/>
  <c r="Z336" i="20" s="1"/>
  <c r="AO336" i="20"/>
  <c r="AJ336" i="20"/>
  <c r="AE336" i="20"/>
  <c r="U336" i="20"/>
  <c r="AP336" i="20" s="1"/>
  <c r="Q336" i="20"/>
  <c r="P336" i="20"/>
  <c r="K336" i="20"/>
  <c r="AN336" i="20" s="1"/>
  <c r="AS335" i="20"/>
  <c r="AQ335" i="20"/>
  <c r="AP335" i="20"/>
  <c r="AO335" i="20"/>
  <c r="P335" i="20" s="1"/>
  <c r="AJ335" i="20"/>
  <c r="AE335" i="20"/>
  <c r="AR335" i="20" s="1"/>
  <c r="Z335" i="20"/>
  <c r="U335" i="20"/>
  <c r="Q335" i="20"/>
  <c r="K335" i="20"/>
  <c r="AN335" i="20" s="1"/>
  <c r="AS334" i="20"/>
  <c r="AJ334" i="20" s="1"/>
  <c r="AQ334" i="20"/>
  <c r="AO334" i="20"/>
  <c r="AN334" i="20"/>
  <c r="AE334" i="20"/>
  <c r="AR334" i="20" s="1"/>
  <c r="Z334" i="20"/>
  <c r="U334" i="20"/>
  <c r="AP334" i="20" s="1"/>
  <c r="Q334" i="20"/>
  <c r="P334" i="20"/>
  <c r="K334" i="20"/>
  <c r="AS333" i="20"/>
  <c r="AJ333" i="20" s="1"/>
  <c r="AR333" i="20"/>
  <c r="AQ333" i="20"/>
  <c r="Z333" i="20" s="1"/>
  <c r="AO333" i="20"/>
  <c r="AE333" i="20"/>
  <c r="U333" i="20"/>
  <c r="AP333" i="20" s="1"/>
  <c r="Q333" i="20"/>
  <c r="P333" i="20"/>
  <c r="K333" i="20"/>
  <c r="AN333" i="20" s="1"/>
  <c r="AS332" i="20"/>
  <c r="AR332" i="20"/>
  <c r="AQ332" i="20"/>
  <c r="AP332" i="20"/>
  <c r="AO332" i="20"/>
  <c r="AJ332" i="20"/>
  <c r="AE332" i="20"/>
  <c r="Z332" i="20"/>
  <c r="U332" i="20"/>
  <c r="Q332" i="20"/>
  <c r="P332" i="20"/>
  <c r="K332" i="20"/>
  <c r="AN332" i="20" s="1"/>
  <c r="AS331" i="20"/>
  <c r="AJ331" i="20" s="1"/>
  <c r="AQ331" i="20"/>
  <c r="AP331" i="20"/>
  <c r="AO331" i="20"/>
  <c r="P331" i="20" s="1"/>
  <c r="AE331" i="20"/>
  <c r="AR331" i="20" s="1"/>
  <c r="Z331" i="20"/>
  <c r="U331" i="20"/>
  <c r="Q331" i="20"/>
  <c r="K331" i="20"/>
  <c r="AN331" i="20" s="1"/>
  <c r="AS330" i="20"/>
  <c r="AJ330" i="20" s="1"/>
  <c r="AR330" i="20"/>
  <c r="AQ330" i="20"/>
  <c r="AP330" i="20"/>
  <c r="AO330" i="20"/>
  <c r="AN330" i="20"/>
  <c r="AE330" i="20"/>
  <c r="Z330" i="20"/>
  <c r="U330" i="20"/>
  <c r="Q330" i="20"/>
  <c r="P330" i="20"/>
  <c r="K330" i="20"/>
  <c r="AS329" i="20"/>
  <c r="AJ329" i="20" s="1"/>
  <c r="AR329" i="20"/>
  <c r="AQ329" i="20"/>
  <c r="Z329" i="20" s="1"/>
  <c r="AO329" i="20"/>
  <c r="AN329" i="20"/>
  <c r="AE329" i="20"/>
  <c r="U329" i="20"/>
  <c r="AP329" i="20" s="1"/>
  <c r="Q329" i="20"/>
  <c r="P329" i="20"/>
  <c r="K329" i="20"/>
  <c r="AS328" i="20"/>
  <c r="AR328" i="20"/>
  <c r="AQ328" i="20"/>
  <c r="AO328" i="20"/>
  <c r="AJ328" i="20"/>
  <c r="AE328" i="20"/>
  <c r="Z328" i="20"/>
  <c r="U328" i="20"/>
  <c r="AP328" i="20" s="1"/>
  <c r="Q328" i="20"/>
  <c r="P328" i="20"/>
  <c r="K328" i="20"/>
  <c r="AN328" i="20" s="1"/>
  <c r="AS327" i="20"/>
  <c r="AJ327" i="20" s="1"/>
  <c r="AQ327" i="20"/>
  <c r="AO327" i="20"/>
  <c r="P327" i="20" s="1"/>
  <c r="AE327" i="20"/>
  <c r="AR327" i="20" s="1"/>
  <c r="Z327" i="20"/>
  <c r="U327" i="20"/>
  <c r="AP327" i="20" s="1"/>
  <c r="Q327" i="20"/>
  <c r="K327" i="20"/>
  <c r="AN327" i="20" s="1"/>
  <c r="AS326" i="20"/>
  <c r="AR326" i="20"/>
  <c r="AQ326" i="20"/>
  <c r="AO326" i="20"/>
  <c r="AN326" i="20"/>
  <c r="AJ326" i="20"/>
  <c r="AE326" i="20"/>
  <c r="Z326" i="20"/>
  <c r="U326" i="20"/>
  <c r="AP326" i="20" s="1"/>
  <c r="Q326" i="20"/>
  <c r="P326" i="20"/>
  <c r="K326" i="20"/>
  <c r="AS325" i="20"/>
  <c r="AJ325" i="20" s="1"/>
  <c r="AQ325" i="20"/>
  <c r="AO325" i="20"/>
  <c r="AE325" i="20"/>
  <c r="AR325" i="20" s="1"/>
  <c r="Z325" i="20"/>
  <c r="U325" i="20"/>
  <c r="AP325" i="20" s="1"/>
  <c r="Q325" i="20"/>
  <c r="P325" i="20"/>
  <c r="K325" i="20"/>
  <c r="AN325" i="20" s="1"/>
  <c r="AS324" i="20"/>
  <c r="AR324" i="20"/>
  <c r="AQ324" i="20"/>
  <c r="Z324" i="20" s="1"/>
  <c r="AO324" i="20"/>
  <c r="P324" i="20" s="1"/>
  <c r="AJ324" i="20"/>
  <c r="AE324" i="20"/>
  <c r="U324" i="20"/>
  <c r="AP324" i="20" s="1"/>
  <c r="Q324" i="20"/>
  <c r="K324" i="20"/>
  <c r="AN324" i="20" s="1"/>
  <c r="AS323" i="20"/>
  <c r="AQ323" i="20"/>
  <c r="AO323" i="20"/>
  <c r="P323" i="20" s="1"/>
  <c r="AN323" i="20"/>
  <c r="AJ323" i="20"/>
  <c r="AE323" i="20"/>
  <c r="AR323" i="20" s="1"/>
  <c r="Z323" i="20"/>
  <c r="U323" i="20"/>
  <c r="AP323" i="20" s="1"/>
  <c r="Q323" i="20"/>
  <c r="K323" i="20"/>
  <c r="AS322" i="20"/>
  <c r="AJ322" i="20" s="1"/>
  <c r="AQ322" i="20"/>
  <c r="AP322" i="20"/>
  <c r="AO322" i="20"/>
  <c r="AN322" i="20"/>
  <c r="AE322" i="20"/>
  <c r="AR322" i="20" s="1"/>
  <c r="Z322" i="20"/>
  <c r="U322" i="20"/>
  <c r="Q322" i="20"/>
  <c r="P322" i="20"/>
  <c r="K322" i="20"/>
  <c r="AS321" i="20"/>
  <c r="AR321" i="20"/>
  <c r="AQ321" i="20"/>
  <c r="Z321" i="20" s="1"/>
  <c r="AO321" i="20"/>
  <c r="P321" i="20" s="1"/>
  <c r="AJ321" i="20"/>
  <c r="AE321" i="20"/>
  <c r="U321" i="20"/>
  <c r="AP321" i="20" s="1"/>
  <c r="Q321" i="20"/>
  <c r="K321" i="20"/>
  <c r="AN321" i="20" s="1"/>
  <c r="AS320" i="20"/>
  <c r="AQ320" i="20"/>
  <c r="AO320" i="20"/>
  <c r="AN320" i="20"/>
  <c r="AJ320" i="20"/>
  <c r="AE320" i="20"/>
  <c r="AR320" i="20" s="1"/>
  <c r="Z320" i="20"/>
  <c r="U320" i="20"/>
  <c r="AP320" i="20" s="1"/>
  <c r="Q320" i="20"/>
  <c r="P320" i="20"/>
  <c r="K320" i="20"/>
  <c r="AS319" i="20"/>
  <c r="AQ319" i="20"/>
  <c r="AP319" i="20"/>
  <c r="AO319" i="20"/>
  <c r="P319" i="20" s="1"/>
  <c r="AJ319" i="20"/>
  <c r="AE319" i="20"/>
  <c r="AR319" i="20" s="1"/>
  <c r="Z319" i="20"/>
  <c r="U319" i="20"/>
  <c r="Q319" i="20"/>
  <c r="K319" i="20"/>
  <c r="AN319" i="20" s="1"/>
  <c r="AS318" i="20"/>
  <c r="AJ318" i="20" s="1"/>
  <c r="AR318" i="20"/>
  <c r="AQ318" i="20"/>
  <c r="AO318" i="20"/>
  <c r="P318" i="20" s="1"/>
  <c r="AN318" i="20"/>
  <c r="AE318" i="20"/>
  <c r="Z318" i="20"/>
  <c r="U318" i="20"/>
  <c r="AP318" i="20" s="1"/>
  <c r="Q318" i="20"/>
  <c r="K318" i="20"/>
  <c r="AS317" i="20"/>
  <c r="AJ317" i="20" s="1"/>
  <c r="AR317" i="20"/>
  <c r="AQ317" i="20"/>
  <c r="Z317" i="20" s="1"/>
  <c r="AO317" i="20"/>
  <c r="AN317" i="20"/>
  <c r="AE317" i="20"/>
  <c r="U317" i="20"/>
  <c r="AP317" i="20" s="1"/>
  <c r="Q317" i="20"/>
  <c r="P317" i="20"/>
  <c r="K317" i="20"/>
  <c r="AS316" i="20"/>
  <c r="AR316" i="20"/>
  <c r="AQ316" i="20"/>
  <c r="Z316" i="20" s="1"/>
  <c r="AP316" i="20"/>
  <c r="AO316" i="20"/>
  <c r="P316" i="20" s="1"/>
  <c r="AJ316" i="20"/>
  <c r="AE316" i="20"/>
  <c r="U316" i="20"/>
  <c r="Q316" i="20"/>
  <c r="K316" i="20"/>
  <c r="AN316" i="20" s="1"/>
  <c r="AS315" i="20"/>
  <c r="AJ315" i="20" s="1"/>
  <c r="AQ315" i="20"/>
  <c r="AP315" i="20"/>
  <c r="AO315" i="20"/>
  <c r="P315" i="20" s="1"/>
  <c r="AN315" i="20"/>
  <c r="AE315" i="20"/>
  <c r="AR315" i="20" s="1"/>
  <c r="Z315" i="20"/>
  <c r="U315" i="20"/>
  <c r="Q315" i="20"/>
  <c r="K315" i="20"/>
  <c r="AS314" i="20"/>
  <c r="AJ314" i="20" s="1"/>
  <c r="AR314" i="20"/>
  <c r="AQ314" i="20"/>
  <c r="AO314" i="20"/>
  <c r="AN314" i="20"/>
  <c r="AE314" i="20"/>
  <c r="Z314" i="20"/>
  <c r="U314" i="20"/>
  <c r="AP314" i="20" s="1"/>
  <c r="Q314" i="20"/>
  <c r="P314" i="20"/>
  <c r="K314" i="20"/>
  <c r="AS313" i="20"/>
  <c r="AR313" i="20"/>
  <c r="AQ313" i="20"/>
  <c r="Z313" i="20" s="1"/>
  <c r="AO313" i="20"/>
  <c r="AN313" i="20"/>
  <c r="AJ313" i="20"/>
  <c r="AE313" i="20"/>
  <c r="U313" i="20"/>
  <c r="AP313" i="20" s="1"/>
  <c r="Q313" i="20"/>
  <c r="P313" i="20"/>
  <c r="K313" i="20"/>
  <c r="AS312" i="20"/>
  <c r="AQ312" i="20"/>
  <c r="AO312" i="20"/>
  <c r="AJ312" i="20"/>
  <c r="AE312" i="20"/>
  <c r="AR312" i="20" s="1"/>
  <c r="Z312" i="20"/>
  <c r="U312" i="20"/>
  <c r="AP312" i="20" s="1"/>
  <c r="Q312" i="20"/>
  <c r="P312" i="20"/>
  <c r="K312" i="20"/>
  <c r="AN312" i="20" s="1"/>
  <c r="AS311" i="20"/>
  <c r="AJ311" i="20" s="1"/>
  <c r="AQ311" i="20"/>
  <c r="AP311" i="20"/>
  <c r="AO311" i="20"/>
  <c r="P311" i="20" s="1"/>
  <c r="AE311" i="20"/>
  <c r="AR311" i="20" s="1"/>
  <c r="Z311" i="20"/>
  <c r="U311" i="20"/>
  <c r="Q311" i="20"/>
  <c r="K311" i="20"/>
  <c r="AN311" i="20" s="1"/>
  <c r="AS310" i="20"/>
  <c r="AJ310" i="20" s="1"/>
  <c r="AQ310" i="20"/>
  <c r="AO310" i="20"/>
  <c r="AN310" i="20"/>
  <c r="AE310" i="20"/>
  <c r="AR310" i="20" s="1"/>
  <c r="Z310" i="20"/>
  <c r="U310" i="20"/>
  <c r="AP310" i="20" s="1"/>
  <c r="Q310" i="20"/>
  <c r="P310" i="20"/>
  <c r="K310" i="20"/>
  <c r="AS309" i="20"/>
  <c r="AJ309" i="20" s="1"/>
  <c r="AR309" i="20"/>
  <c r="AQ309" i="20"/>
  <c r="Z309" i="20" s="1"/>
  <c r="AO309" i="20"/>
  <c r="AE309" i="20"/>
  <c r="U309" i="20"/>
  <c r="AP309" i="20" s="1"/>
  <c r="Q309" i="20"/>
  <c r="P309" i="20"/>
  <c r="K309" i="20"/>
  <c r="AN309" i="20" s="1"/>
  <c r="AS308" i="20"/>
  <c r="AR308" i="20"/>
  <c r="AQ308" i="20"/>
  <c r="AP308" i="20"/>
  <c r="AO308" i="20"/>
  <c r="P308" i="20" s="1"/>
  <c r="AJ308" i="20"/>
  <c r="AE308" i="20"/>
  <c r="Z308" i="20"/>
  <c r="U308" i="20"/>
  <c r="Q308" i="20"/>
  <c r="K308" i="20"/>
  <c r="AN308" i="20" s="1"/>
  <c r="AS307" i="20"/>
  <c r="AQ307" i="20"/>
  <c r="AO307" i="20"/>
  <c r="AN307" i="20"/>
  <c r="AJ307" i="20"/>
  <c r="AE307" i="20"/>
  <c r="AR307" i="20" s="1"/>
  <c r="Z307" i="20"/>
  <c r="U307" i="20"/>
  <c r="AP307" i="20" s="1"/>
  <c r="Q307" i="20"/>
  <c r="P307" i="20"/>
  <c r="K307" i="20"/>
  <c r="AS306" i="20"/>
  <c r="AJ306" i="20" s="1"/>
  <c r="AR306" i="20"/>
  <c r="AQ306" i="20"/>
  <c r="AO306" i="20"/>
  <c r="AE306" i="20"/>
  <c r="Z306" i="20"/>
  <c r="U306" i="20"/>
  <c r="AP306" i="20" s="1"/>
  <c r="Q306" i="20"/>
  <c r="P306" i="20"/>
  <c r="K306" i="20"/>
  <c r="AN306" i="20" s="1"/>
  <c r="AS305" i="20"/>
  <c r="AR305" i="20"/>
  <c r="AQ305" i="20"/>
  <c r="Z305" i="20" s="1"/>
  <c r="AO305" i="20"/>
  <c r="AN305" i="20"/>
  <c r="AJ305" i="20"/>
  <c r="AE305" i="20"/>
  <c r="U305" i="20"/>
  <c r="AP305" i="20" s="1"/>
  <c r="Q305" i="20"/>
  <c r="P305" i="20"/>
  <c r="K305" i="20"/>
  <c r="AS304" i="20"/>
  <c r="AQ304" i="20"/>
  <c r="AO304" i="20"/>
  <c r="AJ304" i="20"/>
  <c r="AE304" i="20"/>
  <c r="AR304" i="20" s="1"/>
  <c r="Z304" i="20"/>
  <c r="U304" i="20"/>
  <c r="AP304" i="20" s="1"/>
  <c r="Q304" i="20"/>
  <c r="P304" i="20"/>
  <c r="K304" i="20"/>
  <c r="AN304" i="20" s="1"/>
  <c r="AS303" i="20"/>
  <c r="AQ303" i="20"/>
  <c r="AP303" i="20"/>
  <c r="AO303" i="20"/>
  <c r="P303" i="20" s="1"/>
  <c r="AJ303" i="20"/>
  <c r="AE303" i="20"/>
  <c r="AR303" i="20" s="1"/>
  <c r="Z303" i="20"/>
  <c r="U303" i="20"/>
  <c r="Q303" i="20"/>
  <c r="K303" i="20"/>
  <c r="AN303" i="20" s="1"/>
  <c r="AS302" i="20"/>
  <c r="AR302" i="20"/>
  <c r="AQ302" i="20"/>
  <c r="Z302" i="20" s="1"/>
  <c r="AO302" i="20"/>
  <c r="P302" i="20" s="1"/>
  <c r="AN302" i="20"/>
  <c r="AJ302" i="20"/>
  <c r="AE302" i="20"/>
  <c r="U302" i="20"/>
  <c r="AP302" i="20" s="1"/>
  <c r="Q302" i="20"/>
  <c r="K302" i="20"/>
  <c r="AS301" i="20"/>
  <c r="AJ301" i="20" s="1"/>
  <c r="AR301" i="20"/>
  <c r="AQ301" i="20"/>
  <c r="AP301" i="20"/>
  <c r="AO301" i="20"/>
  <c r="AE301" i="20"/>
  <c r="Z301" i="20"/>
  <c r="U301" i="20"/>
  <c r="Q301" i="20"/>
  <c r="P301" i="20"/>
  <c r="K301" i="20"/>
  <c r="AN301" i="20" s="1"/>
  <c r="AS300" i="20"/>
  <c r="AR300" i="20"/>
  <c r="AQ300" i="20"/>
  <c r="Z300" i="20" s="1"/>
  <c r="AO300" i="20"/>
  <c r="P300" i="20" s="1"/>
  <c r="AJ300" i="20"/>
  <c r="AE300" i="20"/>
  <c r="U300" i="20"/>
  <c r="AP300" i="20" s="1"/>
  <c r="Q300" i="20"/>
  <c r="K300" i="20"/>
  <c r="AN300" i="20" s="1"/>
  <c r="AS299" i="20"/>
  <c r="AJ299" i="20" s="1"/>
  <c r="AQ299" i="20"/>
  <c r="AP299" i="20"/>
  <c r="AO299" i="20"/>
  <c r="AN299" i="20"/>
  <c r="AE299" i="20"/>
  <c r="AR299" i="20" s="1"/>
  <c r="Z299" i="20"/>
  <c r="U299" i="20"/>
  <c r="Q299" i="20"/>
  <c r="P299" i="20"/>
  <c r="K299" i="20"/>
  <c r="AS298" i="20"/>
  <c r="AJ298" i="20" s="1"/>
  <c r="AQ298" i="20"/>
  <c r="AO298" i="20"/>
  <c r="P298" i="20" s="1"/>
  <c r="AE298" i="20"/>
  <c r="AR298" i="20" s="1"/>
  <c r="Z298" i="20"/>
  <c r="U298" i="20"/>
  <c r="AP298" i="20" s="1"/>
  <c r="Q298" i="20"/>
  <c r="K298" i="20"/>
  <c r="AN298" i="20" s="1"/>
  <c r="AS297" i="20"/>
  <c r="AR297" i="20"/>
  <c r="AQ297" i="20"/>
  <c r="Z297" i="20" s="1"/>
  <c r="AO297" i="20"/>
  <c r="AN297" i="20"/>
  <c r="AJ297" i="20"/>
  <c r="AE297" i="20"/>
  <c r="U297" i="20"/>
  <c r="AP297" i="20" s="1"/>
  <c r="Q297" i="20"/>
  <c r="P297" i="20"/>
  <c r="K297" i="20"/>
  <c r="AS296" i="20"/>
  <c r="AQ296" i="20"/>
  <c r="AO296" i="20"/>
  <c r="AJ296" i="20"/>
  <c r="AE296" i="20"/>
  <c r="AR296" i="20" s="1"/>
  <c r="Z296" i="20"/>
  <c r="U296" i="20"/>
  <c r="AP296" i="20" s="1"/>
  <c r="Q296" i="20"/>
  <c r="P296" i="20"/>
  <c r="K296" i="20"/>
  <c r="AN296" i="20" s="1"/>
  <c r="AS295" i="20"/>
  <c r="AJ295" i="20" s="1"/>
  <c r="AR295" i="20"/>
  <c r="AQ295" i="20"/>
  <c r="AO295" i="20"/>
  <c r="P295" i="20" s="1"/>
  <c r="AE295" i="20"/>
  <c r="Z295" i="20"/>
  <c r="U295" i="20"/>
  <c r="AP295" i="20" s="1"/>
  <c r="Q295" i="20"/>
  <c r="K295" i="20"/>
  <c r="AN295" i="20" s="1"/>
  <c r="AS294" i="20"/>
  <c r="AJ294" i="20" s="1"/>
  <c r="AR294" i="20"/>
  <c r="AQ294" i="20"/>
  <c r="AO294" i="20"/>
  <c r="AN294" i="20"/>
  <c r="AE294" i="20"/>
  <c r="Z294" i="20"/>
  <c r="U294" i="20"/>
  <c r="AP294" i="20" s="1"/>
  <c r="Q294" i="20"/>
  <c r="P294" i="20"/>
  <c r="K294" i="20"/>
  <c r="AS293" i="20"/>
  <c r="AJ293" i="20" s="1"/>
  <c r="AQ293" i="20"/>
  <c r="Z293" i="20" s="1"/>
  <c r="AO293" i="20"/>
  <c r="AE293" i="20"/>
  <c r="AR293" i="20" s="1"/>
  <c r="U293" i="20"/>
  <c r="AP293" i="20" s="1"/>
  <c r="Q293" i="20"/>
  <c r="P293" i="20"/>
  <c r="K293" i="20"/>
  <c r="AN293" i="20" s="1"/>
  <c r="AS292" i="20"/>
  <c r="AR292" i="20"/>
  <c r="AQ292" i="20"/>
  <c r="AP292" i="20"/>
  <c r="AO292" i="20"/>
  <c r="P292" i="20" s="1"/>
  <c r="AJ292" i="20"/>
  <c r="AE292" i="20"/>
  <c r="Z292" i="20"/>
  <c r="U292" i="20"/>
  <c r="Q292" i="20"/>
  <c r="K292" i="20"/>
  <c r="AN292" i="20" s="1"/>
  <c r="AS291" i="20"/>
  <c r="AJ291" i="20" s="1"/>
  <c r="AQ291" i="20"/>
  <c r="AP291" i="20"/>
  <c r="AO291" i="20"/>
  <c r="AN291" i="20"/>
  <c r="AE291" i="20"/>
  <c r="AR291" i="20" s="1"/>
  <c r="Z291" i="20"/>
  <c r="U291" i="20"/>
  <c r="Q291" i="20"/>
  <c r="P291" i="20"/>
  <c r="K291" i="20"/>
  <c r="AS290" i="20"/>
  <c r="AJ290" i="20" s="1"/>
  <c r="AR290" i="20"/>
  <c r="AQ290" i="20"/>
  <c r="AO290" i="20"/>
  <c r="AE290" i="20"/>
  <c r="Z290" i="20"/>
  <c r="U290" i="20"/>
  <c r="AP290" i="20" s="1"/>
  <c r="Q290" i="20"/>
  <c r="P290" i="20"/>
  <c r="K290" i="20"/>
  <c r="AN290" i="20" s="1"/>
  <c r="AS289" i="20"/>
  <c r="AR289" i="20"/>
  <c r="AQ289" i="20"/>
  <c r="Z289" i="20" s="1"/>
  <c r="AO289" i="20"/>
  <c r="P289" i="20" s="1"/>
  <c r="AJ289" i="20"/>
  <c r="AE289" i="20"/>
  <c r="U289" i="20"/>
  <c r="AP289" i="20" s="1"/>
  <c r="Q289" i="20"/>
  <c r="K289" i="20"/>
  <c r="AN289" i="20" s="1"/>
  <c r="AS288" i="20"/>
  <c r="AQ288" i="20"/>
  <c r="AP288" i="20"/>
  <c r="AO288" i="20"/>
  <c r="AJ288" i="20"/>
  <c r="AE288" i="20"/>
  <c r="AR288" i="20" s="1"/>
  <c r="Z288" i="20"/>
  <c r="U288" i="20"/>
  <c r="Q288" i="20"/>
  <c r="P288" i="20"/>
  <c r="K288" i="20"/>
  <c r="AN288" i="20" s="1"/>
  <c r="AS287" i="20"/>
  <c r="AJ287" i="20" s="1"/>
  <c r="AR287" i="20"/>
  <c r="AQ287" i="20"/>
  <c r="AO287" i="20"/>
  <c r="P287" i="20" s="1"/>
  <c r="AE287" i="20"/>
  <c r="Z287" i="20"/>
  <c r="U287" i="20"/>
  <c r="AP287" i="20" s="1"/>
  <c r="Q287" i="20"/>
  <c r="K287" i="20"/>
  <c r="AN287" i="20" s="1"/>
  <c r="AS286" i="20"/>
  <c r="AQ286" i="20"/>
  <c r="Z286" i="20" s="1"/>
  <c r="AO286" i="20"/>
  <c r="AN286" i="20"/>
  <c r="AJ286" i="20"/>
  <c r="AE286" i="20"/>
  <c r="AR286" i="20" s="1"/>
  <c r="U286" i="20"/>
  <c r="AP286" i="20" s="1"/>
  <c r="Q286" i="20"/>
  <c r="P286" i="20"/>
  <c r="K286" i="20"/>
  <c r="AS285" i="20"/>
  <c r="AJ285" i="20" s="1"/>
  <c r="AR285" i="20"/>
  <c r="AQ285" i="20"/>
  <c r="AP285" i="20"/>
  <c r="AO285" i="20"/>
  <c r="AE285" i="20"/>
  <c r="Z285" i="20"/>
  <c r="U285" i="20"/>
  <c r="Q285" i="20"/>
  <c r="P285" i="20"/>
  <c r="K285" i="20"/>
  <c r="AN285" i="20" s="1"/>
  <c r="AS284" i="20"/>
  <c r="AR284" i="20"/>
  <c r="AQ284" i="20"/>
  <c r="Z284" i="20" s="1"/>
  <c r="AP284" i="20"/>
  <c r="AO284" i="20"/>
  <c r="P284" i="20" s="1"/>
  <c r="AJ284" i="20"/>
  <c r="AE284" i="20"/>
  <c r="U284" i="20"/>
  <c r="Q284" i="20"/>
  <c r="K284" i="20"/>
  <c r="AN284" i="20" s="1"/>
  <c r="AS283" i="20"/>
  <c r="AQ283" i="20"/>
  <c r="AO283" i="20"/>
  <c r="AN283" i="20"/>
  <c r="AJ283" i="20"/>
  <c r="AE283" i="20"/>
  <c r="AR283" i="20" s="1"/>
  <c r="Z283" i="20"/>
  <c r="U283" i="20"/>
  <c r="AP283" i="20" s="1"/>
  <c r="Q283" i="20"/>
  <c r="P283" i="20"/>
  <c r="K283" i="20"/>
  <c r="AS282" i="20"/>
  <c r="AJ282" i="20" s="1"/>
  <c r="AQ282" i="20"/>
  <c r="AP282" i="20"/>
  <c r="AO282" i="20"/>
  <c r="AE282" i="20"/>
  <c r="AR282" i="20" s="1"/>
  <c r="Z282" i="20"/>
  <c r="U282" i="20"/>
  <c r="Q282" i="20"/>
  <c r="P282" i="20"/>
  <c r="K282" i="20"/>
  <c r="AN282" i="20" s="1"/>
  <c r="AS281" i="20"/>
  <c r="AR281" i="20"/>
  <c r="AQ281" i="20"/>
  <c r="Z281" i="20" s="1"/>
  <c r="AO281" i="20"/>
  <c r="AJ281" i="20"/>
  <c r="AE281" i="20"/>
  <c r="U281" i="20"/>
  <c r="AP281" i="20" s="1"/>
  <c r="Q281" i="20"/>
  <c r="P281" i="20"/>
  <c r="K281" i="20"/>
  <c r="AN281" i="20" s="1"/>
  <c r="AS280" i="20"/>
  <c r="AJ280" i="20" s="1"/>
  <c r="AQ280" i="20"/>
  <c r="AP280" i="20"/>
  <c r="AO280" i="20"/>
  <c r="AN280" i="20"/>
  <c r="AE280" i="20"/>
  <c r="AR280" i="20" s="1"/>
  <c r="Z280" i="20"/>
  <c r="U280" i="20"/>
  <c r="Q280" i="20"/>
  <c r="P280" i="20"/>
  <c r="K280" i="20"/>
  <c r="AS279" i="20"/>
  <c r="AJ279" i="20" s="1"/>
  <c r="AR279" i="20"/>
  <c r="AQ279" i="20"/>
  <c r="AO279" i="20"/>
  <c r="AE279" i="20"/>
  <c r="Z279" i="20"/>
  <c r="U279" i="20"/>
  <c r="AP279" i="20" s="1"/>
  <c r="Q279" i="20"/>
  <c r="P279" i="20"/>
  <c r="K279" i="20"/>
  <c r="AN279" i="20" s="1"/>
  <c r="AS278" i="20"/>
  <c r="AQ278" i="20"/>
  <c r="Z278" i="20" s="1"/>
  <c r="AO278" i="20"/>
  <c r="AN278" i="20"/>
  <c r="AJ278" i="20"/>
  <c r="AE278" i="20"/>
  <c r="AR278" i="20" s="1"/>
  <c r="U278" i="20"/>
  <c r="AP278" i="20" s="1"/>
  <c r="Q278" i="20"/>
  <c r="P278" i="20"/>
  <c r="K278" i="20"/>
  <c r="AS277" i="20"/>
  <c r="AJ277" i="20" s="1"/>
  <c r="AQ277" i="20"/>
  <c r="AO277" i="20"/>
  <c r="AE277" i="20"/>
  <c r="AR277" i="20" s="1"/>
  <c r="Z277" i="20"/>
  <c r="U277" i="20"/>
  <c r="AP277" i="20" s="1"/>
  <c r="Q277" i="20"/>
  <c r="P277" i="20"/>
  <c r="K277" i="20"/>
  <c r="AN277" i="20" s="1"/>
  <c r="AS276" i="20"/>
  <c r="AR276" i="20"/>
  <c r="AQ276" i="20"/>
  <c r="Z276" i="20" s="1"/>
  <c r="AO276" i="20"/>
  <c r="P276" i="20" s="1"/>
  <c r="AJ276" i="20"/>
  <c r="AE276" i="20"/>
  <c r="U276" i="20"/>
  <c r="AP276" i="20" s="1"/>
  <c r="Q276" i="20"/>
  <c r="K276" i="20"/>
  <c r="AN276" i="20" s="1"/>
  <c r="AS275" i="20"/>
  <c r="AJ275" i="20" s="1"/>
  <c r="AR275" i="20"/>
  <c r="AQ275" i="20"/>
  <c r="AP275" i="20"/>
  <c r="AO275" i="20"/>
  <c r="AN275" i="20"/>
  <c r="AE275" i="20"/>
  <c r="Z275" i="20"/>
  <c r="U275" i="20"/>
  <c r="Q275" i="20"/>
  <c r="P275" i="20"/>
  <c r="K275" i="20"/>
  <c r="AS274" i="20"/>
  <c r="AJ274" i="20" s="1"/>
  <c r="AR274" i="20"/>
  <c r="AQ274" i="20"/>
  <c r="AP274" i="20"/>
  <c r="AO274" i="20"/>
  <c r="AE274" i="20"/>
  <c r="Z274" i="20"/>
  <c r="U274" i="20"/>
  <c r="Q274" i="20"/>
  <c r="P274" i="20"/>
  <c r="K274" i="20"/>
  <c r="AN274" i="20" s="1"/>
  <c r="AS273" i="20"/>
  <c r="AR273" i="20"/>
  <c r="AQ273" i="20"/>
  <c r="AO273" i="20"/>
  <c r="AN273" i="20"/>
  <c r="AJ273" i="20"/>
  <c r="AE273" i="20"/>
  <c r="Z273" i="20"/>
  <c r="U273" i="20"/>
  <c r="AP273" i="20" s="1"/>
  <c r="Q273" i="20"/>
  <c r="P273" i="20"/>
  <c r="K273" i="20"/>
  <c r="AS272" i="20"/>
  <c r="AJ272" i="20" s="1"/>
  <c r="AQ272" i="20"/>
  <c r="AO272" i="20"/>
  <c r="AN272" i="20"/>
  <c r="AE272" i="20"/>
  <c r="AR272" i="20" s="1"/>
  <c r="Z272" i="20"/>
  <c r="U272" i="20"/>
  <c r="AP272" i="20" s="1"/>
  <c r="Q272" i="20"/>
  <c r="P272" i="20"/>
  <c r="K272" i="20"/>
  <c r="AS271" i="20"/>
  <c r="AR271" i="20"/>
  <c r="AQ271" i="20"/>
  <c r="AP271" i="20"/>
  <c r="AO271" i="20"/>
  <c r="AJ271" i="20"/>
  <c r="AE271" i="20"/>
  <c r="Z271" i="20"/>
  <c r="U271" i="20"/>
  <c r="Q271" i="20"/>
  <c r="P271" i="20"/>
  <c r="K271" i="20"/>
  <c r="AN271" i="20" s="1"/>
  <c r="AS270" i="20"/>
  <c r="AJ270" i="20" s="1"/>
  <c r="AQ270" i="20"/>
  <c r="AO270" i="20"/>
  <c r="AN270" i="20"/>
  <c r="AE270" i="20"/>
  <c r="AR270" i="20" s="1"/>
  <c r="Z270" i="20"/>
  <c r="U270" i="20"/>
  <c r="AP270" i="20" s="1"/>
  <c r="Q270" i="20"/>
  <c r="P270" i="20"/>
  <c r="K270" i="20"/>
  <c r="AS269" i="20"/>
  <c r="AJ269" i="20" s="1"/>
  <c r="AR269" i="20"/>
  <c r="AQ269" i="20"/>
  <c r="Z269" i="20" s="1"/>
  <c r="AO269" i="20"/>
  <c r="AE269" i="20"/>
  <c r="U269" i="20"/>
  <c r="AP269" i="20" s="1"/>
  <c r="Q269" i="20"/>
  <c r="P269" i="20"/>
  <c r="K269" i="20"/>
  <c r="AN269" i="20" s="1"/>
  <c r="AS268" i="20"/>
  <c r="AQ268" i="20"/>
  <c r="Z268" i="20" s="1"/>
  <c r="AO268" i="20"/>
  <c r="P268" i="20" s="1"/>
  <c r="AJ268" i="20"/>
  <c r="AE268" i="20"/>
  <c r="AR268" i="20" s="1"/>
  <c r="U268" i="20"/>
  <c r="AP268" i="20" s="1"/>
  <c r="Q268" i="20"/>
  <c r="K268" i="20"/>
  <c r="AN268" i="20" s="1"/>
  <c r="AS267" i="20"/>
  <c r="AJ267" i="20" s="1"/>
  <c r="AR267" i="20"/>
  <c r="AQ267" i="20"/>
  <c r="Z267" i="20" s="1"/>
  <c r="AO267" i="20"/>
  <c r="AN267" i="20"/>
  <c r="AE267" i="20"/>
  <c r="U267" i="20"/>
  <c r="AP267" i="20" s="1"/>
  <c r="Q267" i="20"/>
  <c r="P267" i="20"/>
  <c r="K267" i="20"/>
  <c r="AS266" i="20"/>
  <c r="AJ266" i="20" s="1"/>
  <c r="AR266" i="20"/>
  <c r="AQ266" i="20"/>
  <c r="Z266" i="20" s="1"/>
  <c r="AP266" i="20"/>
  <c r="AO266" i="20"/>
  <c r="AE266" i="20"/>
  <c r="U266" i="20"/>
  <c r="Q266" i="20"/>
  <c r="P266" i="20"/>
  <c r="K266" i="20"/>
  <c r="AN266" i="20" s="1"/>
  <c r="AS265" i="20"/>
  <c r="AR265" i="20"/>
  <c r="AQ265" i="20"/>
  <c r="AO265" i="20"/>
  <c r="P265" i="20" s="1"/>
  <c r="AN265" i="20"/>
  <c r="AJ265" i="20"/>
  <c r="AE265" i="20"/>
  <c r="Z265" i="20"/>
  <c r="U265" i="20"/>
  <c r="AP265" i="20" s="1"/>
  <c r="Q265" i="20"/>
  <c r="K265" i="20"/>
  <c r="AS264" i="20"/>
  <c r="AQ264" i="20"/>
  <c r="AO264" i="20"/>
  <c r="P264" i="20" s="1"/>
  <c r="AJ264" i="20"/>
  <c r="AE264" i="20"/>
  <c r="AR264" i="20" s="1"/>
  <c r="Z264" i="20"/>
  <c r="U264" i="20"/>
  <c r="AP264" i="20" s="1"/>
  <c r="Q264" i="20"/>
  <c r="K264" i="20"/>
  <c r="AN264" i="20" s="1"/>
  <c r="AS263" i="20"/>
  <c r="AJ263" i="20" s="1"/>
  <c r="AQ263" i="20"/>
  <c r="AP263" i="20"/>
  <c r="AO263" i="20"/>
  <c r="P263" i="20" s="1"/>
  <c r="AE263" i="20"/>
  <c r="AR263" i="20" s="1"/>
  <c r="Z263" i="20"/>
  <c r="U263" i="20"/>
  <c r="Q263" i="20"/>
  <c r="K263" i="20"/>
  <c r="AN263" i="20" s="1"/>
  <c r="AS262" i="20"/>
  <c r="AJ262" i="20" s="1"/>
  <c r="AR262" i="20"/>
  <c r="AQ262" i="20"/>
  <c r="AO262" i="20"/>
  <c r="AN262" i="20"/>
  <c r="AE262" i="20"/>
  <c r="Z262" i="20"/>
  <c r="U262" i="20"/>
  <c r="AP262" i="20" s="1"/>
  <c r="Q262" i="20"/>
  <c r="P262" i="20"/>
  <c r="K262" i="20"/>
  <c r="AS261" i="20"/>
  <c r="AR261" i="20"/>
  <c r="AQ261" i="20"/>
  <c r="AP261" i="20"/>
  <c r="AO261" i="20"/>
  <c r="AJ261" i="20"/>
  <c r="AE261" i="20"/>
  <c r="Z261" i="20"/>
  <c r="U261" i="20"/>
  <c r="Q261" i="20"/>
  <c r="P261" i="20"/>
  <c r="K261" i="20"/>
  <c r="AN261" i="20" s="1"/>
  <c r="AS260" i="20"/>
  <c r="AJ260" i="20" s="1"/>
  <c r="AQ260" i="20"/>
  <c r="AP260" i="20"/>
  <c r="AO260" i="20"/>
  <c r="P260" i="20" s="1"/>
  <c r="AE260" i="20"/>
  <c r="AR260" i="20" s="1"/>
  <c r="Z260" i="20"/>
  <c r="U260" i="20"/>
  <c r="Q260" i="20"/>
  <c r="K260" i="20"/>
  <c r="AN260" i="20" s="1"/>
  <c r="AS259" i="20"/>
  <c r="AR259" i="20"/>
  <c r="AQ259" i="20"/>
  <c r="AO259" i="20"/>
  <c r="P259" i="20" s="1"/>
  <c r="AN259" i="20"/>
  <c r="AJ259" i="20"/>
  <c r="AE259" i="20"/>
  <c r="Z259" i="20"/>
  <c r="U259" i="20"/>
  <c r="AP259" i="20" s="1"/>
  <c r="Q259" i="20"/>
  <c r="K259" i="20"/>
  <c r="AS258" i="20"/>
  <c r="AJ258" i="20" s="1"/>
  <c r="AQ258" i="20"/>
  <c r="Z258" i="20" s="1"/>
  <c r="AP258" i="20"/>
  <c r="AO258" i="20"/>
  <c r="AN258" i="20"/>
  <c r="AE258" i="20"/>
  <c r="AR258" i="20" s="1"/>
  <c r="U258" i="20"/>
  <c r="Q258" i="20"/>
  <c r="P258" i="20"/>
  <c r="K258" i="20"/>
  <c r="AS257" i="20"/>
  <c r="AR257" i="20"/>
  <c r="AQ257" i="20"/>
  <c r="AO257" i="20"/>
  <c r="AN257" i="20"/>
  <c r="AJ257" i="20"/>
  <c r="AE257" i="20"/>
  <c r="Z257" i="20"/>
  <c r="U257" i="20"/>
  <c r="AP257" i="20" s="1"/>
  <c r="Q257" i="20"/>
  <c r="P257" i="20"/>
  <c r="K257" i="20"/>
  <c r="AS256" i="20"/>
  <c r="AJ256" i="20" s="1"/>
  <c r="AQ256" i="20"/>
  <c r="AP256" i="20"/>
  <c r="AO256" i="20"/>
  <c r="P256" i="20" s="1"/>
  <c r="AE256" i="20"/>
  <c r="AR256" i="20" s="1"/>
  <c r="Z256" i="20"/>
  <c r="U256" i="20"/>
  <c r="Q256" i="20"/>
  <c r="K256" i="20"/>
  <c r="AN256" i="20" s="1"/>
  <c r="AS255" i="20"/>
  <c r="AJ255" i="20" s="1"/>
  <c r="AQ255" i="20"/>
  <c r="AO255" i="20"/>
  <c r="AN255" i="20"/>
  <c r="AE255" i="20"/>
  <c r="AR255" i="20" s="1"/>
  <c r="Z255" i="20"/>
  <c r="U255" i="20"/>
  <c r="AP255" i="20" s="1"/>
  <c r="Q255" i="20"/>
  <c r="P255" i="20"/>
  <c r="K255" i="20"/>
  <c r="AS254" i="20"/>
  <c r="AR254" i="20"/>
  <c r="AQ254" i="20"/>
  <c r="AO254" i="20"/>
  <c r="AN254" i="20"/>
  <c r="AJ254" i="20"/>
  <c r="AE254" i="20"/>
  <c r="Z254" i="20"/>
  <c r="U254" i="20"/>
  <c r="AP254" i="20" s="1"/>
  <c r="Q254" i="20"/>
  <c r="P254" i="20"/>
  <c r="K254" i="20"/>
  <c r="AS253" i="20"/>
  <c r="AJ253" i="20" s="1"/>
  <c r="AQ253" i="20"/>
  <c r="AP253" i="20"/>
  <c r="AO253" i="20"/>
  <c r="AN253" i="20"/>
  <c r="AE253" i="20"/>
  <c r="AR253" i="20" s="1"/>
  <c r="Z253" i="20"/>
  <c r="U253" i="20"/>
  <c r="Q253" i="20"/>
  <c r="P253" i="20"/>
  <c r="K253" i="20"/>
  <c r="AS252" i="20"/>
  <c r="AJ252" i="20" s="1"/>
  <c r="AR252" i="20"/>
  <c r="AQ252" i="20"/>
  <c r="AP252" i="20"/>
  <c r="AO252" i="20"/>
  <c r="P252" i="20" s="1"/>
  <c r="AE252" i="20"/>
  <c r="Z252" i="20"/>
  <c r="U252" i="20"/>
  <c r="Q252" i="20"/>
  <c r="K252" i="20"/>
  <c r="AN252" i="20" s="1"/>
  <c r="AS251" i="20"/>
  <c r="AJ251" i="20" s="1"/>
  <c r="AQ251" i="20"/>
  <c r="AO251" i="20"/>
  <c r="P251" i="20" s="1"/>
  <c r="AN251" i="20"/>
  <c r="AE251" i="20"/>
  <c r="AR251" i="20" s="1"/>
  <c r="Z251" i="20"/>
  <c r="U251" i="20"/>
  <c r="AP251" i="20" s="1"/>
  <c r="Q251" i="20"/>
  <c r="K251" i="20"/>
  <c r="AS250" i="20"/>
  <c r="AJ250" i="20" s="1"/>
  <c r="AR250" i="20"/>
  <c r="AQ250" i="20"/>
  <c r="AO250" i="20"/>
  <c r="AE250" i="20"/>
  <c r="Z250" i="20"/>
  <c r="U250" i="20"/>
  <c r="AP250" i="20" s="1"/>
  <c r="Q250" i="20"/>
  <c r="P250" i="20"/>
  <c r="K250" i="20"/>
  <c r="AN250" i="20" s="1"/>
  <c r="AS249" i="20"/>
  <c r="AR249" i="20"/>
  <c r="AQ249" i="20"/>
  <c r="AO249" i="20"/>
  <c r="P249" i="20" s="1"/>
  <c r="AN249" i="20"/>
  <c r="AJ249" i="20"/>
  <c r="AE249" i="20"/>
  <c r="Z249" i="20"/>
  <c r="U249" i="20"/>
  <c r="AP249" i="20" s="1"/>
  <c r="Q249" i="20"/>
  <c r="K249" i="20"/>
  <c r="AS248" i="20"/>
  <c r="AQ248" i="20"/>
  <c r="AO248" i="20"/>
  <c r="P248" i="20" s="1"/>
  <c r="AJ248" i="20"/>
  <c r="AE248" i="20"/>
  <c r="AR248" i="20" s="1"/>
  <c r="Z248" i="20"/>
  <c r="U248" i="20"/>
  <c r="AP248" i="20" s="1"/>
  <c r="Q248" i="20"/>
  <c r="K248" i="20"/>
  <c r="AN248" i="20" s="1"/>
  <c r="AS247" i="20"/>
  <c r="AJ247" i="20" s="1"/>
  <c r="AQ247" i="20"/>
  <c r="AO247" i="20"/>
  <c r="AE247" i="20"/>
  <c r="AR247" i="20" s="1"/>
  <c r="Z247" i="20"/>
  <c r="U247" i="20"/>
  <c r="AP247" i="20" s="1"/>
  <c r="Q247" i="20"/>
  <c r="P247" i="20"/>
  <c r="K247" i="20"/>
  <c r="AN247" i="20" s="1"/>
  <c r="AS246" i="20"/>
  <c r="AR246" i="20"/>
  <c r="AQ246" i="20"/>
  <c r="Z246" i="20" s="1"/>
  <c r="AO246" i="20"/>
  <c r="P246" i="20" s="1"/>
  <c r="AJ246" i="20"/>
  <c r="AE246" i="20"/>
  <c r="U246" i="20"/>
  <c r="AP246" i="20" s="1"/>
  <c r="Q246" i="20"/>
  <c r="K246" i="20"/>
  <c r="AN246" i="20" s="1"/>
  <c r="AS245" i="20"/>
  <c r="AJ245" i="20" s="1"/>
  <c r="AR245" i="20"/>
  <c r="AQ245" i="20"/>
  <c r="AP245" i="20"/>
  <c r="AO245" i="20"/>
  <c r="AN245" i="20"/>
  <c r="AE245" i="20"/>
  <c r="Z245" i="20"/>
  <c r="U245" i="20"/>
  <c r="Q245" i="20"/>
  <c r="P245" i="20"/>
  <c r="K245" i="20"/>
  <c r="AS244" i="20"/>
  <c r="AR244" i="20"/>
  <c r="AQ244" i="20"/>
  <c r="AP244" i="20"/>
  <c r="AO244" i="20"/>
  <c r="P244" i="20" s="1"/>
  <c r="AJ244" i="20"/>
  <c r="AE244" i="20"/>
  <c r="Z244" i="20"/>
  <c r="U244" i="20"/>
  <c r="Q244" i="20"/>
  <c r="K244" i="20"/>
  <c r="AN244" i="20" s="1"/>
  <c r="AS243" i="20"/>
  <c r="AQ243" i="20"/>
  <c r="AO243" i="20"/>
  <c r="P243" i="20" s="1"/>
  <c r="AN243" i="20"/>
  <c r="AJ243" i="20"/>
  <c r="AE243" i="20"/>
  <c r="AR243" i="20" s="1"/>
  <c r="Z243" i="20"/>
  <c r="U243" i="20"/>
  <c r="AP243" i="20" s="1"/>
  <c r="Q243" i="20"/>
  <c r="K243" i="20"/>
  <c r="AS242" i="20"/>
  <c r="AJ242" i="20" s="1"/>
  <c r="AR242" i="20"/>
  <c r="AQ242" i="20"/>
  <c r="AO242" i="20"/>
  <c r="AE242" i="20"/>
  <c r="Z242" i="20"/>
  <c r="U242" i="20"/>
  <c r="AP242" i="20" s="1"/>
  <c r="Q242" i="20"/>
  <c r="P242" i="20"/>
  <c r="K242" i="20"/>
  <c r="AN242" i="20" s="1"/>
  <c r="AS241" i="20"/>
  <c r="AR241" i="20"/>
  <c r="AQ241" i="20"/>
  <c r="AP241" i="20"/>
  <c r="AO241" i="20"/>
  <c r="P241" i="20" s="1"/>
  <c r="AJ241" i="20"/>
  <c r="AE241" i="20"/>
  <c r="Z241" i="20"/>
  <c r="U241" i="20"/>
  <c r="Q241" i="20"/>
  <c r="K241" i="20"/>
  <c r="AN241" i="20" s="1"/>
  <c r="AS240" i="20"/>
  <c r="AJ240" i="20" s="1"/>
  <c r="AQ240" i="20"/>
  <c r="AP240" i="20"/>
  <c r="AO240" i="20"/>
  <c r="P240" i="20" s="1"/>
  <c r="AE240" i="20"/>
  <c r="AR240" i="20" s="1"/>
  <c r="Z240" i="20"/>
  <c r="U240" i="20"/>
  <c r="Q240" i="20"/>
  <c r="K240" i="20"/>
  <c r="AN240" i="20" s="1"/>
  <c r="AS239" i="20"/>
  <c r="AR239" i="20"/>
  <c r="AQ239" i="20"/>
  <c r="AO239" i="20"/>
  <c r="AJ239" i="20"/>
  <c r="AE239" i="20"/>
  <c r="Z239" i="20"/>
  <c r="U239" i="20"/>
  <c r="AP239" i="20" s="1"/>
  <c r="Q239" i="20"/>
  <c r="P239" i="20"/>
  <c r="K239" i="20"/>
  <c r="AN239" i="20" s="1"/>
  <c r="AS238" i="20"/>
  <c r="AQ238" i="20"/>
  <c r="Z238" i="20" s="1"/>
  <c r="AO238" i="20"/>
  <c r="AJ238" i="20"/>
  <c r="AE238" i="20"/>
  <c r="AR238" i="20" s="1"/>
  <c r="U238" i="20"/>
  <c r="AP238" i="20" s="1"/>
  <c r="Q238" i="20"/>
  <c r="P238" i="20"/>
  <c r="K238" i="20"/>
  <c r="AN238" i="20" s="1"/>
  <c r="AS237" i="20"/>
  <c r="AQ237" i="20"/>
  <c r="Z237" i="20" s="1"/>
  <c r="AO237" i="20"/>
  <c r="AN237" i="20"/>
  <c r="AJ237" i="20"/>
  <c r="AE237" i="20"/>
  <c r="AR237" i="20" s="1"/>
  <c r="U237" i="20"/>
  <c r="AP237" i="20" s="1"/>
  <c r="Q237" i="20"/>
  <c r="P237" i="20"/>
  <c r="K237" i="20"/>
  <c r="AS236" i="20"/>
  <c r="AJ236" i="20" s="1"/>
  <c r="AR236" i="20"/>
  <c r="AQ236" i="20"/>
  <c r="Z236" i="20" s="1"/>
  <c r="AO236" i="20"/>
  <c r="P236" i="20" s="1"/>
  <c r="AE236" i="20"/>
  <c r="U236" i="20"/>
  <c r="AP236" i="20" s="1"/>
  <c r="Q236" i="20"/>
  <c r="K236" i="20"/>
  <c r="AN236" i="20" s="1"/>
  <c r="AS235" i="20"/>
  <c r="AJ235" i="20" s="1"/>
  <c r="AR235" i="20"/>
  <c r="AQ235" i="20"/>
  <c r="AP235" i="20"/>
  <c r="AO235" i="20"/>
  <c r="AE235" i="20"/>
  <c r="Z235" i="20"/>
  <c r="U235" i="20"/>
  <c r="Q235" i="20"/>
  <c r="P235" i="20"/>
  <c r="K235" i="20"/>
  <c r="AN235" i="20" s="1"/>
  <c r="AS234" i="20"/>
  <c r="AR234" i="20"/>
  <c r="AQ234" i="20"/>
  <c r="AO234" i="20"/>
  <c r="AN234" i="20"/>
  <c r="AJ234" i="20"/>
  <c r="AE234" i="20"/>
  <c r="Z234" i="20"/>
  <c r="U234" i="20"/>
  <c r="AP234" i="20" s="1"/>
  <c r="Q234" i="20"/>
  <c r="P234" i="20"/>
  <c r="K234" i="20"/>
  <c r="AS233" i="20"/>
  <c r="AQ233" i="20"/>
  <c r="AO233" i="20"/>
  <c r="P233" i="20" s="1"/>
  <c r="AN233" i="20"/>
  <c r="AJ233" i="20"/>
  <c r="AE233" i="20"/>
  <c r="AR233" i="20" s="1"/>
  <c r="Z233" i="20"/>
  <c r="U233" i="20"/>
  <c r="AP233" i="20" s="1"/>
  <c r="Q233" i="20"/>
  <c r="K233" i="20"/>
  <c r="AS232" i="20"/>
  <c r="AJ232" i="20" s="1"/>
  <c r="AR232" i="20"/>
  <c r="AQ232" i="20"/>
  <c r="AO232" i="20"/>
  <c r="AE232" i="20"/>
  <c r="Z232" i="20"/>
  <c r="U232" i="20"/>
  <c r="AP232" i="20" s="1"/>
  <c r="Q232" i="20"/>
  <c r="P232" i="20"/>
  <c r="K232" i="20"/>
  <c r="AN232" i="20" s="1"/>
  <c r="AS231" i="20"/>
  <c r="AQ231" i="20"/>
  <c r="Z231" i="20" s="1"/>
  <c r="AO231" i="20"/>
  <c r="AN231" i="20"/>
  <c r="AJ231" i="20"/>
  <c r="AE231" i="20"/>
  <c r="AR231" i="20" s="1"/>
  <c r="U231" i="20"/>
  <c r="AP231" i="20" s="1"/>
  <c r="Q231" i="20"/>
  <c r="P231" i="20"/>
  <c r="K231" i="20"/>
  <c r="AS230" i="20"/>
  <c r="AJ230" i="20" s="1"/>
  <c r="AR230" i="20"/>
  <c r="AQ230" i="20"/>
  <c r="AO230" i="20"/>
  <c r="AE230" i="20"/>
  <c r="Z230" i="20"/>
  <c r="U230" i="20"/>
  <c r="AP230" i="20" s="1"/>
  <c r="Q230" i="20"/>
  <c r="P230" i="20"/>
  <c r="K230" i="20"/>
  <c r="AN230" i="20" s="1"/>
  <c r="AS229" i="20"/>
  <c r="AQ229" i="20"/>
  <c r="Z229" i="20" s="1"/>
  <c r="AO229" i="20"/>
  <c r="P229" i="20" s="1"/>
  <c r="AJ229" i="20"/>
  <c r="AE229" i="20"/>
  <c r="AR229" i="20" s="1"/>
  <c r="U229" i="20"/>
  <c r="AP229" i="20" s="1"/>
  <c r="Q229" i="20"/>
  <c r="K229" i="20"/>
  <c r="AN229" i="20" s="1"/>
  <c r="AS228" i="20"/>
  <c r="AJ228" i="20" s="1"/>
  <c r="AR228" i="20"/>
  <c r="AQ228" i="20"/>
  <c r="AO228" i="20"/>
  <c r="AN228" i="20"/>
  <c r="AE228" i="20"/>
  <c r="Z228" i="20"/>
  <c r="U228" i="20"/>
  <c r="AP228" i="20" s="1"/>
  <c r="Q228" i="20"/>
  <c r="P228" i="20"/>
  <c r="K228" i="20"/>
  <c r="AS227" i="20"/>
  <c r="AJ227" i="20" s="1"/>
  <c r="AR227" i="20"/>
  <c r="AQ227" i="20"/>
  <c r="AP227" i="20"/>
  <c r="AO227" i="20"/>
  <c r="AE227" i="20"/>
  <c r="Z227" i="20"/>
  <c r="U227" i="20"/>
  <c r="Q227" i="20"/>
  <c r="P227" i="20"/>
  <c r="K227" i="20"/>
  <c r="AN227" i="20" s="1"/>
  <c r="AS226" i="20"/>
  <c r="AR226" i="20"/>
  <c r="AQ226" i="20"/>
  <c r="AO226" i="20"/>
  <c r="AN226" i="20"/>
  <c r="AJ226" i="20"/>
  <c r="AE226" i="20"/>
  <c r="Z226" i="20"/>
  <c r="U226" i="20"/>
  <c r="AP226" i="20" s="1"/>
  <c r="Q226" i="20"/>
  <c r="P226" i="20"/>
  <c r="K226" i="20"/>
  <c r="AS225" i="20"/>
  <c r="AQ225" i="20"/>
  <c r="AO225" i="20"/>
  <c r="P225" i="20" s="1"/>
  <c r="AN225" i="20"/>
  <c r="AJ225" i="20"/>
  <c r="AE225" i="20"/>
  <c r="AR225" i="20" s="1"/>
  <c r="Z225" i="20"/>
  <c r="U225" i="20"/>
  <c r="AP225" i="20" s="1"/>
  <c r="Q225" i="20"/>
  <c r="K225" i="20"/>
  <c r="AS224" i="20"/>
  <c r="AJ224" i="20" s="1"/>
  <c r="AR224" i="20"/>
  <c r="AQ224" i="20"/>
  <c r="AO224" i="20"/>
  <c r="AN224" i="20"/>
  <c r="AE224" i="20"/>
  <c r="Z224" i="20"/>
  <c r="U224" i="20"/>
  <c r="AP224" i="20" s="1"/>
  <c r="Q224" i="20"/>
  <c r="P224" i="20"/>
  <c r="K224" i="20"/>
  <c r="AS223" i="20"/>
  <c r="AQ223" i="20"/>
  <c r="Z223" i="20" s="1"/>
  <c r="AO223" i="20"/>
  <c r="P223" i="20" s="1"/>
  <c r="AN223" i="20"/>
  <c r="AJ223" i="20"/>
  <c r="AE223" i="20"/>
  <c r="AR223" i="20" s="1"/>
  <c r="U223" i="20"/>
  <c r="AP223" i="20" s="1"/>
  <c r="Q223" i="20"/>
  <c r="K223" i="20"/>
  <c r="AS222" i="20"/>
  <c r="AJ222" i="20" s="1"/>
  <c r="AR222" i="20"/>
  <c r="AQ222" i="20"/>
  <c r="AO222" i="20"/>
  <c r="AE222" i="20"/>
  <c r="Z222" i="20"/>
  <c r="U222" i="20"/>
  <c r="AP222" i="20" s="1"/>
  <c r="Q222" i="20"/>
  <c r="P222" i="20"/>
  <c r="K222" i="20"/>
  <c r="AN222" i="20" s="1"/>
  <c r="AS221" i="20"/>
  <c r="AR221" i="20"/>
  <c r="AQ221" i="20"/>
  <c r="AO221" i="20"/>
  <c r="P221" i="20" s="1"/>
  <c r="AJ221" i="20"/>
  <c r="AE221" i="20"/>
  <c r="Z221" i="20"/>
  <c r="U221" i="20"/>
  <c r="AP221" i="20" s="1"/>
  <c r="Q221" i="20"/>
  <c r="K221" i="20"/>
  <c r="AN221" i="20" s="1"/>
  <c r="AS220" i="20"/>
  <c r="AJ220" i="20" s="1"/>
  <c r="AQ220" i="20"/>
  <c r="AO220" i="20"/>
  <c r="AN220" i="20"/>
  <c r="AE220" i="20"/>
  <c r="AR220" i="20" s="1"/>
  <c r="Z220" i="20"/>
  <c r="U220" i="20"/>
  <c r="AP220" i="20" s="1"/>
  <c r="Q220" i="20"/>
  <c r="P220" i="20"/>
  <c r="K220" i="20"/>
  <c r="AS219" i="20"/>
  <c r="AJ219" i="20" s="1"/>
  <c r="AR219" i="20"/>
  <c r="AQ219" i="20"/>
  <c r="AO219" i="20"/>
  <c r="AE219" i="20"/>
  <c r="Z219" i="20"/>
  <c r="U219" i="20"/>
  <c r="AP219" i="20" s="1"/>
  <c r="Q219" i="20"/>
  <c r="P219" i="20"/>
  <c r="K219" i="20"/>
  <c r="AN219" i="20" s="1"/>
  <c r="AS218" i="20"/>
  <c r="AR218" i="20"/>
  <c r="AQ218" i="20"/>
  <c r="AO218" i="20"/>
  <c r="P218" i="20" s="1"/>
  <c r="AN218" i="20"/>
  <c r="AJ218" i="20"/>
  <c r="AE218" i="20"/>
  <c r="Z218" i="20"/>
  <c r="U218" i="20"/>
  <c r="AP218" i="20" s="1"/>
  <c r="Q218" i="20"/>
  <c r="K218" i="20"/>
  <c r="AS217" i="20"/>
  <c r="AJ217" i="20" s="1"/>
  <c r="AQ217" i="20"/>
  <c r="Z217" i="20" s="1"/>
  <c r="AO217" i="20"/>
  <c r="AN217" i="20"/>
  <c r="AE217" i="20"/>
  <c r="AR217" i="20" s="1"/>
  <c r="U217" i="20"/>
  <c r="AP217" i="20" s="1"/>
  <c r="Q217" i="20"/>
  <c r="P217" i="20"/>
  <c r="K217" i="20"/>
  <c r="AS216" i="20"/>
  <c r="AQ216" i="20"/>
  <c r="AP216" i="20"/>
  <c r="AO216" i="20"/>
  <c r="P216" i="20" s="1"/>
  <c r="AJ216" i="20"/>
  <c r="AE216" i="20"/>
  <c r="AR216" i="20" s="1"/>
  <c r="Z216" i="20"/>
  <c r="U216" i="20"/>
  <c r="Q216" i="20"/>
  <c r="K216" i="20"/>
  <c r="AN216" i="20" s="1"/>
  <c r="AS215" i="20"/>
  <c r="AJ215" i="20" s="1"/>
  <c r="AQ215" i="20"/>
  <c r="AO215" i="20"/>
  <c r="AN215" i="20"/>
  <c r="AE215" i="20"/>
  <c r="AR215" i="20" s="1"/>
  <c r="Z215" i="20"/>
  <c r="U215" i="20"/>
  <c r="AP215" i="20" s="1"/>
  <c r="Q215" i="20"/>
  <c r="P215" i="20"/>
  <c r="K215" i="20"/>
  <c r="AS214" i="20"/>
  <c r="AR214" i="20"/>
  <c r="AQ214" i="20"/>
  <c r="AO214" i="20"/>
  <c r="AN214" i="20"/>
  <c r="AJ214" i="20"/>
  <c r="AE214" i="20"/>
  <c r="Z214" i="20"/>
  <c r="U214" i="20"/>
  <c r="AP214" i="20" s="1"/>
  <c r="Q214" i="20"/>
  <c r="P214" i="20"/>
  <c r="K214" i="20"/>
  <c r="AS213" i="20"/>
  <c r="AQ213" i="20"/>
  <c r="Z213" i="20" s="1"/>
  <c r="AO213" i="20"/>
  <c r="P213" i="20" s="1"/>
  <c r="AJ213" i="20"/>
  <c r="AE213" i="20"/>
  <c r="AR213" i="20" s="1"/>
  <c r="U213" i="20"/>
  <c r="AP213" i="20" s="1"/>
  <c r="Q213" i="20"/>
  <c r="K213" i="20"/>
  <c r="AN213" i="20" s="1"/>
  <c r="AS212" i="20"/>
  <c r="AR212" i="20"/>
  <c r="AQ212" i="20"/>
  <c r="Z212" i="20" s="1"/>
  <c r="AO212" i="20"/>
  <c r="AN212" i="20"/>
  <c r="AJ212" i="20"/>
  <c r="AE212" i="20"/>
  <c r="U212" i="20"/>
  <c r="AP212" i="20" s="1"/>
  <c r="Q212" i="20"/>
  <c r="P212" i="20"/>
  <c r="K212" i="20"/>
  <c r="AS211" i="20"/>
  <c r="AJ211" i="20" s="1"/>
  <c r="AQ211" i="20"/>
  <c r="Z211" i="20" s="1"/>
  <c r="AP211" i="20"/>
  <c r="AO211" i="20"/>
  <c r="AE211" i="20"/>
  <c r="AR211" i="20" s="1"/>
  <c r="U211" i="20"/>
  <c r="Q211" i="20"/>
  <c r="P211" i="20"/>
  <c r="K211" i="20"/>
  <c r="AN211" i="20" s="1"/>
  <c r="AS210" i="20"/>
  <c r="AR210" i="20"/>
  <c r="AQ210" i="20"/>
  <c r="AO210" i="20"/>
  <c r="P210" i="20" s="1"/>
  <c r="AN210" i="20"/>
  <c r="AJ210" i="20"/>
  <c r="AE210" i="20"/>
  <c r="Z210" i="20"/>
  <c r="U210" i="20"/>
  <c r="AP210" i="20" s="1"/>
  <c r="Q210" i="20"/>
  <c r="K210" i="20"/>
  <c r="AS209" i="20"/>
  <c r="AQ209" i="20"/>
  <c r="AO209" i="20"/>
  <c r="P209" i="20" s="1"/>
  <c r="AJ209" i="20"/>
  <c r="AE209" i="20"/>
  <c r="AR209" i="20" s="1"/>
  <c r="Z209" i="20"/>
  <c r="U209" i="20"/>
  <c r="AP209" i="20" s="1"/>
  <c r="Q209" i="20"/>
  <c r="K209" i="20"/>
  <c r="AN209" i="20" s="1"/>
  <c r="AS208" i="20"/>
  <c r="AJ208" i="20" s="1"/>
  <c r="AQ208" i="20"/>
  <c r="AO208" i="20"/>
  <c r="AN208" i="20"/>
  <c r="AE208" i="20"/>
  <c r="AR208" i="20" s="1"/>
  <c r="Z208" i="20"/>
  <c r="U208" i="20"/>
  <c r="AP208" i="20" s="1"/>
  <c r="Q208" i="20"/>
  <c r="P208" i="20"/>
  <c r="K208" i="20"/>
  <c r="AS207" i="20"/>
  <c r="AJ207" i="20" s="1"/>
  <c r="AR207" i="20"/>
  <c r="AQ207" i="20"/>
  <c r="AO207" i="20"/>
  <c r="AN207" i="20"/>
  <c r="AE207" i="20"/>
  <c r="Z207" i="20"/>
  <c r="U207" i="20"/>
  <c r="AP207" i="20" s="1"/>
  <c r="Q207" i="20"/>
  <c r="P207" i="20"/>
  <c r="K207" i="20"/>
  <c r="AS206" i="20"/>
  <c r="AJ206" i="20" s="1"/>
  <c r="AQ206" i="20"/>
  <c r="Z206" i="20" s="1"/>
  <c r="AP206" i="20"/>
  <c r="AO206" i="20"/>
  <c r="AE206" i="20"/>
  <c r="AR206" i="20" s="1"/>
  <c r="U206" i="20"/>
  <c r="Q206" i="20"/>
  <c r="P206" i="20"/>
  <c r="K206" i="20"/>
  <c r="AN206" i="20" s="1"/>
  <c r="AS205" i="20"/>
  <c r="AJ205" i="20" s="1"/>
  <c r="AQ205" i="20"/>
  <c r="AP205" i="20"/>
  <c r="AO205" i="20"/>
  <c r="P205" i="20" s="1"/>
  <c r="AE205" i="20"/>
  <c r="AR205" i="20" s="1"/>
  <c r="Z205" i="20"/>
  <c r="U205" i="20"/>
  <c r="Q205" i="20"/>
  <c r="K205" i="20"/>
  <c r="AN205" i="20" s="1"/>
  <c r="AS204" i="20"/>
  <c r="AQ204" i="20"/>
  <c r="AO204" i="20"/>
  <c r="P204" i="20" s="1"/>
  <c r="AN204" i="20"/>
  <c r="AJ204" i="20"/>
  <c r="AE204" i="20"/>
  <c r="AR204" i="20" s="1"/>
  <c r="Z204" i="20"/>
  <c r="U204" i="20"/>
  <c r="AP204" i="20" s="1"/>
  <c r="Q204" i="20"/>
  <c r="K204" i="20"/>
  <c r="AS203" i="20"/>
  <c r="AJ203" i="20" s="1"/>
  <c r="AQ203" i="20"/>
  <c r="AP203" i="20"/>
  <c r="AO203" i="20"/>
  <c r="AE203" i="20"/>
  <c r="AR203" i="20" s="1"/>
  <c r="Z203" i="20"/>
  <c r="U203" i="20"/>
  <c r="Q203" i="20"/>
  <c r="P203" i="20"/>
  <c r="K203" i="20"/>
  <c r="AN203" i="20" s="1"/>
  <c r="AS202" i="20"/>
  <c r="AR202" i="20"/>
  <c r="AQ202" i="20"/>
  <c r="AO202" i="20"/>
  <c r="AN202" i="20"/>
  <c r="AJ202" i="20"/>
  <c r="AE202" i="20"/>
  <c r="Z202" i="20"/>
  <c r="U202" i="20"/>
  <c r="AP202" i="20" s="1"/>
  <c r="Q202" i="20"/>
  <c r="P202" i="20"/>
  <c r="K202" i="20"/>
  <c r="AS201" i="20"/>
  <c r="AQ201" i="20"/>
  <c r="AO201" i="20"/>
  <c r="P201" i="20" s="1"/>
  <c r="AN201" i="20"/>
  <c r="AJ201" i="20"/>
  <c r="AE201" i="20"/>
  <c r="AR201" i="20" s="1"/>
  <c r="Z201" i="20"/>
  <c r="U201" i="20"/>
  <c r="AP201" i="20" s="1"/>
  <c r="Q201" i="20"/>
  <c r="K201" i="20"/>
  <c r="AS200" i="20"/>
  <c r="AJ200" i="20" s="1"/>
  <c r="AQ200" i="20"/>
  <c r="AO200" i="20"/>
  <c r="AN200" i="20"/>
  <c r="AE200" i="20"/>
  <c r="AR200" i="20" s="1"/>
  <c r="Z200" i="20"/>
  <c r="U200" i="20"/>
  <c r="AP200" i="20" s="1"/>
  <c r="Q200" i="20"/>
  <c r="P200" i="20"/>
  <c r="K200" i="20"/>
  <c r="AS199" i="20"/>
  <c r="AR199" i="20"/>
  <c r="AQ199" i="20"/>
  <c r="AO199" i="20"/>
  <c r="P199" i="20" s="1"/>
  <c r="AJ199" i="20"/>
  <c r="AE199" i="20"/>
  <c r="Z199" i="20"/>
  <c r="U199" i="20"/>
  <c r="AP199" i="20" s="1"/>
  <c r="Q199" i="20"/>
  <c r="K199" i="20"/>
  <c r="AN199" i="20" s="1"/>
  <c r="AS198" i="20"/>
  <c r="AJ198" i="20" s="1"/>
  <c r="AQ198" i="20"/>
  <c r="AO198" i="20"/>
  <c r="AN198" i="20"/>
  <c r="AE198" i="20"/>
  <c r="AR198" i="20" s="1"/>
  <c r="Z198" i="20"/>
  <c r="U198" i="20"/>
  <c r="AP198" i="20" s="1"/>
  <c r="Q198" i="20"/>
  <c r="P198" i="20"/>
  <c r="K198" i="20"/>
  <c r="AS197" i="20"/>
  <c r="AJ197" i="20" s="1"/>
  <c r="AR197" i="20"/>
  <c r="AQ197" i="20"/>
  <c r="AO197" i="20"/>
  <c r="P197" i="20" s="1"/>
  <c r="AE197" i="20"/>
  <c r="Z197" i="20"/>
  <c r="U197" i="20"/>
  <c r="AP197" i="20" s="1"/>
  <c r="Q197" i="20"/>
  <c r="K197" i="20"/>
  <c r="AN197" i="20" s="1"/>
  <c r="AS196" i="20"/>
  <c r="AQ196" i="20"/>
  <c r="AO196" i="20"/>
  <c r="P196" i="20" s="1"/>
  <c r="AN196" i="20"/>
  <c r="AJ196" i="20"/>
  <c r="AE196" i="20"/>
  <c r="AR196" i="20" s="1"/>
  <c r="Z196" i="20"/>
  <c r="U196" i="20"/>
  <c r="AP196" i="20" s="1"/>
  <c r="Q196" i="20"/>
  <c r="K196" i="20"/>
  <c r="AS195" i="20"/>
  <c r="AJ195" i="20" s="1"/>
  <c r="AR195" i="20"/>
  <c r="AQ195" i="20"/>
  <c r="AO195" i="20"/>
  <c r="AE195" i="20"/>
  <c r="Z195" i="20"/>
  <c r="U195" i="20"/>
  <c r="AP195" i="20" s="1"/>
  <c r="Q195" i="20"/>
  <c r="P195" i="20"/>
  <c r="K195" i="20"/>
  <c r="AN195" i="20" s="1"/>
  <c r="AS194" i="20"/>
  <c r="AR194" i="20"/>
  <c r="AQ194" i="20"/>
  <c r="AO194" i="20"/>
  <c r="P194" i="20" s="1"/>
  <c r="AJ194" i="20"/>
  <c r="AE194" i="20"/>
  <c r="Z194" i="20"/>
  <c r="U194" i="20"/>
  <c r="AP194" i="20" s="1"/>
  <c r="Q194" i="20"/>
  <c r="K194" i="20"/>
  <c r="AN194" i="20" s="1"/>
  <c r="AS193" i="20"/>
  <c r="AJ193" i="20" s="1"/>
  <c r="AQ193" i="20"/>
  <c r="AO193" i="20"/>
  <c r="P193" i="20" s="1"/>
  <c r="AN193" i="20"/>
  <c r="AE193" i="20"/>
  <c r="AR193" i="20" s="1"/>
  <c r="Z193" i="20"/>
  <c r="U193" i="20"/>
  <c r="AP193" i="20" s="1"/>
  <c r="Q193" i="20"/>
  <c r="K193" i="20"/>
  <c r="AS192" i="20"/>
  <c r="AR192" i="20"/>
  <c r="AQ192" i="20"/>
  <c r="Z192" i="20" s="1"/>
  <c r="AO192" i="20"/>
  <c r="AN192" i="20"/>
  <c r="AJ192" i="20"/>
  <c r="AE192" i="20"/>
  <c r="U192" i="20"/>
  <c r="AP192" i="20" s="1"/>
  <c r="Q192" i="20"/>
  <c r="P192" i="20"/>
  <c r="K192" i="20"/>
  <c r="AS191" i="20"/>
  <c r="AQ191" i="20"/>
  <c r="Z191" i="20" s="1"/>
  <c r="AP191" i="20"/>
  <c r="AO191" i="20"/>
  <c r="P191" i="20" s="1"/>
  <c r="AJ191" i="20"/>
  <c r="AE191" i="20"/>
  <c r="AR191" i="20" s="1"/>
  <c r="U191" i="20"/>
  <c r="Q191" i="20"/>
  <c r="K191" i="20"/>
  <c r="AN191" i="20" s="1"/>
  <c r="AS190" i="20"/>
  <c r="AQ190" i="20"/>
  <c r="AO190" i="20"/>
  <c r="P190" i="20" s="1"/>
  <c r="AN190" i="20"/>
  <c r="AJ190" i="20"/>
  <c r="AE190" i="20"/>
  <c r="AR190" i="20" s="1"/>
  <c r="Z190" i="20"/>
  <c r="U190" i="20"/>
  <c r="AP190" i="20" s="1"/>
  <c r="Q190" i="20"/>
  <c r="K190" i="20"/>
  <c r="AS189" i="20"/>
  <c r="AJ189" i="20" s="1"/>
  <c r="AQ189" i="20"/>
  <c r="AO189" i="20"/>
  <c r="AN189" i="20"/>
  <c r="AE189" i="20"/>
  <c r="AR189" i="20" s="1"/>
  <c r="Z189" i="20"/>
  <c r="U189" i="20"/>
  <c r="AP189" i="20" s="1"/>
  <c r="Q189" i="20"/>
  <c r="P189" i="20"/>
  <c r="K189" i="20"/>
  <c r="AS188" i="20"/>
  <c r="AR188" i="20"/>
  <c r="AQ188" i="20"/>
  <c r="AO188" i="20"/>
  <c r="AJ188" i="20"/>
  <c r="AE188" i="20"/>
  <c r="Z188" i="20"/>
  <c r="U188" i="20"/>
  <c r="AP188" i="20" s="1"/>
  <c r="Q188" i="20"/>
  <c r="P188" i="20"/>
  <c r="K188" i="20"/>
  <c r="AN188" i="20" s="1"/>
  <c r="AS187" i="20"/>
  <c r="AQ187" i="20"/>
  <c r="AO187" i="20"/>
  <c r="P187" i="20" s="1"/>
  <c r="AJ187" i="20"/>
  <c r="AE187" i="20"/>
  <c r="AR187" i="20" s="1"/>
  <c r="Z187" i="20"/>
  <c r="U187" i="20"/>
  <c r="AP187" i="20" s="1"/>
  <c r="Q187" i="20"/>
  <c r="K187" i="20"/>
  <c r="AN187" i="20" s="1"/>
  <c r="AS186" i="20"/>
  <c r="AQ186" i="20"/>
  <c r="AO186" i="20"/>
  <c r="P186" i="20" s="1"/>
  <c r="AN186" i="20"/>
  <c r="AJ186" i="20"/>
  <c r="AE186" i="20"/>
  <c r="AR186" i="20" s="1"/>
  <c r="Z186" i="20"/>
  <c r="U186" i="20"/>
  <c r="AP186" i="20" s="1"/>
  <c r="Q186" i="20"/>
  <c r="K186" i="20"/>
  <c r="AS185" i="20"/>
  <c r="AJ185" i="20" s="1"/>
  <c r="AR185" i="20"/>
  <c r="AQ185" i="20"/>
  <c r="AO185" i="20"/>
  <c r="P185" i="20" s="1"/>
  <c r="AN185" i="20"/>
  <c r="AE185" i="20"/>
  <c r="Z185" i="20"/>
  <c r="U185" i="20"/>
  <c r="AP185" i="20" s="1"/>
  <c r="Q185" i="20"/>
  <c r="K185" i="20"/>
  <c r="AS184" i="20"/>
  <c r="AR184" i="20"/>
  <c r="AQ184" i="20"/>
  <c r="AO184" i="20"/>
  <c r="AN184" i="20"/>
  <c r="AJ184" i="20"/>
  <c r="AE184" i="20"/>
  <c r="Z184" i="20"/>
  <c r="U184" i="20"/>
  <c r="AP184" i="20" s="1"/>
  <c r="Q184" i="20"/>
  <c r="P184" i="20"/>
  <c r="K184" i="20"/>
  <c r="AS183" i="20"/>
  <c r="AQ183" i="20"/>
  <c r="Z183" i="20" s="1"/>
  <c r="AO183" i="20"/>
  <c r="P183" i="20" s="1"/>
  <c r="AJ183" i="20"/>
  <c r="AE183" i="20"/>
  <c r="AR183" i="20" s="1"/>
  <c r="U183" i="20"/>
  <c r="AP183" i="20" s="1"/>
  <c r="Q183" i="20"/>
  <c r="K183" i="20"/>
  <c r="AN183" i="20" s="1"/>
  <c r="AS182" i="20"/>
  <c r="AQ182" i="20"/>
  <c r="AO182" i="20"/>
  <c r="P182" i="20" s="1"/>
  <c r="AN182" i="20"/>
  <c r="AJ182" i="20"/>
  <c r="AE182" i="20"/>
  <c r="AR182" i="20" s="1"/>
  <c r="Z182" i="20"/>
  <c r="U182" i="20"/>
  <c r="AP182" i="20" s="1"/>
  <c r="Q182" i="20"/>
  <c r="K182" i="20"/>
  <c r="AS181" i="20"/>
  <c r="AJ181" i="20" s="1"/>
  <c r="AQ181" i="20"/>
  <c r="AO181" i="20"/>
  <c r="AN181" i="20"/>
  <c r="AE181" i="20"/>
  <c r="AR181" i="20" s="1"/>
  <c r="Z181" i="20"/>
  <c r="U181" i="20"/>
  <c r="AP181" i="20" s="1"/>
  <c r="Q181" i="20"/>
  <c r="P181" i="20"/>
  <c r="K181" i="20"/>
  <c r="AS180" i="20"/>
  <c r="AR180" i="20"/>
  <c r="AQ180" i="20"/>
  <c r="AO180" i="20"/>
  <c r="AN180" i="20"/>
  <c r="AJ180" i="20"/>
  <c r="AE180" i="20"/>
  <c r="Z180" i="20"/>
  <c r="U180" i="20"/>
  <c r="AP180" i="20" s="1"/>
  <c r="Q180" i="20"/>
  <c r="P180" i="20"/>
  <c r="K180" i="20"/>
  <c r="AS179" i="20"/>
  <c r="AQ179" i="20"/>
  <c r="AO179" i="20"/>
  <c r="P179" i="20" s="1"/>
  <c r="AJ179" i="20"/>
  <c r="AE179" i="20"/>
  <c r="AR179" i="20" s="1"/>
  <c r="Z179" i="20"/>
  <c r="U179" i="20"/>
  <c r="AP179" i="20" s="1"/>
  <c r="Q179" i="20"/>
  <c r="K179" i="20"/>
  <c r="AN179" i="20" s="1"/>
  <c r="AS178" i="20"/>
  <c r="AJ178" i="20" s="1"/>
  <c r="AQ178" i="20"/>
  <c r="AO178" i="20"/>
  <c r="P178" i="20" s="1"/>
  <c r="AN178" i="20"/>
  <c r="AE178" i="20"/>
  <c r="AR178" i="20" s="1"/>
  <c r="Z178" i="20"/>
  <c r="U178" i="20"/>
  <c r="AP178" i="20" s="1"/>
  <c r="Q178" i="20"/>
  <c r="K178" i="20"/>
  <c r="AS177" i="20"/>
  <c r="AJ177" i="20" s="1"/>
  <c r="AR177" i="20"/>
  <c r="AQ177" i="20"/>
  <c r="AO177" i="20"/>
  <c r="P177" i="20" s="1"/>
  <c r="AE177" i="20"/>
  <c r="Z177" i="20"/>
  <c r="U177" i="20"/>
  <c r="AP177" i="20" s="1"/>
  <c r="Q177" i="20"/>
  <c r="K177" i="20"/>
  <c r="AN177" i="20" s="1"/>
  <c r="AS176" i="20"/>
  <c r="AR176" i="20"/>
  <c r="AQ176" i="20"/>
  <c r="AO176" i="20"/>
  <c r="AN176" i="20"/>
  <c r="AJ176" i="20"/>
  <c r="AE176" i="20"/>
  <c r="Z176" i="20"/>
  <c r="U176" i="20"/>
  <c r="AP176" i="20" s="1"/>
  <c r="Q176" i="20"/>
  <c r="P176" i="20"/>
  <c r="K176" i="20"/>
  <c r="AS175" i="20"/>
  <c r="AQ175" i="20"/>
  <c r="AP175" i="20"/>
  <c r="AO175" i="20"/>
  <c r="P175" i="20" s="1"/>
  <c r="AJ175" i="20"/>
  <c r="AE175" i="20"/>
  <c r="AR175" i="20" s="1"/>
  <c r="Z175" i="20"/>
  <c r="U175" i="20"/>
  <c r="Q175" i="20"/>
  <c r="K175" i="20"/>
  <c r="AN175" i="20" s="1"/>
  <c r="AS174" i="20"/>
  <c r="AQ174" i="20"/>
  <c r="AP174" i="20"/>
  <c r="AO174" i="20"/>
  <c r="P174" i="20" s="1"/>
  <c r="AN174" i="20"/>
  <c r="AJ174" i="20"/>
  <c r="AE174" i="20"/>
  <c r="AR174" i="20" s="1"/>
  <c r="Z174" i="20"/>
  <c r="U174" i="20"/>
  <c r="Q174" i="20"/>
  <c r="K174" i="20"/>
  <c r="AS173" i="20"/>
  <c r="AJ173" i="20" s="1"/>
  <c r="AQ173" i="20"/>
  <c r="AO173" i="20"/>
  <c r="AN173" i="20"/>
  <c r="AE173" i="20"/>
  <c r="AR173" i="20" s="1"/>
  <c r="Z173" i="20"/>
  <c r="U173" i="20"/>
  <c r="AP173" i="20" s="1"/>
  <c r="Q173" i="20"/>
  <c r="P173" i="20"/>
  <c r="K173" i="20"/>
  <c r="AS172" i="20"/>
  <c r="AR172" i="20"/>
  <c r="AQ172" i="20"/>
  <c r="AO172" i="20"/>
  <c r="AJ172" i="20"/>
  <c r="AE172" i="20"/>
  <c r="Z172" i="20"/>
  <c r="U172" i="20"/>
  <c r="AP172" i="20" s="1"/>
  <c r="Q172" i="20"/>
  <c r="P172" i="20"/>
  <c r="K172" i="20"/>
  <c r="AN172" i="20" s="1"/>
  <c r="AS171" i="20"/>
  <c r="AQ171" i="20"/>
  <c r="AO171" i="20"/>
  <c r="P171" i="20" s="1"/>
  <c r="AJ171" i="20"/>
  <c r="AE171" i="20"/>
  <c r="AR171" i="20" s="1"/>
  <c r="Z171" i="20"/>
  <c r="U171" i="20"/>
  <c r="AP171" i="20" s="1"/>
  <c r="Q171" i="20"/>
  <c r="K171" i="20"/>
  <c r="AN171" i="20" s="1"/>
  <c r="AS170" i="20"/>
  <c r="AJ170" i="20" s="1"/>
  <c r="AQ170" i="20"/>
  <c r="AO170" i="20"/>
  <c r="AN170" i="20"/>
  <c r="AE170" i="20"/>
  <c r="AR170" i="20" s="1"/>
  <c r="Z170" i="20"/>
  <c r="U170" i="20"/>
  <c r="AP170" i="20" s="1"/>
  <c r="Q170" i="20"/>
  <c r="P170" i="20"/>
  <c r="K170" i="20"/>
  <c r="AS169" i="20"/>
  <c r="AJ169" i="20" s="1"/>
  <c r="AQ169" i="20"/>
  <c r="AO169" i="20"/>
  <c r="P169" i="20" s="1"/>
  <c r="AE169" i="20"/>
  <c r="AR169" i="20" s="1"/>
  <c r="Z169" i="20"/>
  <c r="U169" i="20"/>
  <c r="AP169" i="20" s="1"/>
  <c r="Q169" i="20"/>
  <c r="K169" i="20"/>
  <c r="AN169" i="20" s="1"/>
  <c r="AS168" i="20"/>
  <c r="AR168" i="20"/>
  <c r="AQ168" i="20"/>
  <c r="Z168" i="20" s="1"/>
  <c r="AO168" i="20"/>
  <c r="AN168" i="20"/>
  <c r="AJ168" i="20"/>
  <c r="AE168" i="20"/>
  <c r="U168" i="20"/>
  <c r="AP168" i="20" s="1"/>
  <c r="Q168" i="20"/>
  <c r="P168" i="20"/>
  <c r="K168" i="20"/>
  <c r="AS167" i="20"/>
  <c r="AJ167" i="20" s="1"/>
  <c r="AQ167" i="20"/>
  <c r="Z167" i="20" s="1"/>
  <c r="AP167" i="20"/>
  <c r="AO167" i="20"/>
  <c r="P167" i="20" s="1"/>
  <c r="AE167" i="20"/>
  <c r="AR167" i="20" s="1"/>
  <c r="U167" i="20"/>
  <c r="Q167" i="20"/>
  <c r="K167" i="20"/>
  <c r="AN167" i="20" s="1"/>
  <c r="AS166" i="20"/>
  <c r="AQ166" i="20"/>
  <c r="AO166" i="20"/>
  <c r="P166" i="20" s="1"/>
  <c r="AN166" i="20"/>
  <c r="AJ166" i="20"/>
  <c r="AE166" i="20"/>
  <c r="AR166" i="20" s="1"/>
  <c r="Z166" i="20"/>
  <c r="U166" i="20"/>
  <c r="AP166" i="20" s="1"/>
  <c r="Q166" i="20"/>
  <c r="K166" i="20"/>
  <c r="AS165" i="20"/>
  <c r="AJ165" i="20" s="1"/>
  <c r="AQ165" i="20"/>
  <c r="AO165" i="20"/>
  <c r="AN165" i="20"/>
  <c r="AE165" i="20"/>
  <c r="AR165" i="20" s="1"/>
  <c r="Z165" i="20"/>
  <c r="U165" i="20"/>
  <c r="AP165" i="20" s="1"/>
  <c r="Q165" i="20"/>
  <c r="P165" i="20"/>
  <c r="K165" i="20"/>
  <c r="AS164" i="20"/>
  <c r="AR164" i="20"/>
  <c r="AQ164" i="20"/>
  <c r="AO164" i="20"/>
  <c r="AJ164" i="20"/>
  <c r="AE164" i="20"/>
  <c r="Z164" i="20"/>
  <c r="U164" i="20"/>
  <c r="AP164" i="20" s="1"/>
  <c r="Q164" i="20"/>
  <c r="P164" i="20"/>
  <c r="K164" i="20"/>
  <c r="AN164" i="20" s="1"/>
  <c r="AS163" i="20"/>
  <c r="AQ163" i="20"/>
  <c r="AO163" i="20"/>
  <c r="P163" i="20" s="1"/>
  <c r="AJ163" i="20"/>
  <c r="AE163" i="20"/>
  <c r="AR163" i="20" s="1"/>
  <c r="Z163" i="20"/>
  <c r="U163" i="20"/>
  <c r="AP163" i="20" s="1"/>
  <c r="Q163" i="20"/>
  <c r="K163" i="20"/>
  <c r="AN163" i="20" s="1"/>
  <c r="AS162" i="20"/>
  <c r="AQ162" i="20"/>
  <c r="AO162" i="20"/>
  <c r="P162" i="20" s="1"/>
  <c r="AN162" i="20"/>
  <c r="AJ162" i="20"/>
  <c r="AE162" i="20"/>
  <c r="AR162" i="20" s="1"/>
  <c r="Z162" i="20"/>
  <c r="U162" i="20"/>
  <c r="AP162" i="20" s="1"/>
  <c r="Q162" i="20"/>
  <c r="K162" i="20"/>
  <c r="AS161" i="20"/>
  <c r="AJ161" i="20" s="1"/>
  <c r="AR161" i="20"/>
  <c r="AQ161" i="20"/>
  <c r="AO161" i="20"/>
  <c r="P161" i="20" s="1"/>
  <c r="AE161" i="20"/>
  <c r="Z161" i="20"/>
  <c r="U161" i="20"/>
  <c r="AP161" i="20" s="1"/>
  <c r="Q161" i="20"/>
  <c r="K161" i="20"/>
  <c r="AN161" i="20" s="1"/>
  <c r="AS160" i="20"/>
  <c r="AR160" i="20"/>
  <c r="AQ160" i="20"/>
  <c r="Z160" i="20" s="1"/>
  <c r="AO160" i="20"/>
  <c r="AN160" i="20"/>
  <c r="AJ160" i="20"/>
  <c r="AE160" i="20"/>
  <c r="U160" i="20"/>
  <c r="AP160" i="20" s="1"/>
  <c r="Q160" i="20"/>
  <c r="P160" i="20"/>
  <c r="K160" i="20"/>
  <c r="AS159" i="20"/>
  <c r="AJ159" i="20" s="1"/>
  <c r="AQ159" i="20"/>
  <c r="AO159" i="20"/>
  <c r="P159" i="20" s="1"/>
  <c r="AE159" i="20"/>
  <c r="AR159" i="20" s="1"/>
  <c r="Z159" i="20"/>
  <c r="U159" i="20"/>
  <c r="AP159" i="20" s="1"/>
  <c r="Q159" i="20"/>
  <c r="K159" i="20"/>
  <c r="AN159" i="20" s="1"/>
  <c r="AS158" i="20"/>
  <c r="AQ158" i="20"/>
  <c r="AO158" i="20"/>
  <c r="P158" i="20" s="1"/>
  <c r="AN158" i="20"/>
  <c r="AJ158" i="20"/>
  <c r="AE158" i="20"/>
  <c r="AR158" i="20" s="1"/>
  <c r="Z158" i="20"/>
  <c r="U158" i="20"/>
  <c r="AP158" i="20" s="1"/>
  <c r="Q158" i="20"/>
  <c r="K158" i="20"/>
  <c r="AS157" i="20"/>
  <c r="AJ157" i="20" s="1"/>
  <c r="AQ157" i="20"/>
  <c r="AO157" i="20"/>
  <c r="AN157" i="20"/>
  <c r="AE157" i="20"/>
  <c r="AR157" i="20" s="1"/>
  <c r="Z157" i="20"/>
  <c r="U157" i="20"/>
  <c r="AP157" i="20" s="1"/>
  <c r="Q157" i="20"/>
  <c r="P157" i="20"/>
  <c r="K157" i="20"/>
  <c r="AS156" i="20"/>
  <c r="AR156" i="20"/>
  <c r="AQ156" i="20"/>
  <c r="AO156" i="20"/>
  <c r="AN156" i="20"/>
  <c r="AJ156" i="20"/>
  <c r="AE156" i="20"/>
  <c r="Z156" i="20"/>
  <c r="U156" i="20"/>
  <c r="AP156" i="20" s="1"/>
  <c r="Q156" i="20"/>
  <c r="P156" i="20"/>
  <c r="K156" i="20"/>
  <c r="AS155" i="20"/>
  <c r="AQ155" i="20"/>
  <c r="AO155" i="20"/>
  <c r="P155" i="20" s="1"/>
  <c r="AJ155" i="20"/>
  <c r="AE155" i="20"/>
  <c r="AR155" i="20" s="1"/>
  <c r="Z155" i="20"/>
  <c r="U155" i="20"/>
  <c r="AP155" i="20" s="1"/>
  <c r="Q155" i="20"/>
  <c r="K155" i="20"/>
  <c r="AN155" i="20" s="1"/>
  <c r="AS154" i="20"/>
  <c r="AJ154" i="20" s="1"/>
  <c r="AQ154" i="20"/>
  <c r="AO154" i="20"/>
  <c r="P154" i="20" s="1"/>
  <c r="AN154" i="20"/>
  <c r="AE154" i="20"/>
  <c r="AR154" i="20" s="1"/>
  <c r="Z154" i="20"/>
  <c r="U154" i="20"/>
  <c r="AP154" i="20" s="1"/>
  <c r="Q154" i="20"/>
  <c r="K154" i="20"/>
  <c r="AS153" i="20"/>
  <c r="AJ153" i="20" s="1"/>
  <c r="AR153" i="20"/>
  <c r="AQ153" i="20"/>
  <c r="AO153" i="20"/>
  <c r="P153" i="20" s="1"/>
  <c r="AE153" i="20"/>
  <c r="Z153" i="20"/>
  <c r="U153" i="20"/>
  <c r="AP153" i="20" s="1"/>
  <c r="Q153" i="20"/>
  <c r="K153" i="20"/>
  <c r="AN153" i="20" s="1"/>
  <c r="AS152" i="20"/>
  <c r="AR152" i="20"/>
  <c r="AQ152" i="20"/>
  <c r="AO152" i="20"/>
  <c r="AN152" i="20"/>
  <c r="AJ152" i="20"/>
  <c r="AE152" i="20"/>
  <c r="Z152" i="20"/>
  <c r="U152" i="20"/>
  <c r="AP152" i="20" s="1"/>
  <c r="Q152" i="20"/>
  <c r="P152" i="20"/>
  <c r="K152" i="20"/>
  <c r="AS151" i="20"/>
  <c r="AQ151" i="20"/>
  <c r="AP151" i="20"/>
  <c r="AO151" i="20"/>
  <c r="P151" i="20" s="1"/>
  <c r="AJ151" i="20"/>
  <c r="AE151" i="20"/>
  <c r="AR151" i="20" s="1"/>
  <c r="Z151" i="20"/>
  <c r="U151" i="20"/>
  <c r="Q151" i="20"/>
  <c r="K151" i="20"/>
  <c r="AN151" i="20" s="1"/>
  <c r="AS150" i="20"/>
  <c r="AQ150" i="20"/>
  <c r="AO150" i="20"/>
  <c r="P150" i="20" s="1"/>
  <c r="AN150" i="20"/>
  <c r="AJ150" i="20"/>
  <c r="AE150" i="20"/>
  <c r="AR150" i="20" s="1"/>
  <c r="Z150" i="20"/>
  <c r="U150" i="20"/>
  <c r="AP150" i="20" s="1"/>
  <c r="Q150" i="20"/>
  <c r="K150" i="20"/>
  <c r="AS149" i="20"/>
  <c r="AJ149" i="20" s="1"/>
  <c r="AQ149" i="20"/>
  <c r="AO149" i="20"/>
  <c r="AN149" i="20"/>
  <c r="AE149" i="20"/>
  <c r="AR149" i="20" s="1"/>
  <c r="Z149" i="20"/>
  <c r="U149" i="20"/>
  <c r="AP149" i="20" s="1"/>
  <c r="Q149" i="20"/>
  <c r="P149" i="20"/>
  <c r="K149" i="20"/>
  <c r="AS148" i="20"/>
  <c r="AR148" i="20"/>
  <c r="AQ148" i="20"/>
  <c r="AO148" i="20"/>
  <c r="AJ148" i="20"/>
  <c r="AE148" i="20"/>
  <c r="Z148" i="20"/>
  <c r="U148" i="20"/>
  <c r="AP148" i="20" s="1"/>
  <c r="Q148" i="20"/>
  <c r="P148" i="20"/>
  <c r="K148" i="20"/>
  <c r="AN148" i="20" s="1"/>
  <c r="AS147" i="20"/>
  <c r="AQ147" i="20"/>
  <c r="Z147" i="20" s="1"/>
  <c r="AO147" i="20"/>
  <c r="P147" i="20" s="1"/>
  <c r="AJ147" i="20"/>
  <c r="AE147" i="20"/>
  <c r="AR147" i="20" s="1"/>
  <c r="U147" i="20"/>
  <c r="AP147" i="20" s="1"/>
  <c r="Q147" i="20"/>
  <c r="K147" i="20"/>
  <c r="AN147" i="20" s="1"/>
  <c r="AS146" i="20"/>
  <c r="AJ146" i="20" s="1"/>
  <c r="AQ146" i="20"/>
  <c r="AO146" i="20"/>
  <c r="AN146" i="20"/>
  <c r="AE146" i="20"/>
  <c r="AR146" i="20" s="1"/>
  <c r="Z146" i="20"/>
  <c r="U146" i="20"/>
  <c r="AP146" i="20" s="1"/>
  <c r="Q146" i="20"/>
  <c r="P146" i="20"/>
  <c r="K146" i="20"/>
  <c r="AS145" i="20"/>
  <c r="AJ145" i="20" s="1"/>
  <c r="AR145" i="20"/>
  <c r="AQ145" i="20"/>
  <c r="AO145" i="20"/>
  <c r="P145" i="20" s="1"/>
  <c r="AE145" i="20"/>
  <c r="Z145" i="20"/>
  <c r="U145" i="20"/>
  <c r="AP145" i="20" s="1"/>
  <c r="Q145" i="20"/>
  <c r="K145" i="20"/>
  <c r="AN145" i="20" s="1"/>
  <c r="AS144" i="20"/>
  <c r="AR144" i="20"/>
  <c r="AQ144" i="20"/>
  <c r="AO144" i="20"/>
  <c r="AN144" i="20"/>
  <c r="AJ144" i="20"/>
  <c r="AE144" i="20"/>
  <c r="Z144" i="20"/>
  <c r="U144" i="20"/>
  <c r="AP144" i="20" s="1"/>
  <c r="Q144" i="20"/>
  <c r="P144" i="20"/>
  <c r="K144" i="20"/>
  <c r="AS143" i="20"/>
  <c r="AJ143" i="20" s="1"/>
  <c r="AQ143" i="20"/>
  <c r="Z143" i="20" s="1"/>
  <c r="AO143" i="20"/>
  <c r="P143" i="20" s="1"/>
  <c r="AE143" i="20"/>
  <c r="AR143" i="20" s="1"/>
  <c r="U143" i="20"/>
  <c r="AP143" i="20" s="1"/>
  <c r="Q143" i="20"/>
  <c r="K143" i="20"/>
  <c r="AN143" i="20" s="1"/>
  <c r="AS142" i="20"/>
  <c r="AQ142" i="20"/>
  <c r="AO142" i="20"/>
  <c r="P142" i="20" s="1"/>
  <c r="AN142" i="20"/>
  <c r="AJ142" i="20"/>
  <c r="AE142" i="20"/>
  <c r="AR142" i="20" s="1"/>
  <c r="Z142" i="20"/>
  <c r="U142" i="20"/>
  <c r="AP142" i="20" s="1"/>
  <c r="Q142" i="20"/>
  <c r="K142" i="20"/>
  <c r="AS141" i="20"/>
  <c r="AJ141" i="20" s="1"/>
  <c r="AQ141" i="20"/>
  <c r="AO141" i="20"/>
  <c r="AN141" i="20"/>
  <c r="AE141" i="20"/>
  <c r="AR141" i="20" s="1"/>
  <c r="Z141" i="20"/>
  <c r="U141" i="20"/>
  <c r="AP141" i="20" s="1"/>
  <c r="Q141" i="20"/>
  <c r="P141" i="20"/>
  <c r="K141" i="20"/>
  <c r="AS140" i="20"/>
  <c r="AR140" i="20"/>
  <c r="AQ140" i="20"/>
  <c r="AO140" i="20"/>
  <c r="AJ140" i="20"/>
  <c r="AE140" i="20"/>
  <c r="Z140" i="20"/>
  <c r="U140" i="20"/>
  <c r="AP140" i="20" s="1"/>
  <c r="Q140" i="20"/>
  <c r="P140" i="20"/>
  <c r="K140" i="20"/>
  <c r="AN140" i="20" s="1"/>
  <c r="AS139" i="20"/>
  <c r="AQ139" i="20"/>
  <c r="AO139" i="20"/>
  <c r="P139" i="20" s="1"/>
  <c r="AJ139" i="20"/>
  <c r="AE139" i="20"/>
  <c r="AR139" i="20" s="1"/>
  <c r="Z139" i="20"/>
  <c r="U139" i="20"/>
  <c r="AP139" i="20" s="1"/>
  <c r="Q139" i="20"/>
  <c r="K139" i="20"/>
  <c r="AN139" i="20" s="1"/>
  <c r="AS138" i="20"/>
  <c r="AQ138" i="20"/>
  <c r="AO138" i="20"/>
  <c r="P138" i="20" s="1"/>
  <c r="AN138" i="20"/>
  <c r="AJ138" i="20"/>
  <c r="AE138" i="20"/>
  <c r="AR138" i="20" s="1"/>
  <c r="Z138" i="20"/>
  <c r="U138" i="20"/>
  <c r="AP138" i="20" s="1"/>
  <c r="Q138" i="20"/>
  <c r="K138" i="20"/>
  <c r="AS137" i="20"/>
  <c r="AJ137" i="20" s="1"/>
  <c r="AQ137" i="20"/>
  <c r="AO137" i="20"/>
  <c r="P137" i="20" s="1"/>
  <c r="AN137" i="20"/>
  <c r="AE137" i="20"/>
  <c r="AR137" i="20" s="1"/>
  <c r="Z137" i="20"/>
  <c r="U137" i="20"/>
  <c r="AP137" i="20" s="1"/>
  <c r="Q137" i="20"/>
  <c r="K137" i="20"/>
  <c r="AS136" i="20"/>
  <c r="AR136" i="20"/>
  <c r="AQ136" i="20"/>
  <c r="Z136" i="20" s="1"/>
  <c r="AO136" i="20"/>
  <c r="AN136" i="20"/>
  <c r="AJ136" i="20"/>
  <c r="AE136" i="20"/>
  <c r="U136" i="20"/>
  <c r="AP136" i="20" s="1"/>
  <c r="Q136" i="20"/>
  <c r="P136" i="20"/>
  <c r="K136" i="20"/>
  <c r="AS135" i="20"/>
  <c r="AQ135" i="20"/>
  <c r="Z135" i="20" s="1"/>
  <c r="AP135" i="20"/>
  <c r="AO135" i="20"/>
  <c r="P135" i="20" s="1"/>
  <c r="AJ135" i="20"/>
  <c r="AE135" i="20"/>
  <c r="AR135" i="20" s="1"/>
  <c r="U135" i="20"/>
  <c r="Q135" i="20"/>
  <c r="K135" i="20"/>
  <c r="AN135" i="20" s="1"/>
  <c r="AS134" i="20"/>
  <c r="AQ134" i="20"/>
  <c r="AO134" i="20"/>
  <c r="P134" i="20" s="1"/>
  <c r="AN134" i="20"/>
  <c r="AJ134" i="20"/>
  <c r="AE134" i="20"/>
  <c r="AR134" i="20" s="1"/>
  <c r="Z134" i="20"/>
  <c r="U134" i="20"/>
  <c r="AP134" i="20" s="1"/>
  <c r="Q134" i="20"/>
  <c r="K134" i="20"/>
  <c r="AS133" i="20"/>
  <c r="AJ133" i="20" s="1"/>
  <c r="AQ133" i="20"/>
  <c r="AO133" i="20"/>
  <c r="AN133" i="20"/>
  <c r="AE133" i="20"/>
  <c r="AR133" i="20" s="1"/>
  <c r="Z133" i="20"/>
  <c r="U133" i="20"/>
  <c r="AP133" i="20" s="1"/>
  <c r="Q133" i="20"/>
  <c r="P133" i="20"/>
  <c r="K133" i="20"/>
  <c r="AS132" i="20"/>
  <c r="AR132" i="20"/>
  <c r="AQ132" i="20"/>
  <c r="AO132" i="20"/>
  <c r="AJ132" i="20"/>
  <c r="AE132" i="20"/>
  <c r="Z132" i="20"/>
  <c r="U132" i="20"/>
  <c r="AP132" i="20" s="1"/>
  <c r="Q132" i="20"/>
  <c r="P132" i="20"/>
  <c r="K132" i="20"/>
  <c r="AN132" i="20" s="1"/>
  <c r="AS131" i="20"/>
  <c r="AQ131" i="20"/>
  <c r="Z131" i="20" s="1"/>
  <c r="AO131" i="20"/>
  <c r="P131" i="20" s="1"/>
  <c r="AJ131" i="20"/>
  <c r="AE131" i="20"/>
  <c r="AR131" i="20" s="1"/>
  <c r="U131" i="20"/>
  <c r="AP131" i="20" s="1"/>
  <c r="Q131" i="20"/>
  <c r="K131" i="20"/>
  <c r="AN131" i="20" s="1"/>
  <c r="AS130" i="20"/>
  <c r="AQ130" i="20"/>
  <c r="AO130" i="20"/>
  <c r="P130" i="20" s="1"/>
  <c r="AN130" i="20"/>
  <c r="AJ130" i="20"/>
  <c r="AE130" i="20"/>
  <c r="AR130" i="20" s="1"/>
  <c r="Z130" i="20"/>
  <c r="U130" i="20"/>
  <c r="AP130" i="20" s="1"/>
  <c r="Q130" i="20"/>
  <c r="K130" i="20"/>
  <c r="AS129" i="20"/>
  <c r="AJ129" i="20" s="1"/>
  <c r="AR129" i="20"/>
  <c r="AQ129" i="20"/>
  <c r="AO129" i="20"/>
  <c r="P129" i="20" s="1"/>
  <c r="AN129" i="20"/>
  <c r="AE129" i="20"/>
  <c r="Z129" i="20"/>
  <c r="U129" i="20"/>
  <c r="AP129" i="20" s="1"/>
  <c r="Q129" i="20"/>
  <c r="K129" i="20"/>
  <c r="AS128" i="20"/>
  <c r="AR128" i="20"/>
  <c r="AQ128" i="20"/>
  <c r="Z128" i="20" s="1"/>
  <c r="AO128" i="20"/>
  <c r="AN128" i="20"/>
  <c r="AJ128" i="20"/>
  <c r="AE128" i="20"/>
  <c r="U128" i="20"/>
  <c r="AP128" i="20" s="1"/>
  <c r="Q128" i="20"/>
  <c r="P128" i="20"/>
  <c r="K128" i="20"/>
  <c r="AS127" i="20"/>
  <c r="AQ127" i="20"/>
  <c r="AP127" i="20"/>
  <c r="AO127" i="20"/>
  <c r="P127" i="20" s="1"/>
  <c r="AJ127" i="20"/>
  <c r="AE127" i="20"/>
  <c r="AR127" i="20" s="1"/>
  <c r="Z127" i="20"/>
  <c r="U127" i="20"/>
  <c r="Q127" i="20"/>
  <c r="K127" i="20"/>
  <c r="AN127" i="20" s="1"/>
  <c r="AS126" i="20"/>
  <c r="AQ126" i="20"/>
  <c r="AO126" i="20"/>
  <c r="P126" i="20" s="1"/>
  <c r="AN126" i="20"/>
  <c r="AJ126" i="20"/>
  <c r="AE126" i="20"/>
  <c r="AR126" i="20" s="1"/>
  <c r="Z126" i="20"/>
  <c r="U126" i="20"/>
  <c r="AP126" i="20" s="1"/>
  <c r="Q126" i="20"/>
  <c r="K126" i="20"/>
  <c r="AS125" i="20"/>
  <c r="AJ125" i="20" s="1"/>
  <c r="AQ125" i="20"/>
  <c r="AO125" i="20"/>
  <c r="AN125" i="20"/>
  <c r="AE125" i="20"/>
  <c r="AR125" i="20" s="1"/>
  <c r="Z125" i="20"/>
  <c r="U125" i="20"/>
  <c r="AP125" i="20" s="1"/>
  <c r="Q125" i="20"/>
  <c r="P125" i="20"/>
  <c r="K125" i="20"/>
  <c r="AS124" i="20"/>
  <c r="AR124" i="20"/>
  <c r="AQ124" i="20"/>
  <c r="AO124" i="20"/>
  <c r="AJ124" i="20"/>
  <c r="AE124" i="20"/>
  <c r="Z124" i="20"/>
  <c r="U124" i="20"/>
  <c r="AP124" i="20" s="1"/>
  <c r="Q124" i="20"/>
  <c r="P124" i="20"/>
  <c r="K124" i="20"/>
  <c r="AN124" i="20" s="1"/>
  <c r="AS123" i="20"/>
  <c r="AQ123" i="20"/>
  <c r="AO123" i="20"/>
  <c r="P123" i="20" s="1"/>
  <c r="AJ123" i="20"/>
  <c r="AE123" i="20"/>
  <c r="AR123" i="20" s="1"/>
  <c r="Z123" i="20"/>
  <c r="U123" i="20"/>
  <c r="AP123" i="20" s="1"/>
  <c r="Q123" i="20"/>
  <c r="K123" i="20"/>
  <c r="AN123" i="20" s="1"/>
  <c r="AS122" i="20"/>
  <c r="AJ122" i="20" s="1"/>
  <c r="AQ122" i="20"/>
  <c r="AO122" i="20"/>
  <c r="P122" i="20" s="1"/>
  <c r="AN122" i="20"/>
  <c r="AE122" i="20"/>
  <c r="AR122" i="20" s="1"/>
  <c r="Z122" i="20"/>
  <c r="U122" i="20"/>
  <c r="AP122" i="20" s="1"/>
  <c r="Q122" i="20"/>
  <c r="K122" i="20"/>
  <c r="AS121" i="20"/>
  <c r="AJ121" i="20" s="1"/>
  <c r="AR121" i="20"/>
  <c r="AQ121" i="20"/>
  <c r="AO121" i="20"/>
  <c r="P121" i="20" s="1"/>
  <c r="AN121" i="20"/>
  <c r="AE121" i="20"/>
  <c r="Z121" i="20"/>
  <c r="U121" i="20"/>
  <c r="AP121" i="20" s="1"/>
  <c r="Q121" i="20"/>
  <c r="K121" i="20"/>
  <c r="AS120" i="20"/>
  <c r="AR120" i="20"/>
  <c r="AQ120" i="20"/>
  <c r="AO120" i="20"/>
  <c r="AN120" i="20"/>
  <c r="AJ120" i="20"/>
  <c r="AE120" i="20"/>
  <c r="Z120" i="20"/>
  <c r="U120" i="20"/>
  <c r="AP120" i="20" s="1"/>
  <c r="Q120" i="20"/>
  <c r="P120" i="20"/>
  <c r="K120" i="20"/>
  <c r="AS119" i="20"/>
  <c r="AQ119" i="20"/>
  <c r="AP119" i="20"/>
  <c r="AO119" i="20"/>
  <c r="P119" i="20" s="1"/>
  <c r="AJ119" i="20"/>
  <c r="AE119" i="20"/>
  <c r="AR119" i="20" s="1"/>
  <c r="Z119" i="20"/>
  <c r="U119" i="20"/>
  <c r="Q119" i="20"/>
  <c r="K119" i="20"/>
  <c r="AN119" i="20" s="1"/>
  <c r="AS118" i="20"/>
  <c r="AQ118" i="20"/>
  <c r="AO118" i="20"/>
  <c r="P118" i="20" s="1"/>
  <c r="AN118" i="20"/>
  <c r="AJ118" i="20"/>
  <c r="AE118" i="20"/>
  <c r="AR118" i="20" s="1"/>
  <c r="Z118" i="20"/>
  <c r="U118" i="20"/>
  <c r="AP118" i="20" s="1"/>
  <c r="Q118" i="20"/>
  <c r="K118" i="20"/>
  <c r="AS117" i="20"/>
  <c r="AJ117" i="20" s="1"/>
  <c r="AQ117" i="20"/>
  <c r="AO117" i="20"/>
  <c r="P117" i="20" s="1"/>
  <c r="AN117" i="20"/>
  <c r="AE117" i="20"/>
  <c r="AR117" i="20" s="1"/>
  <c r="Z117" i="20"/>
  <c r="U117" i="20"/>
  <c r="AP117" i="20" s="1"/>
  <c r="Q117" i="20"/>
  <c r="K117" i="20"/>
  <c r="AS116" i="20"/>
  <c r="AR116" i="20"/>
  <c r="AQ116" i="20"/>
  <c r="AO116" i="20"/>
  <c r="AJ116" i="20"/>
  <c r="AE116" i="20"/>
  <c r="Z116" i="20"/>
  <c r="U116" i="20"/>
  <c r="AP116" i="20" s="1"/>
  <c r="Q116" i="20"/>
  <c r="P116" i="20"/>
  <c r="K116" i="20"/>
  <c r="AN116" i="20" s="1"/>
  <c r="AS115" i="20"/>
  <c r="AQ115" i="20"/>
  <c r="AP115" i="20"/>
  <c r="AO115" i="20"/>
  <c r="P115" i="20" s="1"/>
  <c r="AJ115" i="20"/>
  <c r="AE115" i="20"/>
  <c r="AR115" i="20" s="1"/>
  <c r="Z115" i="20"/>
  <c r="U115" i="20"/>
  <c r="Q115" i="20"/>
  <c r="K115" i="20"/>
  <c r="AN115" i="20" s="1"/>
  <c r="AS114" i="20"/>
  <c r="AJ114" i="20" s="1"/>
  <c r="AQ114" i="20"/>
  <c r="AO114" i="20"/>
  <c r="P114" i="20" s="1"/>
  <c r="AN114" i="20"/>
  <c r="AE114" i="20"/>
  <c r="AR114" i="20" s="1"/>
  <c r="Z114" i="20"/>
  <c r="U114" i="20"/>
  <c r="AP114" i="20" s="1"/>
  <c r="Q114" i="20"/>
  <c r="K114" i="20"/>
  <c r="AS113" i="20"/>
  <c r="AJ113" i="20" s="1"/>
  <c r="AQ113" i="20"/>
  <c r="AO113" i="20"/>
  <c r="AN113" i="20"/>
  <c r="AE113" i="20"/>
  <c r="AR113" i="20" s="1"/>
  <c r="Z113" i="20"/>
  <c r="U113" i="20"/>
  <c r="AP113" i="20" s="1"/>
  <c r="Q113" i="20"/>
  <c r="P113" i="20"/>
  <c r="K113" i="20"/>
  <c r="AS112" i="20"/>
  <c r="AR112" i="20"/>
  <c r="AQ112" i="20"/>
  <c r="Z112" i="20" s="1"/>
  <c r="AO112" i="20"/>
  <c r="AN112" i="20"/>
  <c r="AJ112" i="20"/>
  <c r="AE112" i="20"/>
  <c r="U112" i="20"/>
  <c r="AP112" i="20" s="1"/>
  <c r="Q112" i="20"/>
  <c r="P112" i="20"/>
  <c r="K112" i="20"/>
  <c r="AS111" i="20"/>
  <c r="AQ111" i="20"/>
  <c r="Z111" i="20" s="1"/>
  <c r="AP111" i="20"/>
  <c r="AO111" i="20"/>
  <c r="P111" i="20" s="1"/>
  <c r="AJ111" i="20"/>
  <c r="AE111" i="20"/>
  <c r="AR111" i="20" s="1"/>
  <c r="U111" i="20"/>
  <c r="Q111" i="20"/>
  <c r="K111" i="20"/>
  <c r="AN111" i="20" s="1"/>
  <c r="AS110" i="20"/>
  <c r="AJ110" i="20" s="1"/>
  <c r="AQ110" i="20"/>
  <c r="AO110" i="20"/>
  <c r="P110" i="20" s="1"/>
  <c r="AN110" i="20"/>
  <c r="AE110" i="20"/>
  <c r="AR110" i="20" s="1"/>
  <c r="Z110" i="20"/>
  <c r="U110" i="20"/>
  <c r="AP110" i="20" s="1"/>
  <c r="Q110" i="20"/>
  <c r="K110" i="20"/>
  <c r="AS109" i="20"/>
  <c r="AJ109" i="20" s="1"/>
  <c r="AR109" i="20"/>
  <c r="AQ109" i="20"/>
  <c r="AO109" i="20"/>
  <c r="AN109" i="20"/>
  <c r="AE109" i="20"/>
  <c r="Z109" i="20"/>
  <c r="U109" i="20"/>
  <c r="AP109" i="20" s="1"/>
  <c r="Q109" i="20"/>
  <c r="P109" i="20"/>
  <c r="K109" i="20"/>
  <c r="AS108" i="20"/>
  <c r="AR108" i="20"/>
  <c r="AQ108" i="20"/>
  <c r="AO108" i="20"/>
  <c r="AJ108" i="20"/>
  <c r="AE108" i="20"/>
  <c r="Z108" i="20"/>
  <c r="U108" i="20"/>
  <c r="AP108" i="20" s="1"/>
  <c r="Q108" i="20"/>
  <c r="P108" i="20"/>
  <c r="K108" i="20"/>
  <c r="AN108" i="20" s="1"/>
  <c r="AS107" i="20"/>
  <c r="AQ107" i="20"/>
  <c r="Z107" i="20" s="1"/>
  <c r="AO107" i="20"/>
  <c r="AJ107" i="20"/>
  <c r="AE107" i="20"/>
  <c r="AR107" i="20" s="1"/>
  <c r="U107" i="20"/>
  <c r="AP107" i="20" s="1"/>
  <c r="Q107" i="20"/>
  <c r="P107" i="20"/>
  <c r="K107" i="20"/>
  <c r="AN107" i="20" s="1"/>
  <c r="AS106" i="20"/>
  <c r="AJ106" i="20" s="1"/>
  <c r="AQ106" i="20"/>
  <c r="AP106" i="20"/>
  <c r="AO106" i="20"/>
  <c r="AN106" i="20"/>
  <c r="AE106" i="20"/>
  <c r="AR106" i="20" s="1"/>
  <c r="Z106" i="20"/>
  <c r="U106" i="20"/>
  <c r="Q106" i="20"/>
  <c r="P106" i="20"/>
  <c r="K106" i="20"/>
  <c r="AS105" i="20"/>
  <c r="AJ105" i="20" s="1"/>
  <c r="AR105" i="20"/>
  <c r="AQ105" i="20"/>
  <c r="AO105" i="20"/>
  <c r="AN105" i="20"/>
  <c r="AE105" i="20"/>
  <c r="Z105" i="20"/>
  <c r="U105" i="20"/>
  <c r="AP105" i="20" s="1"/>
  <c r="Q105" i="20"/>
  <c r="P105" i="20"/>
  <c r="K105" i="20"/>
  <c r="AS104" i="20"/>
  <c r="AR104" i="20"/>
  <c r="AQ104" i="20"/>
  <c r="Z104" i="20" s="1"/>
  <c r="AO104" i="20"/>
  <c r="AJ104" i="20"/>
  <c r="AE104" i="20"/>
  <c r="U104" i="20"/>
  <c r="AP104" i="20" s="1"/>
  <c r="Q104" i="20"/>
  <c r="P104" i="20"/>
  <c r="K104" i="20"/>
  <c r="AN104" i="20" s="1"/>
  <c r="AS103" i="20"/>
  <c r="AJ103" i="20" s="1"/>
  <c r="AQ103" i="20"/>
  <c r="Z103" i="20" s="1"/>
  <c r="AO103" i="20"/>
  <c r="P103" i="20" s="1"/>
  <c r="AE103" i="20"/>
  <c r="AR103" i="20" s="1"/>
  <c r="U103" i="20"/>
  <c r="AP103" i="20" s="1"/>
  <c r="Q103" i="20"/>
  <c r="K103" i="20"/>
  <c r="AN103" i="20" s="1"/>
  <c r="AS102" i="20"/>
  <c r="AQ102" i="20"/>
  <c r="Z102" i="20" s="1"/>
  <c r="AO102" i="20"/>
  <c r="P102" i="20" s="1"/>
  <c r="AN102" i="20"/>
  <c r="AJ102" i="20"/>
  <c r="AE102" i="20"/>
  <c r="AR102" i="20" s="1"/>
  <c r="U102" i="20"/>
  <c r="AP102" i="20" s="1"/>
  <c r="Q102" i="20"/>
  <c r="K102" i="20"/>
  <c r="AS101" i="20"/>
  <c r="AJ101" i="20" s="1"/>
  <c r="AR101" i="20"/>
  <c r="AQ101" i="20"/>
  <c r="AO101" i="20"/>
  <c r="AN101" i="20"/>
  <c r="AE101" i="20"/>
  <c r="Z101" i="20"/>
  <c r="U101" i="20"/>
  <c r="AP101" i="20" s="1"/>
  <c r="Q101" i="20"/>
  <c r="P101" i="20"/>
  <c r="K101" i="20"/>
  <c r="AS100" i="20"/>
  <c r="AR100" i="20"/>
  <c r="AQ100" i="20"/>
  <c r="AO100" i="20"/>
  <c r="AJ100" i="20"/>
  <c r="AE100" i="20"/>
  <c r="Z100" i="20"/>
  <c r="U100" i="20"/>
  <c r="AP100" i="20" s="1"/>
  <c r="Q100" i="20"/>
  <c r="P100" i="20"/>
  <c r="K100" i="20"/>
  <c r="AN100" i="20" s="1"/>
  <c r="AS99" i="20"/>
  <c r="AQ99" i="20"/>
  <c r="AO99" i="20"/>
  <c r="AN99" i="20"/>
  <c r="AJ99" i="20"/>
  <c r="AE99" i="20"/>
  <c r="AR99" i="20" s="1"/>
  <c r="Z99" i="20"/>
  <c r="U99" i="20"/>
  <c r="AP99" i="20" s="1"/>
  <c r="Q99" i="20"/>
  <c r="P99" i="20"/>
  <c r="K99" i="20"/>
  <c r="AS98" i="20"/>
  <c r="AQ98" i="20"/>
  <c r="AO98" i="20"/>
  <c r="AN98" i="20"/>
  <c r="AJ98" i="20"/>
  <c r="AE98" i="20"/>
  <c r="AR98" i="20" s="1"/>
  <c r="Z98" i="20"/>
  <c r="U98" i="20"/>
  <c r="AP98" i="20" s="1"/>
  <c r="Q98" i="20"/>
  <c r="P98" i="20"/>
  <c r="K98" i="20"/>
  <c r="AS97" i="20"/>
  <c r="AJ97" i="20" s="1"/>
  <c r="AR97" i="20"/>
  <c r="AQ97" i="20"/>
  <c r="AO97" i="20"/>
  <c r="AN97" i="20"/>
  <c r="AE97" i="20"/>
  <c r="Z97" i="20"/>
  <c r="U97" i="20"/>
  <c r="AP97" i="20" s="1"/>
  <c r="Q97" i="20"/>
  <c r="P97" i="20"/>
  <c r="K97" i="20"/>
  <c r="AS96" i="20"/>
  <c r="AR96" i="20"/>
  <c r="AQ96" i="20"/>
  <c r="Z96" i="20" s="1"/>
  <c r="AO96" i="20"/>
  <c r="AJ96" i="20"/>
  <c r="AE96" i="20"/>
  <c r="U96" i="20"/>
  <c r="AP96" i="20" s="1"/>
  <c r="Q96" i="20"/>
  <c r="P96" i="20"/>
  <c r="K96" i="20"/>
  <c r="AN96" i="20" s="1"/>
  <c r="AS95" i="20"/>
  <c r="AJ95" i="20" s="1"/>
  <c r="AQ95" i="20"/>
  <c r="Z95" i="20" s="1"/>
  <c r="AO95" i="20"/>
  <c r="P95" i="20" s="1"/>
  <c r="AE95" i="20"/>
  <c r="AR95" i="20" s="1"/>
  <c r="U95" i="20"/>
  <c r="AP95" i="20" s="1"/>
  <c r="Q95" i="20"/>
  <c r="K95" i="20"/>
  <c r="AN95" i="20" s="1"/>
  <c r="AS94" i="20"/>
  <c r="AQ94" i="20"/>
  <c r="Z94" i="20" s="1"/>
  <c r="AO94" i="20"/>
  <c r="P94" i="20" s="1"/>
  <c r="AN94" i="20"/>
  <c r="AJ94" i="20"/>
  <c r="AE94" i="20"/>
  <c r="AR94" i="20" s="1"/>
  <c r="U94" i="20"/>
  <c r="AP94" i="20" s="1"/>
  <c r="Q94" i="20"/>
  <c r="K94" i="20"/>
  <c r="AS93" i="20"/>
  <c r="AJ93" i="20" s="1"/>
  <c r="AR93" i="20"/>
  <c r="AQ93" i="20"/>
  <c r="AO93" i="20"/>
  <c r="P93" i="20" s="1"/>
  <c r="AN93" i="20"/>
  <c r="AE93" i="20"/>
  <c r="Z93" i="20"/>
  <c r="U93" i="20"/>
  <c r="AP93" i="20" s="1"/>
  <c r="Q93" i="20"/>
  <c r="K93" i="20"/>
  <c r="AS92" i="20"/>
  <c r="AR92" i="20"/>
  <c r="AQ92" i="20"/>
  <c r="AO92" i="20"/>
  <c r="AJ92" i="20"/>
  <c r="AE92" i="20"/>
  <c r="Z92" i="20"/>
  <c r="U92" i="20"/>
  <c r="AP92" i="20" s="1"/>
  <c r="Q92" i="20"/>
  <c r="P92" i="20"/>
  <c r="K92" i="20"/>
  <c r="AN92" i="20" s="1"/>
  <c r="AS91" i="20"/>
  <c r="AQ91" i="20"/>
  <c r="AO91" i="20"/>
  <c r="AN91" i="20"/>
  <c r="AJ91" i="20"/>
  <c r="AE91" i="20"/>
  <c r="AR91" i="20" s="1"/>
  <c r="Z91" i="20"/>
  <c r="U91" i="20"/>
  <c r="AP91" i="20" s="1"/>
  <c r="Q91" i="20"/>
  <c r="P91" i="20"/>
  <c r="K91" i="20"/>
  <c r="AS90" i="20"/>
  <c r="AQ90" i="20"/>
  <c r="AO90" i="20"/>
  <c r="AN90" i="20"/>
  <c r="AJ90" i="20"/>
  <c r="AE90" i="20"/>
  <c r="AR90" i="20" s="1"/>
  <c r="Z90" i="20"/>
  <c r="U90" i="20"/>
  <c r="AP90" i="20" s="1"/>
  <c r="Q90" i="20"/>
  <c r="P90" i="20"/>
  <c r="K90" i="20"/>
  <c r="AS89" i="20"/>
  <c r="AJ89" i="20" s="1"/>
  <c r="AR89" i="20"/>
  <c r="AQ89" i="20"/>
  <c r="AO89" i="20"/>
  <c r="AN89" i="20"/>
  <c r="AE89" i="20"/>
  <c r="Z89" i="20"/>
  <c r="U89" i="20"/>
  <c r="AP89" i="20" s="1"/>
  <c r="Q89" i="20"/>
  <c r="P89" i="20"/>
  <c r="K89" i="20"/>
  <c r="AS88" i="20"/>
  <c r="AR88" i="20"/>
  <c r="AQ88" i="20"/>
  <c r="Z88" i="20" s="1"/>
  <c r="AO88" i="20"/>
  <c r="AJ88" i="20"/>
  <c r="AE88" i="20"/>
  <c r="U88" i="20"/>
  <c r="AP88" i="20" s="1"/>
  <c r="Q88" i="20"/>
  <c r="P88" i="20"/>
  <c r="K88" i="20"/>
  <c r="AN88" i="20" s="1"/>
  <c r="AS87" i="20"/>
  <c r="AJ87" i="20" s="1"/>
  <c r="AQ87" i="20"/>
  <c r="Z87" i="20" s="1"/>
  <c r="AO87" i="20"/>
  <c r="P87" i="20" s="1"/>
  <c r="AE87" i="20"/>
  <c r="AR87" i="20" s="1"/>
  <c r="U87" i="20"/>
  <c r="AP87" i="20" s="1"/>
  <c r="Q87" i="20"/>
  <c r="K87" i="20"/>
  <c r="AN87" i="20" s="1"/>
  <c r="AS86" i="20"/>
  <c r="AQ86" i="20"/>
  <c r="Z86" i="20" s="1"/>
  <c r="AO86" i="20"/>
  <c r="P86" i="20" s="1"/>
  <c r="AN86" i="20"/>
  <c r="AJ86" i="20"/>
  <c r="AE86" i="20"/>
  <c r="AR86" i="20" s="1"/>
  <c r="U86" i="20"/>
  <c r="AP86" i="20" s="1"/>
  <c r="Q86" i="20"/>
  <c r="K86" i="20"/>
  <c r="AS85" i="20"/>
  <c r="AJ85" i="20" s="1"/>
  <c r="AR85" i="20"/>
  <c r="AQ85" i="20"/>
  <c r="AO85" i="20"/>
  <c r="AN85" i="20"/>
  <c r="AE85" i="20"/>
  <c r="Z85" i="20"/>
  <c r="U85" i="20"/>
  <c r="AP85" i="20" s="1"/>
  <c r="Q85" i="20"/>
  <c r="P85" i="20"/>
  <c r="K85" i="20"/>
  <c r="AS84" i="20"/>
  <c r="AR84" i="20"/>
  <c r="AQ84" i="20"/>
  <c r="AO84" i="20"/>
  <c r="P84" i="20" s="1"/>
  <c r="AJ84" i="20"/>
  <c r="AE84" i="20"/>
  <c r="Z84" i="20"/>
  <c r="U84" i="20"/>
  <c r="AP84" i="20" s="1"/>
  <c r="Q84" i="20"/>
  <c r="K84" i="20"/>
  <c r="AN84" i="20" s="1"/>
  <c r="AS83" i="20"/>
  <c r="AQ83" i="20"/>
  <c r="AO83" i="20"/>
  <c r="AN83" i="20"/>
  <c r="AJ83" i="20"/>
  <c r="AE83" i="20"/>
  <c r="AR83" i="20" s="1"/>
  <c r="Z83" i="20"/>
  <c r="U83" i="20"/>
  <c r="AP83" i="20" s="1"/>
  <c r="Q83" i="20"/>
  <c r="P83" i="20"/>
  <c r="K83" i="20"/>
  <c r="AS82" i="20"/>
  <c r="AQ82" i="20"/>
  <c r="AO82" i="20"/>
  <c r="AN82" i="20"/>
  <c r="AJ82" i="20"/>
  <c r="AE82" i="20"/>
  <c r="AR82" i="20" s="1"/>
  <c r="Z82" i="20"/>
  <c r="U82" i="20"/>
  <c r="AP82" i="20" s="1"/>
  <c r="Q82" i="20"/>
  <c r="P82" i="20"/>
  <c r="K82" i="20"/>
  <c r="AS81" i="20"/>
  <c r="AJ81" i="20" s="1"/>
  <c r="AR81" i="20"/>
  <c r="AQ81" i="20"/>
  <c r="AO81" i="20"/>
  <c r="AN81" i="20"/>
  <c r="AE81" i="20"/>
  <c r="Z81" i="20"/>
  <c r="U81" i="20"/>
  <c r="AP81" i="20" s="1"/>
  <c r="Q81" i="20"/>
  <c r="P81" i="20"/>
  <c r="K81" i="20"/>
  <c r="AS80" i="20"/>
  <c r="AR80" i="20"/>
  <c r="AQ80" i="20"/>
  <c r="Z80" i="20" s="1"/>
  <c r="AO80" i="20"/>
  <c r="AJ80" i="20"/>
  <c r="AE80" i="20"/>
  <c r="U80" i="20"/>
  <c r="AP80" i="20" s="1"/>
  <c r="Q80" i="20"/>
  <c r="P80" i="20"/>
  <c r="K80" i="20"/>
  <c r="AN80" i="20" s="1"/>
  <c r="AS79" i="20"/>
  <c r="AJ79" i="20" s="1"/>
  <c r="AQ79" i="20"/>
  <c r="Z79" i="20" s="1"/>
  <c r="AO79" i="20"/>
  <c r="P79" i="20" s="1"/>
  <c r="AE79" i="20"/>
  <c r="AR79" i="20" s="1"/>
  <c r="U79" i="20"/>
  <c r="AP79" i="20" s="1"/>
  <c r="Q79" i="20"/>
  <c r="K79" i="20"/>
  <c r="AN79" i="20" s="1"/>
  <c r="AS78" i="20"/>
  <c r="AR78" i="20"/>
  <c r="AQ78" i="20"/>
  <c r="AO78" i="20"/>
  <c r="P78" i="20" s="1"/>
  <c r="AN78" i="20"/>
  <c r="AJ78" i="20"/>
  <c r="AE78" i="20"/>
  <c r="Z78" i="20"/>
  <c r="U78" i="20"/>
  <c r="AP78" i="20" s="1"/>
  <c r="Q78" i="20"/>
  <c r="K78" i="20"/>
  <c r="AS77" i="20"/>
  <c r="AJ77" i="20" s="1"/>
  <c r="AR77" i="20"/>
  <c r="AQ77" i="20"/>
  <c r="AP77" i="20"/>
  <c r="AO77" i="20"/>
  <c r="P77" i="20" s="1"/>
  <c r="AN77" i="20"/>
  <c r="AE77" i="20"/>
  <c r="Z77" i="20"/>
  <c r="U77" i="20"/>
  <c r="Q77" i="20"/>
  <c r="K77" i="20"/>
  <c r="AS76" i="20"/>
  <c r="AR76" i="20"/>
  <c r="AQ76" i="20"/>
  <c r="AO76" i="20"/>
  <c r="AJ76" i="20"/>
  <c r="AE76" i="20"/>
  <c r="Z76" i="20"/>
  <c r="U76" i="20"/>
  <c r="AP76" i="20" s="1"/>
  <c r="Q76" i="20"/>
  <c r="P76" i="20"/>
  <c r="K76" i="20"/>
  <c r="AN76" i="20" s="1"/>
  <c r="AS75" i="20"/>
  <c r="AQ75" i="20"/>
  <c r="AO75" i="20"/>
  <c r="AN75" i="20"/>
  <c r="AJ75" i="20"/>
  <c r="AE75" i="20"/>
  <c r="AR75" i="20" s="1"/>
  <c r="Z75" i="20"/>
  <c r="U75" i="20"/>
  <c r="AP75" i="20" s="1"/>
  <c r="Q75" i="20"/>
  <c r="P75" i="20"/>
  <c r="K75" i="20"/>
  <c r="AS74" i="20"/>
  <c r="AJ74" i="20" s="1"/>
  <c r="AQ74" i="20"/>
  <c r="AO74" i="20"/>
  <c r="AN74" i="20"/>
  <c r="AE74" i="20"/>
  <c r="AR74" i="20" s="1"/>
  <c r="Z74" i="20"/>
  <c r="U74" i="20"/>
  <c r="AP74" i="20" s="1"/>
  <c r="Q74" i="20"/>
  <c r="P74" i="20"/>
  <c r="K74" i="20"/>
  <c r="AS73" i="20"/>
  <c r="AJ73" i="20" s="1"/>
  <c r="AR73" i="20"/>
  <c r="AQ73" i="20"/>
  <c r="AO73" i="20"/>
  <c r="AN73" i="20"/>
  <c r="AE73" i="20"/>
  <c r="Z73" i="20"/>
  <c r="U73" i="20"/>
  <c r="AP73" i="20" s="1"/>
  <c r="Q73" i="20"/>
  <c r="P73" i="20"/>
  <c r="K73" i="20"/>
  <c r="AS72" i="20"/>
  <c r="AR72" i="20"/>
  <c r="AQ72" i="20"/>
  <c r="Z72" i="20" s="1"/>
  <c r="AO72" i="20"/>
  <c r="AJ72" i="20"/>
  <c r="AE72" i="20"/>
  <c r="U72" i="20"/>
  <c r="AP72" i="20" s="1"/>
  <c r="Q72" i="20"/>
  <c r="P72" i="20"/>
  <c r="K72" i="20"/>
  <c r="AN72" i="20" s="1"/>
  <c r="AS71" i="20"/>
  <c r="AJ71" i="20" s="1"/>
  <c r="AQ71" i="20"/>
  <c r="Z71" i="20" s="1"/>
  <c r="AO71" i="20"/>
  <c r="P71" i="20" s="1"/>
  <c r="AE71" i="20"/>
  <c r="AR71" i="20" s="1"/>
  <c r="U71" i="20"/>
  <c r="AP71" i="20" s="1"/>
  <c r="Q71" i="20"/>
  <c r="K71" i="20"/>
  <c r="AN71" i="20" s="1"/>
  <c r="AS70" i="20"/>
  <c r="AR70" i="20"/>
  <c r="AQ70" i="20"/>
  <c r="AO70" i="20"/>
  <c r="P70" i="20" s="1"/>
  <c r="AN70" i="20"/>
  <c r="AJ70" i="20"/>
  <c r="AE70" i="20"/>
  <c r="Z70" i="20"/>
  <c r="U70" i="20"/>
  <c r="AP70" i="20" s="1"/>
  <c r="Q70" i="20"/>
  <c r="K70" i="20"/>
  <c r="AS69" i="20"/>
  <c r="AJ69" i="20" s="1"/>
  <c r="AR69" i="20"/>
  <c r="AQ69" i="20"/>
  <c r="AP69" i="20"/>
  <c r="AO69" i="20"/>
  <c r="AN69" i="20"/>
  <c r="AE69" i="20"/>
  <c r="Z69" i="20"/>
  <c r="U69" i="20"/>
  <c r="Q69" i="20"/>
  <c r="P69" i="20"/>
  <c r="K69" i="20"/>
  <c r="AS68" i="20"/>
  <c r="AR68" i="20"/>
  <c r="AQ68" i="20"/>
  <c r="AO68" i="20"/>
  <c r="AJ68" i="20"/>
  <c r="AE68" i="20"/>
  <c r="Z68" i="20"/>
  <c r="U68" i="20"/>
  <c r="AP68" i="20" s="1"/>
  <c r="Q68" i="20"/>
  <c r="P68" i="20"/>
  <c r="K68" i="20"/>
  <c r="AN68" i="20" s="1"/>
  <c r="AS67" i="20"/>
  <c r="AQ67" i="20"/>
  <c r="AO67" i="20"/>
  <c r="AN67" i="20"/>
  <c r="AJ67" i="20"/>
  <c r="AE67" i="20"/>
  <c r="AR67" i="20" s="1"/>
  <c r="Z67" i="20"/>
  <c r="U67" i="20"/>
  <c r="AP67" i="20" s="1"/>
  <c r="Q67" i="20"/>
  <c r="P67" i="20"/>
  <c r="K67" i="20"/>
  <c r="AS66" i="20"/>
  <c r="AJ66" i="20" s="1"/>
  <c r="AQ66" i="20"/>
  <c r="AP66" i="20"/>
  <c r="AO66" i="20"/>
  <c r="AN66" i="20"/>
  <c r="AE66" i="20"/>
  <c r="AR66" i="20" s="1"/>
  <c r="Z66" i="20"/>
  <c r="U66" i="20"/>
  <c r="Q66" i="20"/>
  <c r="P66" i="20"/>
  <c r="K66" i="20"/>
  <c r="AS65" i="20"/>
  <c r="AJ65" i="20" s="1"/>
  <c r="AR65" i="20"/>
  <c r="AQ65" i="20"/>
  <c r="AO65" i="20"/>
  <c r="AN65" i="20"/>
  <c r="AE65" i="20"/>
  <c r="Z65" i="20"/>
  <c r="U65" i="20"/>
  <c r="AP65" i="20" s="1"/>
  <c r="Q65" i="20"/>
  <c r="P65" i="20"/>
  <c r="K65" i="20"/>
  <c r="AS64" i="20"/>
  <c r="AR64" i="20"/>
  <c r="AQ64" i="20"/>
  <c r="Z64" i="20" s="1"/>
  <c r="AO64" i="20"/>
  <c r="AJ64" i="20"/>
  <c r="AE64" i="20"/>
  <c r="U64" i="20"/>
  <c r="AP64" i="20" s="1"/>
  <c r="Q64" i="20"/>
  <c r="P64" i="20"/>
  <c r="K64" i="20"/>
  <c r="AN64" i="20" s="1"/>
  <c r="AS63" i="20"/>
  <c r="AJ63" i="20" s="1"/>
  <c r="AQ63" i="20"/>
  <c r="Z63" i="20" s="1"/>
  <c r="AO63" i="20"/>
  <c r="P63" i="20" s="1"/>
  <c r="AE63" i="20"/>
  <c r="AR63" i="20" s="1"/>
  <c r="U63" i="20"/>
  <c r="AP63" i="20" s="1"/>
  <c r="Q63" i="20"/>
  <c r="K63" i="20"/>
  <c r="AN63" i="20" s="1"/>
  <c r="AS62" i="20"/>
  <c r="AR62" i="20"/>
  <c r="AQ62" i="20"/>
  <c r="Z62" i="20" s="1"/>
  <c r="AO62" i="20"/>
  <c r="P62" i="20" s="1"/>
  <c r="AN62" i="20"/>
  <c r="AJ62" i="20"/>
  <c r="AE62" i="20"/>
  <c r="U62" i="20"/>
  <c r="AP62" i="20" s="1"/>
  <c r="Q62" i="20"/>
  <c r="K62" i="20"/>
  <c r="AS61" i="20"/>
  <c r="AJ61" i="20" s="1"/>
  <c r="AR61" i="20"/>
  <c r="AQ61" i="20"/>
  <c r="AP61" i="20"/>
  <c r="AO61" i="20"/>
  <c r="AN61" i="20"/>
  <c r="AE61" i="20"/>
  <c r="Z61" i="20"/>
  <c r="U61" i="20"/>
  <c r="Q61" i="20"/>
  <c r="P61" i="20"/>
  <c r="K61" i="20"/>
  <c r="AS60" i="20"/>
  <c r="AR60" i="20"/>
  <c r="AQ60" i="20"/>
  <c r="AO60" i="20"/>
  <c r="AJ60" i="20"/>
  <c r="AE60" i="20"/>
  <c r="Z60" i="20"/>
  <c r="U60" i="20"/>
  <c r="AP60" i="20" s="1"/>
  <c r="Q60" i="20"/>
  <c r="P60" i="20"/>
  <c r="K60" i="20"/>
  <c r="AN60" i="20" s="1"/>
  <c r="AS59" i="20"/>
  <c r="AQ59" i="20"/>
  <c r="AO59" i="20"/>
  <c r="AN59" i="20"/>
  <c r="AJ59" i="20"/>
  <c r="AE59" i="20"/>
  <c r="AR59" i="20" s="1"/>
  <c r="Z59" i="20"/>
  <c r="U59" i="20"/>
  <c r="AP59" i="20" s="1"/>
  <c r="Q59" i="20"/>
  <c r="P59" i="20"/>
  <c r="K59" i="20"/>
  <c r="AS58" i="20"/>
  <c r="AJ58" i="20" s="1"/>
  <c r="AQ58" i="20"/>
  <c r="AO58" i="20"/>
  <c r="AN58" i="20"/>
  <c r="AE58" i="20"/>
  <c r="AR58" i="20" s="1"/>
  <c r="Z58" i="20"/>
  <c r="U58" i="20"/>
  <c r="AP58" i="20" s="1"/>
  <c r="Q58" i="20"/>
  <c r="P58" i="20"/>
  <c r="K58" i="20"/>
  <c r="AS57" i="20"/>
  <c r="AJ57" i="20" s="1"/>
  <c r="AR57" i="20"/>
  <c r="AQ57" i="20"/>
  <c r="AO57" i="20"/>
  <c r="AN57" i="20"/>
  <c r="AE57" i="20"/>
  <c r="Z57" i="20"/>
  <c r="U57" i="20"/>
  <c r="AP57" i="20" s="1"/>
  <c r="Q57" i="20"/>
  <c r="P57" i="20"/>
  <c r="K57" i="20"/>
  <c r="AS56" i="20"/>
  <c r="AR56" i="20"/>
  <c r="AQ56" i="20"/>
  <c r="Z56" i="20" s="1"/>
  <c r="AO56" i="20"/>
  <c r="AJ56" i="20"/>
  <c r="AE56" i="20"/>
  <c r="U56" i="20"/>
  <c r="AP56" i="20" s="1"/>
  <c r="Q56" i="20"/>
  <c r="P56" i="20"/>
  <c r="K56" i="20"/>
  <c r="AN56" i="20" s="1"/>
  <c r="AS55" i="20"/>
  <c r="AJ55" i="20" s="1"/>
  <c r="AQ55" i="20"/>
  <c r="Z55" i="20" s="1"/>
  <c r="AO55" i="20"/>
  <c r="P55" i="20" s="1"/>
  <c r="AE55" i="20"/>
  <c r="AR55" i="20" s="1"/>
  <c r="U55" i="20"/>
  <c r="AP55" i="20" s="1"/>
  <c r="Q55" i="20"/>
  <c r="K55" i="20"/>
  <c r="AN55" i="20" s="1"/>
  <c r="AS54" i="20"/>
  <c r="AR54" i="20"/>
  <c r="AQ54" i="20"/>
  <c r="Z54" i="20" s="1"/>
  <c r="AO54" i="20"/>
  <c r="P54" i="20" s="1"/>
  <c r="AN54" i="20"/>
  <c r="AJ54" i="20"/>
  <c r="AE54" i="20"/>
  <c r="U54" i="20"/>
  <c r="AP54" i="20" s="1"/>
  <c r="Q54" i="20"/>
  <c r="K54" i="20"/>
  <c r="AS53" i="20"/>
  <c r="AJ53" i="20" s="1"/>
  <c r="AR53" i="20"/>
  <c r="AQ53" i="20"/>
  <c r="AP53" i="20"/>
  <c r="AO53" i="20"/>
  <c r="P53" i="20" s="1"/>
  <c r="AN53" i="20"/>
  <c r="AE53" i="20"/>
  <c r="Z53" i="20"/>
  <c r="U53" i="20"/>
  <c r="Q53" i="20"/>
  <c r="K53" i="20"/>
  <c r="AS52" i="20"/>
  <c r="AR52" i="20"/>
  <c r="AQ52" i="20"/>
  <c r="AO52" i="20"/>
  <c r="AJ52" i="20"/>
  <c r="AE52" i="20"/>
  <c r="Z52" i="20"/>
  <c r="U52" i="20"/>
  <c r="AP52" i="20" s="1"/>
  <c r="Q52" i="20"/>
  <c r="P52" i="20"/>
  <c r="K52" i="20"/>
  <c r="AN52" i="20" s="1"/>
  <c r="AS51" i="20"/>
  <c r="AQ51" i="20"/>
  <c r="AO51" i="20"/>
  <c r="AN51" i="20"/>
  <c r="AJ51" i="20"/>
  <c r="AE51" i="20"/>
  <c r="AR51" i="20" s="1"/>
  <c r="Z51" i="20"/>
  <c r="U51" i="20"/>
  <c r="AP51" i="20" s="1"/>
  <c r="Q51" i="20"/>
  <c r="P51" i="20"/>
  <c r="K51" i="20"/>
  <c r="AS50" i="20"/>
  <c r="AJ50" i="20" s="1"/>
  <c r="AQ50" i="20"/>
  <c r="AO50" i="20"/>
  <c r="AN50" i="20"/>
  <c r="AE50" i="20"/>
  <c r="AR50" i="20" s="1"/>
  <c r="Z50" i="20"/>
  <c r="U50" i="20"/>
  <c r="AP50" i="20" s="1"/>
  <c r="Q50" i="20"/>
  <c r="P50" i="20"/>
  <c r="K50" i="20"/>
  <c r="AS49" i="20"/>
  <c r="AJ49" i="20" s="1"/>
  <c r="AR49" i="20"/>
  <c r="AQ49" i="20"/>
  <c r="AO49" i="20"/>
  <c r="AN49" i="20"/>
  <c r="AE49" i="20"/>
  <c r="Z49" i="20"/>
  <c r="U49" i="20"/>
  <c r="AP49" i="20" s="1"/>
  <c r="Q49" i="20"/>
  <c r="P49" i="20"/>
  <c r="K49" i="20"/>
  <c r="AS48" i="20"/>
  <c r="AR48" i="20"/>
  <c r="AQ48" i="20"/>
  <c r="Z48" i="20" s="1"/>
  <c r="AO48" i="20"/>
  <c r="AJ48" i="20"/>
  <c r="AE48" i="20"/>
  <c r="U48" i="20"/>
  <c r="AP48" i="20" s="1"/>
  <c r="Q48" i="20"/>
  <c r="P48" i="20"/>
  <c r="K48" i="20"/>
  <c r="AN48" i="20" s="1"/>
  <c r="AS47" i="20"/>
  <c r="AJ47" i="20" s="1"/>
  <c r="AQ47" i="20"/>
  <c r="Z47" i="20" s="1"/>
  <c r="AO47" i="20"/>
  <c r="P47" i="20" s="1"/>
  <c r="AE47" i="20"/>
  <c r="AR47" i="20" s="1"/>
  <c r="U47" i="20"/>
  <c r="AP47" i="20" s="1"/>
  <c r="Q47" i="20"/>
  <c r="K47" i="20"/>
  <c r="AN47" i="20" s="1"/>
  <c r="AS46" i="20"/>
  <c r="AR46" i="20"/>
  <c r="AQ46" i="20"/>
  <c r="Z46" i="20" s="1"/>
  <c r="AO46" i="20"/>
  <c r="P46" i="20" s="1"/>
  <c r="AN46" i="20"/>
  <c r="AJ46" i="20"/>
  <c r="AE46" i="20"/>
  <c r="U46" i="20"/>
  <c r="AP46" i="20" s="1"/>
  <c r="Q46" i="20"/>
  <c r="K46" i="20"/>
  <c r="AS45" i="20"/>
  <c r="AJ45" i="20" s="1"/>
  <c r="AR45" i="20"/>
  <c r="AQ45" i="20"/>
  <c r="AP45" i="20"/>
  <c r="AO45" i="20"/>
  <c r="AN45" i="20"/>
  <c r="AE45" i="20"/>
  <c r="Z45" i="20"/>
  <c r="U45" i="20"/>
  <c r="Q45" i="20"/>
  <c r="P45" i="20"/>
  <c r="K45" i="20"/>
  <c r="AS44" i="20"/>
  <c r="AR44" i="20"/>
  <c r="AQ44" i="20"/>
  <c r="AO44" i="20"/>
  <c r="AJ44" i="20"/>
  <c r="AE44" i="20"/>
  <c r="Z44" i="20"/>
  <c r="U44" i="20"/>
  <c r="AP44" i="20" s="1"/>
  <c r="Q44" i="20"/>
  <c r="P44" i="20"/>
  <c r="K44" i="20"/>
  <c r="AN44" i="20" s="1"/>
  <c r="AS43" i="20"/>
  <c r="AQ43" i="20"/>
  <c r="AO43" i="20"/>
  <c r="AN43" i="20"/>
  <c r="AJ43" i="20"/>
  <c r="AE43" i="20"/>
  <c r="AR43" i="20" s="1"/>
  <c r="Z43" i="20"/>
  <c r="U43" i="20"/>
  <c r="AP43" i="20" s="1"/>
  <c r="Q43" i="20"/>
  <c r="P43" i="20"/>
  <c r="K43" i="20"/>
  <c r="AS42" i="20"/>
  <c r="AJ42" i="20" s="1"/>
  <c r="AQ42" i="20"/>
  <c r="AO42" i="20"/>
  <c r="AN42" i="20"/>
  <c r="AE42" i="20"/>
  <c r="AR42" i="20" s="1"/>
  <c r="Z42" i="20"/>
  <c r="U42" i="20"/>
  <c r="AP42" i="20" s="1"/>
  <c r="Q42" i="20"/>
  <c r="P42" i="20"/>
  <c r="K42" i="20"/>
  <c r="AS41" i="20"/>
  <c r="AJ41" i="20" s="1"/>
  <c r="AR41" i="20"/>
  <c r="AQ41" i="20"/>
  <c r="AO41" i="20"/>
  <c r="AN41" i="20"/>
  <c r="AE41" i="20"/>
  <c r="Z41" i="20"/>
  <c r="U41" i="20"/>
  <c r="AP41" i="20" s="1"/>
  <c r="Q41" i="20"/>
  <c r="P41" i="20"/>
  <c r="K41" i="20"/>
  <c r="AS40" i="20"/>
  <c r="AR40" i="20"/>
  <c r="AQ40" i="20"/>
  <c r="Z40" i="20" s="1"/>
  <c r="AO40" i="20"/>
  <c r="AJ40" i="20"/>
  <c r="AE40" i="20"/>
  <c r="U40" i="20"/>
  <c r="AP40" i="20" s="1"/>
  <c r="Q40" i="20"/>
  <c r="P40" i="20"/>
  <c r="K40" i="20"/>
  <c r="AN40" i="20" s="1"/>
  <c r="AS39" i="20"/>
  <c r="AJ39" i="20" s="1"/>
  <c r="AQ39" i="20"/>
  <c r="Z39" i="20" s="1"/>
  <c r="AO39" i="20"/>
  <c r="P39" i="20" s="1"/>
  <c r="AE39" i="20"/>
  <c r="AR39" i="20" s="1"/>
  <c r="U39" i="20"/>
  <c r="AP39" i="20" s="1"/>
  <c r="Q39" i="20"/>
  <c r="K39" i="20"/>
  <c r="AN39" i="20" s="1"/>
  <c r="AS38" i="20"/>
  <c r="AR38" i="20"/>
  <c r="AQ38" i="20"/>
  <c r="Z38" i="20" s="1"/>
  <c r="AO38" i="20"/>
  <c r="P38" i="20" s="1"/>
  <c r="AN38" i="20"/>
  <c r="AJ38" i="20"/>
  <c r="AE38" i="20"/>
  <c r="U38" i="20"/>
  <c r="AP38" i="20" s="1"/>
  <c r="Q38" i="20"/>
  <c r="K38" i="20"/>
  <c r="AS37" i="20"/>
  <c r="AJ37" i="20" s="1"/>
  <c r="AR37" i="20"/>
  <c r="AQ37" i="20"/>
  <c r="AP37" i="20"/>
  <c r="AO37" i="20"/>
  <c r="AN37" i="20"/>
  <c r="AE37" i="20"/>
  <c r="Z37" i="20"/>
  <c r="U37" i="20"/>
  <c r="Q37" i="20"/>
  <c r="P37" i="20"/>
  <c r="K37" i="20"/>
  <c r="AS36" i="20"/>
  <c r="AR36" i="20"/>
  <c r="AQ36" i="20"/>
  <c r="AO36" i="20"/>
  <c r="AJ36" i="20"/>
  <c r="AE36" i="20"/>
  <c r="Z36" i="20"/>
  <c r="U36" i="20"/>
  <c r="AP36" i="20" s="1"/>
  <c r="Q36" i="20"/>
  <c r="P36" i="20"/>
  <c r="K36" i="20"/>
  <c r="AN36" i="20" s="1"/>
  <c r="AS35" i="20"/>
  <c r="AQ35" i="20"/>
  <c r="AO35" i="20"/>
  <c r="AN35" i="20"/>
  <c r="AJ35" i="20"/>
  <c r="AE35" i="20"/>
  <c r="AR35" i="20" s="1"/>
  <c r="Z35" i="20"/>
  <c r="U35" i="20"/>
  <c r="AP35" i="20" s="1"/>
  <c r="Q35" i="20"/>
  <c r="P35" i="20"/>
  <c r="K35" i="20"/>
  <c r="AS34" i="20"/>
  <c r="AJ34" i="20" s="1"/>
  <c r="AQ34" i="20"/>
  <c r="AP34" i="20"/>
  <c r="AO34" i="20"/>
  <c r="AN34" i="20"/>
  <c r="AE34" i="20"/>
  <c r="AR34" i="20" s="1"/>
  <c r="Z34" i="20"/>
  <c r="U34" i="20"/>
  <c r="Q34" i="20"/>
  <c r="P34" i="20"/>
  <c r="K34" i="20"/>
  <c r="AS33" i="20"/>
  <c r="AJ33" i="20" s="1"/>
  <c r="AR33" i="20"/>
  <c r="AQ33" i="20"/>
  <c r="AO33" i="20"/>
  <c r="AN33" i="20"/>
  <c r="AE33" i="20"/>
  <c r="Z33" i="20"/>
  <c r="U33" i="20"/>
  <c r="AP33" i="20" s="1"/>
  <c r="Q33" i="20"/>
  <c r="P33" i="20"/>
  <c r="K33" i="20"/>
  <c r="AS32" i="20"/>
  <c r="AR32" i="20"/>
  <c r="AQ32" i="20"/>
  <c r="Z32" i="20" s="1"/>
  <c r="AO32" i="20"/>
  <c r="AJ32" i="20"/>
  <c r="AE32" i="20"/>
  <c r="U32" i="20"/>
  <c r="AP32" i="20" s="1"/>
  <c r="Q32" i="20"/>
  <c r="P32" i="20"/>
  <c r="K32" i="20"/>
  <c r="AN32" i="20" s="1"/>
  <c r="AS31" i="20"/>
  <c r="AJ31" i="20" s="1"/>
  <c r="AQ31" i="20"/>
  <c r="Z31" i="20" s="1"/>
  <c r="AO31" i="20"/>
  <c r="P31" i="20" s="1"/>
  <c r="AE31" i="20"/>
  <c r="AR31" i="20" s="1"/>
  <c r="U31" i="20"/>
  <c r="AP31" i="20" s="1"/>
  <c r="Q31" i="20"/>
  <c r="K31" i="20"/>
  <c r="AN31" i="20" s="1"/>
  <c r="AS30" i="20"/>
  <c r="AR30" i="20"/>
  <c r="AQ30" i="20"/>
  <c r="AO30" i="20"/>
  <c r="P30" i="20" s="1"/>
  <c r="AN30" i="20"/>
  <c r="AJ30" i="20"/>
  <c r="AE30" i="20"/>
  <c r="Z30" i="20"/>
  <c r="U30" i="20"/>
  <c r="AP30" i="20" s="1"/>
  <c r="Q30" i="20"/>
  <c r="K30" i="20"/>
  <c r="AS29" i="20"/>
  <c r="AJ29" i="20" s="1"/>
  <c r="AR29" i="20"/>
  <c r="AQ29" i="20"/>
  <c r="AP29" i="20"/>
  <c r="AO29" i="20"/>
  <c r="P29" i="20" s="1"/>
  <c r="AN29" i="20"/>
  <c r="AE29" i="20"/>
  <c r="Z29" i="20"/>
  <c r="U29" i="20"/>
  <c r="Q29" i="20"/>
  <c r="K29" i="20"/>
  <c r="AS28" i="20"/>
  <c r="AR28" i="20"/>
  <c r="AQ28" i="20"/>
  <c r="AO28" i="20"/>
  <c r="AJ28" i="20"/>
  <c r="AE28" i="20"/>
  <c r="Z28" i="20"/>
  <c r="U28" i="20"/>
  <c r="AP28" i="20" s="1"/>
  <c r="Q28" i="20"/>
  <c r="P28" i="20"/>
  <c r="K28" i="20"/>
  <c r="AN28" i="20" s="1"/>
  <c r="AS27" i="20"/>
  <c r="AQ27" i="20"/>
  <c r="AO27" i="20"/>
  <c r="AJ27" i="20"/>
  <c r="AE27" i="20"/>
  <c r="AR27" i="20" s="1"/>
  <c r="Z27" i="20"/>
  <c r="U27" i="20"/>
  <c r="AP27" i="20" s="1"/>
  <c r="Q27" i="20"/>
  <c r="P27" i="20"/>
  <c r="K27" i="20"/>
  <c r="AN27" i="20" s="1"/>
  <c r="AS26" i="20"/>
  <c r="AJ26" i="20" s="1"/>
  <c r="AQ26" i="20"/>
  <c r="AO26" i="20"/>
  <c r="AN26" i="20"/>
  <c r="AE26" i="20"/>
  <c r="AR26" i="20" s="1"/>
  <c r="Z26" i="20"/>
  <c r="U26" i="20"/>
  <c r="AP26" i="20" s="1"/>
  <c r="Q26" i="20"/>
  <c r="P26" i="20"/>
  <c r="K26" i="20"/>
  <c r="AS25" i="20"/>
  <c r="AJ25" i="20" s="1"/>
  <c r="AR25" i="20"/>
  <c r="AQ25" i="20"/>
  <c r="AO25" i="20"/>
  <c r="AN25" i="20"/>
  <c r="AE25" i="20"/>
  <c r="Z25" i="20"/>
  <c r="U25" i="20"/>
  <c r="AP25" i="20" s="1"/>
  <c r="Q25" i="20"/>
  <c r="P25" i="20"/>
  <c r="K25" i="20"/>
  <c r="AS24" i="20"/>
  <c r="AR24" i="20"/>
  <c r="AQ24" i="20"/>
  <c r="Z24" i="20" s="1"/>
  <c r="AO24" i="20"/>
  <c r="AJ24" i="20"/>
  <c r="AE24" i="20"/>
  <c r="U24" i="20"/>
  <c r="AP24" i="20" s="1"/>
  <c r="Q24" i="20"/>
  <c r="P24" i="20"/>
  <c r="K24" i="20"/>
  <c r="AN24" i="20" s="1"/>
  <c r="AS23" i="20"/>
  <c r="AJ23" i="20" s="1"/>
  <c r="AQ23" i="20"/>
  <c r="Z23" i="20" s="1"/>
  <c r="AO23" i="20"/>
  <c r="P23" i="20" s="1"/>
  <c r="AE23" i="20"/>
  <c r="AR23" i="20" s="1"/>
  <c r="U23" i="20"/>
  <c r="AP23" i="20" s="1"/>
  <c r="Q23" i="20"/>
  <c r="K23" i="20"/>
  <c r="AN23" i="20" s="1"/>
  <c r="AS22" i="20"/>
  <c r="AR22" i="20"/>
  <c r="AQ22" i="20"/>
  <c r="AO22" i="20"/>
  <c r="P22" i="20" s="1"/>
  <c r="AN22" i="20"/>
  <c r="AJ22" i="20"/>
  <c r="AE22" i="20"/>
  <c r="Z22" i="20"/>
  <c r="U22" i="20"/>
  <c r="AP22" i="20" s="1"/>
  <c r="Q22" i="20"/>
  <c r="K22" i="20"/>
  <c r="AS21" i="20"/>
  <c r="AJ21" i="20" s="1"/>
  <c r="AR21" i="20"/>
  <c r="AQ21" i="20"/>
  <c r="AP21" i="20"/>
  <c r="AO21" i="20"/>
  <c r="P21" i="20" s="1"/>
  <c r="AN21" i="20"/>
  <c r="AE21" i="20"/>
  <c r="Z21" i="20"/>
  <c r="U21" i="20"/>
  <c r="Q21" i="20"/>
  <c r="K21" i="20"/>
  <c r="AS20" i="20"/>
  <c r="AR20" i="20"/>
  <c r="AQ20" i="20"/>
  <c r="AO20" i="20"/>
  <c r="AJ20" i="20"/>
  <c r="AE20" i="20"/>
  <c r="Z20" i="20"/>
  <c r="U20" i="20"/>
  <c r="AP20" i="20" s="1"/>
  <c r="Q20" i="20"/>
  <c r="P20" i="20"/>
  <c r="K20" i="20"/>
  <c r="AN20" i="20" s="1"/>
  <c r="AS19" i="20"/>
  <c r="AQ19" i="20"/>
  <c r="AO19" i="20"/>
  <c r="AJ19" i="20"/>
  <c r="AE19" i="20"/>
  <c r="AR19" i="20" s="1"/>
  <c r="Z19" i="20"/>
  <c r="U19" i="20"/>
  <c r="AP19" i="20" s="1"/>
  <c r="Q19" i="20"/>
  <c r="P19" i="20"/>
  <c r="K19" i="20"/>
  <c r="AN19" i="20" s="1"/>
  <c r="AS18" i="20"/>
  <c r="AJ18" i="20" s="1"/>
  <c r="AQ18" i="20"/>
  <c r="AP18" i="20"/>
  <c r="AO18" i="20"/>
  <c r="AN18" i="20"/>
  <c r="AE18" i="20"/>
  <c r="AR18" i="20" s="1"/>
  <c r="Z18" i="20"/>
  <c r="U18" i="20"/>
  <c r="Q18" i="20"/>
  <c r="P18" i="20"/>
  <c r="K18" i="20"/>
  <c r="AS17" i="20"/>
  <c r="AJ17" i="20" s="1"/>
  <c r="AR17" i="20"/>
  <c r="AQ17" i="20"/>
  <c r="AO17" i="20"/>
  <c r="AN17" i="20"/>
  <c r="AE17" i="20"/>
  <c r="Z17" i="20"/>
  <c r="U17" i="20"/>
  <c r="AP17" i="20" s="1"/>
  <c r="Q17" i="20"/>
  <c r="P17" i="20"/>
  <c r="K17" i="20"/>
  <c r="AS16" i="20"/>
  <c r="AR16" i="20"/>
  <c r="AQ16" i="20"/>
  <c r="Z16" i="20" s="1"/>
  <c r="AO16" i="20"/>
  <c r="AJ16" i="20"/>
  <c r="AE16" i="20"/>
  <c r="U16" i="20"/>
  <c r="AP16" i="20" s="1"/>
  <c r="Q16" i="20"/>
  <c r="P16" i="20"/>
  <c r="K16" i="20"/>
  <c r="AN16" i="20" s="1"/>
  <c r="AS15" i="20"/>
  <c r="AJ15" i="20" s="1"/>
  <c r="AQ15" i="20"/>
  <c r="Z15" i="20" s="1"/>
  <c r="AO15" i="20"/>
  <c r="P15" i="20" s="1"/>
  <c r="AE15" i="20"/>
  <c r="AR15" i="20" s="1"/>
  <c r="U15" i="20"/>
  <c r="AP15" i="20" s="1"/>
  <c r="Q15" i="20"/>
  <c r="K15" i="20"/>
  <c r="AN15" i="20" s="1"/>
  <c r="AS14" i="20"/>
  <c r="AR14" i="20"/>
  <c r="AQ14" i="20"/>
  <c r="AO14" i="20"/>
  <c r="P14" i="20" s="1"/>
  <c r="AN14" i="20"/>
  <c r="AJ14" i="20"/>
  <c r="AE14" i="20"/>
  <c r="Z14" i="20"/>
  <c r="U14" i="20"/>
  <c r="AP14" i="20" s="1"/>
  <c r="Q14" i="20"/>
  <c r="K14" i="20"/>
  <c r="AS13" i="20"/>
  <c r="AJ13" i="20" s="1"/>
  <c r="AR13" i="20"/>
  <c r="AQ13" i="20"/>
  <c r="AP13" i="20"/>
  <c r="AO13" i="20"/>
  <c r="P13" i="20" s="1"/>
  <c r="AN13" i="20"/>
  <c r="AE13" i="20"/>
  <c r="Z13" i="20"/>
  <c r="U13" i="20"/>
  <c r="Q13" i="20"/>
  <c r="K13" i="20"/>
  <c r="AS12" i="20"/>
  <c r="AR12" i="20"/>
  <c r="AQ12" i="20"/>
  <c r="AO12" i="20"/>
  <c r="AJ12" i="20"/>
  <c r="AE12" i="20"/>
  <c r="Z12" i="20"/>
  <c r="U12" i="20"/>
  <c r="AP12" i="20" s="1"/>
  <c r="Q12" i="20"/>
  <c r="P12" i="20"/>
  <c r="K12" i="20"/>
  <c r="AN12" i="20" s="1"/>
  <c r="AS11" i="20"/>
  <c r="AQ11" i="20"/>
  <c r="AO11" i="20"/>
  <c r="AN11" i="20"/>
  <c r="AJ11" i="20"/>
  <c r="AE11" i="20"/>
  <c r="AR11" i="20" s="1"/>
  <c r="Z11" i="20"/>
  <c r="U11" i="20"/>
  <c r="AP11" i="20" s="1"/>
  <c r="Q11" i="20"/>
  <c r="P11" i="20"/>
  <c r="K11" i="20"/>
  <c r="AS10" i="20"/>
  <c r="AJ10" i="20" s="1"/>
  <c r="AQ10" i="20"/>
  <c r="AO10" i="20"/>
  <c r="AN10" i="20"/>
  <c r="AE10" i="20"/>
  <c r="AR10" i="20" s="1"/>
  <c r="Z10" i="20"/>
  <c r="U10" i="20"/>
  <c r="AP10" i="20" s="1"/>
  <c r="Q10" i="20"/>
  <c r="P10" i="20"/>
  <c r="K10" i="20"/>
  <c r="AS9" i="20"/>
  <c r="AJ9" i="20" s="1"/>
  <c r="AR9" i="20"/>
  <c r="AQ9" i="20"/>
  <c r="AO9" i="20"/>
  <c r="AN9" i="20"/>
  <c r="AE9" i="20"/>
  <c r="Z9" i="20"/>
  <c r="U9" i="20"/>
  <c r="AP9" i="20" s="1"/>
  <c r="Q9" i="20"/>
  <c r="P9" i="20"/>
  <c r="K9" i="20"/>
  <c r="AS8" i="20"/>
  <c r="AR8" i="20"/>
  <c r="AQ8" i="20"/>
  <c r="Z8" i="20" s="1"/>
  <c r="AO8" i="20"/>
  <c r="AJ8" i="20"/>
  <c r="AE8" i="20"/>
  <c r="U8" i="20"/>
  <c r="AP8" i="20" s="1"/>
  <c r="Q8" i="20"/>
  <c r="P8" i="20"/>
  <c r="K8" i="20"/>
  <c r="AN8" i="20" s="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J19" i="11" s="1"/>
  <c r="AS20" i="11"/>
  <c r="AJ20" i="11" s="1"/>
  <c r="AS21" i="11"/>
  <c r="AS22" i="11"/>
  <c r="AS23" i="11"/>
  <c r="AJ23" i="11" s="1"/>
  <c r="AS24" i="11"/>
  <c r="AS25" i="11"/>
  <c r="AJ25" i="11" s="1"/>
  <c r="AS26" i="11"/>
  <c r="AS27" i="11"/>
  <c r="AJ27" i="11" s="1"/>
  <c r="AS28" i="11"/>
  <c r="AJ28" i="11" s="1"/>
  <c r="AS29" i="11"/>
  <c r="AJ29" i="11" s="1"/>
  <c r="AS30" i="11"/>
  <c r="AJ30" i="11" s="1"/>
  <c r="AS31" i="11"/>
  <c r="AJ31" i="11" s="1"/>
  <c r="AS32" i="11"/>
  <c r="AJ32" i="11" s="1"/>
  <c r="AS33" i="11"/>
  <c r="AJ33" i="11" s="1"/>
  <c r="AS34" i="11"/>
  <c r="AS35" i="11"/>
  <c r="AJ35" i="11" s="1"/>
  <c r="AS36" i="11"/>
  <c r="AJ36" i="11" s="1"/>
  <c r="AS37" i="11"/>
  <c r="AS38" i="11"/>
  <c r="AS39" i="11"/>
  <c r="AJ39" i="11" s="1"/>
  <c r="AS40" i="11"/>
  <c r="AS41" i="11"/>
  <c r="AJ41" i="11" s="1"/>
  <c r="AS42" i="11"/>
  <c r="AS43" i="11"/>
  <c r="AJ43" i="11" s="1"/>
  <c r="AS44" i="11"/>
  <c r="AJ44" i="11" s="1"/>
  <c r="AS45" i="11"/>
  <c r="AJ45" i="11" s="1"/>
  <c r="AS46" i="11"/>
  <c r="AJ46" i="11" s="1"/>
  <c r="AS47" i="11"/>
  <c r="AJ47" i="11" s="1"/>
  <c r="AS48" i="11"/>
  <c r="AJ48" i="11" s="1"/>
  <c r="AS49" i="11"/>
  <c r="AJ49" i="11" s="1"/>
  <c r="AS50" i="11"/>
  <c r="AS51" i="11"/>
  <c r="AJ51" i="11" s="1"/>
  <c r="AS52" i="11"/>
  <c r="AJ52" i="11" s="1"/>
  <c r="AS53" i="11"/>
  <c r="AS54" i="11"/>
  <c r="AS55" i="11"/>
  <c r="AJ55" i="11" s="1"/>
  <c r="AS56" i="11"/>
  <c r="AS57" i="11"/>
  <c r="AJ57" i="11" s="1"/>
  <c r="AS58" i="11"/>
  <c r="AS59" i="11"/>
  <c r="AJ59" i="11" s="1"/>
  <c r="AS60" i="11"/>
  <c r="AJ60" i="11" s="1"/>
  <c r="AS61" i="11"/>
  <c r="AJ61" i="11" s="1"/>
  <c r="AS62" i="11"/>
  <c r="AJ62" i="11" s="1"/>
  <c r="AS63" i="11"/>
  <c r="AJ63" i="11" s="1"/>
  <c r="AS64" i="11"/>
  <c r="AJ64" i="11" s="1"/>
  <c r="AS65" i="11"/>
  <c r="AJ65" i="11" s="1"/>
  <c r="AS66" i="11"/>
  <c r="AS67" i="11"/>
  <c r="AJ67" i="11" s="1"/>
  <c r="AS68" i="11"/>
  <c r="AJ68" i="11" s="1"/>
  <c r="AS69" i="11"/>
  <c r="AS70" i="11"/>
  <c r="AS71" i="11"/>
  <c r="AJ71" i="11" s="1"/>
  <c r="AS72" i="11"/>
  <c r="AS73" i="11"/>
  <c r="AJ73" i="11" s="1"/>
  <c r="AS74" i="11"/>
  <c r="AS75" i="11"/>
  <c r="AJ75" i="11" s="1"/>
  <c r="AS76" i="11"/>
  <c r="AJ76" i="11" s="1"/>
  <c r="AS77" i="11"/>
  <c r="AJ77" i="11" s="1"/>
  <c r="AS78" i="11"/>
  <c r="AJ78" i="11" s="1"/>
  <c r="AS79" i="11"/>
  <c r="AJ79" i="11" s="1"/>
  <c r="AS80" i="11"/>
  <c r="AJ80" i="11" s="1"/>
  <c r="AS81" i="11"/>
  <c r="AJ81" i="11" s="1"/>
  <c r="AS82" i="11"/>
  <c r="AS83" i="11"/>
  <c r="AJ83" i="11" s="1"/>
  <c r="AS84" i="11"/>
  <c r="AJ84" i="11" s="1"/>
  <c r="AS85" i="11"/>
  <c r="AS86" i="11"/>
  <c r="AS87" i="11"/>
  <c r="AJ87" i="11" s="1"/>
  <c r="AS88" i="11"/>
  <c r="AS89" i="11"/>
  <c r="AJ89" i="11" s="1"/>
  <c r="AS90" i="11"/>
  <c r="AS91" i="11"/>
  <c r="AJ91" i="11" s="1"/>
  <c r="AS92" i="11"/>
  <c r="AJ92" i="11" s="1"/>
  <c r="AS93" i="11"/>
  <c r="AJ93" i="11" s="1"/>
  <c r="AS94" i="11"/>
  <c r="AJ94" i="11" s="1"/>
  <c r="AS95" i="11"/>
  <c r="AJ95" i="11" s="1"/>
  <c r="AS96" i="11"/>
  <c r="AJ96" i="11" s="1"/>
  <c r="AS97" i="11"/>
  <c r="AJ97" i="11" s="1"/>
  <c r="AS98" i="11"/>
  <c r="AS99" i="11"/>
  <c r="AJ99" i="11" s="1"/>
  <c r="AS100" i="11"/>
  <c r="AJ100" i="11" s="1"/>
  <c r="AS101" i="11"/>
  <c r="AS102" i="11"/>
  <c r="AS103" i="11"/>
  <c r="AJ103" i="11" s="1"/>
  <c r="AS104" i="11"/>
  <c r="AS105" i="11"/>
  <c r="AJ105" i="11" s="1"/>
  <c r="AS106" i="11"/>
  <c r="AS107" i="11"/>
  <c r="AJ107" i="11" s="1"/>
  <c r="AS108" i="11"/>
  <c r="AJ108" i="11" s="1"/>
  <c r="AS109" i="11"/>
  <c r="AJ109" i="11" s="1"/>
  <c r="AS110" i="11"/>
  <c r="AJ110" i="11" s="1"/>
  <c r="AS111" i="11"/>
  <c r="AJ111" i="11" s="1"/>
  <c r="AS112" i="11"/>
  <c r="AJ112" i="11" s="1"/>
  <c r="AS113" i="11"/>
  <c r="AJ113" i="11" s="1"/>
  <c r="AS114" i="11"/>
  <c r="AS115" i="11"/>
  <c r="AJ115" i="11" s="1"/>
  <c r="AS116" i="11"/>
  <c r="AJ116" i="11" s="1"/>
  <c r="AS117" i="11"/>
  <c r="AS118" i="11"/>
  <c r="AS119" i="11"/>
  <c r="AJ119" i="11" s="1"/>
  <c r="AS120" i="11"/>
  <c r="AS121" i="11"/>
  <c r="AJ121" i="11" s="1"/>
  <c r="AS122" i="11"/>
  <c r="AS123" i="11"/>
  <c r="AJ123" i="11" s="1"/>
  <c r="AS124" i="11"/>
  <c r="AJ124" i="11" s="1"/>
  <c r="AS125" i="11"/>
  <c r="AJ125" i="11" s="1"/>
  <c r="AS126" i="11"/>
  <c r="AJ126" i="11" s="1"/>
  <c r="AS127" i="11"/>
  <c r="AJ127" i="11" s="1"/>
  <c r="AS128" i="11"/>
  <c r="AJ128" i="11" s="1"/>
  <c r="AS129" i="11"/>
  <c r="AJ129" i="11" s="1"/>
  <c r="AS130" i="11"/>
  <c r="AS131" i="11"/>
  <c r="AJ131" i="11" s="1"/>
  <c r="AS132" i="11"/>
  <c r="AJ132" i="11" s="1"/>
  <c r="AS133" i="11"/>
  <c r="AS134" i="11"/>
  <c r="AS135" i="11"/>
  <c r="AJ135" i="11" s="1"/>
  <c r="AS136" i="11"/>
  <c r="AS137" i="11"/>
  <c r="AJ137" i="11" s="1"/>
  <c r="AS138" i="11"/>
  <c r="AS139" i="11"/>
  <c r="AJ139" i="11" s="1"/>
  <c r="AS140" i="11"/>
  <c r="AJ140" i="11" s="1"/>
  <c r="AS141" i="11"/>
  <c r="AJ141" i="11" s="1"/>
  <c r="AS142" i="11"/>
  <c r="AJ142" i="11" s="1"/>
  <c r="AS143" i="11"/>
  <c r="AJ143" i="11" s="1"/>
  <c r="AS144" i="11"/>
  <c r="AJ144" i="11" s="1"/>
  <c r="AS145" i="11"/>
  <c r="AJ145" i="11" s="1"/>
  <c r="AS146" i="11"/>
  <c r="AS147" i="11"/>
  <c r="AJ147" i="11" s="1"/>
  <c r="AS148" i="11"/>
  <c r="AJ148" i="11" s="1"/>
  <c r="AS149" i="11"/>
  <c r="AS150" i="11"/>
  <c r="AS151" i="11"/>
  <c r="AJ151" i="11" s="1"/>
  <c r="AS152" i="11"/>
  <c r="AS153" i="11"/>
  <c r="AJ153" i="11" s="1"/>
  <c r="AS154" i="11"/>
  <c r="AS155" i="11"/>
  <c r="AJ155" i="11" s="1"/>
  <c r="AS156" i="11"/>
  <c r="AJ156" i="11" s="1"/>
  <c r="AS157" i="11"/>
  <c r="AJ157" i="11" s="1"/>
  <c r="AS158" i="11"/>
  <c r="AJ158" i="11" s="1"/>
  <c r="AS159" i="11"/>
  <c r="AJ159" i="11" s="1"/>
  <c r="AS160" i="11"/>
  <c r="AJ160" i="11" s="1"/>
  <c r="AS161" i="11"/>
  <c r="AJ161" i="11" s="1"/>
  <c r="AS162" i="11"/>
  <c r="AS163" i="11"/>
  <c r="AJ163" i="11" s="1"/>
  <c r="AS164" i="11"/>
  <c r="AJ164" i="11" s="1"/>
  <c r="AS165" i="11"/>
  <c r="AS166" i="11"/>
  <c r="AS167" i="11"/>
  <c r="AJ167" i="11" s="1"/>
  <c r="AS168" i="11"/>
  <c r="AS169" i="11"/>
  <c r="AJ169" i="11" s="1"/>
  <c r="AS170" i="11"/>
  <c r="AS171" i="11"/>
  <c r="AJ171" i="11" s="1"/>
  <c r="AS172" i="11"/>
  <c r="AJ172" i="11" s="1"/>
  <c r="AS173" i="11"/>
  <c r="AJ173" i="11" s="1"/>
  <c r="AS174" i="11"/>
  <c r="AJ174" i="11" s="1"/>
  <c r="AS175" i="11"/>
  <c r="AJ175" i="11" s="1"/>
  <c r="AS176" i="11"/>
  <c r="AJ176" i="11" s="1"/>
  <c r="AS177" i="11"/>
  <c r="AJ177" i="11" s="1"/>
  <c r="AS178" i="11"/>
  <c r="AS179" i="11"/>
  <c r="AJ179" i="11" s="1"/>
  <c r="AS180" i="11"/>
  <c r="AJ180" i="11" s="1"/>
  <c r="AS181" i="11"/>
  <c r="AS182" i="11"/>
  <c r="AS183" i="11"/>
  <c r="AJ183" i="11" s="1"/>
  <c r="AS184" i="11"/>
  <c r="AS185" i="11"/>
  <c r="AJ185" i="11" s="1"/>
  <c r="AS186" i="11"/>
  <c r="AS187" i="11"/>
  <c r="AJ187" i="11" s="1"/>
  <c r="AS188" i="11"/>
  <c r="AJ188" i="11" s="1"/>
  <c r="AS189" i="11"/>
  <c r="AJ189" i="11" s="1"/>
  <c r="AS190" i="11"/>
  <c r="AJ190" i="11" s="1"/>
  <c r="AS191" i="11"/>
  <c r="AJ191" i="11" s="1"/>
  <c r="AS192" i="11"/>
  <c r="AJ192" i="11" s="1"/>
  <c r="AS193" i="11"/>
  <c r="AJ193" i="11" s="1"/>
  <c r="AS194" i="11"/>
  <c r="AS195" i="11"/>
  <c r="AJ195" i="11" s="1"/>
  <c r="AS196" i="11"/>
  <c r="AJ196" i="11" s="1"/>
  <c r="AS197" i="11"/>
  <c r="AS198" i="11"/>
  <c r="AS199" i="11"/>
  <c r="AJ199" i="11" s="1"/>
  <c r="AS200" i="11"/>
  <c r="AS201" i="11"/>
  <c r="AJ201" i="11" s="1"/>
  <c r="AS202" i="11"/>
  <c r="AS203" i="11"/>
  <c r="AJ203" i="11" s="1"/>
  <c r="AS204" i="11"/>
  <c r="AJ204" i="11" s="1"/>
  <c r="AS205" i="11"/>
  <c r="AJ205" i="11" s="1"/>
  <c r="AS206" i="11"/>
  <c r="AJ206" i="11" s="1"/>
  <c r="AS207" i="11"/>
  <c r="AJ207" i="11" s="1"/>
  <c r="AS208" i="11"/>
  <c r="AJ208" i="11" s="1"/>
  <c r="AS209" i="11"/>
  <c r="AJ209" i="11" s="1"/>
  <c r="AS210" i="11"/>
  <c r="AS211" i="11"/>
  <c r="AJ211" i="11" s="1"/>
  <c r="AS212" i="11"/>
  <c r="AJ212" i="11" s="1"/>
  <c r="AS213" i="11"/>
  <c r="AS214" i="11"/>
  <c r="AS215" i="11"/>
  <c r="AJ215" i="11" s="1"/>
  <c r="AS216" i="11"/>
  <c r="AS217" i="11"/>
  <c r="AJ217" i="11" s="1"/>
  <c r="AS218" i="11"/>
  <c r="AS219" i="11"/>
  <c r="AJ219" i="11" s="1"/>
  <c r="AS220" i="11"/>
  <c r="AJ220" i="11" s="1"/>
  <c r="AS221" i="11"/>
  <c r="AJ221" i="11" s="1"/>
  <c r="AS222" i="11"/>
  <c r="AJ222" i="11" s="1"/>
  <c r="AS223" i="11"/>
  <c r="AJ223" i="11" s="1"/>
  <c r="AS224" i="11"/>
  <c r="AJ224" i="11" s="1"/>
  <c r="AS225" i="11"/>
  <c r="AJ225" i="11" s="1"/>
  <c r="AS226" i="11"/>
  <c r="AS227" i="11"/>
  <c r="AJ227" i="11" s="1"/>
  <c r="AS228" i="11"/>
  <c r="AJ228" i="11" s="1"/>
  <c r="AS229" i="11"/>
  <c r="AS230" i="11"/>
  <c r="AS231" i="11"/>
  <c r="AJ231" i="11" s="1"/>
  <c r="AS232" i="11"/>
  <c r="AS233" i="11"/>
  <c r="AJ233" i="11" s="1"/>
  <c r="AS234" i="11"/>
  <c r="AS235" i="11"/>
  <c r="AJ235" i="11" s="1"/>
  <c r="AS236" i="11"/>
  <c r="AJ236" i="11" s="1"/>
  <c r="AS237" i="11"/>
  <c r="AJ237" i="11" s="1"/>
  <c r="AS238" i="11"/>
  <c r="AJ238" i="11" s="1"/>
  <c r="AS239" i="11"/>
  <c r="AJ239" i="11" s="1"/>
  <c r="AS240" i="11"/>
  <c r="AJ240" i="11" s="1"/>
  <c r="AS241" i="11"/>
  <c r="AJ241" i="11" s="1"/>
  <c r="AS242" i="11"/>
  <c r="AS243" i="11"/>
  <c r="AJ243" i="11" s="1"/>
  <c r="AS244" i="11"/>
  <c r="AJ244" i="11" s="1"/>
  <c r="AS245" i="11"/>
  <c r="AS246" i="11"/>
  <c r="AS247" i="11"/>
  <c r="AJ247" i="11" s="1"/>
  <c r="AS248" i="11"/>
  <c r="AS249" i="11"/>
  <c r="AJ249" i="11" s="1"/>
  <c r="AS250" i="11"/>
  <c r="AS251" i="11"/>
  <c r="AJ251" i="11" s="1"/>
  <c r="AS252" i="11"/>
  <c r="AJ252" i="11" s="1"/>
  <c r="AS253" i="11"/>
  <c r="AJ253" i="11" s="1"/>
  <c r="AS254" i="11"/>
  <c r="AJ254" i="11" s="1"/>
  <c r="AS255" i="11"/>
  <c r="AJ255" i="11" s="1"/>
  <c r="AS256" i="11"/>
  <c r="AJ256" i="11" s="1"/>
  <c r="AS257" i="11"/>
  <c r="AJ257" i="11" s="1"/>
  <c r="AS258" i="11"/>
  <c r="AS259" i="11"/>
  <c r="AJ259" i="11" s="1"/>
  <c r="AS260" i="11"/>
  <c r="AJ260" i="11" s="1"/>
  <c r="AS261" i="11"/>
  <c r="AS262" i="11"/>
  <c r="AS263" i="11"/>
  <c r="AJ263" i="11" s="1"/>
  <c r="AS264" i="11"/>
  <c r="AS265" i="11"/>
  <c r="AJ265" i="11" s="1"/>
  <c r="AS266" i="11"/>
  <c r="AS267" i="11"/>
  <c r="AJ267" i="11" s="1"/>
  <c r="AS268" i="11"/>
  <c r="AJ268" i="11" s="1"/>
  <c r="AS269" i="11"/>
  <c r="AJ269" i="11" s="1"/>
  <c r="AS270" i="11"/>
  <c r="AJ270" i="11" s="1"/>
  <c r="AS271" i="11"/>
  <c r="AJ271" i="11" s="1"/>
  <c r="AS272" i="11"/>
  <c r="AJ272" i="11" s="1"/>
  <c r="AS273" i="11"/>
  <c r="AJ273" i="11" s="1"/>
  <c r="AS274" i="11"/>
  <c r="AS275" i="11"/>
  <c r="AJ275" i="11" s="1"/>
  <c r="AS276" i="11"/>
  <c r="AJ276" i="11" s="1"/>
  <c r="AS277" i="11"/>
  <c r="AS278" i="11"/>
  <c r="AS279" i="11"/>
  <c r="AJ279" i="11" s="1"/>
  <c r="AS280" i="11"/>
  <c r="AS281" i="11"/>
  <c r="AJ281" i="11" s="1"/>
  <c r="AS282" i="11"/>
  <c r="AS283" i="11"/>
  <c r="AJ283" i="11" s="1"/>
  <c r="AS284" i="11"/>
  <c r="AJ284" i="11" s="1"/>
  <c r="AS285" i="11"/>
  <c r="AJ285" i="11" s="1"/>
  <c r="AS286" i="11"/>
  <c r="AJ286" i="11" s="1"/>
  <c r="AS287" i="11"/>
  <c r="AJ287" i="11" s="1"/>
  <c r="AS288" i="11"/>
  <c r="AJ288" i="11" s="1"/>
  <c r="AS289" i="11"/>
  <c r="AJ289" i="11" s="1"/>
  <c r="AS290" i="11"/>
  <c r="AS291" i="11"/>
  <c r="AJ291" i="11" s="1"/>
  <c r="AS292" i="11"/>
  <c r="AJ292" i="11" s="1"/>
  <c r="AS293" i="11"/>
  <c r="AS294" i="11"/>
  <c r="AS295" i="11"/>
  <c r="AJ295" i="11" s="1"/>
  <c r="AS296" i="11"/>
  <c r="AS297" i="11"/>
  <c r="AJ297" i="11" s="1"/>
  <c r="AS298" i="11"/>
  <c r="AS299" i="11"/>
  <c r="AJ299" i="11" s="1"/>
  <c r="AS300" i="11"/>
  <c r="AJ300" i="11" s="1"/>
  <c r="AS301" i="11"/>
  <c r="AJ301" i="11" s="1"/>
  <c r="AS302" i="11"/>
  <c r="AJ302" i="11" s="1"/>
  <c r="AS303" i="11"/>
  <c r="AJ303" i="11" s="1"/>
  <c r="AS304" i="11"/>
  <c r="AJ304" i="11" s="1"/>
  <c r="AS305" i="11"/>
  <c r="AJ305" i="11" s="1"/>
  <c r="AS306" i="11"/>
  <c r="AS307" i="11"/>
  <c r="AJ307" i="11" s="1"/>
  <c r="AS308" i="11"/>
  <c r="AJ308" i="11" s="1"/>
  <c r="AS309" i="11"/>
  <c r="AS310" i="11"/>
  <c r="AS311" i="11"/>
  <c r="AJ311" i="11" s="1"/>
  <c r="AS312" i="11"/>
  <c r="AS313" i="11"/>
  <c r="AJ313" i="11" s="1"/>
  <c r="AS314" i="11"/>
  <c r="AS315" i="11"/>
  <c r="AJ315" i="11" s="1"/>
  <c r="AS316" i="11"/>
  <c r="AJ316" i="11" s="1"/>
  <c r="AS317" i="11"/>
  <c r="AJ317" i="11" s="1"/>
  <c r="AS318" i="11"/>
  <c r="AJ318" i="11" s="1"/>
  <c r="AS319" i="11"/>
  <c r="AJ319" i="11" s="1"/>
  <c r="AS320" i="11"/>
  <c r="AJ320" i="11" s="1"/>
  <c r="AS321" i="11"/>
  <c r="AJ321" i="11" s="1"/>
  <c r="AS322" i="11"/>
  <c r="AS323" i="11"/>
  <c r="AJ323" i="11" s="1"/>
  <c r="AS324" i="11"/>
  <c r="AJ324" i="11" s="1"/>
  <c r="AS325" i="11"/>
  <c r="AS326" i="11"/>
  <c r="AS327" i="11"/>
  <c r="AJ327" i="11" s="1"/>
  <c r="AS328" i="11"/>
  <c r="AS329" i="11"/>
  <c r="AJ329" i="11" s="1"/>
  <c r="AS330" i="11"/>
  <c r="AS331" i="11"/>
  <c r="AJ331" i="11" s="1"/>
  <c r="AS332" i="11"/>
  <c r="AJ332" i="11" s="1"/>
  <c r="AS333" i="11"/>
  <c r="AJ333" i="11" s="1"/>
  <c r="AS334" i="11"/>
  <c r="AJ334" i="11" s="1"/>
  <c r="AS335" i="11"/>
  <c r="AJ335" i="11" s="1"/>
  <c r="AS336" i="11"/>
  <c r="AJ336" i="11" s="1"/>
  <c r="AS337" i="11"/>
  <c r="AJ337" i="11" s="1"/>
  <c r="AS338" i="11"/>
  <c r="AS339" i="11"/>
  <c r="AJ339" i="11" s="1"/>
  <c r="AS340" i="11"/>
  <c r="AJ340" i="11" s="1"/>
  <c r="AS341" i="11"/>
  <c r="AS342" i="11"/>
  <c r="AS343" i="11"/>
  <c r="AJ343" i="11" s="1"/>
  <c r="AS344" i="11"/>
  <c r="AS345" i="11"/>
  <c r="AJ345" i="11" s="1"/>
  <c r="AS346" i="11"/>
  <c r="AS347" i="11"/>
  <c r="AJ347" i="11" s="1"/>
  <c r="AS348" i="11"/>
  <c r="AJ348" i="11" s="1"/>
  <c r="AS349" i="11"/>
  <c r="AJ349" i="11" s="1"/>
  <c r="AS350" i="11"/>
  <c r="AJ350" i="11" s="1"/>
  <c r="AS351" i="11"/>
  <c r="AJ351" i="11" s="1"/>
  <c r="AS352" i="11"/>
  <c r="AJ352" i="11" s="1"/>
  <c r="AS353" i="11"/>
  <c r="AJ353" i="11" s="1"/>
  <c r="AS354" i="11"/>
  <c r="AS355" i="11"/>
  <c r="AJ355" i="11" s="1"/>
  <c r="AS356" i="11"/>
  <c r="AJ356" i="11" s="1"/>
  <c r="AS357" i="11"/>
  <c r="AS358" i="11"/>
  <c r="AS359" i="11"/>
  <c r="AJ359" i="11" s="1"/>
  <c r="AS360" i="11"/>
  <c r="AS361" i="11"/>
  <c r="AJ361" i="11" s="1"/>
  <c r="AS362" i="11"/>
  <c r="AS363" i="11"/>
  <c r="AJ363" i="11" s="1"/>
  <c r="AS364" i="11"/>
  <c r="AJ364" i="11" s="1"/>
  <c r="AS365" i="11"/>
  <c r="AJ365" i="11" s="1"/>
  <c r="AS366" i="11"/>
  <c r="AJ366" i="11" s="1"/>
  <c r="AS367" i="11"/>
  <c r="AJ367" i="11" s="1"/>
  <c r="AS368" i="11"/>
  <c r="AJ368" i="11" s="1"/>
  <c r="AS369" i="11"/>
  <c r="AJ369" i="11" s="1"/>
  <c r="AS370" i="11"/>
  <c r="AS371" i="11"/>
  <c r="AJ371" i="11" s="1"/>
  <c r="AS372" i="11"/>
  <c r="AJ372" i="11" s="1"/>
  <c r="AS373" i="11"/>
  <c r="AS374" i="11"/>
  <c r="AS375" i="11"/>
  <c r="AJ375" i="11" s="1"/>
  <c r="AS376" i="11"/>
  <c r="AS377" i="11"/>
  <c r="AJ377" i="11" s="1"/>
  <c r="AS378" i="11"/>
  <c r="AS379" i="11"/>
  <c r="AJ379" i="11" s="1"/>
  <c r="AS380" i="11"/>
  <c r="AJ380" i="11" s="1"/>
  <c r="AS381" i="11"/>
  <c r="AJ381" i="11" s="1"/>
  <c r="AS382" i="11"/>
  <c r="AJ382" i="11" s="1"/>
  <c r="AS383" i="11"/>
  <c r="AJ383" i="11" s="1"/>
  <c r="AS384" i="11"/>
  <c r="AJ384" i="11" s="1"/>
  <c r="AS385" i="11"/>
  <c r="AJ385" i="11" s="1"/>
  <c r="AS386" i="11"/>
  <c r="AS387" i="11"/>
  <c r="AJ387" i="11" s="1"/>
  <c r="AS388" i="11"/>
  <c r="AJ388" i="11" s="1"/>
  <c r="AS389" i="11"/>
  <c r="AS390" i="11"/>
  <c r="AS391" i="11"/>
  <c r="AJ391" i="11" s="1"/>
  <c r="AS392" i="11"/>
  <c r="AS393" i="11"/>
  <c r="AJ393" i="11" s="1"/>
  <c r="AS394" i="11"/>
  <c r="AS395" i="11"/>
  <c r="AJ395" i="11" s="1"/>
  <c r="AS396" i="11"/>
  <c r="AJ396" i="11" s="1"/>
  <c r="AS397" i="11"/>
  <c r="AJ397" i="11" s="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Z19" i="11" s="1"/>
  <c r="AQ20" i="11"/>
  <c r="Z20" i="11" s="1"/>
  <c r="AQ21" i="11"/>
  <c r="Z21" i="11" s="1"/>
  <c r="AQ22" i="11"/>
  <c r="Z22" i="11" s="1"/>
  <c r="AQ23" i="11"/>
  <c r="Z23" i="11" s="1"/>
  <c r="AQ24" i="11"/>
  <c r="Z24" i="11" s="1"/>
  <c r="AQ25" i="11"/>
  <c r="AQ26" i="11"/>
  <c r="AQ27" i="11"/>
  <c r="Z27" i="11" s="1"/>
  <c r="AQ28" i="11"/>
  <c r="Z28" i="11" s="1"/>
  <c r="AQ29" i="11"/>
  <c r="Z29" i="11" s="1"/>
  <c r="AQ30" i="11"/>
  <c r="AQ31" i="11"/>
  <c r="AQ32" i="11"/>
  <c r="Z32" i="11" s="1"/>
  <c r="AQ33" i="11"/>
  <c r="AQ34" i="11"/>
  <c r="Z34" i="11" s="1"/>
  <c r="AQ35" i="11"/>
  <c r="Z35" i="11" s="1"/>
  <c r="AQ36" i="11"/>
  <c r="AQ37" i="11"/>
  <c r="Z37" i="11" s="1"/>
  <c r="AQ38" i="11"/>
  <c r="Z38" i="11" s="1"/>
  <c r="AQ39" i="11"/>
  <c r="AQ40" i="11"/>
  <c r="AQ41" i="11"/>
  <c r="Z41" i="11" s="1"/>
  <c r="AQ42" i="11"/>
  <c r="Z42" i="11" s="1"/>
  <c r="AQ43" i="11"/>
  <c r="Z43" i="11" s="1"/>
  <c r="AQ44" i="11"/>
  <c r="Z44" i="11" s="1"/>
  <c r="AQ45" i="11"/>
  <c r="AQ46" i="11"/>
  <c r="Z46" i="11" s="1"/>
  <c r="AQ47" i="11"/>
  <c r="Z47" i="11" s="1"/>
  <c r="AQ48" i="11"/>
  <c r="Z48" i="11" s="1"/>
  <c r="AQ49" i="11"/>
  <c r="Z49" i="11" s="1"/>
  <c r="AQ50" i="11"/>
  <c r="AQ51" i="11"/>
  <c r="Z51" i="11" s="1"/>
  <c r="AQ52" i="11"/>
  <c r="Z52" i="11" s="1"/>
  <c r="AQ53" i="11"/>
  <c r="Z53" i="11" s="1"/>
  <c r="AQ54" i="11"/>
  <c r="Z54" i="11" s="1"/>
  <c r="AQ55" i="11"/>
  <c r="AQ56" i="11"/>
  <c r="Z56" i="11" s="1"/>
  <c r="AQ57" i="11"/>
  <c r="AQ58" i="11"/>
  <c r="AQ59" i="11"/>
  <c r="Z59" i="11" s="1"/>
  <c r="AQ60" i="11"/>
  <c r="Z60" i="11" s="1"/>
  <c r="AQ61" i="11"/>
  <c r="AQ62" i="11"/>
  <c r="AQ63" i="11"/>
  <c r="Z63" i="11" s="1"/>
  <c r="AQ64" i="11"/>
  <c r="Z64" i="11" s="1"/>
  <c r="AQ65" i="11"/>
  <c r="Z65" i="11" s="1"/>
  <c r="AQ66" i="11"/>
  <c r="Z66" i="11" s="1"/>
  <c r="AQ67" i="11"/>
  <c r="Z67" i="11" s="1"/>
  <c r="AQ68" i="11"/>
  <c r="AQ69" i="11"/>
  <c r="AQ70" i="11"/>
  <c r="Z70" i="11" s="1"/>
  <c r="AQ71" i="11"/>
  <c r="AQ72" i="11"/>
  <c r="AQ73" i="11"/>
  <c r="AQ74" i="11"/>
  <c r="Z74" i="11" s="1"/>
  <c r="AQ75" i="11"/>
  <c r="Z75" i="11" s="1"/>
  <c r="AQ76" i="11"/>
  <c r="Z76" i="11" s="1"/>
  <c r="AQ77" i="11"/>
  <c r="Z77" i="11" s="1"/>
  <c r="AQ78" i="11"/>
  <c r="Z78" i="11" s="1"/>
  <c r="AQ79" i="11"/>
  <c r="Z79" i="11" s="1"/>
  <c r="AQ80" i="11"/>
  <c r="Z80" i="11" s="1"/>
  <c r="AQ81" i="11"/>
  <c r="AQ82" i="11"/>
  <c r="Z82" i="11" s="1"/>
  <c r="AQ83" i="11"/>
  <c r="Z83" i="11" s="1"/>
  <c r="AQ84" i="11"/>
  <c r="AQ85" i="11"/>
  <c r="AQ86" i="11"/>
  <c r="Z86" i="11" s="1"/>
  <c r="AQ87" i="11"/>
  <c r="AQ88" i="11"/>
  <c r="AQ89" i="11"/>
  <c r="Z89" i="11" s="1"/>
  <c r="AQ90" i="11"/>
  <c r="Z90" i="11" s="1"/>
  <c r="AQ91" i="11"/>
  <c r="Z91" i="11" s="1"/>
  <c r="AQ92" i="11"/>
  <c r="AQ93" i="11"/>
  <c r="AQ94" i="11"/>
  <c r="Z94" i="11" s="1"/>
  <c r="AQ95" i="11"/>
  <c r="Z95" i="11" s="1"/>
  <c r="AQ96" i="11"/>
  <c r="Z96" i="11" s="1"/>
  <c r="AQ97" i="11"/>
  <c r="AQ98" i="11"/>
  <c r="Z98" i="11" s="1"/>
  <c r="AQ99" i="11"/>
  <c r="Z99" i="11" s="1"/>
  <c r="AQ100" i="11"/>
  <c r="Z100" i="11" s="1"/>
  <c r="AQ101" i="11"/>
  <c r="Z101" i="11" s="1"/>
  <c r="AQ102" i="11"/>
  <c r="Z102" i="11" s="1"/>
  <c r="AQ103" i="11"/>
  <c r="AQ104" i="11"/>
  <c r="Z104" i="11" s="1"/>
  <c r="AQ105" i="11"/>
  <c r="Z105" i="11" s="1"/>
  <c r="AQ106" i="11"/>
  <c r="AQ107" i="11"/>
  <c r="Z107" i="11" s="1"/>
  <c r="AQ108" i="11"/>
  <c r="Z108" i="11" s="1"/>
  <c r="AQ109" i="11"/>
  <c r="AQ110" i="11"/>
  <c r="AQ111" i="11"/>
  <c r="Z111" i="11" s="1"/>
  <c r="AQ112" i="11"/>
  <c r="Z112" i="11" s="1"/>
  <c r="AQ113" i="11"/>
  <c r="Z113" i="11" s="1"/>
  <c r="AQ114" i="11"/>
  <c r="Z114" i="11" s="1"/>
  <c r="AQ115" i="11"/>
  <c r="Z115" i="11" s="1"/>
  <c r="AQ116" i="11"/>
  <c r="AQ117" i="11"/>
  <c r="Z117" i="11" s="1"/>
  <c r="AQ118" i="11"/>
  <c r="Z118" i="11" s="1"/>
  <c r="AQ119" i="11"/>
  <c r="Z119" i="11" s="1"/>
  <c r="AQ120" i="11"/>
  <c r="AQ121" i="11"/>
  <c r="AQ122" i="11"/>
  <c r="AQ123" i="11"/>
  <c r="Z123" i="11" s="1"/>
  <c r="AQ124" i="11"/>
  <c r="Z124" i="11" s="1"/>
  <c r="AQ125" i="11"/>
  <c r="Z125" i="11" s="1"/>
  <c r="AQ126" i="11"/>
  <c r="AQ127" i="11"/>
  <c r="Z127" i="11" s="1"/>
  <c r="AQ128" i="11"/>
  <c r="Z128" i="11" s="1"/>
  <c r="AQ129" i="11"/>
  <c r="Z129" i="11" s="1"/>
  <c r="AQ130" i="11"/>
  <c r="Z130" i="11" s="1"/>
  <c r="AQ131" i="11"/>
  <c r="Z131" i="11" s="1"/>
  <c r="AQ132" i="11"/>
  <c r="Z132" i="11" s="1"/>
  <c r="AQ133" i="11"/>
  <c r="Z133" i="11" s="1"/>
  <c r="AQ134" i="11"/>
  <c r="Z134" i="11" s="1"/>
  <c r="AQ135" i="11"/>
  <c r="Z135" i="11" s="1"/>
  <c r="AQ136" i="11"/>
  <c r="AQ137" i="11"/>
  <c r="Z137" i="11" s="1"/>
  <c r="AQ138" i="11"/>
  <c r="Z138" i="11" s="1"/>
  <c r="AQ139" i="11"/>
  <c r="Z139" i="11" s="1"/>
  <c r="AQ140" i="11"/>
  <c r="AQ141" i="11"/>
  <c r="AQ142" i="11"/>
  <c r="AQ143" i="11"/>
  <c r="AQ144" i="11"/>
  <c r="Z144" i="11" s="1"/>
  <c r="AQ145" i="11"/>
  <c r="Z145" i="11" s="1"/>
  <c r="AQ146" i="11"/>
  <c r="Z146" i="11" s="1"/>
  <c r="AQ147" i="11"/>
  <c r="Z147" i="11" s="1"/>
  <c r="AQ148" i="11"/>
  <c r="Z148" i="11" s="1"/>
  <c r="AQ149" i="11"/>
  <c r="Z149" i="11" s="1"/>
  <c r="AQ150" i="11"/>
  <c r="Z150" i="11" s="1"/>
  <c r="AQ151" i="11"/>
  <c r="Z151" i="11" s="1"/>
  <c r="AQ152" i="11"/>
  <c r="AQ153" i="11"/>
  <c r="AQ154" i="11"/>
  <c r="Z154" i="11" s="1"/>
  <c r="AQ155" i="11"/>
  <c r="Z155" i="11" s="1"/>
  <c r="AQ156" i="11"/>
  <c r="Z156" i="11" s="1"/>
  <c r="AQ157" i="11"/>
  <c r="AQ158" i="11"/>
  <c r="AQ159" i="11"/>
  <c r="AQ160" i="11"/>
  <c r="AQ161" i="11"/>
  <c r="Z161" i="11" s="1"/>
  <c r="AQ162" i="11"/>
  <c r="Z162" i="11" s="1"/>
  <c r="AQ163" i="11"/>
  <c r="Z163" i="11" s="1"/>
  <c r="AQ164" i="11"/>
  <c r="Z164" i="11" s="1"/>
  <c r="AQ165" i="11"/>
  <c r="Z165" i="11" s="1"/>
  <c r="AQ166" i="11"/>
  <c r="Z166" i="11" s="1"/>
  <c r="AQ167" i="11"/>
  <c r="Z167" i="11" s="1"/>
  <c r="AQ168" i="11"/>
  <c r="Z168" i="11" s="1"/>
  <c r="AQ169" i="11"/>
  <c r="AQ170" i="11"/>
  <c r="AQ171" i="11"/>
  <c r="Z171" i="11" s="1"/>
  <c r="AQ172" i="11"/>
  <c r="AQ173" i="11"/>
  <c r="AQ174" i="11"/>
  <c r="Z174" i="11" s="1"/>
  <c r="AQ175" i="11"/>
  <c r="AQ176" i="11"/>
  <c r="AQ177" i="11"/>
  <c r="AQ178" i="11"/>
  <c r="Z178" i="11" s="1"/>
  <c r="AQ179" i="11"/>
  <c r="Z179" i="11" s="1"/>
  <c r="AQ180" i="11"/>
  <c r="AQ181" i="11"/>
  <c r="AQ182" i="11"/>
  <c r="Z182" i="11" s="1"/>
  <c r="AQ183" i="11"/>
  <c r="Z183" i="11" s="1"/>
  <c r="AQ184" i="11"/>
  <c r="Z184" i="11" s="1"/>
  <c r="AQ185" i="11"/>
  <c r="Z185" i="11" s="1"/>
  <c r="AQ186" i="11"/>
  <c r="AQ187" i="11"/>
  <c r="Z187" i="11" s="1"/>
  <c r="AQ188" i="11"/>
  <c r="Z188" i="11" s="1"/>
  <c r="AQ189" i="11"/>
  <c r="AQ190" i="11"/>
  <c r="Z190" i="11" s="1"/>
  <c r="AQ191" i="11"/>
  <c r="AQ192" i="11"/>
  <c r="Z192" i="11" s="1"/>
  <c r="AQ193" i="11"/>
  <c r="AQ194" i="11"/>
  <c r="Z194" i="11" s="1"/>
  <c r="AQ195" i="11"/>
  <c r="Z195" i="11" s="1"/>
  <c r="AQ196" i="11"/>
  <c r="Z196" i="11" s="1"/>
  <c r="AQ197" i="11"/>
  <c r="Z197" i="11" s="1"/>
  <c r="AQ198" i="11"/>
  <c r="AQ199" i="11"/>
  <c r="Z199" i="11" s="1"/>
  <c r="AQ200" i="11"/>
  <c r="Z200" i="11" s="1"/>
  <c r="AQ201" i="11"/>
  <c r="AQ202" i="11"/>
  <c r="Z202" i="11" s="1"/>
  <c r="AQ203" i="11"/>
  <c r="Z203" i="11" s="1"/>
  <c r="AQ204" i="11"/>
  <c r="AQ205" i="11"/>
  <c r="Z205" i="11" s="1"/>
  <c r="AQ206" i="11"/>
  <c r="Z206" i="11" s="1"/>
  <c r="AQ207" i="11"/>
  <c r="Z207" i="11" s="1"/>
  <c r="AQ208" i="11"/>
  <c r="Z208" i="11" s="1"/>
  <c r="AQ209" i="11"/>
  <c r="Z209" i="11" s="1"/>
  <c r="AQ210" i="11"/>
  <c r="Z210" i="11" s="1"/>
  <c r="AQ211" i="11"/>
  <c r="Z211" i="11" s="1"/>
  <c r="AQ212" i="11"/>
  <c r="Z212" i="11" s="1"/>
  <c r="AQ213" i="11"/>
  <c r="AQ214" i="11"/>
  <c r="AQ215" i="11"/>
  <c r="AQ216" i="11"/>
  <c r="Z216" i="11" s="1"/>
  <c r="AQ217" i="11"/>
  <c r="Z217" i="11" s="1"/>
  <c r="AQ218" i="11"/>
  <c r="Z218" i="11" s="1"/>
  <c r="AQ219" i="11"/>
  <c r="Z219" i="11" s="1"/>
  <c r="AQ220" i="11"/>
  <c r="Z220" i="11" s="1"/>
  <c r="AQ221" i="11"/>
  <c r="Z221" i="11" s="1"/>
  <c r="AQ222" i="11"/>
  <c r="Z222" i="11" s="1"/>
  <c r="AQ223" i="11"/>
  <c r="Z223" i="11" s="1"/>
  <c r="AQ224" i="11"/>
  <c r="AQ225" i="11"/>
  <c r="AQ226" i="11"/>
  <c r="Z226" i="11" s="1"/>
  <c r="AQ227" i="11"/>
  <c r="Z227" i="11" s="1"/>
  <c r="AQ228" i="11"/>
  <c r="AQ229" i="11"/>
  <c r="AQ230" i="11"/>
  <c r="AQ231" i="11"/>
  <c r="AQ232" i="11"/>
  <c r="Z232" i="11" s="1"/>
  <c r="AQ233" i="11"/>
  <c r="Z233" i="11" s="1"/>
  <c r="AQ234" i="11"/>
  <c r="AQ235" i="11"/>
  <c r="Z235" i="11" s="1"/>
  <c r="AQ236" i="11"/>
  <c r="Z236" i="11" s="1"/>
  <c r="AQ237" i="11"/>
  <c r="Z237" i="11" s="1"/>
  <c r="AQ238" i="11"/>
  <c r="Z238" i="11" s="1"/>
  <c r="AQ239" i="11"/>
  <c r="Z239" i="11" s="1"/>
  <c r="AQ240" i="11"/>
  <c r="AQ241" i="11"/>
  <c r="Z241" i="11" s="1"/>
  <c r="AQ242" i="11"/>
  <c r="Z242" i="11" s="1"/>
  <c r="AQ243" i="11"/>
  <c r="Z243" i="11" s="1"/>
  <c r="AQ244" i="11"/>
  <c r="Z244" i="11" s="1"/>
  <c r="AQ245" i="11"/>
  <c r="Z245" i="11" s="1"/>
  <c r="AQ246" i="11"/>
  <c r="AQ247" i="11"/>
  <c r="AQ248" i="11"/>
  <c r="AQ249" i="11"/>
  <c r="Z249" i="11" s="1"/>
  <c r="AQ250" i="11"/>
  <c r="AQ251" i="11"/>
  <c r="Z251" i="11" s="1"/>
  <c r="AQ252" i="11"/>
  <c r="AQ253" i="11"/>
  <c r="Z253" i="11" s="1"/>
  <c r="AQ254" i="11"/>
  <c r="Z254" i="11" s="1"/>
  <c r="AQ255" i="11"/>
  <c r="Z255" i="11" s="1"/>
  <c r="AQ256" i="11"/>
  <c r="Z256" i="11" s="1"/>
  <c r="AQ257" i="11"/>
  <c r="Z257" i="11" s="1"/>
  <c r="AQ258" i="11"/>
  <c r="Z258" i="11" s="1"/>
  <c r="AQ259" i="11"/>
  <c r="Z259" i="11" s="1"/>
  <c r="AQ260" i="11"/>
  <c r="AQ261" i="11"/>
  <c r="AQ262" i="11"/>
  <c r="Z262" i="11" s="1"/>
  <c r="AQ263" i="11"/>
  <c r="AQ264" i="11"/>
  <c r="Z264" i="11" s="1"/>
  <c r="AQ265" i="11"/>
  <c r="AQ266" i="11"/>
  <c r="Z266" i="11" s="1"/>
  <c r="AQ267" i="11"/>
  <c r="AQ268" i="11"/>
  <c r="Z268" i="11" s="1"/>
  <c r="AQ269" i="11"/>
  <c r="Z269" i="11" s="1"/>
  <c r="AQ270" i="11"/>
  <c r="Z270" i="11" s="1"/>
  <c r="AQ271" i="11"/>
  <c r="Z271" i="11" s="1"/>
  <c r="AQ272" i="11"/>
  <c r="Z272" i="11" s="1"/>
  <c r="AQ273" i="11"/>
  <c r="Z273" i="11" s="1"/>
  <c r="AQ274" i="11"/>
  <c r="Z274" i="11" s="1"/>
  <c r="AQ275" i="11"/>
  <c r="Z275" i="11" s="1"/>
  <c r="AQ276" i="11"/>
  <c r="Z276" i="11" s="1"/>
  <c r="AQ277" i="11"/>
  <c r="Z277" i="11" s="1"/>
  <c r="AQ278" i="11"/>
  <c r="Z278" i="11" s="1"/>
  <c r="AQ279" i="11"/>
  <c r="Z279" i="11" s="1"/>
  <c r="AQ280" i="11"/>
  <c r="Z280" i="11" s="1"/>
  <c r="AQ281" i="11"/>
  <c r="Z281" i="11" s="1"/>
  <c r="AQ282" i="11"/>
  <c r="Z282" i="11" s="1"/>
  <c r="AQ283" i="11"/>
  <c r="Z283" i="11" s="1"/>
  <c r="AQ284" i="11"/>
  <c r="Z284" i="11" s="1"/>
  <c r="AQ285" i="11"/>
  <c r="AQ286" i="11"/>
  <c r="AQ287" i="11"/>
  <c r="AQ288" i="11"/>
  <c r="Z288" i="11" s="1"/>
  <c r="AQ289" i="11"/>
  <c r="AQ290" i="11"/>
  <c r="Z290" i="11" s="1"/>
  <c r="AQ291" i="11"/>
  <c r="Z291" i="11" s="1"/>
  <c r="AQ292" i="11"/>
  <c r="AQ293" i="11"/>
  <c r="Z293" i="11" s="1"/>
  <c r="AQ294" i="11"/>
  <c r="Z294" i="11" s="1"/>
  <c r="AQ295" i="11"/>
  <c r="Z295" i="11" s="1"/>
  <c r="AQ296" i="11"/>
  <c r="Z296" i="11" s="1"/>
  <c r="AQ297" i="11"/>
  <c r="AQ298" i="11"/>
  <c r="AQ299" i="11"/>
  <c r="AQ300" i="11"/>
  <c r="AQ301" i="11"/>
  <c r="AQ302" i="11"/>
  <c r="AQ303" i="11"/>
  <c r="AQ304" i="11"/>
  <c r="Z304" i="11" s="1"/>
  <c r="AQ305" i="11"/>
  <c r="Z305" i="11" s="1"/>
  <c r="AQ306" i="11"/>
  <c r="Z306" i="11" s="1"/>
  <c r="AQ307" i="11"/>
  <c r="Z307" i="11" s="1"/>
  <c r="AQ308" i="11"/>
  <c r="AQ309" i="11"/>
  <c r="Z309" i="11" s="1"/>
  <c r="AQ310" i="11"/>
  <c r="Z310" i="11" s="1"/>
  <c r="AQ311" i="11"/>
  <c r="Z311" i="11" s="1"/>
  <c r="AQ312" i="11"/>
  <c r="Z312" i="11" s="1"/>
  <c r="AQ313" i="11"/>
  <c r="AQ314" i="11"/>
  <c r="AQ315" i="11"/>
  <c r="AQ316" i="11"/>
  <c r="Z316" i="11" s="1"/>
  <c r="AQ317" i="11"/>
  <c r="Z317" i="11" s="1"/>
  <c r="AQ318" i="11"/>
  <c r="AQ319" i="11"/>
  <c r="AQ320" i="11"/>
  <c r="Z320" i="11" s="1"/>
  <c r="AQ321" i="11"/>
  <c r="AQ322" i="11"/>
  <c r="Z322" i="11" s="1"/>
  <c r="AQ323" i="11"/>
  <c r="Z323" i="11" s="1"/>
  <c r="AQ324" i="11"/>
  <c r="Z324" i="11" s="1"/>
  <c r="AQ325" i="11"/>
  <c r="Z325" i="11" s="1"/>
  <c r="AQ326" i="11"/>
  <c r="Z326" i="11" s="1"/>
  <c r="AQ327" i="11"/>
  <c r="Z327" i="11" s="1"/>
  <c r="AQ328" i="11"/>
  <c r="Z328" i="11" s="1"/>
  <c r="AQ329" i="11"/>
  <c r="Z329" i="11" s="1"/>
  <c r="AQ330" i="11"/>
  <c r="Z330" i="11" s="1"/>
  <c r="AQ331" i="11"/>
  <c r="Z331" i="11" s="1"/>
  <c r="AQ332" i="11"/>
  <c r="Z332" i="11" s="1"/>
  <c r="AQ333" i="11"/>
  <c r="AQ334" i="11"/>
  <c r="Z334" i="11" s="1"/>
  <c r="AQ335" i="11"/>
  <c r="AQ336" i="11"/>
  <c r="Z336" i="11" s="1"/>
  <c r="AQ337" i="11"/>
  <c r="AQ338" i="11"/>
  <c r="Z338" i="11" s="1"/>
  <c r="AQ339" i="11"/>
  <c r="Z339" i="11" s="1"/>
  <c r="AQ340" i="11"/>
  <c r="AQ341" i="11"/>
  <c r="Z341" i="11" s="1"/>
  <c r="AQ342" i="11"/>
  <c r="AQ343" i="11"/>
  <c r="Z343" i="11" s="1"/>
  <c r="AQ344" i="11"/>
  <c r="Z344" i="11" s="1"/>
  <c r="AQ345" i="11"/>
  <c r="Z345" i="11" s="1"/>
  <c r="AQ346" i="11"/>
  <c r="Z346" i="11" s="1"/>
  <c r="AQ347" i="11"/>
  <c r="Z347" i="11" s="1"/>
  <c r="AQ348" i="11"/>
  <c r="AQ349" i="11"/>
  <c r="Z349" i="11" s="1"/>
  <c r="AQ350" i="11"/>
  <c r="Z350" i="11" s="1"/>
  <c r="AQ351" i="11"/>
  <c r="Z351" i="11" s="1"/>
  <c r="AQ352" i="11"/>
  <c r="Z352" i="11" s="1"/>
  <c r="AQ353" i="11"/>
  <c r="Z353" i="11" s="1"/>
  <c r="AQ354" i="11"/>
  <c r="Z354" i="11" s="1"/>
  <c r="AQ355" i="11"/>
  <c r="Z355" i="11" s="1"/>
  <c r="AQ356" i="11"/>
  <c r="Z356" i="11" s="1"/>
  <c r="AQ357" i="11"/>
  <c r="AQ358" i="11"/>
  <c r="AQ359" i="11"/>
  <c r="AQ360" i="11"/>
  <c r="Z360" i="11" s="1"/>
  <c r="AQ361" i="11"/>
  <c r="Z361" i="11" s="1"/>
  <c r="AQ362" i="11"/>
  <c r="AQ363" i="11"/>
  <c r="Z363" i="11" s="1"/>
  <c r="AQ364" i="11"/>
  <c r="Z364" i="11" s="1"/>
  <c r="AQ365" i="11"/>
  <c r="Z365" i="11" s="1"/>
  <c r="AQ366" i="11"/>
  <c r="Z366" i="11" s="1"/>
  <c r="AQ367" i="11"/>
  <c r="Z367" i="11" s="1"/>
  <c r="AQ368" i="11"/>
  <c r="Z368" i="11" s="1"/>
  <c r="AQ369" i="11"/>
  <c r="AQ370" i="11"/>
  <c r="Z370" i="11" s="1"/>
  <c r="AQ371" i="11"/>
  <c r="Z371" i="11" s="1"/>
  <c r="AQ372" i="11"/>
  <c r="AQ373" i="11"/>
  <c r="AQ374" i="11"/>
  <c r="AQ375" i="11"/>
  <c r="AQ376" i="11"/>
  <c r="Z376" i="11" s="1"/>
  <c r="AQ377" i="11"/>
  <c r="Z377" i="11" s="1"/>
  <c r="AQ378" i="11"/>
  <c r="AQ379" i="11"/>
  <c r="Z379" i="11" s="1"/>
  <c r="AQ380" i="11"/>
  <c r="Z380" i="11" s="1"/>
  <c r="AQ381" i="11"/>
  <c r="AQ382" i="11"/>
  <c r="Z382" i="11" s="1"/>
  <c r="AQ383" i="11"/>
  <c r="Z383" i="11" s="1"/>
  <c r="AQ384" i="11"/>
  <c r="Z384" i="11" s="1"/>
  <c r="AQ385" i="11"/>
  <c r="Z385" i="11" s="1"/>
  <c r="AQ386" i="11"/>
  <c r="Z386" i="11" s="1"/>
  <c r="AQ387" i="11"/>
  <c r="Z387" i="11" s="1"/>
  <c r="AQ388" i="11"/>
  <c r="Z388" i="11" s="1"/>
  <c r="AQ389" i="11"/>
  <c r="Z389" i="11" s="1"/>
  <c r="AQ390" i="11"/>
  <c r="Z390" i="11" s="1"/>
  <c r="AQ391" i="11"/>
  <c r="Z391" i="11" s="1"/>
  <c r="AQ392" i="11"/>
  <c r="Z392" i="11" s="1"/>
  <c r="AQ393" i="11"/>
  <c r="AQ394" i="11"/>
  <c r="Z394" i="11" s="1"/>
  <c r="AQ395" i="11"/>
  <c r="Z395" i="11" s="1"/>
  <c r="AQ396" i="11"/>
  <c r="AQ397" i="11"/>
  <c r="AJ21" i="11"/>
  <c r="AJ22" i="11"/>
  <c r="AJ24" i="11"/>
  <c r="AJ26" i="11"/>
  <c r="AJ34" i="11"/>
  <c r="AJ37" i="11"/>
  <c r="AJ38" i="11"/>
  <c r="AJ40" i="11"/>
  <c r="AJ42" i="11"/>
  <c r="AJ50" i="11"/>
  <c r="AJ53" i="11"/>
  <c r="AJ54" i="11"/>
  <c r="AJ56" i="11"/>
  <c r="AJ58" i="11"/>
  <c r="AJ66" i="11"/>
  <c r="AJ69" i="11"/>
  <c r="AJ70" i="11"/>
  <c r="AJ72" i="11"/>
  <c r="AJ74" i="11"/>
  <c r="AJ82" i="11"/>
  <c r="AJ85" i="11"/>
  <c r="AJ86" i="11"/>
  <c r="AJ88" i="11"/>
  <c r="AJ90" i="11"/>
  <c r="AJ98" i="11"/>
  <c r="AJ101" i="11"/>
  <c r="AJ102" i="11"/>
  <c r="AJ104" i="11"/>
  <c r="AJ106" i="11"/>
  <c r="AJ114" i="11"/>
  <c r="AJ117" i="11"/>
  <c r="AJ118" i="11"/>
  <c r="AJ120" i="11"/>
  <c r="AJ122" i="11"/>
  <c r="AJ130" i="11"/>
  <c r="AJ133" i="11"/>
  <c r="AJ134" i="11"/>
  <c r="AJ136" i="11"/>
  <c r="AJ138" i="11"/>
  <c r="AJ146" i="11"/>
  <c r="AJ149" i="11"/>
  <c r="AJ150" i="11"/>
  <c r="AJ152" i="11"/>
  <c r="AJ154" i="11"/>
  <c r="AJ162" i="11"/>
  <c r="AJ165" i="11"/>
  <c r="AJ166" i="11"/>
  <c r="AJ168" i="11"/>
  <c r="AJ170" i="11"/>
  <c r="AJ178" i="11"/>
  <c r="AJ181" i="11"/>
  <c r="AJ182" i="11"/>
  <c r="AJ184" i="11"/>
  <c r="AJ186" i="11"/>
  <c r="AJ194" i="11"/>
  <c r="AJ197" i="11"/>
  <c r="AJ198" i="11"/>
  <c r="AJ200" i="11"/>
  <c r="AJ202" i="11"/>
  <c r="AJ210" i="11"/>
  <c r="AJ213" i="11"/>
  <c r="AJ214" i="11"/>
  <c r="AJ216" i="11"/>
  <c r="AJ218" i="11"/>
  <c r="AJ226" i="11"/>
  <c r="AJ229" i="11"/>
  <c r="AJ230" i="11"/>
  <c r="AJ232" i="11"/>
  <c r="AJ234" i="11"/>
  <c r="AJ242" i="11"/>
  <c r="AJ245" i="11"/>
  <c r="AJ246" i="11"/>
  <c r="AJ248" i="11"/>
  <c r="AJ250" i="11"/>
  <c r="AJ258" i="11"/>
  <c r="AJ261" i="11"/>
  <c r="AJ262" i="11"/>
  <c r="AJ264" i="11"/>
  <c r="AJ266" i="11"/>
  <c r="AJ274" i="11"/>
  <c r="AJ277" i="11"/>
  <c r="AJ278" i="11"/>
  <c r="AJ280" i="11"/>
  <c r="AJ282" i="11"/>
  <c r="AJ290" i="11"/>
  <c r="AJ293" i="11"/>
  <c r="AJ294" i="11"/>
  <c r="AJ296" i="11"/>
  <c r="AJ298" i="11"/>
  <c r="AJ306" i="11"/>
  <c r="AJ309" i="11"/>
  <c r="AJ310" i="11"/>
  <c r="AJ312" i="11"/>
  <c r="AJ314" i="11"/>
  <c r="AJ322" i="11"/>
  <c r="AJ325" i="11"/>
  <c r="AJ326" i="11"/>
  <c r="AJ328" i="11"/>
  <c r="AJ330" i="11"/>
  <c r="AJ338" i="11"/>
  <c r="AJ341" i="11"/>
  <c r="AJ342" i="11"/>
  <c r="AJ344" i="11"/>
  <c r="AJ346" i="11"/>
  <c r="AJ354" i="11"/>
  <c r="AJ357" i="11"/>
  <c r="AJ358" i="11"/>
  <c r="AJ360" i="11"/>
  <c r="AJ362" i="11"/>
  <c r="AJ370" i="11"/>
  <c r="AJ373" i="11"/>
  <c r="AJ374" i="11"/>
  <c r="AJ376" i="11"/>
  <c r="AJ378" i="11"/>
  <c r="AJ386" i="11"/>
  <c r="AJ389" i="11"/>
  <c r="AJ390" i="11"/>
  <c r="AJ392" i="11"/>
  <c r="AJ394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Z26" i="11"/>
  <c r="Z36" i="11"/>
  <c r="Z50" i="11"/>
  <c r="Z58" i="11"/>
  <c r="Z68" i="11"/>
  <c r="Z81" i="11"/>
  <c r="Z84" i="11"/>
  <c r="Z92" i="11"/>
  <c r="Z97" i="11"/>
  <c r="Z106" i="11"/>
  <c r="Z116" i="11"/>
  <c r="Z121" i="11"/>
  <c r="Z122" i="11"/>
  <c r="Z140" i="11"/>
  <c r="Z153" i="11"/>
  <c r="Z169" i="11"/>
  <c r="Z170" i="11"/>
  <c r="Z172" i="11"/>
  <c r="Z177" i="11"/>
  <c r="Z180" i="11"/>
  <c r="Z186" i="11"/>
  <c r="Z193" i="11"/>
  <c r="Z201" i="11"/>
  <c r="Z204" i="11"/>
  <c r="Z225" i="11"/>
  <c r="Z228" i="11"/>
  <c r="Z234" i="11"/>
  <c r="Z250" i="11"/>
  <c r="Z252" i="11"/>
  <c r="Z260" i="11"/>
  <c r="Z265" i="11"/>
  <c r="Z289" i="11"/>
  <c r="Z292" i="11"/>
  <c r="Z297" i="11"/>
  <c r="Z298" i="11"/>
  <c r="Z300" i="11"/>
  <c r="Z308" i="11"/>
  <c r="Z313" i="11"/>
  <c r="Z314" i="11"/>
  <c r="Z321" i="11"/>
  <c r="Z337" i="11"/>
  <c r="Z340" i="11"/>
  <c r="Z348" i="11"/>
  <c r="Z362" i="11"/>
  <c r="Z369" i="11"/>
  <c r="Z372" i="11"/>
  <c r="Z378" i="11"/>
  <c r="Z393" i="11"/>
  <c r="Z396" i="11"/>
  <c r="P27" i="11"/>
  <c r="P95" i="11"/>
  <c r="P159" i="11"/>
  <c r="P251" i="11"/>
  <c r="P331" i="11"/>
  <c r="Z25" i="11"/>
  <c r="Z30" i="11"/>
  <c r="Z31" i="11"/>
  <c r="Z33" i="11"/>
  <c r="Z39" i="11"/>
  <c r="Z40" i="11"/>
  <c r="Z45" i="11"/>
  <c r="Z55" i="11"/>
  <c r="Z57" i="11"/>
  <c r="Z61" i="11"/>
  <c r="Z62" i="11"/>
  <c r="Z69" i="11"/>
  <c r="Z71" i="11"/>
  <c r="Z72" i="11"/>
  <c r="Z73" i="11"/>
  <c r="Z85" i="11"/>
  <c r="Z87" i="11"/>
  <c r="Z88" i="11"/>
  <c r="Z93" i="11"/>
  <c r="Z103" i="11"/>
  <c r="Z109" i="11"/>
  <c r="Z110" i="11"/>
  <c r="Z120" i="11"/>
  <c r="Z126" i="11"/>
  <c r="Z136" i="11"/>
  <c r="Z141" i="11"/>
  <c r="Z142" i="11"/>
  <c r="Z143" i="11"/>
  <c r="Z152" i="11"/>
  <c r="Z157" i="11"/>
  <c r="Z158" i="11"/>
  <c r="Z159" i="11"/>
  <c r="Z160" i="11"/>
  <c r="Z173" i="11"/>
  <c r="Z175" i="11"/>
  <c r="Z176" i="11"/>
  <c r="Z181" i="11"/>
  <c r="Z189" i="11"/>
  <c r="Z191" i="11"/>
  <c r="Z198" i="11"/>
  <c r="Z213" i="11"/>
  <c r="Z214" i="11"/>
  <c r="Z215" i="11"/>
  <c r="Z224" i="11"/>
  <c r="Z229" i="11"/>
  <c r="Z230" i="11"/>
  <c r="Z231" i="11"/>
  <c r="Z240" i="11"/>
  <c r="Z246" i="11"/>
  <c r="Z247" i="11"/>
  <c r="Z248" i="11"/>
  <c r="Z261" i="11"/>
  <c r="Z263" i="11"/>
  <c r="Z267" i="11"/>
  <c r="Z285" i="11"/>
  <c r="Z286" i="11"/>
  <c r="Z287" i="11"/>
  <c r="Z299" i="11"/>
  <c r="Z301" i="11"/>
  <c r="Z302" i="11"/>
  <c r="Z303" i="11"/>
  <c r="Z315" i="11"/>
  <c r="Z318" i="11"/>
  <c r="Z319" i="11"/>
  <c r="Z333" i="11"/>
  <c r="Z335" i="11"/>
  <c r="Z342" i="11"/>
  <c r="Z357" i="11"/>
  <c r="Z358" i="11"/>
  <c r="Z359" i="11"/>
  <c r="Z373" i="11"/>
  <c r="Z374" i="11"/>
  <c r="Z375" i="11"/>
  <c r="Z381" i="11"/>
  <c r="Z39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P19" i="11" s="1"/>
  <c r="AO20" i="11"/>
  <c r="P20" i="11" s="1"/>
  <c r="AO21" i="11"/>
  <c r="P21" i="11" s="1"/>
  <c r="AO22" i="11"/>
  <c r="P22" i="11" s="1"/>
  <c r="AO23" i="11"/>
  <c r="P23" i="11" s="1"/>
  <c r="AO24" i="11"/>
  <c r="P24" i="11" s="1"/>
  <c r="AO25" i="11"/>
  <c r="P25" i="11" s="1"/>
  <c r="AO26" i="11"/>
  <c r="P26" i="11" s="1"/>
  <c r="AO27" i="11"/>
  <c r="AO28" i="11"/>
  <c r="P28" i="11" s="1"/>
  <c r="AO29" i="11"/>
  <c r="P29" i="11" s="1"/>
  <c r="AO30" i="11"/>
  <c r="P30" i="11" s="1"/>
  <c r="AO31" i="11"/>
  <c r="P31" i="11" s="1"/>
  <c r="AO32" i="11"/>
  <c r="P32" i="11" s="1"/>
  <c r="AO33" i="11"/>
  <c r="P33" i="11" s="1"/>
  <c r="AO34" i="11"/>
  <c r="P34" i="11" s="1"/>
  <c r="AO35" i="11"/>
  <c r="P35" i="11" s="1"/>
  <c r="AO36" i="11"/>
  <c r="P36" i="11" s="1"/>
  <c r="AO37" i="11"/>
  <c r="P37" i="11" s="1"/>
  <c r="AO38" i="11"/>
  <c r="P38" i="11" s="1"/>
  <c r="AO39" i="11"/>
  <c r="P39" i="11" s="1"/>
  <c r="AO40" i="11"/>
  <c r="P40" i="11" s="1"/>
  <c r="AO41" i="11"/>
  <c r="P41" i="11" s="1"/>
  <c r="AO42" i="11"/>
  <c r="P42" i="11" s="1"/>
  <c r="AO43" i="11"/>
  <c r="P43" i="11" s="1"/>
  <c r="AO44" i="11"/>
  <c r="P44" i="11" s="1"/>
  <c r="AO45" i="11"/>
  <c r="P45" i="11" s="1"/>
  <c r="AO46" i="11"/>
  <c r="P46" i="11" s="1"/>
  <c r="AO47" i="11"/>
  <c r="P47" i="11" s="1"/>
  <c r="AO48" i="11"/>
  <c r="P48" i="11" s="1"/>
  <c r="AO49" i="11"/>
  <c r="P49" i="11" s="1"/>
  <c r="AO50" i="11"/>
  <c r="P50" i="11" s="1"/>
  <c r="AO51" i="11"/>
  <c r="P51" i="11" s="1"/>
  <c r="AO52" i="11"/>
  <c r="P52" i="11" s="1"/>
  <c r="AO53" i="11"/>
  <c r="P53" i="11" s="1"/>
  <c r="AO54" i="11"/>
  <c r="P54" i="11" s="1"/>
  <c r="AO55" i="11"/>
  <c r="P55" i="11" s="1"/>
  <c r="AO56" i="11"/>
  <c r="P56" i="11" s="1"/>
  <c r="AO57" i="11"/>
  <c r="P57" i="11" s="1"/>
  <c r="AO58" i="11"/>
  <c r="P58" i="11" s="1"/>
  <c r="AO59" i="11"/>
  <c r="P59" i="11" s="1"/>
  <c r="AO60" i="11"/>
  <c r="P60" i="11" s="1"/>
  <c r="AO61" i="11"/>
  <c r="P61" i="11" s="1"/>
  <c r="AO62" i="11"/>
  <c r="P62" i="11" s="1"/>
  <c r="AO63" i="11"/>
  <c r="P63" i="11" s="1"/>
  <c r="AO64" i="11"/>
  <c r="P64" i="11" s="1"/>
  <c r="AO65" i="11"/>
  <c r="P65" i="11" s="1"/>
  <c r="AO66" i="11"/>
  <c r="P66" i="11" s="1"/>
  <c r="AO67" i="11"/>
  <c r="P67" i="11" s="1"/>
  <c r="AO68" i="11"/>
  <c r="P68" i="11" s="1"/>
  <c r="AO69" i="11"/>
  <c r="P69" i="11" s="1"/>
  <c r="AO70" i="11"/>
  <c r="P70" i="11" s="1"/>
  <c r="AO71" i="11"/>
  <c r="P71" i="11" s="1"/>
  <c r="AO72" i="11"/>
  <c r="P72" i="11" s="1"/>
  <c r="AO73" i="11"/>
  <c r="P73" i="11" s="1"/>
  <c r="AO74" i="11"/>
  <c r="P74" i="11" s="1"/>
  <c r="AO75" i="11"/>
  <c r="P75" i="11" s="1"/>
  <c r="AO76" i="11"/>
  <c r="P76" i="11" s="1"/>
  <c r="AO77" i="11"/>
  <c r="P77" i="11" s="1"/>
  <c r="AO78" i="11"/>
  <c r="P78" i="11" s="1"/>
  <c r="AO79" i="11"/>
  <c r="P79" i="11" s="1"/>
  <c r="AO80" i="11"/>
  <c r="P80" i="11" s="1"/>
  <c r="AO81" i="11"/>
  <c r="P81" i="11" s="1"/>
  <c r="AO82" i="11"/>
  <c r="P82" i="11" s="1"/>
  <c r="AO83" i="11"/>
  <c r="P83" i="11" s="1"/>
  <c r="AO84" i="11"/>
  <c r="P84" i="11" s="1"/>
  <c r="AO85" i="11"/>
  <c r="P85" i="11" s="1"/>
  <c r="AO86" i="11"/>
  <c r="P86" i="11" s="1"/>
  <c r="AO87" i="11"/>
  <c r="P87" i="11" s="1"/>
  <c r="AO88" i="11"/>
  <c r="P88" i="11" s="1"/>
  <c r="AO89" i="11"/>
  <c r="P89" i="11" s="1"/>
  <c r="AO90" i="11"/>
  <c r="P90" i="11" s="1"/>
  <c r="AO91" i="11"/>
  <c r="P91" i="11" s="1"/>
  <c r="AO92" i="11"/>
  <c r="P92" i="11" s="1"/>
  <c r="AO93" i="11"/>
  <c r="P93" i="11" s="1"/>
  <c r="AO94" i="11"/>
  <c r="P94" i="11" s="1"/>
  <c r="AO95" i="11"/>
  <c r="AO96" i="11"/>
  <c r="P96" i="11" s="1"/>
  <c r="AO97" i="11"/>
  <c r="P97" i="11" s="1"/>
  <c r="AO98" i="11"/>
  <c r="P98" i="11" s="1"/>
  <c r="AO99" i="11"/>
  <c r="P99" i="11" s="1"/>
  <c r="AO100" i="11"/>
  <c r="P100" i="11" s="1"/>
  <c r="AO101" i="11"/>
  <c r="P101" i="11" s="1"/>
  <c r="AO102" i="11"/>
  <c r="P102" i="11" s="1"/>
  <c r="AO103" i="11"/>
  <c r="P103" i="11" s="1"/>
  <c r="AO104" i="11"/>
  <c r="P104" i="11" s="1"/>
  <c r="AO105" i="11"/>
  <c r="P105" i="11" s="1"/>
  <c r="AO106" i="11"/>
  <c r="P106" i="11" s="1"/>
  <c r="AO107" i="11"/>
  <c r="P107" i="11" s="1"/>
  <c r="AO108" i="11"/>
  <c r="P108" i="11" s="1"/>
  <c r="AO109" i="11"/>
  <c r="P109" i="11" s="1"/>
  <c r="AO110" i="11"/>
  <c r="P110" i="11" s="1"/>
  <c r="AO111" i="11"/>
  <c r="P111" i="11" s="1"/>
  <c r="AO112" i="11"/>
  <c r="P112" i="11" s="1"/>
  <c r="AO113" i="11"/>
  <c r="P113" i="11" s="1"/>
  <c r="AO114" i="11"/>
  <c r="P114" i="11" s="1"/>
  <c r="AO115" i="11"/>
  <c r="P115" i="11" s="1"/>
  <c r="AO116" i="11"/>
  <c r="P116" i="11" s="1"/>
  <c r="AO117" i="11"/>
  <c r="P117" i="11" s="1"/>
  <c r="AO118" i="11"/>
  <c r="P118" i="11" s="1"/>
  <c r="AO119" i="11"/>
  <c r="P119" i="11" s="1"/>
  <c r="AO120" i="11"/>
  <c r="P120" i="11" s="1"/>
  <c r="AO121" i="11"/>
  <c r="P121" i="11" s="1"/>
  <c r="AO122" i="11"/>
  <c r="P122" i="11" s="1"/>
  <c r="AO123" i="11"/>
  <c r="P123" i="11" s="1"/>
  <c r="AO124" i="11"/>
  <c r="P124" i="11" s="1"/>
  <c r="AO125" i="11"/>
  <c r="P125" i="11" s="1"/>
  <c r="AO126" i="11"/>
  <c r="P126" i="11" s="1"/>
  <c r="AO127" i="11"/>
  <c r="P127" i="11" s="1"/>
  <c r="AO128" i="11"/>
  <c r="P128" i="11" s="1"/>
  <c r="AO129" i="11"/>
  <c r="P129" i="11" s="1"/>
  <c r="AO130" i="11"/>
  <c r="P130" i="11" s="1"/>
  <c r="AO131" i="11"/>
  <c r="P131" i="11" s="1"/>
  <c r="AO132" i="11"/>
  <c r="P132" i="11" s="1"/>
  <c r="AO133" i="11"/>
  <c r="P133" i="11" s="1"/>
  <c r="AO134" i="11"/>
  <c r="P134" i="11" s="1"/>
  <c r="AO135" i="11"/>
  <c r="P135" i="11" s="1"/>
  <c r="AO136" i="11"/>
  <c r="P136" i="11" s="1"/>
  <c r="AO137" i="11"/>
  <c r="P137" i="11" s="1"/>
  <c r="AO138" i="11"/>
  <c r="P138" i="11" s="1"/>
  <c r="AO139" i="11"/>
  <c r="P139" i="11" s="1"/>
  <c r="AO140" i="11"/>
  <c r="P140" i="11" s="1"/>
  <c r="AO141" i="11"/>
  <c r="P141" i="11" s="1"/>
  <c r="AO142" i="11"/>
  <c r="P142" i="11" s="1"/>
  <c r="AO143" i="11"/>
  <c r="P143" i="11" s="1"/>
  <c r="AO144" i="11"/>
  <c r="P144" i="11" s="1"/>
  <c r="AO145" i="11"/>
  <c r="P145" i="11" s="1"/>
  <c r="AO146" i="11"/>
  <c r="P146" i="11" s="1"/>
  <c r="AO147" i="11"/>
  <c r="P147" i="11" s="1"/>
  <c r="AO148" i="11"/>
  <c r="P148" i="11" s="1"/>
  <c r="AO149" i="11"/>
  <c r="P149" i="11" s="1"/>
  <c r="AO150" i="11"/>
  <c r="P150" i="11" s="1"/>
  <c r="AO151" i="11"/>
  <c r="P151" i="11" s="1"/>
  <c r="AO152" i="11"/>
  <c r="P152" i="11" s="1"/>
  <c r="AO153" i="11"/>
  <c r="P153" i="11" s="1"/>
  <c r="AO154" i="11"/>
  <c r="P154" i="11" s="1"/>
  <c r="AO155" i="11"/>
  <c r="P155" i="11" s="1"/>
  <c r="AO156" i="11"/>
  <c r="P156" i="11" s="1"/>
  <c r="AO157" i="11"/>
  <c r="P157" i="11" s="1"/>
  <c r="AO158" i="11"/>
  <c r="P158" i="11" s="1"/>
  <c r="AO159" i="11"/>
  <c r="AO160" i="11"/>
  <c r="P160" i="11" s="1"/>
  <c r="AO161" i="11"/>
  <c r="P161" i="11" s="1"/>
  <c r="AO162" i="11"/>
  <c r="P162" i="11" s="1"/>
  <c r="AO163" i="11"/>
  <c r="P163" i="11" s="1"/>
  <c r="AO164" i="11"/>
  <c r="P164" i="11" s="1"/>
  <c r="AO165" i="11"/>
  <c r="P165" i="11" s="1"/>
  <c r="AO166" i="11"/>
  <c r="P166" i="11" s="1"/>
  <c r="AO167" i="11"/>
  <c r="P167" i="11" s="1"/>
  <c r="AO168" i="11"/>
  <c r="P168" i="11" s="1"/>
  <c r="AO169" i="11"/>
  <c r="P169" i="11" s="1"/>
  <c r="AO170" i="11"/>
  <c r="P170" i="11" s="1"/>
  <c r="AO171" i="11"/>
  <c r="P171" i="11" s="1"/>
  <c r="AO172" i="11"/>
  <c r="P172" i="11" s="1"/>
  <c r="AO173" i="11"/>
  <c r="P173" i="11" s="1"/>
  <c r="AO174" i="11"/>
  <c r="P174" i="11" s="1"/>
  <c r="AO175" i="11"/>
  <c r="P175" i="11" s="1"/>
  <c r="AO176" i="11"/>
  <c r="P176" i="11" s="1"/>
  <c r="AO177" i="11"/>
  <c r="P177" i="11" s="1"/>
  <c r="AO178" i="11"/>
  <c r="P178" i="11" s="1"/>
  <c r="AO179" i="11"/>
  <c r="P179" i="11" s="1"/>
  <c r="AO180" i="11"/>
  <c r="P180" i="11" s="1"/>
  <c r="AO181" i="11"/>
  <c r="P181" i="11" s="1"/>
  <c r="AO182" i="11"/>
  <c r="P182" i="11" s="1"/>
  <c r="AO183" i="11"/>
  <c r="P183" i="11" s="1"/>
  <c r="AO184" i="11"/>
  <c r="P184" i="11" s="1"/>
  <c r="AO185" i="11"/>
  <c r="P185" i="11" s="1"/>
  <c r="AO186" i="11"/>
  <c r="P186" i="11" s="1"/>
  <c r="AO187" i="11"/>
  <c r="P187" i="11" s="1"/>
  <c r="AO188" i="11"/>
  <c r="P188" i="11" s="1"/>
  <c r="AO189" i="11"/>
  <c r="P189" i="11" s="1"/>
  <c r="AO190" i="11"/>
  <c r="P190" i="11" s="1"/>
  <c r="AO191" i="11"/>
  <c r="P191" i="11" s="1"/>
  <c r="AO192" i="11"/>
  <c r="P192" i="11" s="1"/>
  <c r="AO193" i="11"/>
  <c r="P193" i="11" s="1"/>
  <c r="AO194" i="11"/>
  <c r="P194" i="11" s="1"/>
  <c r="AO195" i="11"/>
  <c r="P195" i="11" s="1"/>
  <c r="AO196" i="11"/>
  <c r="P196" i="11" s="1"/>
  <c r="AO197" i="11"/>
  <c r="P197" i="11" s="1"/>
  <c r="AO198" i="11"/>
  <c r="P198" i="11" s="1"/>
  <c r="AO199" i="11"/>
  <c r="P199" i="11" s="1"/>
  <c r="AO200" i="11"/>
  <c r="P200" i="11" s="1"/>
  <c r="AO201" i="11"/>
  <c r="P201" i="11" s="1"/>
  <c r="AO202" i="11"/>
  <c r="P202" i="11" s="1"/>
  <c r="AO203" i="11"/>
  <c r="P203" i="11" s="1"/>
  <c r="AO204" i="11"/>
  <c r="P204" i="11" s="1"/>
  <c r="AO205" i="11"/>
  <c r="P205" i="11" s="1"/>
  <c r="AO206" i="11"/>
  <c r="P206" i="11" s="1"/>
  <c r="AO207" i="11"/>
  <c r="P207" i="11" s="1"/>
  <c r="AO208" i="11"/>
  <c r="P208" i="11" s="1"/>
  <c r="AO209" i="11"/>
  <c r="P209" i="11" s="1"/>
  <c r="AO210" i="11"/>
  <c r="P210" i="11" s="1"/>
  <c r="AO211" i="11"/>
  <c r="P211" i="11" s="1"/>
  <c r="AO212" i="11"/>
  <c r="P212" i="11" s="1"/>
  <c r="AO213" i="11"/>
  <c r="P213" i="11" s="1"/>
  <c r="AO214" i="11"/>
  <c r="P214" i="11" s="1"/>
  <c r="AO215" i="11"/>
  <c r="P215" i="11" s="1"/>
  <c r="AO216" i="11"/>
  <c r="P216" i="11" s="1"/>
  <c r="AO217" i="11"/>
  <c r="P217" i="11" s="1"/>
  <c r="AO218" i="11"/>
  <c r="P218" i="11" s="1"/>
  <c r="AO219" i="11"/>
  <c r="P219" i="11" s="1"/>
  <c r="AO220" i="11"/>
  <c r="P220" i="11" s="1"/>
  <c r="AO221" i="11"/>
  <c r="P221" i="11" s="1"/>
  <c r="AO222" i="11"/>
  <c r="P222" i="11" s="1"/>
  <c r="AO223" i="11"/>
  <c r="P223" i="11" s="1"/>
  <c r="AO224" i="11"/>
  <c r="P224" i="11" s="1"/>
  <c r="AO225" i="11"/>
  <c r="P225" i="11" s="1"/>
  <c r="AO226" i="11"/>
  <c r="P226" i="11" s="1"/>
  <c r="AO227" i="11"/>
  <c r="P227" i="11" s="1"/>
  <c r="AO228" i="11"/>
  <c r="P228" i="11" s="1"/>
  <c r="AO229" i="11"/>
  <c r="P229" i="11" s="1"/>
  <c r="AO230" i="11"/>
  <c r="P230" i="11" s="1"/>
  <c r="AO231" i="11"/>
  <c r="P231" i="11" s="1"/>
  <c r="AO232" i="11"/>
  <c r="P232" i="11" s="1"/>
  <c r="AO233" i="11"/>
  <c r="P233" i="11" s="1"/>
  <c r="AO234" i="11"/>
  <c r="P234" i="11" s="1"/>
  <c r="AO235" i="11"/>
  <c r="P235" i="11" s="1"/>
  <c r="AO236" i="11"/>
  <c r="P236" i="11" s="1"/>
  <c r="AO237" i="11"/>
  <c r="P237" i="11" s="1"/>
  <c r="AO238" i="11"/>
  <c r="P238" i="11" s="1"/>
  <c r="AO239" i="11"/>
  <c r="P239" i="11" s="1"/>
  <c r="AO240" i="11"/>
  <c r="P240" i="11" s="1"/>
  <c r="AO241" i="11"/>
  <c r="P241" i="11" s="1"/>
  <c r="AO242" i="11"/>
  <c r="P242" i="11" s="1"/>
  <c r="AO243" i="11"/>
  <c r="P243" i="11" s="1"/>
  <c r="AO244" i="11"/>
  <c r="P244" i="11" s="1"/>
  <c r="AO245" i="11"/>
  <c r="P245" i="11" s="1"/>
  <c r="AO246" i="11"/>
  <c r="P246" i="11" s="1"/>
  <c r="AO247" i="11"/>
  <c r="P247" i="11" s="1"/>
  <c r="AO248" i="11"/>
  <c r="P248" i="11" s="1"/>
  <c r="AO249" i="11"/>
  <c r="P249" i="11" s="1"/>
  <c r="AO250" i="11"/>
  <c r="P250" i="11" s="1"/>
  <c r="AO251" i="11"/>
  <c r="AO252" i="11"/>
  <c r="P252" i="11" s="1"/>
  <c r="AO253" i="11"/>
  <c r="P253" i="11" s="1"/>
  <c r="AO254" i="11"/>
  <c r="P254" i="11" s="1"/>
  <c r="AO255" i="11"/>
  <c r="P255" i="11" s="1"/>
  <c r="AO256" i="11"/>
  <c r="P256" i="11" s="1"/>
  <c r="AO257" i="11"/>
  <c r="P257" i="11" s="1"/>
  <c r="AO258" i="11"/>
  <c r="P258" i="11" s="1"/>
  <c r="AO259" i="11"/>
  <c r="P259" i="11" s="1"/>
  <c r="AO260" i="11"/>
  <c r="P260" i="11" s="1"/>
  <c r="AO261" i="11"/>
  <c r="P261" i="11" s="1"/>
  <c r="AO262" i="11"/>
  <c r="P262" i="11" s="1"/>
  <c r="AO263" i="11"/>
  <c r="P263" i="11" s="1"/>
  <c r="AO264" i="11"/>
  <c r="P264" i="11" s="1"/>
  <c r="AO265" i="11"/>
  <c r="P265" i="11" s="1"/>
  <c r="AO266" i="11"/>
  <c r="P266" i="11" s="1"/>
  <c r="AO267" i="11"/>
  <c r="P267" i="11" s="1"/>
  <c r="AO268" i="11"/>
  <c r="P268" i="11" s="1"/>
  <c r="AO269" i="11"/>
  <c r="P269" i="11" s="1"/>
  <c r="AO270" i="11"/>
  <c r="P270" i="11" s="1"/>
  <c r="AO271" i="11"/>
  <c r="P271" i="11" s="1"/>
  <c r="AO272" i="11"/>
  <c r="P272" i="11" s="1"/>
  <c r="AO273" i="11"/>
  <c r="P273" i="11" s="1"/>
  <c r="AO274" i="11"/>
  <c r="P274" i="11" s="1"/>
  <c r="AO275" i="11"/>
  <c r="P275" i="11" s="1"/>
  <c r="AO276" i="11"/>
  <c r="P276" i="11" s="1"/>
  <c r="AO277" i="11"/>
  <c r="P277" i="11" s="1"/>
  <c r="AO278" i="11"/>
  <c r="P278" i="11" s="1"/>
  <c r="AO279" i="11"/>
  <c r="P279" i="11" s="1"/>
  <c r="AO280" i="11"/>
  <c r="P280" i="11" s="1"/>
  <c r="AO281" i="11"/>
  <c r="P281" i="11" s="1"/>
  <c r="AO282" i="11"/>
  <c r="P282" i="11" s="1"/>
  <c r="AO283" i="11"/>
  <c r="P283" i="11" s="1"/>
  <c r="AO284" i="11"/>
  <c r="P284" i="11" s="1"/>
  <c r="AO285" i="11"/>
  <c r="P285" i="11" s="1"/>
  <c r="AO286" i="11"/>
  <c r="P286" i="11" s="1"/>
  <c r="AO287" i="11"/>
  <c r="P287" i="11" s="1"/>
  <c r="AO288" i="11"/>
  <c r="P288" i="11" s="1"/>
  <c r="AO289" i="11"/>
  <c r="P289" i="11" s="1"/>
  <c r="AO290" i="11"/>
  <c r="P290" i="11" s="1"/>
  <c r="AO291" i="11"/>
  <c r="P291" i="11" s="1"/>
  <c r="AO292" i="11"/>
  <c r="P292" i="11" s="1"/>
  <c r="AO293" i="11"/>
  <c r="P293" i="11" s="1"/>
  <c r="AO294" i="11"/>
  <c r="P294" i="11" s="1"/>
  <c r="AO295" i="11"/>
  <c r="P295" i="11" s="1"/>
  <c r="AO296" i="11"/>
  <c r="P296" i="11" s="1"/>
  <c r="AO297" i="11"/>
  <c r="P297" i="11" s="1"/>
  <c r="AO298" i="11"/>
  <c r="P298" i="11" s="1"/>
  <c r="AO299" i="11"/>
  <c r="P299" i="11" s="1"/>
  <c r="AO300" i="11"/>
  <c r="P300" i="11" s="1"/>
  <c r="AO301" i="11"/>
  <c r="P301" i="11" s="1"/>
  <c r="AO302" i="11"/>
  <c r="P302" i="11" s="1"/>
  <c r="AO303" i="11"/>
  <c r="P303" i="11" s="1"/>
  <c r="AO304" i="11"/>
  <c r="P304" i="11" s="1"/>
  <c r="AO305" i="11"/>
  <c r="P305" i="11" s="1"/>
  <c r="AO306" i="11"/>
  <c r="P306" i="11" s="1"/>
  <c r="AO307" i="11"/>
  <c r="P307" i="11" s="1"/>
  <c r="AO308" i="11"/>
  <c r="P308" i="11" s="1"/>
  <c r="AO309" i="11"/>
  <c r="P309" i="11" s="1"/>
  <c r="AO310" i="11"/>
  <c r="P310" i="11" s="1"/>
  <c r="AO311" i="11"/>
  <c r="P311" i="11" s="1"/>
  <c r="AO312" i="11"/>
  <c r="P312" i="11" s="1"/>
  <c r="AO313" i="11"/>
  <c r="P313" i="11" s="1"/>
  <c r="AO314" i="11"/>
  <c r="P314" i="11" s="1"/>
  <c r="AO315" i="11"/>
  <c r="P315" i="11" s="1"/>
  <c r="AO316" i="11"/>
  <c r="P316" i="11" s="1"/>
  <c r="AO317" i="11"/>
  <c r="P317" i="11" s="1"/>
  <c r="AO318" i="11"/>
  <c r="P318" i="11" s="1"/>
  <c r="AO319" i="11"/>
  <c r="P319" i="11" s="1"/>
  <c r="AO320" i="11"/>
  <c r="P320" i="11" s="1"/>
  <c r="AO321" i="11"/>
  <c r="P321" i="11" s="1"/>
  <c r="AO322" i="11"/>
  <c r="P322" i="11" s="1"/>
  <c r="AO323" i="11"/>
  <c r="P323" i="11" s="1"/>
  <c r="AO324" i="11"/>
  <c r="P324" i="11" s="1"/>
  <c r="AO325" i="11"/>
  <c r="P325" i="11" s="1"/>
  <c r="AO326" i="11"/>
  <c r="P326" i="11" s="1"/>
  <c r="AO327" i="11"/>
  <c r="P327" i="11" s="1"/>
  <c r="AO328" i="11"/>
  <c r="P328" i="11" s="1"/>
  <c r="AO329" i="11"/>
  <c r="P329" i="11" s="1"/>
  <c r="AO330" i="11"/>
  <c r="P330" i="11" s="1"/>
  <c r="AO331" i="11"/>
  <c r="AO332" i="11"/>
  <c r="P332" i="11" s="1"/>
  <c r="AO333" i="11"/>
  <c r="P333" i="11" s="1"/>
  <c r="AO334" i="11"/>
  <c r="P334" i="11" s="1"/>
  <c r="AO335" i="11"/>
  <c r="P335" i="11" s="1"/>
  <c r="AO336" i="11"/>
  <c r="P336" i="11" s="1"/>
  <c r="AO337" i="11"/>
  <c r="P337" i="11" s="1"/>
  <c r="AO338" i="11"/>
  <c r="P338" i="11" s="1"/>
  <c r="AO339" i="11"/>
  <c r="P339" i="11" s="1"/>
  <c r="AO340" i="11"/>
  <c r="P340" i="11" s="1"/>
  <c r="AO341" i="11"/>
  <c r="P341" i="11" s="1"/>
  <c r="AO342" i="11"/>
  <c r="P342" i="11" s="1"/>
  <c r="AO343" i="11"/>
  <c r="P343" i="11" s="1"/>
  <c r="AO344" i="11"/>
  <c r="P344" i="11" s="1"/>
  <c r="AO345" i="11"/>
  <c r="P345" i="11" s="1"/>
  <c r="AO346" i="11"/>
  <c r="P346" i="11" s="1"/>
  <c r="AO347" i="11"/>
  <c r="P347" i="11" s="1"/>
  <c r="AO348" i="11"/>
  <c r="P348" i="11" s="1"/>
  <c r="AO349" i="11"/>
  <c r="P349" i="11" s="1"/>
  <c r="AO350" i="11"/>
  <c r="P350" i="11" s="1"/>
  <c r="AO351" i="11"/>
  <c r="P351" i="11" s="1"/>
  <c r="AO352" i="11"/>
  <c r="P352" i="11" s="1"/>
  <c r="AO353" i="11"/>
  <c r="P353" i="11" s="1"/>
  <c r="AO354" i="11"/>
  <c r="P354" i="11" s="1"/>
  <c r="AO355" i="11"/>
  <c r="P355" i="11" s="1"/>
  <c r="AO356" i="11"/>
  <c r="P356" i="11" s="1"/>
  <c r="AO357" i="11"/>
  <c r="P357" i="11" s="1"/>
  <c r="AO358" i="11"/>
  <c r="P358" i="11" s="1"/>
  <c r="AO359" i="11"/>
  <c r="P359" i="11" s="1"/>
  <c r="AO360" i="11"/>
  <c r="P360" i="11" s="1"/>
  <c r="AO361" i="11"/>
  <c r="P361" i="11" s="1"/>
  <c r="AO362" i="11"/>
  <c r="P362" i="11" s="1"/>
  <c r="AO363" i="11"/>
  <c r="P363" i="11" s="1"/>
  <c r="AO364" i="11"/>
  <c r="P364" i="11" s="1"/>
  <c r="AO365" i="11"/>
  <c r="P365" i="11" s="1"/>
  <c r="AO366" i="11"/>
  <c r="P366" i="11" s="1"/>
  <c r="AO367" i="11"/>
  <c r="P367" i="11" s="1"/>
  <c r="AO368" i="11"/>
  <c r="P368" i="11" s="1"/>
  <c r="AO369" i="11"/>
  <c r="P369" i="11" s="1"/>
  <c r="AO370" i="11"/>
  <c r="P370" i="11" s="1"/>
  <c r="AO371" i="11"/>
  <c r="P371" i="11" s="1"/>
  <c r="AO372" i="11"/>
  <c r="P372" i="11" s="1"/>
  <c r="AO373" i="11"/>
  <c r="P373" i="11" s="1"/>
  <c r="AO374" i="11"/>
  <c r="P374" i="11" s="1"/>
  <c r="AO375" i="11"/>
  <c r="P375" i="11" s="1"/>
  <c r="AO376" i="11"/>
  <c r="P376" i="11" s="1"/>
  <c r="AO377" i="11"/>
  <c r="P377" i="11" s="1"/>
  <c r="AO378" i="11"/>
  <c r="P378" i="11" s="1"/>
  <c r="AO379" i="11"/>
  <c r="P379" i="11" s="1"/>
  <c r="AO380" i="11"/>
  <c r="P380" i="11" s="1"/>
  <c r="AO381" i="11"/>
  <c r="P381" i="11" s="1"/>
  <c r="AO382" i="11"/>
  <c r="P382" i="11" s="1"/>
  <c r="AO383" i="11"/>
  <c r="P383" i="11" s="1"/>
  <c r="AO384" i="11"/>
  <c r="P384" i="11" s="1"/>
  <c r="AO385" i="11"/>
  <c r="P385" i="11" s="1"/>
  <c r="AO386" i="11"/>
  <c r="P386" i="11" s="1"/>
  <c r="AO387" i="11"/>
  <c r="P387" i="11" s="1"/>
  <c r="AO388" i="11"/>
  <c r="P388" i="11" s="1"/>
  <c r="AO389" i="11"/>
  <c r="P389" i="11" s="1"/>
  <c r="AO390" i="11"/>
  <c r="P390" i="11" s="1"/>
  <c r="AO391" i="11"/>
  <c r="P391" i="11" s="1"/>
  <c r="AO392" i="11"/>
  <c r="P392" i="11" s="1"/>
  <c r="AO393" i="11"/>
  <c r="P393" i="11" s="1"/>
  <c r="AO394" i="11"/>
  <c r="P394" i="11" s="1"/>
  <c r="AO395" i="11"/>
  <c r="P395" i="11" s="1"/>
  <c r="AO396" i="11"/>
  <c r="P396" i="11" s="1"/>
  <c r="AO397" i="11"/>
  <c r="P397" i="11" s="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E129" i="11"/>
  <c r="AE130" i="11"/>
  <c r="AE131" i="11"/>
  <c r="AE132" i="11"/>
  <c r="AE133" i="11"/>
  <c r="AE134" i="11"/>
  <c r="AE135" i="11"/>
  <c r="AE136" i="11"/>
  <c r="AE137" i="11"/>
  <c r="AE138" i="11"/>
  <c r="AE139" i="11"/>
  <c r="AE140" i="11"/>
  <c r="AE141" i="11"/>
  <c r="AE142" i="11"/>
  <c r="AE143" i="11"/>
  <c r="AE144" i="11"/>
  <c r="AE145" i="11"/>
  <c r="AE146" i="11"/>
  <c r="AE147" i="11"/>
  <c r="AE148" i="11"/>
  <c r="AE149" i="11"/>
  <c r="AE150" i="11"/>
  <c r="AE151" i="11"/>
  <c r="AE152" i="11"/>
  <c r="AE153" i="11"/>
  <c r="AE154" i="11"/>
  <c r="AE155" i="11"/>
  <c r="AE156" i="11"/>
  <c r="AE157" i="11"/>
  <c r="AE158" i="11"/>
  <c r="AE159" i="11"/>
  <c r="AE160" i="11"/>
  <c r="AE161" i="11"/>
  <c r="AE162" i="11"/>
  <c r="AE163" i="11"/>
  <c r="AE164" i="11"/>
  <c r="AE165" i="11"/>
  <c r="AE166" i="11"/>
  <c r="AE167" i="11"/>
  <c r="AE168" i="11"/>
  <c r="AE169" i="11"/>
  <c r="AE170" i="11"/>
  <c r="AE171" i="11"/>
  <c r="AE172" i="11"/>
  <c r="AE173" i="11"/>
  <c r="AE174" i="11"/>
  <c r="AE175" i="11"/>
  <c r="AE176" i="11"/>
  <c r="AE177" i="11"/>
  <c r="AE178" i="11"/>
  <c r="AE179" i="11"/>
  <c r="AE180" i="11"/>
  <c r="AE181" i="11"/>
  <c r="AE182" i="11"/>
  <c r="AE183" i="11"/>
  <c r="AE184" i="11"/>
  <c r="AE185" i="11"/>
  <c r="AE186" i="11"/>
  <c r="AE187" i="11"/>
  <c r="AE188" i="11"/>
  <c r="AE189" i="11"/>
  <c r="AE190" i="11"/>
  <c r="AE191" i="11"/>
  <c r="AE192" i="11"/>
  <c r="AE193" i="11"/>
  <c r="AE194" i="11"/>
  <c r="AE195" i="11"/>
  <c r="AE196" i="11"/>
  <c r="AE197" i="11"/>
  <c r="AE198" i="11"/>
  <c r="AE199" i="11"/>
  <c r="AE200" i="11"/>
  <c r="AE201" i="11"/>
  <c r="AE202" i="11"/>
  <c r="AE203" i="11"/>
  <c r="AE204" i="11"/>
  <c r="AE205" i="11"/>
  <c r="AE206" i="11"/>
  <c r="AE207" i="11"/>
  <c r="AE208" i="11"/>
  <c r="AE209" i="11"/>
  <c r="AE210" i="11"/>
  <c r="AE211" i="11"/>
  <c r="AE212" i="11"/>
  <c r="AE213" i="11"/>
  <c r="AE214" i="11"/>
  <c r="AE215" i="11"/>
  <c r="AE216" i="11"/>
  <c r="AE217" i="11"/>
  <c r="AE218" i="11"/>
  <c r="AE219" i="11"/>
  <c r="AE220" i="11"/>
  <c r="AE221" i="11"/>
  <c r="AE222" i="11"/>
  <c r="AE223" i="11"/>
  <c r="AE224" i="11"/>
  <c r="AE225" i="11"/>
  <c r="AE226" i="11"/>
  <c r="AE227" i="11"/>
  <c r="AE228" i="11"/>
  <c r="AE229" i="11"/>
  <c r="AE230" i="11"/>
  <c r="AE231" i="11"/>
  <c r="AE232" i="11"/>
  <c r="AE233" i="11"/>
  <c r="AE234" i="11"/>
  <c r="AE235" i="11"/>
  <c r="AE236" i="11"/>
  <c r="AE237" i="11"/>
  <c r="AE238" i="11"/>
  <c r="AE239" i="11"/>
  <c r="AE240" i="11"/>
  <c r="AE241" i="11"/>
  <c r="AE242" i="11"/>
  <c r="AE243" i="11"/>
  <c r="AE244" i="11"/>
  <c r="AE245" i="11"/>
  <c r="AE246" i="11"/>
  <c r="AE247" i="11"/>
  <c r="AE248" i="11"/>
  <c r="AE249" i="11"/>
  <c r="AE250" i="11"/>
  <c r="AE251" i="11"/>
  <c r="AE252" i="11"/>
  <c r="AE253" i="11"/>
  <c r="AE254" i="11"/>
  <c r="AE255" i="11"/>
  <c r="AE256" i="11"/>
  <c r="AE257" i="11"/>
  <c r="AE258" i="11"/>
  <c r="AE259" i="11"/>
  <c r="AE260" i="11"/>
  <c r="AE261" i="11"/>
  <c r="AE262" i="11"/>
  <c r="AE263" i="11"/>
  <c r="AE264" i="11"/>
  <c r="AE265" i="11"/>
  <c r="AE266" i="11"/>
  <c r="AE267" i="11"/>
  <c r="AE268" i="11"/>
  <c r="AE269" i="11"/>
  <c r="AE270" i="11"/>
  <c r="AE271" i="11"/>
  <c r="AE272" i="11"/>
  <c r="AE273" i="11"/>
  <c r="AE274" i="11"/>
  <c r="AE275" i="11"/>
  <c r="AE276" i="11"/>
  <c r="AE277" i="11"/>
  <c r="AE278" i="11"/>
  <c r="AE279" i="11"/>
  <c r="AE280" i="11"/>
  <c r="AE281" i="11"/>
  <c r="AE282" i="11"/>
  <c r="AE283" i="11"/>
  <c r="AE284" i="11"/>
  <c r="AE285" i="11"/>
  <c r="AE286" i="11"/>
  <c r="AE287" i="11"/>
  <c r="AE288" i="11"/>
  <c r="AE289" i="11"/>
  <c r="AE290" i="11"/>
  <c r="AE291" i="11"/>
  <c r="AE292" i="11"/>
  <c r="AE293" i="11"/>
  <c r="AE294" i="11"/>
  <c r="AE295" i="11"/>
  <c r="AE296" i="11"/>
  <c r="AE297" i="11"/>
  <c r="AE298" i="11"/>
  <c r="AE299" i="11"/>
  <c r="AE300" i="11"/>
  <c r="AE301" i="11"/>
  <c r="AE302" i="11"/>
  <c r="AE303" i="11"/>
  <c r="AE304" i="11"/>
  <c r="AE305" i="11"/>
  <c r="AE306" i="11"/>
  <c r="AE307" i="11"/>
  <c r="AE308" i="11"/>
  <c r="AE309" i="11"/>
  <c r="AE310" i="11"/>
  <c r="AE311" i="11"/>
  <c r="AE312" i="11"/>
  <c r="AE313" i="11"/>
  <c r="AE314" i="11"/>
  <c r="AE315" i="11"/>
  <c r="AE316" i="11"/>
  <c r="AE317" i="11"/>
  <c r="AE318" i="11"/>
  <c r="AE319" i="11"/>
  <c r="AE320" i="11"/>
  <c r="AE321" i="11"/>
  <c r="AE322" i="11"/>
  <c r="AE323" i="11"/>
  <c r="AE324" i="11"/>
  <c r="AE325" i="11"/>
  <c r="AE326" i="11"/>
  <c r="AE327" i="11"/>
  <c r="AE328" i="11"/>
  <c r="AE329" i="11"/>
  <c r="AE330" i="11"/>
  <c r="AE331" i="11"/>
  <c r="AE332" i="11"/>
  <c r="AE333" i="11"/>
  <c r="AE334" i="11"/>
  <c r="AE335" i="11"/>
  <c r="AE336" i="11"/>
  <c r="AE337" i="11"/>
  <c r="AE338" i="11"/>
  <c r="AE339" i="11"/>
  <c r="AE340" i="11"/>
  <c r="AE341" i="11"/>
  <c r="AE342" i="11"/>
  <c r="AE343" i="11"/>
  <c r="AE344" i="11"/>
  <c r="AE345" i="11"/>
  <c r="AE346" i="11"/>
  <c r="AE347" i="11"/>
  <c r="AE348" i="11"/>
  <c r="AE349" i="11"/>
  <c r="AE350" i="11"/>
  <c r="AE351" i="11"/>
  <c r="AE352" i="11"/>
  <c r="AE353" i="11"/>
  <c r="AE354" i="11"/>
  <c r="AE355" i="11"/>
  <c r="AE356" i="11"/>
  <c r="AE357" i="11"/>
  <c r="AE358" i="11"/>
  <c r="AE359" i="11"/>
  <c r="AE360" i="11"/>
  <c r="AE361" i="11"/>
  <c r="AE362" i="11"/>
  <c r="AE363" i="11"/>
  <c r="AE364" i="11"/>
  <c r="AE365" i="11"/>
  <c r="AE366" i="11"/>
  <c r="AE367" i="11"/>
  <c r="AE368" i="11"/>
  <c r="AE369" i="11"/>
  <c r="AE370" i="11"/>
  <c r="AE371" i="11"/>
  <c r="AE372" i="11"/>
  <c r="AE373" i="11"/>
  <c r="AE374" i="11"/>
  <c r="AE375" i="11"/>
  <c r="AE376" i="11"/>
  <c r="AE377" i="11"/>
  <c r="AE378" i="11"/>
  <c r="AE379" i="11"/>
  <c r="AE380" i="11"/>
  <c r="AE381" i="11"/>
  <c r="AE382" i="11"/>
  <c r="AE383" i="11"/>
  <c r="AE384" i="11"/>
  <c r="AE385" i="11"/>
  <c r="AE386" i="11"/>
  <c r="AE387" i="11"/>
  <c r="AE388" i="11"/>
  <c r="AE389" i="11"/>
  <c r="AE390" i="11"/>
  <c r="AE391" i="11"/>
  <c r="AE392" i="11"/>
  <c r="AE393" i="11"/>
  <c r="AE394" i="11"/>
  <c r="AE395" i="11"/>
  <c r="AE396" i="11"/>
  <c r="AE397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AN8" i="11"/>
  <c r="AN9" i="11"/>
  <c r="AN10" i="11"/>
  <c r="AN11" i="11"/>
  <c r="AN12" i="11"/>
  <c r="AN13" i="11"/>
  <c r="AN14" i="11"/>
  <c r="AN15" i="11"/>
  <c r="AN16" i="11"/>
  <c r="AN17" i="11"/>
  <c r="AN18" i="11"/>
  <c r="K19" i="11"/>
  <c r="AN19" i="11" s="1"/>
  <c r="K20" i="11"/>
  <c r="AN20" i="11" s="1"/>
  <c r="K21" i="11"/>
  <c r="AN21" i="11" s="1"/>
  <c r="K22" i="11"/>
  <c r="AN22" i="11" s="1"/>
  <c r="K23" i="11"/>
  <c r="AN23" i="11" s="1"/>
  <c r="K24" i="11"/>
  <c r="AN24" i="11" s="1"/>
  <c r="K25" i="11"/>
  <c r="AN25" i="11" s="1"/>
  <c r="K26" i="11"/>
  <c r="AN26" i="11" s="1"/>
  <c r="K27" i="11"/>
  <c r="AN27" i="11" s="1"/>
  <c r="K28" i="11"/>
  <c r="AN28" i="11" s="1"/>
  <c r="K29" i="11"/>
  <c r="AN29" i="11" s="1"/>
  <c r="K30" i="11"/>
  <c r="AN30" i="11" s="1"/>
  <c r="K31" i="11"/>
  <c r="AN31" i="11" s="1"/>
  <c r="K32" i="11"/>
  <c r="AN32" i="11" s="1"/>
  <c r="K33" i="11"/>
  <c r="AN33" i="11" s="1"/>
  <c r="K34" i="11"/>
  <c r="AN34" i="11" s="1"/>
  <c r="K35" i="11"/>
  <c r="AN35" i="11" s="1"/>
  <c r="K36" i="11"/>
  <c r="AN36" i="11" s="1"/>
  <c r="K37" i="11"/>
  <c r="AN37" i="11" s="1"/>
  <c r="K38" i="11"/>
  <c r="AN38" i="11" s="1"/>
  <c r="K39" i="11"/>
  <c r="AN39" i="11" s="1"/>
  <c r="K40" i="11"/>
  <c r="AN40" i="11" s="1"/>
  <c r="K41" i="11"/>
  <c r="AN41" i="11" s="1"/>
  <c r="K42" i="11"/>
  <c r="AN42" i="11" s="1"/>
  <c r="K43" i="11"/>
  <c r="AN43" i="11" s="1"/>
  <c r="K44" i="11"/>
  <c r="AN44" i="11" s="1"/>
  <c r="K45" i="11"/>
  <c r="AN45" i="11" s="1"/>
  <c r="K46" i="11"/>
  <c r="AN46" i="11" s="1"/>
  <c r="K47" i="11"/>
  <c r="AN47" i="11" s="1"/>
  <c r="K48" i="11"/>
  <c r="AN48" i="11" s="1"/>
  <c r="K49" i="11"/>
  <c r="AN49" i="11" s="1"/>
  <c r="K50" i="11"/>
  <c r="AN50" i="11" s="1"/>
  <c r="K51" i="11"/>
  <c r="AN51" i="11" s="1"/>
  <c r="K52" i="11"/>
  <c r="AN52" i="11" s="1"/>
  <c r="K53" i="11"/>
  <c r="AN53" i="11" s="1"/>
  <c r="K54" i="11"/>
  <c r="AN54" i="11" s="1"/>
  <c r="K55" i="11"/>
  <c r="AN55" i="11" s="1"/>
  <c r="K56" i="11"/>
  <c r="AN56" i="11" s="1"/>
  <c r="K57" i="11"/>
  <c r="AN57" i="11" s="1"/>
  <c r="K58" i="11"/>
  <c r="AN58" i="11" s="1"/>
  <c r="K59" i="11"/>
  <c r="AN59" i="11" s="1"/>
  <c r="K60" i="11"/>
  <c r="AN60" i="11" s="1"/>
  <c r="K61" i="11"/>
  <c r="AN61" i="11" s="1"/>
  <c r="K62" i="11"/>
  <c r="AN62" i="11" s="1"/>
  <c r="K63" i="11"/>
  <c r="AN63" i="11" s="1"/>
  <c r="K64" i="11"/>
  <c r="AN64" i="11" s="1"/>
  <c r="K65" i="11"/>
  <c r="AN65" i="11" s="1"/>
  <c r="K66" i="11"/>
  <c r="AN66" i="11" s="1"/>
  <c r="K67" i="11"/>
  <c r="AN67" i="11" s="1"/>
  <c r="K68" i="11"/>
  <c r="AN68" i="11" s="1"/>
  <c r="K69" i="11"/>
  <c r="AN69" i="11" s="1"/>
  <c r="K70" i="11"/>
  <c r="AN70" i="11" s="1"/>
  <c r="K71" i="11"/>
  <c r="AN71" i="11" s="1"/>
  <c r="K72" i="11"/>
  <c r="AN72" i="11" s="1"/>
  <c r="K73" i="11"/>
  <c r="AN73" i="11" s="1"/>
  <c r="K74" i="11"/>
  <c r="AN74" i="11" s="1"/>
  <c r="K75" i="11"/>
  <c r="AN75" i="11" s="1"/>
  <c r="K76" i="11"/>
  <c r="AN76" i="11" s="1"/>
  <c r="K77" i="11"/>
  <c r="AN77" i="11" s="1"/>
  <c r="K78" i="11"/>
  <c r="AN78" i="11" s="1"/>
  <c r="K79" i="11"/>
  <c r="AN79" i="11" s="1"/>
  <c r="K80" i="11"/>
  <c r="AN80" i="11" s="1"/>
  <c r="K81" i="11"/>
  <c r="AN81" i="11" s="1"/>
  <c r="K82" i="11"/>
  <c r="AN82" i="11" s="1"/>
  <c r="K83" i="11"/>
  <c r="AN83" i="11" s="1"/>
  <c r="K84" i="11"/>
  <c r="AN84" i="11" s="1"/>
  <c r="K85" i="11"/>
  <c r="AN85" i="11" s="1"/>
  <c r="K86" i="11"/>
  <c r="AN86" i="11" s="1"/>
  <c r="K87" i="11"/>
  <c r="AN87" i="11" s="1"/>
  <c r="K88" i="11"/>
  <c r="AN88" i="11" s="1"/>
  <c r="K89" i="11"/>
  <c r="AN89" i="11" s="1"/>
  <c r="K90" i="11"/>
  <c r="AN90" i="11" s="1"/>
  <c r="K91" i="11"/>
  <c r="AN91" i="11" s="1"/>
  <c r="K92" i="11"/>
  <c r="AN92" i="11" s="1"/>
  <c r="K93" i="11"/>
  <c r="AN93" i="11" s="1"/>
  <c r="K94" i="11"/>
  <c r="AN94" i="11" s="1"/>
  <c r="K95" i="11"/>
  <c r="AN95" i="11" s="1"/>
  <c r="K96" i="11"/>
  <c r="AN96" i="11" s="1"/>
  <c r="K97" i="11"/>
  <c r="AN97" i="11" s="1"/>
  <c r="K98" i="11"/>
  <c r="AN98" i="11" s="1"/>
  <c r="K99" i="11"/>
  <c r="AN99" i="11" s="1"/>
  <c r="K100" i="11"/>
  <c r="AN100" i="11" s="1"/>
  <c r="K101" i="11"/>
  <c r="AN101" i="11" s="1"/>
  <c r="K102" i="11"/>
  <c r="AN102" i="11" s="1"/>
  <c r="K103" i="11"/>
  <c r="AN103" i="11" s="1"/>
  <c r="K104" i="11"/>
  <c r="AN104" i="11" s="1"/>
  <c r="K105" i="11"/>
  <c r="AN105" i="11" s="1"/>
  <c r="K106" i="11"/>
  <c r="AN106" i="11" s="1"/>
  <c r="K107" i="11"/>
  <c r="AN107" i="11" s="1"/>
  <c r="K108" i="11"/>
  <c r="AN108" i="11" s="1"/>
  <c r="K109" i="11"/>
  <c r="AN109" i="11" s="1"/>
  <c r="K110" i="11"/>
  <c r="AN110" i="11" s="1"/>
  <c r="K111" i="11"/>
  <c r="AN111" i="11" s="1"/>
  <c r="K112" i="11"/>
  <c r="AN112" i="11" s="1"/>
  <c r="K113" i="11"/>
  <c r="AN113" i="11" s="1"/>
  <c r="K114" i="11"/>
  <c r="AN114" i="11" s="1"/>
  <c r="K115" i="11"/>
  <c r="AN115" i="11" s="1"/>
  <c r="K116" i="11"/>
  <c r="AN116" i="11" s="1"/>
  <c r="K117" i="11"/>
  <c r="AN117" i="11" s="1"/>
  <c r="K118" i="11"/>
  <c r="AN118" i="11" s="1"/>
  <c r="K119" i="11"/>
  <c r="AN119" i="11" s="1"/>
  <c r="K120" i="11"/>
  <c r="AN120" i="11" s="1"/>
  <c r="K121" i="11"/>
  <c r="AN121" i="11" s="1"/>
  <c r="K122" i="11"/>
  <c r="AN122" i="11" s="1"/>
  <c r="K123" i="11"/>
  <c r="AN123" i="11" s="1"/>
  <c r="K124" i="11"/>
  <c r="AN124" i="11" s="1"/>
  <c r="K125" i="11"/>
  <c r="AN125" i="11" s="1"/>
  <c r="K126" i="11"/>
  <c r="AN126" i="11" s="1"/>
  <c r="K127" i="11"/>
  <c r="AN127" i="11" s="1"/>
  <c r="K128" i="11"/>
  <c r="AN128" i="11" s="1"/>
  <c r="K129" i="11"/>
  <c r="AN129" i="11" s="1"/>
  <c r="K130" i="11"/>
  <c r="AN130" i="11" s="1"/>
  <c r="K131" i="11"/>
  <c r="AN131" i="11" s="1"/>
  <c r="K132" i="11"/>
  <c r="AN132" i="11" s="1"/>
  <c r="K133" i="11"/>
  <c r="AN133" i="11" s="1"/>
  <c r="K134" i="11"/>
  <c r="AN134" i="11" s="1"/>
  <c r="K135" i="11"/>
  <c r="AN135" i="11" s="1"/>
  <c r="K136" i="11"/>
  <c r="AN136" i="11" s="1"/>
  <c r="K137" i="11"/>
  <c r="AN137" i="11" s="1"/>
  <c r="K138" i="11"/>
  <c r="AN138" i="11" s="1"/>
  <c r="K139" i="11"/>
  <c r="AN139" i="11" s="1"/>
  <c r="K140" i="11"/>
  <c r="AN140" i="11" s="1"/>
  <c r="K141" i="11"/>
  <c r="AN141" i="11" s="1"/>
  <c r="K142" i="11"/>
  <c r="AN142" i="11" s="1"/>
  <c r="K143" i="11"/>
  <c r="AN143" i="11" s="1"/>
  <c r="K144" i="11"/>
  <c r="AN144" i="11" s="1"/>
  <c r="K145" i="11"/>
  <c r="AN145" i="11" s="1"/>
  <c r="K146" i="11"/>
  <c r="AN146" i="11" s="1"/>
  <c r="K147" i="11"/>
  <c r="AN147" i="11" s="1"/>
  <c r="K148" i="11"/>
  <c r="AN148" i="11" s="1"/>
  <c r="K149" i="11"/>
  <c r="AN149" i="11" s="1"/>
  <c r="K150" i="11"/>
  <c r="AN150" i="11" s="1"/>
  <c r="K151" i="11"/>
  <c r="AN151" i="11" s="1"/>
  <c r="K152" i="11"/>
  <c r="AN152" i="11" s="1"/>
  <c r="K153" i="11"/>
  <c r="AN153" i="11" s="1"/>
  <c r="K154" i="11"/>
  <c r="AN154" i="11" s="1"/>
  <c r="K155" i="11"/>
  <c r="AN155" i="11" s="1"/>
  <c r="K156" i="11"/>
  <c r="AN156" i="11" s="1"/>
  <c r="K157" i="11"/>
  <c r="AN157" i="11" s="1"/>
  <c r="K158" i="11"/>
  <c r="AN158" i="11" s="1"/>
  <c r="K159" i="11"/>
  <c r="AN159" i="11" s="1"/>
  <c r="K160" i="11"/>
  <c r="AN160" i="11" s="1"/>
  <c r="K161" i="11"/>
  <c r="AN161" i="11" s="1"/>
  <c r="K162" i="11"/>
  <c r="AN162" i="11" s="1"/>
  <c r="K163" i="11"/>
  <c r="AN163" i="11" s="1"/>
  <c r="K164" i="11"/>
  <c r="AN164" i="11" s="1"/>
  <c r="K165" i="11"/>
  <c r="AN165" i="11" s="1"/>
  <c r="K166" i="11"/>
  <c r="AN166" i="11" s="1"/>
  <c r="K167" i="11"/>
  <c r="AN167" i="11" s="1"/>
  <c r="K168" i="11"/>
  <c r="AN168" i="11" s="1"/>
  <c r="K169" i="11"/>
  <c r="AN169" i="11" s="1"/>
  <c r="K170" i="11"/>
  <c r="AN170" i="11" s="1"/>
  <c r="K171" i="11"/>
  <c r="AN171" i="11" s="1"/>
  <c r="K172" i="11"/>
  <c r="AN172" i="11" s="1"/>
  <c r="K173" i="11"/>
  <c r="AN173" i="11" s="1"/>
  <c r="K174" i="11"/>
  <c r="AN174" i="11" s="1"/>
  <c r="K175" i="11"/>
  <c r="AN175" i="11" s="1"/>
  <c r="K176" i="11"/>
  <c r="AN176" i="11" s="1"/>
  <c r="K177" i="11"/>
  <c r="AN177" i="11" s="1"/>
  <c r="K178" i="11"/>
  <c r="AN178" i="11" s="1"/>
  <c r="K179" i="11"/>
  <c r="AN179" i="11" s="1"/>
  <c r="K180" i="11"/>
  <c r="AN180" i="11" s="1"/>
  <c r="K181" i="11"/>
  <c r="AN181" i="11" s="1"/>
  <c r="K182" i="11"/>
  <c r="AN182" i="11" s="1"/>
  <c r="K183" i="11"/>
  <c r="AN183" i="11" s="1"/>
  <c r="K184" i="11"/>
  <c r="AN184" i="11" s="1"/>
  <c r="K185" i="11"/>
  <c r="AN185" i="11" s="1"/>
  <c r="K186" i="11"/>
  <c r="AN186" i="11" s="1"/>
  <c r="K187" i="11"/>
  <c r="AN187" i="11" s="1"/>
  <c r="K188" i="11"/>
  <c r="AN188" i="11" s="1"/>
  <c r="K189" i="11"/>
  <c r="AN189" i="11" s="1"/>
  <c r="K190" i="11"/>
  <c r="AN190" i="11" s="1"/>
  <c r="K191" i="11"/>
  <c r="AN191" i="11" s="1"/>
  <c r="K192" i="11"/>
  <c r="AN192" i="11" s="1"/>
  <c r="K193" i="11"/>
  <c r="AN193" i="11" s="1"/>
  <c r="K194" i="11"/>
  <c r="AN194" i="11" s="1"/>
  <c r="K195" i="11"/>
  <c r="AN195" i="11" s="1"/>
  <c r="K196" i="11"/>
  <c r="AN196" i="11" s="1"/>
  <c r="K197" i="11"/>
  <c r="AN197" i="11" s="1"/>
  <c r="K198" i="11"/>
  <c r="AN198" i="11" s="1"/>
  <c r="K199" i="11"/>
  <c r="AN199" i="11" s="1"/>
  <c r="K200" i="11"/>
  <c r="AN200" i="11" s="1"/>
  <c r="K201" i="11"/>
  <c r="AN201" i="11" s="1"/>
  <c r="K202" i="11"/>
  <c r="AN202" i="11" s="1"/>
  <c r="K203" i="11"/>
  <c r="AN203" i="11" s="1"/>
  <c r="K204" i="11"/>
  <c r="AN204" i="11" s="1"/>
  <c r="K205" i="11"/>
  <c r="AN205" i="11" s="1"/>
  <c r="K206" i="11"/>
  <c r="AN206" i="11" s="1"/>
  <c r="K207" i="11"/>
  <c r="AN207" i="11" s="1"/>
  <c r="K208" i="11"/>
  <c r="AN208" i="11" s="1"/>
  <c r="K209" i="11"/>
  <c r="AN209" i="11" s="1"/>
  <c r="K210" i="11"/>
  <c r="AN210" i="11" s="1"/>
  <c r="K211" i="11"/>
  <c r="AN211" i="11" s="1"/>
  <c r="K212" i="11"/>
  <c r="AN212" i="11" s="1"/>
  <c r="K213" i="11"/>
  <c r="AN213" i="11" s="1"/>
  <c r="K214" i="11"/>
  <c r="AN214" i="11" s="1"/>
  <c r="K215" i="11"/>
  <c r="AN215" i="11" s="1"/>
  <c r="K216" i="11"/>
  <c r="AN216" i="11" s="1"/>
  <c r="K217" i="11"/>
  <c r="AN217" i="11" s="1"/>
  <c r="K218" i="11"/>
  <c r="AN218" i="11" s="1"/>
  <c r="K219" i="11"/>
  <c r="AN219" i="11" s="1"/>
  <c r="K220" i="11"/>
  <c r="AN220" i="11" s="1"/>
  <c r="K221" i="11"/>
  <c r="AN221" i="11" s="1"/>
  <c r="K222" i="11"/>
  <c r="AN222" i="11" s="1"/>
  <c r="K223" i="11"/>
  <c r="AN223" i="11" s="1"/>
  <c r="K224" i="11"/>
  <c r="AN224" i="11" s="1"/>
  <c r="K225" i="11"/>
  <c r="AN225" i="11" s="1"/>
  <c r="K226" i="11"/>
  <c r="AN226" i="11" s="1"/>
  <c r="K227" i="11"/>
  <c r="AN227" i="11" s="1"/>
  <c r="K228" i="11"/>
  <c r="AN228" i="11" s="1"/>
  <c r="K229" i="11"/>
  <c r="AN229" i="11" s="1"/>
  <c r="K230" i="11"/>
  <c r="AN230" i="11" s="1"/>
  <c r="K231" i="11"/>
  <c r="AN231" i="11" s="1"/>
  <c r="K232" i="11"/>
  <c r="AN232" i="11" s="1"/>
  <c r="K233" i="11"/>
  <c r="AN233" i="11" s="1"/>
  <c r="K234" i="11"/>
  <c r="AN234" i="11" s="1"/>
  <c r="K235" i="11"/>
  <c r="AN235" i="11" s="1"/>
  <c r="K236" i="11"/>
  <c r="AN236" i="11" s="1"/>
  <c r="K237" i="11"/>
  <c r="AN237" i="11" s="1"/>
  <c r="K238" i="11"/>
  <c r="AN238" i="11" s="1"/>
  <c r="K239" i="11"/>
  <c r="AN239" i="11" s="1"/>
  <c r="K240" i="11"/>
  <c r="AN240" i="11" s="1"/>
  <c r="K241" i="11"/>
  <c r="AN241" i="11" s="1"/>
  <c r="K242" i="11"/>
  <c r="AN242" i="11" s="1"/>
  <c r="K243" i="11"/>
  <c r="AN243" i="11" s="1"/>
  <c r="K244" i="11"/>
  <c r="AN244" i="11" s="1"/>
  <c r="K245" i="11"/>
  <c r="AN245" i="11" s="1"/>
  <c r="K246" i="11"/>
  <c r="AN246" i="11" s="1"/>
  <c r="K247" i="11"/>
  <c r="AN247" i="11" s="1"/>
  <c r="K248" i="11"/>
  <c r="AN248" i="11" s="1"/>
  <c r="K249" i="11"/>
  <c r="AN249" i="11" s="1"/>
  <c r="K250" i="11"/>
  <c r="AN250" i="11" s="1"/>
  <c r="K251" i="11"/>
  <c r="AN251" i="11" s="1"/>
  <c r="K252" i="11"/>
  <c r="AN252" i="11" s="1"/>
  <c r="K253" i="11"/>
  <c r="AN253" i="11" s="1"/>
  <c r="K254" i="11"/>
  <c r="AN254" i="11" s="1"/>
  <c r="K255" i="11"/>
  <c r="AN255" i="11" s="1"/>
  <c r="K256" i="11"/>
  <c r="AN256" i="11" s="1"/>
  <c r="K257" i="11"/>
  <c r="AN257" i="11" s="1"/>
  <c r="K258" i="11"/>
  <c r="AN258" i="11" s="1"/>
  <c r="K259" i="11"/>
  <c r="AN259" i="11" s="1"/>
  <c r="K260" i="11"/>
  <c r="AN260" i="11" s="1"/>
  <c r="K261" i="11"/>
  <c r="AN261" i="11" s="1"/>
  <c r="K262" i="11"/>
  <c r="AN262" i="11" s="1"/>
  <c r="K263" i="11"/>
  <c r="AN263" i="11" s="1"/>
  <c r="K264" i="11"/>
  <c r="AN264" i="11" s="1"/>
  <c r="K265" i="11"/>
  <c r="AN265" i="11" s="1"/>
  <c r="K266" i="11"/>
  <c r="AN266" i="11" s="1"/>
  <c r="K267" i="11"/>
  <c r="AN267" i="11" s="1"/>
  <c r="K268" i="11"/>
  <c r="AN268" i="11" s="1"/>
  <c r="K269" i="11"/>
  <c r="AN269" i="11" s="1"/>
  <c r="K270" i="11"/>
  <c r="AN270" i="11" s="1"/>
  <c r="K271" i="11"/>
  <c r="AN271" i="11" s="1"/>
  <c r="K272" i="11"/>
  <c r="AN272" i="11" s="1"/>
  <c r="K273" i="11"/>
  <c r="AN273" i="11" s="1"/>
  <c r="K274" i="11"/>
  <c r="AN274" i="11" s="1"/>
  <c r="K275" i="11"/>
  <c r="AN275" i="11" s="1"/>
  <c r="K276" i="11"/>
  <c r="AN276" i="11" s="1"/>
  <c r="K277" i="11"/>
  <c r="AN277" i="11" s="1"/>
  <c r="K278" i="11"/>
  <c r="AN278" i="11" s="1"/>
  <c r="K279" i="11"/>
  <c r="AN279" i="11" s="1"/>
  <c r="K280" i="11"/>
  <c r="AN280" i="11" s="1"/>
  <c r="K281" i="11"/>
  <c r="AN281" i="11" s="1"/>
  <c r="K282" i="11"/>
  <c r="AN282" i="11" s="1"/>
  <c r="K283" i="11"/>
  <c r="AN283" i="11" s="1"/>
  <c r="K284" i="11"/>
  <c r="AN284" i="11" s="1"/>
  <c r="K285" i="11"/>
  <c r="AN285" i="11" s="1"/>
  <c r="K286" i="11"/>
  <c r="AN286" i="11" s="1"/>
  <c r="K287" i="11"/>
  <c r="AN287" i="11" s="1"/>
  <c r="K288" i="11"/>
  <c r="AN288" i="11" s="1"/>
  <c r="K289" i="11"/>
  <c r="AN289" i="11" s="1"/>
  <c r="K290" i="11"/>
  <c r="AN290" i="11" s="1"/>
  <c r="K291" i="11"/>
  <c r="AN291" i="11" s="1"/>
  <c r="K292" i="11"/>
  <c r="AN292" i="11" s="1"/>
  <c r="K293" i="11"/>
  <c r="AN293" i="11" s="1"/>
  <c r="K294" i="11"/>
  <c r="AN294" i="11" s="1"/>
  <c r="K295" i="11"/>
  <c r="AN295" i="11" s="1"/>
  <c r="K296" i="11"/>
  <c r="AN296" i="11" s="1"/>
  <c r="K297" i="11"/>
  <c r="AN297" i="11" s="1"/>
  <c r="K298" i="11"/>
  <c r="AN298" i="11" s="1"/>
  <c r="K299" i="11"/>
  <c r="AN299" i="11" s="1"/>
  <c r="K300" i="11"/>
  <c r="AN300" i="11" s="1"/>
  <c r="K301" i="11"/>
  <c r="AN301" i="11" s="1"/>
  <c r="K302" i="11"/>
  <c r="AN302" i="11" s="1"/>
  <c r="K303" i="11"/>
  <c r="AN303" i="11" s="1"/>
  <c r="K304" i="11"/>
  <c r="AN304" i="11" s="1"/>
  <c r="K305" i="11"/>
  <c r="AN305" i="11" s="1"/>
  <c r="K306" i="11"/>
  <c r="AN306" i="11" s="1"/>
  <c r="K307" i="11"/>
  <c r="AN307" i="11" s="1"/>
  <c r="K308" i="11"/>
  <c r="AN308" i="11" s="1"/>
  <c r="K309" i="11"/>
  <c r="AN309" i="11" s="1"/>
  <c r="K310" i="11"/>
  <c r="AN310" i="11" s="1"/>
  <c r="K311" i="11"/>
  <c r="AN311" i="11" s="1"/>
  <c r="K312" i="11"/>
  <c r="AN312" i="11" s="1"/>
  <c r="K313" i="11"/>
  <c r="AN313" i="11" s="1"/>
  <c r="K314" i="11"/>
  <c r="AN314" i="11" s="1"/>
  <c r="K315" i="11"/>
  <c r="AN315" i="11" s="1"/>
  <c r="K316" i="11"/>
  <c r="AN316" i="11" s="1"/>
  <c r="K317" i="11"/>
  <c r="AN317" i="11" s="1"/>
  <c r="K318" i="11"/>
  <c r="AN318" i="11" s="1"/>
  <c r="K319" i="11"/>
  <c r="AN319" i="11" s="1"/>
  <c r="K320" i="11"/>
  <c r="AN320" i="11" s="1"/>
  <c r="K321" i="11"/>
  <c r="AN321" i="11" s="1"/>
  <c r="K322" i="11"/>
  <c r="AN322" i="11" s="1"/>
  <c r="K323" i="11"/>
  <c r="AN323" i="11" s="1"/>
  <c r="K324" i="11"/>
  <c r="AN324" i="11" s="1"/>
  <c r="K325" i="11"/>
  <c r="AN325" i="11" s="1"/>
  <c r="K326" i="11"/>
  <c r="AN326" i="11" s="1"/>
  <c r="K327" i="11"/>
  <c r="AN327" i="11" s="1"/>
  <c r="K328" i="11"/>
  <c r="AN328" i="11" s="1"/>
  <c r="K329" i="11"/>
  <c r="AN329" i="11" s="1"/>
  <c r="K330" i="11"/>
  <c r="AN330" i="11" s="1"/>
  <c r="K331" i="11"/>
  <c r="AN331" i="11" s="1"/>
  <c r="K332" i="11"/>
  <c r="AN332" i="11" s="1"/>
  <c r="K333" i="11"/>
  <c r="AN333" i="11" s="1"/>
  <c r="K334" i="11"/>
  <c r="AN334" i="11" s="1"/>
  <c r="K335" i="11"/>
  <c r="AN335" i="11" s="1"/>
  <c r="K336" i="11"/>
  <c r="AN336" i="11" s="1"/>
  <c r="K337" i="11"/>
  <c r="AN337" i="11" s="1"/>
  <c r="K338" i="11"/>
  <c r="AN338" i="11" s="1"/>
  <c r="K339" i="11"/>
  <c r="AN339" i="11" s="1"/>
  <c r="K340" i="11"/>
  <c r="AN340" i="11" s="1"/>
  <c r="K341" i="11"/>
  <c r="AN341" i="11" s="1"/>
  <c r="K342" i="11"/>
  <c r="AN342" i="11" s="1"/>
  <c r="K343" i="11"/>
  <c r="AN343" i="11" s="1"/>
  <c r="K344" i="11"/>
  <c r="AN344" i="11" s="1"/>
  <c r="K345" i="11"/>
  <c r="AN345" i="11" s="1"/>
  <c r="K346" i="11"/>
  <c r="AN346" i="11" s="1"/>
  <c r="K347" i="11"/>
  <c r="AN347" i="11" s="1"/>
  <c r="K348" i="11"/>
  <c r="AN348" i="11" s="1"/>
  <c r="K349" i="11"/>
  <c r="AN349" i="11" s="1"/>
  <c r="K350" i="11"/>
  <c r="AN350" i="11" s="1"/>
  <c r="K351" i="11"/>
  <c r="AN351" i="11" s="1"/>
  <c r="K352" i="11"/>
  <c r="AN352" i="11" s="1"/>
  <c r="K353" i="11"/>
  <c r="AN353" i="11" s="1"/>
  <c r="K354" i="11"/>
  <c r="AN354" i="11" s="1"/>
  <c r="K355" i="11"/>
  <c r="AN355" i="11" s="1"/>
  <c r="K356" i="11"/>
  <c r="AN356" i="11" s="1"/>
  <c r="K357" i="11"/>
  <c r="AN357" i="11" s="1"/>
  <c r="K358" i="11"/>
  <c r="AN358" i="11" s="1"/>
  <c r="K359" i="11"/>
  <c r="AN359" i="11" s="1"/>
  <c r="K360" i="11"/>
  <c r="AN360" i="11" s="1"/>
  <c r="K361" i="11"/>
  <c r="AN361" i="11" s="1"/>
  <c r="K362" i="11"/>
  <c r="AN362" i="11" s="1"/>
  <c r="K363" i="11"/>
  <c r="AN363" i="11" s="1"/>
  <c r="K364" i="11"/>
  <c r="AN364" i="11" s="1"/>
  <c r="K365" i="11"/>
  <c r="AN365" i="11" s="1"/>
  <c r="K366" i="11"/>
  <c r="AN366" i="11" s="1"/>
  <c r="K367" i="11"/>
  <c r="AN367" i="11" s="1"/>
  <c r="K368" i="11"/>
  <c r="AN368" i="11" s="1"/>
  <c r="K369" i="11"/>
  <c r="AN369" i="11" s="1"/>
  <c r="K370" i="11"/>
  <c r="AN370" i="11" s="1"/>
  <c r="K371" i="11"/>
  <c r="AN371" i="11" s="1"/>
  <c r="K372" i="11"/>
  <c r="AN372" i="11" s="1"/>
  <c r="K373" i="11"/>
  <c r="AN373" i="11" s="1"/>
  <c r="K374" i="11"/>
  <c r="AN374" i="11" s="1"/>
  <c r="K375" i="11"/>
  <c r="AN375" i="11" s="1"/>
  <c r="K376" i="11"/>
  <c r="AN376" i="11" s="1"/>
  <c r="K377" i="11"/>
  <c r="AN377" i="11" s="1"/>
  <c r="K378" i="11"/>
  <c r="AN378" i="11" s="1"/>
  <c r="K379" i="11"/>
  <c r="AN379" i="11" s="1"/>
  <c r="K380" i="11"/>
  <c r="AN380" i="11" s="1"/>
  <c r="K381" i="11"/>
  <c r="AN381" i="11" s="1"/>
  <c r="K382" i="11"/>
  <c r="AN382" i="11" s="1"/>
  <c r="K383" i="11"/>
  <c r="AN383" i="11" s="1"/>
  <c r="K384" i="11"/>
  <c r="AN384" i="11" s="1"/>
  <c r="K385" i="11"/>
  <c r="AN385" i="11" s="1"/>
  <c r="K386" i="11"/>
  <c r="AN386" i="11" s="1"/>
  <c r="K387" i="11"/>
  <c r="AN387" i="11" s="1"/>
  <c r="K388" i="11"/>
  <c r="AN388" i="11" s="1"/>
  <c r="K389" i="11"/>
  <c r="AN389" i="11" s="1"/>
  <c r="K390" i="11"/>
  <c r="AN390" i="11" s="1"/>
  <c r="K391" i="11"/>
  <c r="AN391" i="11" s="1"/>
  <c r="K392" i="11"/>
  <c r="AN392" i="11" s="1"/>
  <c r="K393" i="11"/>
  <c r="AN393" i="11" s="1"/>
  <c r="K394" i="11"/>
  <c r="AN394" i="11" s="1"/>
  <c r="K395" i="11"/>
  <c r="AN395" i="11" s="1"/>
  <c r="K396" i="11"/>
  <c r="AN396" i="11" s="1"/>
  <c r="K397" i="11"/>
  <c r="AN397" i="11" s="1"/>
  <c r="AH8" i="16"/>
  <c r="AH9" i="16"/>
  <c r="AH10" i="16"/>
  <c r="AH11" i="16"/>
  <c r="AH12" i="16"/>
  <c r="AH13" i="16"/>
  <c r="AH14" i="16"/>
  <c r="AH15" i="16"/>
  <c r="AH16" i="16"/>
  <c r="AH17" i="16"/>
  <c r="AH18" i="16"/>
  <c r="Z19" i="16"/>
  <c r="AH19" i="16" s="1"/>
  <c r="Z20" i="16"/>
  <c r="AH20" i="16" s="1"/>
  <c r="Z21" i="16"/>
  <c r="AH21" i="16" s="1"/>
  <c r="Z22" i="16"/>
  <c r="AH22" i="16" s="1"/>
  <c r="Z23" i="16"/>
  <c r="AH23" i="16" s="1"/>
  <c r="Z24" i="16"/>
  <c r="AH24" i="16" s="1"/>
  <c r="Z25" i="16"/>
  <c r="AH25" i="16" s="1"/>
  <c r="Z26" i="16"/>
  <c r="AH26" i="16" s="1"/>
  <c r="Z27" i="16"/>
  <c r="AH27" i="16" s="1"/>
  <c r="Z28" i="16"/>
  <c r="AH28" i="16" s="1"/>
  <c r="Z29" i="16"/>
  <c r="AH29" i="16" s="1"/>
  <c r="Z30" i="16"/>
  <c r="AH30" i="16" s="1"/>
  <c r="Z31" i="16"/>
  <c r="AH31" i="16" s="1"/>
  <c r="Z32" i="16"/>
  <c r="AH32" i="16" s="1"/>
  <c r="Z33" i="16"/>
  <c r="AH33" i="16" s="1"/>
  <c r="Z34" i="16"/>
  <c r="AH34" i="16" s="1"/>
  <c r="Z35" i="16"/>
  <c r="AH35" i="16" s="1"/>
  <c r="Z36" i="16"/>
  <c r="AH36" i="16" s="1"/>
  <c r="Z37" i="16"/>
  <c r="AH37" i="16" s="1"/>
  <c r="Z38" i="16"/>
  <c r="AH38" i="16" s="1"/>
  <c r="Z39" i="16"/>
  <c r="AH39" i="16" s="1"/>
  <c r="Z40" i="16"/>
  <c r="AH40" i="16" s="1"/>
  <c r="Z41" i="16"/>
  <c r="Z42" i="16"/>
  <c r="AH42" i="16" s="1"/>
  <c r="Z43" i="16"/>
  <c r="AH43" i="16" s="1"/>
  <c r="Z44" i="16"/>
  <c r="AH44" i="16" s="1"/>
  <c r="Z45" i="16"/>
  <c r="AH45" i="16" s="1"/>
  <c r="Z46" i="16"/>
  <c r="AH46" i="16" s="1"/>
  <c r="Z47" i="16"/>
  <c r="AH47" i="16" s="1"/>
  <c r="Z48" i="16"/>
  <c r="AH48" i="16" s="1"/>
  <c r="Z49" i="16"/>
  <c r="AH49" i="16" s="1"/>
  <c r="Z50" i="16"/>
  <c r="AH50" i="16" s="1"/>
  <c r="Z51" i="16"/>
  <c r="AH51" i="16" s="1"/>
  <c r="Z52" i="16"/>
  <c r="AH52" i="16" s="1"/>
  <c r="Z53" i="16"/>
  <c r="AH53" i="16" s="1"/>
  <c r="Z54" i="16"/>
  <c r="AH54" i="16" s="1"/>
  <c r="Z55" i="16"/>
  <c r="AH55" i="16" s="1"/>
  <c r="Z56" i="16"/>
  <c r="AH56" i="16" s="1"/>
  <c r="Z57" i="16"/>
  <c r="AH57" i="16" s="1"/>
  <c r="Z58" i="16"/>
  <c r="AH58" i="16" s="1"/>
  <c r="Z59" i="16"/>
  <c r="AH59" i="16" s="1"/>
  <c r="Z60" i="16"/>
  <c r="AH60" i="16" s="1"/>
  <c r="Z61" i="16"/>
  <c r="AH61" i="16" s="1"/>
  <c r="Z62" i="16"/>
  <c r="AH62" i="16" s="1"/>
  <c r="Z63" i="16"/>
  <c r="AH63" i="16" s="1"/>
  <c r="Z64" i="16"/>
  <c r="AH64" i="16" s="1"/>
  <c r="Z65" i="16"/>
  <c r="AH65" i="16" s="1"/>
  <c r="Z66" i="16"/>
  <c r="AH66" i="16" s="1"/>
  <c r="Z67" i="16"/>
  <c r="AH67" i="16" s="1"/>
  <c r="Z68" i="16"/>
  <c r="AH68" i="16" s="1"/>
  <c r="Z69" i="16"/>
  <c r="AH69" i="16" s="1"/>
  <c r="Z70" i="16"/>
  <c r="AH70" i="16" s="1"/>
  <c r="Z71" i="16"/>
  <c r="AH71" i="16" s="1"/>
  <c r="Z72" i="16"/>
  <c r="AH72" i="16" s="1"/>
  <c r="Z73" i="16"/>
  <c r="AH73" i="16" s="1"/>
  <c r="Z74" i="16"/>
  <c r="AH74" i="16" s="1"/>
  <c r="Z75" i="16"/>
  <c r="AH75" i="16" s="1"/>
  <c r="Z76" i="16"/>
  <c r="AH76" i="16" s="1"/>
  <c r="Z77" i="16"/>
  <c r="AH77" i="16" s="1"/>
  <c r="Z78" i="16"/>
  <c r="AH78" i="16" s="1"/>
  <c r="Z79" i="16"/>
  <c r="AH79" i="16" s="1"/>
  <c r="Z80" i="16"/>
  <c r="AH80" i="16" s="1"/>
  <c r="Z81" i="16"/>
  <c r="AH81" i="16" s="1"/>
  <c r="Z82" i="16"/>
  <c r="AH82" i="16" s="1"/>
  <c r="Z83" i="16"/>
  <c r="AH83" i="16" s="1"/>
  <c r="Z84" i="16"/>
  <c r="AH84" i="16" s="1"/>
  <c r="Z85" i="16"/>
  <c r="AH85" i="16" s="1"/>
  <c r="Z86" i="16"/>
  <c r="AH86" i="16" s="1"/>
  <c r="Z87" i="16"/>
  <c r="AH87" i="16" s="1"/>
  <c r="Z88" i="16"/>
  <c r="AH88" i="16" s="1"/>
  <c r="Z89" i="16"/>
  <c r="AH89" i="16" s="1"/>
  <c r="Z90" i="16"/>
  <c r="AH90" i="16" s="1"/>
  <c r="Z91" i="16"/>
  <c r="AH91" i="16" s="1"/>
  <c r="Z92" i="16"/>
  <c r="AH92" i="16" s="1"/>
  <c r="Z93" i="16"/>
  <c r="AH93" i="16" s="1"/>
  <c r="Z94" i="16"/>
  <c r="AH94" i="16" s="1"/>
  <c r="Z95" i="16"/>
  <c r="AH95" i="16" s="1"/>
  <c r="Z96" i="16"/>
  <c r="AH96" i="16" s="1"/>
  <c r="Z97" i="16"/>
  <c r="AH97" i="16" s="1"/>
  <c r="Z98" i="16"/>
  <c r="AH98" i="16" s="1"/>
  <c r="Z99" i="16"/>
  <c r="AH99" i="16" s="1"/>
  <c r="Z100" i="16"/>
  <c r="AH100" i="16" s="1"/>
  <c r="Z101" i="16"/>
  <c r="AH101" i="16" s="1"/>
  <c r="Z102" i="16"/>
  <c r="AH102" i="16" s="1"/>
  <c r="Z103" i="16"/>
  <c r="AH103" i="16" s="1"/>
  <c r="Z104" i="16"/>
  <c r="AH104" i="16" s="1"/>
  <c r="Z105" i="16"/>
  <c r="AH105" i="16" s="1"/>
  <c r="Z106" i="16"/>
  <c r="AH106" i="16" s="1"/>
  <c r="Z107" i="16"/>
  <c r="AH107" i="16" s="1"/>
  <c r="Z108" i="16"/>
  <c r="AH108" i="16" s="1"/>
  <c r="Z109" i="16"/>
  <c r="AH109" i="16" s="1"/>
  <c r="Z110" i="16"/>
  <c r="AH110" i="16" s="1"/>
  <c r="Z111" i="16"/>
  <c r="AH111" i="16" s="1"/>
  <c r="Z112" i="16"/>
  <c r="AH112" i="16" s="1"/>
  <c r="Z113" i="16"/>
  <c r="AH113" i="16" s="1"/>
  <c r="Z114" i="16"/>
  <c r="AH114" i="16" s="1"/>
  <c r="Z115" i="16"/>
  <c r="AH115" i="16" s="1"/>
  <c r="Z116" i="16"/>
  <c r="AH116" i="16" s="1"/>
  <c r="Z117" i="16"/>
  <c r="AH117" i="16" s="1"/>
  <c r="Z118" i="16"/>
  <c r="AH118" i="16" s="1"/>
  <c r="Z119" i="16"/>
  <c r="AH119" i="16" s="1"/>
  <c r="Z120" i="16"/>
  <c r="AH120" i="16" s="1"/>
  <c r="Z121" i="16"/>
  <c r="AH121" i="16" s="1"/>
  <c r="Z122" i="16"/>
  <c r="AH122" i="16" s="1"/>
  <c r="Z123" i="16"/>
  <c r="AH123" i="16" s="1"/>
  <c r="Z124" i="16"/>
  <c r="AH124" i="16" s="1"/>
  <c r="Z125" i="16"/>
  <c r="AH125" i="16" s="1"/>
  <c r="Z126" i="16"/>
  <c r="AH126" i="16" s="1"/>
  <c r="Z127" i="16"/>
  <c r="AH127" i="16" s="1"/>
  <c r="Z128" i="16"/>
  <c r="AH128" i="16" s="1"/>
  <c r="Z129" i="16"/>
  <c r="AH129" i="16" s="1"/>
  <c r="Z130" i="16"/>
  <c r="AH130" i="16" s="1"/>
  <c r="Z131" i="16"/>
  <c r="AH131" i="16" s="1"/>
  <c r="Z132" i="16"/>
  <c r="AH132" i="16" s="1"/>
  <c r="Z133" i="16"/>
  <c r="AH133" i="16" s="1"/>
  <c r="Z134" i="16"/>
  <c r="AH134" i="16" s="1"/>
  <c r="Z135" i="16"/>
  <c r="AH135" i="16" s="1"/>
  <c r="Z136" i="16"/>
  <c r="AH136" i="16" s="1"/>
  <c r="Z137" i="16"/>
  <c r="AH137" i="16" s="1"/>
  <c r="Z138" i="16"/>
  <c r="AH138" i="16" s="1"/>
  <c r="Z139" i="16"/>
  <c r="Z140" i="16"/>
  <c r="AH140" i="16" s="1"/>
  <c r="Z141" i="16"/>
  <c r="AH141" i="16" s="1"/>
  <c r="Z142" i="16"/>
  <c r="AH142" i="16" s="1"/>
  <c r="Z143" i="16"/>
  <c r="AH143" i="16" s="1"/>
  <c r="Z144" i="16"/>
  <c r="AH144" i="16" s="1"/>
  <c r="Z145" i="16"/>
  <c r="AH145" i="16" s="1"/>
  <c r="Z146" i="16"/>
  <c r="AH146" i="16" s="1"/>
  <c r="Z147" i="16"/>
  <c r="AH147" i="16" s="1"/>
  <c r="Z148" i="16"/>
  <c r="AH148" i="16" s="1"/>
  <c r="Z149" i="16"/>
  <c r="AH149" i="16" s="1"/>
  <c r="Z150" i="16"/>
  <c r="AH150" i="16" s="1"/>
  <c r="Z151" i="16"/>
  <c r="AH151" i="16" s="1"/>
  <c r="Z152" i="16"/>
  <c r="AH152" i="16" s="1"/>
  <c r="Z153" i="16"/>
  <c r="AH153" i="16" s="1"/>
  <c r="Z154" i="16"/>
  <c r="AH154" i="16" s="1"/>
  <c r="Z155" i="16"/>
  <c r="AH155" i="16" s="1"/>
  <c r="Z156" i="16"/>
  <c r="AH156" i="16" s="1"/>
  <c r="Z157" i="16"/>
  <c r="AH157" i="16" s="1"/>
  <c r="Z158" i="16"/>
  <c r="AH158" i="16" s="1"/>
  <c r="Z159" i="16"/>
  <c r="AH159" i="16" s="1"/>
  <c r="Z160" i="16"/>
  <c r="AH160" i="16" s="1"/>
  <c r="Z161" i="16"/>
  <c r="AH161" i="16" s="1"/>
  <c r="Z162" i="16"/>
  <c r="AH162" i="16" s="1"/>
  <c r="Z163" i="16"/>
  <c r="AH163" i="16" s="1"/>
  <c r="Z164" i="16"/>
  <c r="AH164" i="16" s="1"/>
  <c r="Z165" i="16"/>
  <c r="AH165" i="16" s="1"/>
  <c r="Z166" i="16"/>
  <c r="AH166" i="16" s="1"/>
  <c r="Z167" i="16"/>
  <c r="AH167" i="16" s="1"/>
  <c r="Z168" i="16"/>
  <c r="AH168" i="16" s="1"/>
  <c r="Z169" i="16"/>
  <c r="AH169" i="16" s="1"/>
  <c r="Z170" i="16"/>
  <c r="AH170" i="16" s="1"/>
  <c r="Z171" i="16"/>
  <c r="AH171" i="16" s="1"/>
  <c r="Z172" i="16"/>
  <c r="AH172" i="16" s="1"/>
  <c r="Z173" i="16"/>
  <c r="AH173" i="16" s="1"/>
  <c r="Z174" i="16"/>
  <c r="AH174" i="16" s="1"/>
  <c r="Z175" i="16"/>
  <c r="AH175" i="16" s="1"/>
  <c r="Z176" i="16"/>
  <c r="AH176" i="16" s="1"/>
  <c r="Z177" i="16"/>
  <c r="AH177" i="16" s="1"/>
  <c r="Z178" i="16"/>
  <c r="AH178" i="16" s="1"/>
  <c r="Z179" i="16"/>
  <c r="AH179" i="16" s="1"/>
  <c r="Z180" i="16"/>
  <c r="AH180" i="16" s="1"/>
  <c r="Z181" i="16"/>
  <c r="AH181" i="16" s="1"/>
  <c r="Z182" i="16"/>
  <c r="AH182" i="16" s="1"/>
  <c r="Z183" i="16"/>
  <c r="AH183" i="16" s="1"/>
  <c r="Z184" i="16"/>
  <c r="AH184" i="16" s="1"/>
  <c r="Z185" i="16"/>
  <c r="AH185" i="16" s="1"/>
  <c r="Z186" i="16"/>
  <c r="AH186" i="16" s="1"/>
  <c r="Z187" i="16"/>
  <c r="AH187" i="16" s="1"/>
  <c r="Z188" i="16"/>
  <c r="AH188" i="16" s="1"/>
  <c r="Z189" i="16"/>
  <c r="AH189" i="16" s="1"/>
  <c r="Z190" i="16"/>
  <c r="AH190" i="16" s="1"/>
  <c r="Z191" i="16"/>
  <c r="AH191" i="16" s="1"/>
  <c r="Z192" i="16"/>
  <c r="AH192" i="16" s="1"/>
  <c r="Z193" i="16"/>
  <c r="AH193" i="16" s="1"/>
  <c r="Z194" i="16"/>
  <c r="AH194" i="16" s="1"/>
  <c r="Z195" i="16"/>
  <c r="AH195" i="16" s="1"/>
  <c r="Z196" i="16"/>
  <c r="AH196" i="16" s="1"/>
  <c r="Z197" i="16"/>
  <c r="AH197" i="16" s="1"/>
  <c r="Z198" i="16"/>
  <c r="AH198" i="16" s="1"/>
  <c r="Z199" i="16"/>
  <c r="AH199" i="16" s="1"/>
  <c r="Z200" i="16"/>
  <c r="AH200" i="16" s="1"/>
  <c r="Z201" i="16"/>
  <c r="AH201" i="16" s="1"/>
  <c r="Z202" i="16"/>
  <c r="AH202" i="16" s="1"/>
  <c r="Z203" i="16"/>
  <c r="AH203" i="16" s="1"/>
  <c r="Z204" i="16"/>
  <c r="AH204" i="16" s="1"/>
  <c r="Z205" i="16"/>
  <c r="AH205" i="16" s="1"/>
  <c r="Z206" i="16"/>
  <c r="AH206" i="16" s="1"/>
  <c r="Z207" i="16"/>
  <c r="AH207" i="16" s="1"/>
  <c r="Z208" i="16"/>
  <c r="AH208" i="16" s="1"/>
  <c r="Z209" i="16"/>
  <c r="AH209" i="16" s="1"/>
  <c r="Z210" i="16"/>
  <c r="AH210" i="16" s="1"/>
  <c r="Z211" i="16"/>
  <c r="AH211" i="16" s="1"/>
  <c r="Z212" i="16"/>
  <c r="AH212" i="16" s="1"/>
  <c r="Z213" i="16"/>
  <c r="AH213" i="16" s="1"/>
  <c r="Z214" i="16"/>
  <c r="AH214" i="16" s="1"/>
  <c r="Z215" i="16"/>
  <c r="AH215" i="16" s="1"/>
  <c r="Z216" i="16"/>
  <c r="AH216" i="16" s="1"/>
  <c r="Z217" i="16"/>
  <c r="AH217" i="16" s="1"/>
  <c r="Z218" i="16"/>
  <c r="AH218" i="16" s="1"/>
  <c r="Z219" i="16"/>
  <c r="AH219" i="16" s="1"/>
  <c r="Z220" i="16"/>
  <c r="AH220" i="16" s="1"/>
  <c r="Z221" i="16"/>
  <c r="AH221" i="16" s="1"/>
  <c r="Z222" i="16"/>
  <c r="AH222" i="16" s="1"/>
  <c r="Z223" i="16"/>
  <c r="AH223" i="16" s="1"/>
  <c r="Z224" i="16"/>
  <c r="AH224" i="16" s="1"/>
  <c r="Z225" i="16"/>
  <c r="AH225" i="16" s="1"/>
  <c r="Z226" i="16"/>
  <c r="AH226" i="16" s="1"/>
  <c r="Z227" i="16"/>
  <c r="AH227" i="16" s="1"/>
  <c r="Z228" i="16"/>
  <c r="AH228" i="16" s="1"/>
  <c r="Z229" i="16"/>
  <c r="AH229" i="16" s="1"/>
  <c r="Z230" i="16"/>
  <c r="AH230" i="16" s="1"/>
  <c r="Z231" i="16"/>
  <c r="AH231" i="16" s="1"/>
  <c r="Z232" i="16"/>
  <c r="AH232" i="16" s="1"/>
  <c r="Z233" i="16"/>
  <c r="AH233" i="16" s="1"/>
  <c r="Z234" i="16"/>
  <c r="AH234" i="16" s="1"/>
  <c r="Z235" i="16"/>
  <c r="AH235" i="16" s="1"/>
  <c r="Z236" i="16"/>
  <c r="AH236" i="16" s="1"/>
  <c r="Z237" i="16"/>
  <c r="AH237" i="16" s="1"/>
  <c r="Z238" i="16"/>
  <c r="AH238" i="16" s="1"/>
  <c r="Z239" i="16"/>
  <c r="AH239" i="16" s="1"/>
  <c r="Z240" i="16"/>
  <c r="AH240" i="16" s="1"/>
  <c r="Z241" i="16"/>
  <c r="AH241" i="16" s="1"/>
  <c r="Z242" i="16"/>
  <c r="AH242" i="16" s="1"/>
  <c r="Z243" i="16"/>
  <c r="AH243" i="16" s="1"/>
  <c r="Z244" i="16"/>
  <c r="AH244" i="16" s="1"/>
  <c r="Z245" i="16"/>
  <c r="AH245" i="16" s="1"/>
  <c r="Z246" i="16"/>
  <c r="AH246" i="16" s="1"/>
  <c r="Z247" i="16"/>
  <c r="AH247" i="16" s="1"/>
  <c r="Z248" i="16"/>
  <c r="AH248" i="16" s="1"/>
  <c r="Z249" i="16"/>
  <c r="AH249" i="16" s="1"/>
  <c r="Z250" i="16"/>
  <c r="AH250" i="16" s="1"/>
  <c r="Z251" i="16"/>
  <c r="AH251" i="16" s="1"/>
  <c r="Z252" i="16"/>
  <c r="AH252" i="16" s="1"/>
  <c r="Z253" i="16"/>
  <c r="AH253" i="16" s="1"/>
  <c r="Z254" i="16"/>
  <c r="AH254" i="16" s="1"/>
  <c r="Z255" i="16"/>
  <c r="AH255" i="16" s="1"/>
  <c r="Z256" i="16"/>
  <c r="AH256" i="16" s="1"/>
  <c r="Z257" i="16"/>
  <c r="AH257" i="16" s="1"/>
  <c r="Z258" i="16"/>
  <c r="AH258" i="16" s="1"/>
  <c r="Z259" i="16"/>
  <c r="Z260" i="16"/>
  <c r="AH260" i="16" s="1"/>
  <c r="Z261" i="16"/>
  <c r="AH261" i="16" s="1"/>
  <c r="Z262" i="16"/>
  <c r="AH262" i="16" s="1"/>
  <c r="Z263" i="16"/>
  <c r="AH263" i="16" s="1"/>
  <c r="Z264" i="16"/>
  <c r="AH264" i="16" s="1"/>
  <c r="Z265" i="16"/>
  <c r="AH265" i="16" s="1"/>
  <c r="Z266" i="16"/>
  <c r="AH266" i="16" s="1"/>
  <c r="Z267" i="16"/>
  <c r="AH267" i="16" s="1"/>
  <c r="Z268" i="16"/>
  <c r="AH268" i="16" s="1"/>
  <c r="Z269" i="16"/>
  <c r="AH269" i="16" s="1"/>
  <c r="Z270" i="16"/>
  <c r="AH270" i="16" s="1"/>
  <c r="Z271" i="16"/>
  <c r="AH271" i="16" s="1"/>
  <c r="Z272" i="16"/>
  <c r="AH272" i="16" s="1"/>
  <c r="Z273" i="16"/>
  <c r="AH273" i="16" s="1"/>
  <c r="Z274" i="16"/>
  <c r="AH274" i="16" s="1"/>
  <c r="Z275" i="16"/>
  <c r="AH275" i="16" s="1"/>
  <c r="Z276" i="16"/>
  <c r="AH276" i="16" s="1"/>
  <c r="Z277" i="16"/>
  <c r="AH277" i="16" s="1"/>
  <c r="Z278" i="16"/>
  <c r="AH278" i="16" s="1"/>
  <c r="Z279" i="16"/>
  <c r="AH279" i="16" s="1"/>
  <c r="Z280" i="16"/>
  <c r="AH280" i="16" s="1"/>
  <c r="Z281" i="16"/>
  <c r="AH281" i="16" s="1"/>
  <c r="Z282" i="16"/>
  <c r="AH282" i="16" s="1"/>
  <c r="Z283" i="16"/>
  <c r="AH283" i="16" s="1"/>
  <c r="Z284" i="16"/>
  <c r="AH284" i="16" s="1"/>
  <c r="Z285" i="16"/>
  <c r="AH285" i="16" s="1"/>
  <c r="Z286" i="16"/>
  <c r="AH286" i="16" s="1"/>
  <c r="Z287" i="16"/>
  <c r="AH287" i="16" s="1"/>
  <c r="Z288" i="16"/>
  <c r="AH288" i="16" s="1"/>
  <c r="Z289" i="16"/>
  <c r="AH289" i="16" s="1"/>
  <c r="Z290" i="16"/>
  <c r="AH290" i="16" s="1"/>
  <c r="Z291" i="16"/>
  <c r="AH291" i="16" s="1"/>
  <c r="Z292" i="16"/>
  <c r="AH292" i="16" s="1"/>
  <c r="Z293" i="16"/>
  <c r="Z294" i="16"/>
  <c r="AH294" i="16" s="1"/>
  <c r="Z295" i="16"/>
  <c r="AH295" i="16" s="1"/>
  <c r="Z296" i="16"/>
  <c r="AH296" i="16" s="1"/>
  <c r="Z297" i="16"/>
  <c r="AH297" i="16" s="1"/>
  <c r="Z298" i="16"/>
  <c r="AH298" i="16" s="1"/>
  <c r="Z299" i="16"/>
  <c r="AH299" i="16" s="1"/>
  <c r="Z300" i="16"/>
  <c r="AH300" i="16" s="1"/>
  <c r="Z301" i="16"/>
  <c r="AH301" i="16" s="1"/>
  <c r="Z302" i="16"/>
  <c r="AH302" i="16" s="1"/>
  <c r="Z303" i="16"/>
  <c r="AH303" i="16" s="1"/>
  <c r="Z304" i="16"/>
  <c r="AH304" i="16" s="1"/>
  <c r="Z305" i="16"/>
  <c r="AH305" i="16" s="1"/>
  <c r="Z306" i="16"/>
  <c r="AH306" i="16" s="1"/>
  <c r="Z307" i="16"/>
  <c r="AH307" i="16" s="1"/>
  <c r="Z308" i="16"/>
  <c r="AH308" i="16" s="1"/>
  <c r="Z309" i="16"/>
  <c r="AH309" i="16" s="1"/>
  <c r="Z310" i="16"/>
  <c r="AH310" i="16" s="1"/>
  <c r="Z311" i="16"/>
  <c r="AH311" i="16" s="1"/>
  <c r="Z312" i="16"/>
  <c r="AH312" i="16" s="1"/>
  <c r="Z313" i="16"/>
  <c r="AH313" i="16" s="1"/>
  <c r="Z314" i="16"/>
  <c r="AH314" i="16" s="1"/>
  <c r="Z315" i="16"/>
  <c r="AH315" i="16" s="1"/>
  <c r="Z316" i="16"/>
  <c r="AH316" i="16" s="1"/>
  <c r="Z317" i="16"/>
  <c r="AH317" i="16" s="1"/>
  <c r="Z318" i="16"/>
  <c r="AH318" i="16" s="1"/>
  <c r="Z319" i="16"/>
  <c r="AH319" i="16" s="1"/>
  <c r="Z320" i="16"/>
  <c r="AH320" i="16" s="1"/>
  <c r="Z321" i="16"/>
  <c r="AH321" i="16" s="1"/>
  <c r="Z322" i="16"/>
  <c r="AH322" i="16" s="1"/>
  <c r="Z323" i="16"/>
  <c r="AH323" i="16" s="1"/>
  <c r="Z324" i="16"/>
  <c r="AH324" i="16" s="1"/>
  <c r="Z325" i="16"/>
  <c r="Z326" i="16"/>
  <c r="AH326" i="16" s="1"/>
  <c r="Z327" i="16"/>
  <c r="AH327" i="16" s="1"/>
  <c r="Z328" i="16"/>
  <c r="AH328" i="16" s="1"/>
  <c r="Z329" i="16"/>
  <c r="AH329" i="16" s="1"/>
  <c r="Z330" i="16"/>
  <c r="AH330" i="16" s="1"/>
  <c r="Z331" i="16"/>
  <c r="AH331" i="16" s="1"/>
  <c r="Z332" i="16"/>
  <c r="AH332" i="16" s="1"/>
  <c r="Z333" i="16"/>
  <c r="AH333" i="16" s="1"/>
  <c r="Z334" i="16"/>
  <c r="AH334" i="16" s="1"/>
  <c r="Z335" i="16"/>
  <c r="AH335" i="16" s="1"/>
  <c r="Z336" i="16"/>
  <c r="AH336" i="16" s="1"/>
  <c r="Z337" i="16"/>
  <c r="AH337" i="16" s="1"/>
  <c r="Z338" i="16"/>
  <c r="AH338" i="16" s="1"/>
  <c r="Z339" i="16"/>
  <c r="AH339" i="16" s="1"/>
  <c r="Z340" i="16"/>
  <c r="AH340" i="16" s="1"/>
  <c r="Z341" i="16"/>
  <c r="AH341" i="16" s="1"/>
  <c r="Z342" i="16"/>
  <c r="AH342" i="16" s="1"/>
  <c r="Z343" i="16"/>
  <c r="AH343" i="16" s="1"/>
  <c r="Z344" i="16"/>
  <c r="AH344" i="16" s="1"/>
  <c r="Z345" i="16"/>
  <c r="AH345" i="16" s="1"/>
  <c r="Z346" i="16"/>
  <c r="AH346" i="16" s="1"/>
  <c r="Z347" i="16"/>
  <c r="AH347" i="16" s="1"/>
  <c r="Z348" i="16"/>
  <c r="AH348" i="16" s="1"/>
  <c r="Z349" i="16"/>
  <c r="AH349" i="16" s="1"/>
  <c r="Z350" i="16"/>
  <c r="AH350" i="16" s="1"/>
  <c r="Z351" i="16"/>
  <c r="AH351" i="16" s="1"/>
  <c r="Z352" i="16"/>
  <c r="AH352" i="16" s="1"/>
  <c r="Z353" i="16"/>
  <c r="AH353" i="16" s="1"/>
  <c r="Z354" i="16"/>
  <c r="AH354" i="16" s="1"/>
  <c r="Z355" i="16"/>
  <c r="AH355" i="16" s="1"/>
  <c r="Z356" i="16"/>
  <c r="AH356" i="16" s="1"/>
  <c r="Z357" i="16"/>
  <c r="AH357" i="16" s="1"/>
  <c r="Z358" i="16"/>
  <c r="AH358" i="16" s="1"/>
  <c r="Z359" i="16"/>
  <c r="AH359" i="16" s="1"/>
  <c r="Z360" i="16"/>
  <c r="AH360" i="16" s="1"/>
  <c r="Z361" i="16"/>
  <c r="AH361" i="16" s="1"/>
  <c r="Z362" i="16"/>
  <c r="AH362" i="16" s="1"/>
  <c r="Z363" i="16"/>
  <c r="AH363" i="16" s="1"/>
  <c r="Z364" i="16"/>
  <c r="AH364" i="16" s="1"/>
  <c r="Z365" i="16"/>
  <c r="AH365" i="16" s="1"/>
  <c r="Z366" i="16"/>
  <c r="AH366" i="16" s="1"/>
  <c r="Z367" i="16"/>
  <c r="AH367" i="16" s="1"/>
  <c r="Z368" i="16"/>
  <c r="AH368" i="16" s="1"/>
  <c r="Z369" i="16"/>
  <c r="AH369" i="16" s="1"/>
  <c r="Z370" i="16"/>
  <c r="AH370" i="16" s="1"/>
  <c r="Z371" i="16"/>
  <c r="AH371" i="16" s="1"/>
  <c r="Z372" i="16"/>
  <c r="AH372" i="16" s="1"/>
  <c r="Z373" i="16"/>
  <c r="AH373" i="16" s="1"/>
  <c r="Z374" i="16"/>
  <c r="AH374" i="16" s="1"/>
  <c r="Z375" i="16"/>
  <c r="AH375" i="16" s="1"/>
  <c r="Z376" i="16"/>
  <c r="AH376" i="16" s="1"/>
  <c r="Z377" i="16"/>
  <c r="AH377" i="16" s="1"/>
  <c r="Z378" i="16"/>
  <c r="AH378" i="16" s="1"/>
  <c r="Z379" i="16"/>
  <c r="AH379" i="16" s="1"/>
  <c r="Z380" i="16"/>
  <c r="AH380" i="16" s="1"/>
  <c r="Z381" i="16"/>
  <c r="AH381" i="16" s="1"/>
  <c r="Z382" i="16"/>
  <c r="AH382" i="16" s="1"/>
  <c r="Z383" i="16"/>
  <c r="AH383" i="16" s="1"/>
  <c r="Z384" i="16"/>
  <c r="AH384" i="16" s="1"/>
  <c r="Z385" i="16"/>
  <c r="AH385" i="16" s="1"/>
  <c r="Z386" i="16"/>
  <c r="AH386" i="16" s="1"/>
  <c r="Z387" i="16"/>
  <c r="AH387" i="16" s="1"/>
  <c r="Z388" i="16"/>
  <c r="AH388" i="16" s="1"/>
  <c r="Z389" i="16"/>
  <c r="AH389" i="16" s="1"/>
  <c r="Z390" i="16"/>
  <c r="AH390" i="16" s="1"/>
  <c r="Z391" i="16"/>
  <c r="AH391" i="16" s="1"/>
  <c r="Z392" i="16"/>
  <c r="AH392" i="16" s="1"/>
  <c r="Z393" i="16"/>
  <c r="AH393" i="16" s="1"/>
  <c r="Z394" i="16"/>
  <c r="AH394" i="16" s="1"/>
  <c r="Z395" i="16"/>
  <c r="AH395" i="16" s="1"/>
  <c r="Z396" i="16"/>
  <c r="AH396" i="16" s="1"/>
  <c r="Z397" i="16"/>
  <c r="AH397" i="16" s="1"/>
  <c r="Z398" i="16"/>
  <c r="AH398" i="16" s="1"/>
  <c r="Z399" i="16"/>
  <c r="AH399" i="16" s="1"/>
  <c r="AH41" i="16"/>
  <c r="AH139" i="16"/>
  <c r="AH259" i="16"/>
  <c r="AH293" i="16"/>
  <c r="AH325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AG8" i="16"/>
  <c r="AG9" i="16"/>
  <c r="AG10" i="16"/>
  <c r="AG11" i="16"/>
  <c r="AG12" i="16"/>
  <c r="AG13" i="16"/>
  <c r="AG14" i="16"/>
  <c r="AG15" i="16"/>
  <c r="AG16" i="16"/>
  <c r="AG17" i="16"/>
  <c r="AG18" i="16"/>
  <c r="S19" i="16"/>
  <c r="AG19" i="16" s="1"/>
  <c r="S20" i="16"/>
  <c r="AG20" i="16" s="1"/>
  <c r="S21" i="16"/>
  <c r="AG21" i="16" s="1"/>
  <c r="S22" i="16"/>
  <c r="AG22" i="16" s="1"/>
  <c r="S23" i="16"/>
  <c r="AG23" i="16" s="1"/>
  <c r="S24" i="16"/>
  <c r="AG24" i="16" s="1"/>
  <c r="S25" i="16"/>
  <c r="AG25" i="16" s="1"/>
  <c r="S26" i="16"/>
  <c r="AG26" i="16" s="1"/>
  <c r="S27" i="16"/>
  <c r="AG27" i="16" s="1"/>
  <c r="S28" i="16"/>
  <c r="AG28" i="16" s="1"/>
  <c r="S29" i="16"/>
  <c r="AG29" i="16" s="1"/>
  <c r="S30" i="16"/>
  <c r="AG30" i="16" s="1"/>
  <c r="S31" i="16"/>
  <c r="AG31" i="16" s="1"/>
  <c r="S32" i="16"/>
  <c r="AG32" i="16" s="1"/>
  <c r="S33" i="16"/>
  <c r="AG33" i="16" s="1"/>
  <c r="S34" i="16"/>
  <c r="AG34" i="16" s="1"/>
  <c r="S35" i="16"/>
  <c r="AG35" i="16" s="1"/>
  <c r="S36" i="16"/>
  <c r="AG36" i="16" s="1"/>
  <c r="S37" i="16"/>
  <c r="AG37" i="16" s="1"/>
  <c r="S38" i="16"/>
  <c r="AG38" i="16" s="1"/>
  <c r="S39" i="16"/>
  <c r="AG39" i="16" s="1"/>
  <c r="S40" i="16"/>
  <c r="AG40" i="16" s="1"/>
  <c r="S41" i="16"/>
  <c r="AG41" i="16" s="1"/>
  <c r="S42" i="16"/>
  <c r="AG42" i="16" s="1"/>
  <c r="S43" i="16"/>
  <c r="AG43" i="16" s="1"/>
  <c r="S44" i="16"/>
  <c r="AG44" i="16" s="1"/>
  <c r="S45" i="16"/>
  <c r="AG45" i="16" s="1"/>
  <c r="S46" i="16"/>
  <c r="AG46" i="16" s="1"/>
  <c r="S47" i="16"/>
  <c r="AG47" i="16" s="1"/>
  <c r="S48" i="16"/>
  <c r="AG48" i="16" s="1"/>
  <c r="S49" i="16"/>
  <c r="AG49" i="16" s="1"/>
  <c r="S50" i="16"/>
  <c r="AG50" i="16" s="1"/>
  <c r="S51" i="16"/>
  <c r="AG51" i="16" s="1"/>
  <c r="S52" i="16"/>
  <c r="AG52" i="16" s="1"/>
  <c r="S53" i="16"/>
  <c r="AG53" i="16" s="1"/>
  <c r="S54" i="16"/>
  <c r="AG54" i="16" s="1"/>
  <c r="S55" i="16"/>
  <c r="AG55" i="16" s="1"/>
  <c r="S56" i="16"/>
  <c r="AG56" i="16" s="1"/>
  <c r="S57" i="16"/>
  <c r="AG57" i="16" s="1"/>
  <c r="S58" i="16"/>
  <c r="AG58" i="16" s="1"/>
  <c r="S59" i="16"/>
  <c r="AG59" i="16" s="1"/>
  <c r="S60" i="16"/>
  <c r="AG60" i="16" s="1"/>
  <c r="S61" i="16"/>
  <c r="AG61" i="16" s="1"/>
  <c r="S62" i="16"/>
  <c r="AG62" i="16" s="1"/>
  <c r="S63" i="16"/>
  <c r="AG63" i="16" s="1"/>
  <c r="S64" i="16"/>
  <c r="AG64" i="16" s="1"/>
  <c r="S65" i="16"/>
  <c r="AG65" i="16" s="1"/>
  <c r="S66" i="16"/>
  <c r="AG66" i="16" s="1"/>
  <c r="S67" i="16"/>
  <c r="AG67" i="16" s="1"/>
  <c r="S68" i="16"/>
  <c r="AG68" i="16" s="1"/>
  <c r="S69" i="16"/>
  <c r="AG69" i="16" s="1"/>
  <c r="S70" i="16"/>
  <c r="AG70" i="16" s="1"/>
  <c r="S71" i="16"/>
  <c r="AG71" i="16" s="1"/>
  <c r="S72" i="16"/>
  <c r="AG72" i="16" s="1"/>
  <c r="S73" i="16"/>
  <c r="AG73" i="16" s="1"/>
  <c r="S74" i="16"/>
  <c r="AG74" i="16" s="1"/>
  <c r="S75" i="16"/>
  <c r="AG75" i="16" s="1"/>
  <c r="S76" i="16"/>
  <c r="AG76" i="16" s="1"/>
  <c r="S77" i="16"/>
  <c r="AG77" i="16" s="1"/>
  <c r="S78" i="16"/>
  <c r="AG78" i="16" s="1"/>
  <c r="S79" i="16"/>
  <c r="AG79" i="16" s="1"/>
  <c r="S80" i="16"/>
  <c r="AG80" i="16" s="1"/>
  <c r="S81" i="16"/>
  <c r="AG81" i="16" s="1"/>
  <c r="S82" i="16"/>
  <c r="AG82" i="16" s="1"/>
  <c r="S83" i="16"/>
  <c r="AG83" i="16" s="1"/>
  <c r="S84" i="16"/>
  <c r="AG84" i="16" s="1"/>
  <c r="S85" i="16"/>
  <c r="AG85" i="16" s="1"/>
  <c r="S86" i="16"/>
  <c r="AG86" i="16" s="1"/>
  <c r="S87" i="16"/>
  <c r="AG87" i="16" s="1"/>
  <c r="S88" i="16"/>
  <c r="AG88" i="16" s="1"/>
  <c r="S89" i="16"/>
  <c r="AG89" i="16" s="1"/>
  <c r="S90" i="16"/>
  <c r="AG90" i="16" s="1"/>
  <c r="S91" i="16"/>
  <c r="AG91" i="16" s="1"/>
  <c r="S92" i="16"/>
  <c r="AG92" i="16" s="1"/>
  <c r="S93" i="16"/>
  <c r="AG93" i="16" s="1"/>
  <c r="S94" i="16"/>
  <c r="AG94" i="16" s="1"/>
  <c r="S95" i="16"/>
  <c r="AG95" i="16" s="1"/>
  <c r="S96" i="16"/>
  <c r="AG96" i="16" s="1"/>
  <c r="S97" i="16"/>
  <c r="AG97" i="16" s="1"/>
  <c r="S98" i="16"/>
  <c r="AG98" i="16" s="1"/>
  <c r="S99" i="16"/>
  <c r="AG99" i="16" s="1"/>
  <c r="S100" i="16"/>
  <c r="AG100" i="16" s="1"/>
  <c r="S101" i="16"/>
  <c r="AG101" i="16" s="1"/>
  <c r="S102" i="16"/>
  <c r="AG102" i="16" s="1"/>
  <c r="S103" i="16"/>
  <c r="AG103" i="16" s="1"/>
  <c r="S104" i="16"/>
  <c r="AG104" i="16" s="1"/>
  <c r="S105" i="16"/>
  <c r="AG105" i="16" s="1"/>
  <c r="S106" i="16"/>
  <c r="AG106" i="16" s="1"/>
  <c r="S107" i="16"/>
  <c r="AG107" i="16" s="1"/>
  <c r="S108" i="16"/>
  <c r="AG108" i="16" s="1"/>
  <c r="S109" i="16"/>
  <c r="AG109" i="16" s="1"/>
  <c r="S110" i="16"/>
  <c r="AG110" i="16" s="1"/>
  <c r="S111" i="16"/>
  <c r="AG111" i="16" s="1"/>
  <c r="S112" i="16"/>
  <c r="AG112" i="16" s="1"/>
  <c r="S113" i="16"/>
  <c r="AG113" i="16" s="1"/>
  <c r="S114" i="16"/>
  <c r="AG114" i="16" s="1"/>
  <c r="S115" i="16"/>
  <c r="AG115" i="16" s="1"/>
  <c r="S116" i="16"/>
  <c r="AG116" i="16" s="1"/>
  <c r="S117" i="16"/>
  <c r="AG117" i="16" s="1"/>
  <c r="S118" i="16"/>
  <c r="AG118" i="16" s="1"/>
  <c r="S119" i="16"/>
  <c r="AG119" i="16" s="1"/>
  <c r="S120" i="16"/>
  <c r="AG120" i="16" s="1"/>
  <c r="S121" i="16"/>
  <c r="AG121" i="16" s="1"/>
  <c r="S122" i="16"/>
  <c r="AG122" i="16" s="1"/>
  <c r="S123" i="16"/>
  <c r="AG123" i="16" s="1"/>
  <c r="S124" i="16"/>
  <c r="AG124" i="16" s="1"/>
  <c r="S125" i="16"/>
  <c r="AG125" i="16" s="1"/>
  <c r="S126" i="16"/>
  <c r="AG126" i="16" s="1"/>
  <c r="S127" i="16"/>
  <c r="AG127" i="16" s="1"/>
  <c r="S128" i="16"/>
  <c r="AG128" i="16" s="1"/>
  <c r="S129" i="16"/>
  <c r="AG129" i="16" s="1"/>
  <c r="S130" i="16"/>
  <c r="AG130" i="16" s="1"/>
  <c r="S131" i="16"/>
  <c r="AG131" i="16" s="1"/>
  <c r="S132" i="16"/>
  <c r="AG132" i="16" s="1"/>
  <c r="S133" i="16"/>
  <c r="AG133" i="16" s="1"/>
  <c r="S134" i="16"/>
  <c r="AG134" i="16" s="1"/>
  <c r="S135" i="16"/>
  <c r="AG135" i="16" s="1"/>
  <c r="S136" i="16"/>
  <c r="AG136" i="16" s="1"/>
  <c r="S137" i="16"/>
  <c r="AG137" i="16" s="1"/>
  <c r="S138" i="16"/>
  <c r="AG138" i="16" s="1"/>
  <c r="S139" i="16"/>
  <c r="AG139" i="16" s="1"/>
  <c r="S140" i="16"/>
  <c r="AG140" i="16" s="1"/>
  <c r="S141" i="16"/>
  <c r="AG141" i="16" s="1"/>
  <c r="S142" i="16"/>
  <c r="AG142" i="16" s="1"/>
  <c r="S143" i="16"/>
  <c r="AG143" i="16" s="1"/>
  <c r="S144" i="16"/>
  <c r="AG144" i="16" s="1"/>
  <c r="S145" i="16"/>
  <c r="AG145" i="16" s="1"/>
  <c r="S146" i="16"/>
  <c r="AG146" i="16" s="1"/>
  <c r="S147" i="16"/>
  <c r="AG147" i="16" s="1"/>
  <c r="S148" i="16"/>
  <c r="AG148" i="16" s="1"/>
  <c r="S149" i="16"/>
  <c r="AG149" i="16" s="1"/>
  <c r="S150" i="16"/>
  <c r="AG150" i="16" s="1"/>
  <c r="S151" i="16"/>
  <c r="AG151" i="16" s="1"/>
  <c r="S152" i="16"/>
  <c r="AG152" i="16" s="1"/>
  <c r="S153" i="16"/>
  <c r="AG153" i="16" s="1"/>
  <c r="S154" i="16"/>
  <c r="AG154" i="16" s="1"/>
  <c r="S155" i="16"/>
  <c r="AG155" i="16" s="1"/>
  <c r="S156" i="16"/>
  <c r="AG156" i="16" s="1"/>
  <c r="S157" i="16"/>
  <c r="AG157" i="16" s="1"/>
  <c r="S158" i="16"/>
  <c r="AG158" i="16" s="1"/>
  <c r="S159" i="16"/>
  <c r="AG159" i="16" s="1"/>
  <c r="S160" i="16"/>
  <c r="AG160" i="16" s="1"/>
  <c r="S161" i="16"/>
  <c r="AG161" i="16" s="1"/>
  <c r="S162" i="16"/>
  <c r="AG162" i="16" s="1"/>
  <c r="S163" i="16"/>
  <c r="AG163" i="16" s="1"/>
  <c r="S164" i="16"/>
  <c r="AG164" i="16" s="1"/>
  <c r="S165" i="16"/>
  <c r="AG165" i="16" s="1"/>
  <c r="S166" i="16"/>
  <c r="AG166" i="16" s="1"/>
  <c r="S167" i="16"/>
  <c r="AG167" i="16" s="1"/>
  <c r="S168" i="16"/>
  <c r="AG168" i="16" s="1"/>
  <c r="S169" i="16"/>
  <c r="AG169" i="16" s="1"/>
  <c r="S170" i="16"/>
  <c r="AG170" i="16" s="1"/>
  <c r="S171" i="16"/>
  <c r="AG171" i="16" s="1"/>
  <c r="S172" i="16"/>
  <c r="AG172" i="16" s="1"/>
  <c r="S173" i="16"/>
  <c r="AG173" i="16" s="1"/>
  <c r="S174" i="16"/>
  <c r="AG174" i="16" s="1"/>
  <c r="S175" i="16"/>
  <c r="AG175" i="16" s="1"/>
  <c r="S176" i="16"/>
  <c r="AG176" i="16" s="1"/>
  <c r="S177" i="16"/>
  <c r="AG177" i="16" s="1"/>
  <c r="S178" i="16"/>
  <c r="AG178" i="16" s="1"/>
  <c r="S179" i="16"/>
  <c r="AG179" i="16" s="1"/>
  <c r="S180" i="16"/>
  <c r="AG180" i="16" s="1"/>
  <c r="S181" i="16"/>
  <c r="AG181" i="16" s="1"/>
  <c r="S182" i="16"/>
  <c r="AG182" i="16" s="1"/>
  <c r="S183" i="16"/>
  <c r="AG183" i="16" s="1"/>
  <c r="S184" i="16"/>
  <c r="AG184" i="16" s="1"/>
  <c r="S185" i="16"/>
  <c r="AG185" i="16" s="1"/>
  <c r="S186" i="16"/>
  <c r="AG186" i="16" s="1"/>
  <c r="S187" i="16"/>
  <c r="AG187" i="16" s="1"/>
  <c r="S188" i="16"/>
  <c r="AG188" i="16" s="1"/>
  <c r="S189" i="16"/>
  <c r="AG189" i="16" s="1"/>
  <c r="S190" i="16"/>
  <c r="AG190" i="16" s="1"/>
  <c r="S191" i="16"/>
  <c r="AG191" i="16" s="1"/>
  <c r="S192" i="16"/>
  <c r="AG192" i="16" s="1"/>
  <c r="S193" i="16"/>
  <c r="AG193" i="16" s="1"/>
  <c r="S194" i="16"/>
  <c r="AG194" i="16" s="1"/>
  <c r="S195" i="16"/>
  <c r="AG195" i="16" s="1"/>
  <c r="S196" i="16"/>
  <c r="AG196" i="16" s="1"/>
  <c r="S197" i="16"/>
  <c r="AG197" i="16" s="1"/>
  <c r="S198" i="16"/>
  <c r="AG198" i="16" s="1"/>
  <c r="S199" i="16"/>
  <c r="AG199" i="16" s="1"/>
  <c r="S200" i="16"/>
  <c r="AG200" i="16" s="1"/>
  <c r="S201" i="16"/>
  <c r="AG201" i="16" s="1"/>
  <c r="S202" i="16"/>
  <c r="AG202" i="16" s="1"/>
  <c r="S203" i="16"/>
  <c r="AG203" i="16" s="1"/>
  <c r="S204" i="16"/>
  <c r="AG204" i="16" s="1"/>
  <c r="S205" i="16"/>
  <c r="AG205" i="16" s="1"/>
  <c r="S206" i="16"/>
  <c r="AG206" i="16" s="1"/>
  <c r="S207" i="16"/>
  <c r="AG207" i="16" s="1"/>
  <c r="S208" i="16"/>
  <c r="AG208" i="16" s="1"/>
  <c r="S209" i="16"/>
  <c r="AG209" i="16" s="1"/>
  <c r="S210" i="16"/>
  <c r="AG210" i="16" s="1"/>
  <c r="S211" i="16"/>
  <c r="AG211" i="16" s="1"/>
  <c r="S212" i="16"/>
  <c r="AG212" i="16" s="1"/>
  <c r="S213" i="16"/>
  <c r="AG213" i="16" s="1"/>
  <c r="S214" i="16"/>
  <c r="AG214" i="16" s="1"/>
  <c r="S215" i="16"/>
  <c r="AG215" i="16" s="1"/>
  <c r="S216" i="16"/>
  <c r="AG216" i="16" s="1"/>
  <c r="S217" i="16"/>
  <c r="AG217" i="16" s="1"/>
  <c r="S218" i="16"/>
  <c r="AG218" i="16" s="1"/>
  <c r="S219" i="16"/>
  <c r="AG219" i="16" s="1"/>
  <c r="S220" i="16"/>
  <c r="AG220" i="16" s="1"/>
  <c r="S221" i="16"/>
  <c r="AG221" i="16" s="1"/>
  <c r="S222" i="16"/>
  <c r="AG222" i="16" s="1"/>
  <c r="S223" i="16"/>
  <c r="AG223" i="16" s="1"/>
  <c r="S224" i="16"/>
  <c r="AG224" i="16" s="1"/>
  <c r="S225" i="16"/>
  <c r="AG225" i="16" s="1"/>
  <c r="S226" i="16"/>
  <c r="AG226" i="16" s="1"/>
  <c r="S227" i="16"/>
  <c r="AG227" i="16" s="1"/>
  <c r="S228" i="16"/>
  <c r="AG228" i="16" s="1"/>
  <c r="S229" i="16"/>
  <c r="AG229" i="16" s="1"/>
  <c r="S230" i="16"/>
  <c r="AG230" i="16" s="1"/>
  <c r="S231" i="16"/>
  <c r="AG231" i="16" s="1"/>
  <c r="S232" i="16"/>
  <c r="AG232" i="16" s="1"/>
  <c r="S233" i="16"/>
  <c r="AG233" i="16" s="1"/>
  <c r="S234" i="16"/>
  <c r="AG234" i="16" s="1"/>
  <c r="S235" i="16"/>
  <c r="AG235" i="16" s="1"/>
  <c r="S236" i="16"/>
  <c r="AG236" i="16" s="1"/>
  <c r="S237" i="16"/>
  <c r="AG237" i="16" s="1"/>
  <c r="S238" i="16"/>
  <c r="AG238" i="16" s="1"/>
  <c r="S239" i="16"/>
  <c r="AG239" i="16" s="1"/>
  <c r="S240" i="16"/>
  <c r="AG240" i="16" s="1"/>
  <c r="S241" i="16"/>
  <c r="AG241" i="16" s="1"/>
  <c r="S242" i="16"/>
  <c r="AG242" i="16" s="1"/>
  <c r="S243" i="16"/>
  <c r="AG243" i="16" s="1"/>
  <c r="S244" i="16"/>
  <c r="AG244" i="16" s="1"/>
  <c r="S245" i="16"/>
  <c r="AG245" i="16" s="1"/>
  <c r="S246" i="16"/>
  <c r="AG246" i="16" s="1"/>
  <c r="S247" i="16"/>
  <c r="AG247" i="16" s="1"/>
  <c r="S248" i="16"/>
  <c r="AG248" i="16" s="1"/>
  <c r="S249" i="16"/>
  <c r="AG249" i="16" s="1"/>
  <c r="S250" i="16"/>
  <c r="AG250" i="16" s="1"/>
  <c r="S251" i="16"/>
  <c r="AG251" i="16" s="1"/>
  <c r="S252" i="16"/>
  <c r="AG252" i="16" s="1"/>
  <c r="S253" i="16"/>
  <c r="AG253" i="16" s="1"/>
  <c r="S254" i="16"/>
  <c r="AG254" i="16" s="1"/>
  <c r="S255" i="16"/>
  <c r="AG255" i="16" s="1"/>
  <c r="S256" i="16"/>
  <c r="AG256" i="16" s="1"/>
  <c r="S257" i="16"/>
  <c r="AG257" i="16" s="1"/>
  <c r="S258" i="16"/>
  <c r="AG258" i="16" s="1"/>
  <c r="S259" i="16"/>
  <c r="AG259" i="16" s="1"/>
  <c r="S260" i="16"/>
  <c r="AG260" i="16" s="1"/>
  <c r="S261" i="16"/>
  <c r="AG261" i="16" s="1"/>
  <c r="S262" i="16"/>
  <c r="AG262" i="16" s="1"/>
  <c r="S263" i="16"/>
  <c r="AG263" i="16" s="1"/>
  <c r="S264" i="16"/>
  <c r="AG264" i="16" s="1"/>
  <c r="S265" i="16"/>
  <c r="AG265" i="16" s="1"/>
  <c r="S266" i="16"/>
  <c r="AG266" i="16" s="1"/>
  <c r="S267" i="16"/>
  <c r="AG267" i="16" s="1"/>
  <c r="S268" i="16"/>
  <c r="AG268" i="16" s="1"/>
  <c r="S269" i="16"/>
  <c r="AG269" i="16" s="1"/>
  <c r="S270" i="16"/>
  <c r="AG270" i="16" s="1"/>
  <c r="S271" i="16"/>
  <c r="AG271" i="16" s="1"/>
  <c r="S272" i="16"/>
  <c r="AG272" i="16" s="1"/>
  <c r="S273" i="16"/>
  <c r="AG273" i="16" s="1"/>
  <c r="S274" i="16"/>
  <c r="AG274" i="16" s="1"/>
  <c r="S275" i="16"/>
  <c r="AG275" i="16" s="1"/>
  <c r="S276" i="16"/>
  <c r="AG276" i="16" s="1"/>
  <c r="S277" i="16"/>
  <c r="AG277" i="16" s="1"/>
  <c r="S278" i="16"/>
  <c r="AG278" i="16" s="1"/>
  <c r="S279" i="16"/>
  <c r="AG279" i="16" s="1"/>
  <c r="S280" i="16"/>
  <c r="AG280" i="16" s="1"/>
  <c r="S281" i="16"/>
  <c r="AG281" i="16" s="1"/>
  <c r="S282" i="16"/>
  <c r="AG282" i="16" s="1"/>
  <c r="S283" i="16"/>
  <c r="AG283" i="16" s="1"/>
  <c r="S284" i="16"/>
  <c r="AG284" i="16" s="1"/>
  <c r="S285" i="16"/>
  <c r="AG285" i="16" s="1"/>
  <c r="S286" i="16"/>
  <c r="AG286" i="16" s="1"/>
  <c r="S287" i="16"/>
  <c r="AG287" i="16" s="1"/>
  <c r="S288" i="16"/>
  <c r="AG288" i="16" s="1"/>
  <c r="S289" i="16"/>
  <c r="AG289" i="16" s="1"/>
  <c r="S290" i="16"/>
  <c r="AG290" i="16" s="1"/>
  <c r="S291" i="16"/>
  <c r="AG291" i="16" s="1"/>
  <c r="S292" i="16"/>
  <c r="AG292" i="16" s="1"/>
  <c r="S293" i="16"/>
  <c r="AG293" i="16" s="1"/>
  <c r="S294" i="16"/>
  <c r="AG294" i="16" s="1"/>
  <c r="S295" i="16"/>
  <c r="AG295" i="16" s="1"/>
  <c r="S296" i="16"/>
  <c r="AG296" i="16" s="1"/>
  <c r="S297" i="16"/>
  <c r="AG297" i="16" s="1"/>
  <c r="S298" i="16"/>
  <c r="AG298" i="16" s="1"/>
  <c r="S299" i="16"/>
  <c r="AG299" i="16" s="1"/>
  <c r="S300" i="16"/>
  <c r="AG300" i="16" s="1"/>
  <c r="S301" i="16"/>
  <c r="AG301" i="16" s="1"/>
  <c r="S302" i="16"/>
  <c r="AG302" i="16" s="1"/>
  <c r="S303" i="16"/>
  <c r="AG303" i="16" s="1"/>
  <c r="S304" i="16"/>
  <c r="AG304" i="16" s="1"/>
  <c r="S305" i="16"/>
  <c r="AG305" i="16" s="1"/>
  <c r="S306" i="16"/>
  <c r="AG306" i="16" s="1"/>
  <c r="S307" i="16"/>
  <c r="AG307" i="16" s="1"/>
  <c r="S308" i="16"/>
  <c r="AG308" i="16" s="1"/>
  <c r="S309" i="16"/>
  <c r="AG309" i="16" s="1"/>
  <c r="S310" i="16"/>
  <c r="AG310" i="16" s="1"/>
  <c r="S311" i="16"/>
  <c r="AG311" i="16" s="1"/>
  <c r="S312" i="16"/>
  <c r="AG312" i="16" s="1"/>
  <c r="S313" i="16"/>
  <c r="AG313" i="16" s="1"/>
  <c r="S314" i="16"/>
  <c r="AG314" i="16" s="1"/>
  <c r="S315" i="16"/>
  <c r="AG315" i="16" s="1"/>
  <c r="S316" i="16"/>
  <c r="AG316" i="16" s="1"/>
  <c r="S317" i="16"/>
  <c r="AG317" i="16" s="1"/>
  <c r="S318" i="16"/>
  <c r="AG318" i="16" s="1"/>
  <c r="S319" i="16"/>
  <c r="AG319" i="16" s="1"/>
  <c r="S320" i="16"/>
  <c r="AG320" i="16" s="1"/>
  <c r="S321" i="16"/>
  <c r="AG321" i="16" s="1"/>
  <c r="S322" i="16"/>
  <c r="AG322" i="16" s="1"/>
  <c r="S323" i="16"/>
  <c r="AG323" i="16" s="1"/>
  <c r="S324" i="16"/>
  <c r="AG324" i="16" s="1"/>
  <c r="S325" i="16"/>
  <c r="AG325" i="16" s="1"/>
  <c r="S326" i="16"/>
  <c r="AG326" i="16" s="1"/>
  <c r="S327" i="16"/>
  <c r="AG327" i="16" s="1"/>
  <c r="S328" i="16"/>
  <c r="AG328" i="16" s="1"/>
  <c r="S329" i="16"/>
  <c r="AG329" i="16" s="1"/>
  <c r="S330" i="16"/>
  <c r="AG330" i="16" s="1"/>
  <c r="S331" i="16"/>
  <c r="AG331" i="16" s="1"/>
  <c r="S332" i="16"/>
  <c r="AG332" i="16" s="1"/>
  <c r="S333" i="16"/>
  <c r="AG333" i="16" s="1"/>
  <c r="S334" i="16"/>
  <c r="AG334" i="16" s="1"/>
  <c r="S335" i="16"/>
  <c r="AG335" i="16" s="1"/>
  <c r="S336" i="16"/>
  <c r="AG336" i="16" s="1"/>
  <c r="S337" i="16"/>
  <c r="AG337" i="16" s="1"/>
  <c r="S338" i="16"/>
  <c r="AG338" i="16" s="1"/>
  <c r="S339" i="16"/>
  <c r="AG339" i="16" s="1"/>
  <c r="S340" i="16"/>
  <c r="AG340" i="16" s="1"/>
  <c r="S341" i="16"/>
  <c r="AG341" i="16" s="1"/>
  <c r="S342" i="16"/>
  <c r="AG342" i="16" s="1"/>
  <c r="S343" i="16"/>
  <c r="AG343" i="16" s="1"/>
  <c r="S344" i="16"/>
  <c r="AG344" i="16" s="1"/>
  <c r="S345" i="16"/>
  <c r="AG345" i="16" s="1"/>
  <c r="S346" i="16"/>
  <c r="AG346" i="16" s="1"/>
  <c r="S347" i="16"/>
  <c r="AG347" i="16" s="1"/>
  <c r="S348" i="16"/>
  <c r="AG348" i="16" s="1"/>
  <c r="S349" i="16"/>
  <c r="AG349" i="16" s="1"/>
  <c r="S350" i="16"/>
  <c r="AG350" i="16" s="1"/>
  <c r="S351" i="16"/>
  <c r="AG351" i="16" s="1"/>
  <c r="S352" i="16"/>
  <c r="AG352" i="16" s="1"/>
  <c r="S353" i="16"/>
  <c r="AG353" i="16" s="1"/>
  <c r="S354" i="16"/>
  <c r="AG354" i="16" s="1"/>
  <c r="S355" i="16"/>
  <c r="AG355" i="16" s="1"/>
  <c r="S356" i="16"/>
  <c r="AG356" i="16" s="1"/>
  <c r="S357" i="16"/>
  <c r="AG357" i="16" s="1"/>
  <c r="S358" i="16"/>
  <c r="AG358" i="16" s="1"/>
  <c r="S359" i="16"/>
  <c r="AG359" i="16" s="1"/>
  <c r="S360" i="16"/>
  <c r="AG360" i="16" s="1"/>
  <c r="S361" i="16"/>
  <c r="AG361" i="16" s="1"/>
  <c r="S362" i="16"/>
  <c r="AG362" i="16" s="1"/>
  <c r="S363" i="16"/>
  <c r="AG363" i="16" s="1"/>
  <c r="S364" i="16"/>
  <c r="AG364" i="16" s="1"/>
  <c r="S365" i="16"/>
  <c r="AG365" i="16" s="1"/>
  <c r="S366" i="16"/>
  <c r="AG366" i="16" s="1"/>
  <c r="S367" i="16"/>
  <c r="AG367" i="16" s="1"/>
  <c r="S368" i="16"/>
  <c r="AG368" i="16" s="1"/>
  <c r="S369" i="16"/>
  <c r="AG369" i="16" s="1"/>
  <c r="S370" i="16"/>
  <c r="AG370" i="16" s="1"/>
  <c r="S371" i="16"/>
  <c r="AG371" i="16" s="1"/>
  <c r="S372" i="16"/>
  <c r="AG372" i="16" s="1"/>
  <c r="S373" i="16"/>
  <c r="AG373" i="16" s="1"/>
  <c r="S374" i="16"/>
  <c r="AG374" i="16" s="1"/>
  <c r="S375" i="16"/>
  <c r="AG375" i="16" s="1"/>
  <c r="S376" i="16"/>
  <c r="AG376" i="16" s="1"/>
  <c r="S377" i="16"/>
  <c r="AG377" i="16" s="1"/>
  <c r="S378" i="16"/>
  <c r="AG378" i="16" s="1"/>
  <c r="S379" i="16"/>
  <c r="AG379" i="16" s="1"/>
  <c r="S380" i="16"/>
  <c r="AG380" i="16" s="1"/>
  <c r="S381" i="16"/>
  <c r="AG381" i="16" s="1"/>
  <c r="S382" i="16"/>
  <c r="AG382" i="16" s="1"/>
  <c r="S383" i="16"/>
  <c r="AG383" i="16" s="1"/>
  <c r="S384" i="16"/>
  <c r="AG384" i="16" s="1"/>
  <c r="S385" i="16"/>
  <c r="AG385" i="16" s="1"/>
  <c r="S386" i="16"/>
  <c r="AG386" i="16" s="1"/>
  <c r="S387" i="16"/>
  <c r="AG387" i="16" s="1"/>
  <c r="S388" i="16"/>
  <c r="AG388" i="16" s="1"/>
  <c r="S389" i="16"/>
  <c r="AG389" i="16" s="1"/>
  <c r="S390" i="16"/>
  <c r="AG390" i="16" s="1"/>
  <c r="S391" i="16"/>
  <c r="AG391" i="16" s="1"/>
  <c r="S392" i="16"/>
  <c r="AG392" i="16" s="1"/>
  <c r="S393" i="16"/>
  <c r="AG393" i="16" s="1"/>
  <c r="S394" i="16"/>
  <c r="AG394" i="16" s="1"/>
  <c r="S395" i="16"/>
  <c r="AG395" i="16" s="1"/>
  <c r="S396" i="16"/>
  <c r="AG396" i="16" s="1"/>
  <c r="S397" i="16"/>
  <c r="AG397" i="16" s="1"/>
  <c r="S398" i="16"/>
  <c r="AG398" i="16" s="1"/>
  <c r="S399" i="16"/>
  <c r="AG399" i="16" s="1"/>
  <c r="AF8" i="16"/>
  <c r="AF9" i="16"/>
  <c r="AF10" i="16"/>
  <c r="AF11" i="16"/>
  <c r="AF12" i="16"/>
  <c r="AF13" i="16"/>
  <c r="AF14" i="16"/>
  <c r="AF15" i="16"/>
  <c r="AF16" i="16"/>
  <c r="AF17" i="16"/>
  <c r="AF18" i="16"/>
  <c r="M19" i="16"/>
  <c r="AF19" i="16" s="1"/>
  <c r="M20" i="16"/>
  <c r="AF20" i="16" s="1"/>
  <c r="M21" i="16"/>
  <c r="AF21" i="16" s="1"/>
  <c r="M22" i="16"/>
  <c r="AF22" i="16" s="1"/>
  <c r="M23" i="16"/>
  <c r="AF23" i="16" s="1"/>
  <c r="M24" i="16"/>
  <c r="AF24" i="16" s="1"/>
  <c r="M25" i="16"/>
  <c r="AF25" i="16" s="1"/>
  <c r="M26" i="16"/>
  <c r="AF26" i="16" s="1"/>
  <c r="M27" i="16"/>
  <c r="AF27" i="16" s="1"/>
  <c r="M28" i="16"/>
  <c r="AF28" i="16" s="1"/>
  <c r="M29" i="16"/>
  <c r="AF29" i="16" s="1"/>
  <c r="M30" i="16"/>
  <c r="AF30" i="16" s="1"/>
  <c r="M31" i="16"/>
  <c r="AF31" i="16" s="1"/>
  <c r="M32" i="16"/>
  <c r="AF32" i="16" s="1"/>
  <c r="M33" i="16"/>
  <c r="AF33" i="16" s="1"/>
  <c r="M34" i="16"/>
  <c r="AF34" i="16" s="1"/>
  <c r="M35" i="16"/>
  <c r="AF35" i="16" s="1"/>
  <c r="M36" i="16"/>
  <c r="AF36" i="16" s="1"/>
  <c r="M37" i="16"/>
  <c r="AF37" i="16" s="1"/>
  <c r="M38" i="16"/>
  <c r="AF38" i="16" s="1"/>
  <c r="M39" i="16"/>
  <c r="AF39" i="16" s="1"/>
  <c r="M40" i="16"/>
  <c r="AF40" i="16" s="1"/>
  <c r="M41" i="16"/>
  <c r="AF41" i="16" s="1"/>
  <c r="M42" i="16"/>
  <c r="AF42" i="16" s="1"/>
  <c r="M43" i="16"/>
  <c r="AF43" i="16" s="1"/>
  <c r="M44" i="16"/>
  <c r="AF44" i="16" s="1"/>
  <c r="M45" i="16"/>
  <c r="AF45" i="16" s="1"/>
  <c r="M46" i="16"/>
  <c r="AF46" i="16" s="1"/>
  <c r="M47" i="16"/>
  <c r="AF47" i="16" s="1"/>
  <c r="M48" i="16"/>
  <c r="AF48" i="16" s="1"/>
  <c r="M49" i="16"/>
  <c r="AF49" i="16" s="1"/>
  <c r="M50" i="16"/>
  <c r="AF50" i="16" s="1"/>
  <c r="M51" i="16"/>
  <c r="AF51" i="16" s="1"/>
  <c r="M52" i="16"/>
  <c r="AF52" i="16" s="1"/>
  <c r="M53" i="16"/>
  <c r="AF53" i="16" s="1"/>
  <c r="M54" i="16"/>
  <c r="AF54" i="16" s="1"/>
  <c r="M55" i="16"/>
  <c r="AF55" i="16" s="1"/>
  <c r="M56" i="16"/>
  <c r="AF56" i="16" s="1"/>
  <c r="M57" i="16"/>
  <c r="AF57" i="16" s="1"/>
  <c r="M58" i="16"/>
  <c r="AF58" i="16" s="1"/>
  <c r="M59" i="16"/>
  <c r="AF59" i="16" s="1"/>
  <c r="M60" i="16"/>
  <c r="AF60" i="16" s="1"/>
  <c r="M61" i="16"/>
  <c r="AF61" i="16" s="1"/>
  <c r="M62" i="16"/>
  <c r="AF62" i="16"/>
  <c r="M63" i="16"/>
  <c r="AF63" i="16" s="1"/>
  <c r="M64" i="16"/>
  <c r="AF64" i="16" s="1"/>
  <c r="M65" i="16"/>
  <c r="AF65" i="16" s="1"/>
  <c r="M66" i="16"/>
  <c r="AF66" i="16" s="1"/>
  <c r="M67" i="16"/>
  <c r="AF67" i="16" s="1"/>
  <c r="M68" i="16"/>
  <c r="AF68" i="16" s="1"/>
  <c r="M69" i="16"/>
  <c r="AF69" i="16" s="1"/>
  <c r="M70" i="16"/>
  <c r="AF70" i="16" s="1"/>
  <c r="M71" i="16"/>
  <c r="AF71" i="16" s="1"/>
  <c r="M72" i="16"/>
  <c r="AF72" i="16" s="1"/>
  <c r="M73" i="16"/>
  <c r="AF73" i="16" s="1"/>
  <c r="M74" i="16"/>
  <c r="AF74" i="16" s="1"/>
  <c r="M75" i="16"/>
  <c r="AF75" i="16" s="1"/>
  <c r="M76" i="16"/>
  <c r="AF76" i="16" s="1"/>
  <c r="M77" i="16"/>
  <c r="AF77" i="16" s="1"/>
  <c r="M78" i="16"/>
  <c r="AF78" i="16" s="1"/>
  <c r="M79" i="16"/>
  <c r="AF79" i="16" s="1"/>
  <c r="M80" i="16"/>
  <c r="AF80" i="16" s="1"/>
  <c r="M81" i="16"/>
  <c r="AF81" i="16" s="1"/>
  <c r="M82" i="16"/>
  <c r="AF82" i="16" s="1"/>
  <c r="M83" i="16"/>
  <c r="AF83" i="16" s="1"/>
  <c r="M84" i="16"/>
  <c r="AF84" i="16" s="1"/>
  <c r="M85" i="16"/>
  <c r="AF85" i="16" s="1"/>
  <c r="M86" i="16"/>
  <c r="AF86" i="16" s="1"/>
  <c r="M87" i="16"/>
  <c r="AF87" i="16" s="1"/>
  <c r="M88" i="16"/>
  <c r="AF88" i="16" s="1"/>
  <c r="M89" i="16"/>
  <c r="AF89" i="16" s="1"/>
  <c r="M90" i="16"/>
  <c r="AF90" i="16" s="1"/>
  <c r="M91" i="16"/>
  <c r="AF91" i="16" s="1"/>
  <c r="M92" i="16"/>
  <c r="AF92" i="16" s="1"/>
  <c r="M93" i="16"/>
  <c r="AF93" i="16" s="1"/>
  <c r="M94" i="16"/>
  <c r="AF94" i="16" s="1"/>
  <c r="M95" i="16"/>
  <c r="AF95" i="16" s="1"/>
  <c r="M96" i="16"/>
  <c r="AF96" i="16" s="1"/>
  <c r="M97" i="16"/>
  <c r="AF97" i="16" s="1"/>
  <c r="M98" i="16"/>
  <c r="AF98" i="16" s="1"/>
  <c r="M99" i="16"/>
  <c r="AF99" i="16" s="1"/>
  <c r="M100" i="16"/>
  <c r="AF100" i="16" s="1"/>
  <c r="M101" i="16"/>
  <c r="AF101" i="16" s="1"/>
  <c r="M102" i="16"/>
  <c r="AF102" i="16" s="1"/>
  <c r="M103" i="16"/>
  <c r="AF103" i="16" s="1"/>
  <c r="M104" i="16"/>
  <c r="AF104" i="16" s="1"/>
  <c r="M105" i="16"/>
  <c r="AF105" i="16" s="1"/>
  <c r="M106" i="16"/>
  <c r="AF106" i="16" s="1"/>
  <c r="M107" i="16"/>
  <c r="AF107" i="16" s="1"/>
  <c r="M108" i="16"/>
  <c r="AF108" i="16" s="1"/>
  <c r="M109" i="16"/>
  <c r="AF109" i="16" s="1"/>
  <c r="M110" i="16"/>
  <c r="AF110" i="16" s="1"/>
  <c r="M111" i="16"/>
  <c r="AF111" i="16" s="1"/>
  <c r="M112" i="16"/>
  <c r="AF112" i="16" s="1"/>
  <c r="M113" i="16"/>
  <c r="AF113" i="16" s="1"/>
  <c r="M114" i="16"/>
  <c r="AF114" i="16" s="1"/>
  <c r="M115" i="16"/>
  <c r="AF115" i="16" s="1"/>
  <c r="M116" i="16"/>
  <c r="AF116" i="16" s="1"/>
  <c r="M117" i="16"/>
  <c r="AF117" i="16" s="1"/>
  <c r="M118" i="16"/>
  <c r="AF118" i="16" s="1"/>
  <c r="M119" i="16"/>
  <c r="AF119" i="16" s="1"/>
  <c r="M120" i="16"/>
  <c r="AF120" i="16" s="1"/>
  <c r="M121" i="16"/>
  <c r="AF121" i="16" s="1"/>
  <c r="M122" i="16"/>
  <c r="AF122" i="16" s="1"/>
  <c r="M123" i="16"/>
  <c r="AF123" i="16" s="1"/>
  <c r="M124" i="16"/>
  <c r="AF124" i="16" s="1"/>
  <c r="M125" i="16"/>
  <c r="AF125" i="16" s="1"/>
  <c r="M126" i="16"/>
  <c r="AF126" i="16" s="1"/>
  <c r="M127" i="16"/>
  <c r="AF127" i="16" s="1"/>
  <c r="M128" i="16"/>
  <c r="AF128" i="16" s="1"/>
  <c r="M129" i="16"/>
  <c r="AF129" i="16" s="1"/>
  <c r="M130" i="16"/>
  <c r="AF130" i="16" s="1"/>
  <c r="M131" i="16"/>
  <c r="AF131" i="16" s="1"/>
  <c r="M132" i="16"/>
  <c r="AF132" i="16" s="1"/>
  <c r="M133" i="16"/>
  <c r="AF133" i="16" s="1"/>
  <c r="M134" i="16"/>
  <c r="AF134" i="16" s="1"/>
  <c r="M135" i="16"/>
  <c r="AF135" i="16" s="1"/>
  <c r="M136" i="16"/>
  <c r="AF136" i="16" s="1"/>
  <c r="M137" i="16"/>
  <c r="AF137" i="16" s="1"/>
  <c r="M138" i="16"/>
  <c r="AF138" i="16" s="1"/>
  <c r="M139" i="16"/>
  <c r="AF139" i="16" s="1"/>
  <c r="M140" i="16"/>
  <c r="AF140" i="16" s="1"/>
  <c r="M141" i="16"/>
  <c r="AF141" i="16" s="1"/>
  <c r="M142" i="16"/>
  <c r="AF142" i="16" s="1"/>
  <c r="M143" i="16"/>
  <c r="AF143" i="16" s="1"/>
  <c r="M144" i="16"/>
  <c r="AF144" i="16" s="1"/>
  <c r="M145" i="16"/>
  <c r="AF145" i="16" s="1"/>
  <c r="M146" i="16"/>
  <c r="AF146" i="16" s="1"/>
  <c r="M147" i="16"/>
  <c r="AF147" i="16" s="1"/>
  <c r="M148" i="16"/>
  <c r="AF148" i="16" s="1"/>
  <c r="M149" i="16"/>
  <c r="AF149" i="16" s="1"/>
  <c r="M150" i="16"/>
  <c r="AF150" i="16" s="1"/>
  <c r="M151" i="16"/>
  <c r="AF151" i="16" s="1"/>
  <c r="M152" i="16"/>
  <c r="AF152" i="16" s="1"/>
  <c r="M153" i="16"/>
  <c r="AF153" i="16" s="1"/>
  <c r="M154" i="16"/>
  <c r="AF154" i="16" s="1"/>
  <c r="M155" i="16"/>
  <c r="AF155" i="16" s="1"/>
  <c r="M156" i="16"/>
  <c r="AF156" i="16" s="1"/>
  <c r="M157" i="16"/>
  <c r="AF157" i="16" s="1"/>
  <c r="M158" i="16"/>
  <c r="AF158" i="16" s="1"/>
  <c r="M159" i="16"/>
  <c r="AF159" i="16" s="1"/>
  <c r="M160" i="16"/>
  <c r="AF160" i="16" s="1"/>
  <c r="M161" i="16"/>
  <c r="AF161" i="16" s="1"/>
  <c r="M162" i="16"/>
  <c r="AF162" i="16" s="1"/>
  <c r="M163" i="16"/>
  <c r="AF163" i="16" s="1"/>
  <c r="M164" i="16"/>
  <c r="AF164" i="16" s="1"/>
  <c r="M165" i="16"/>
  <c r="AF165" i="16" s="1"/>
  <c r="M166" i="16"/>
  <c r="AF166" i="16" s="1"/>
  <c r="M167" i="16"/>
  <c r="AF167" i="16" s="1"/>
  <c r="M168" i="16"/>
  <c r="AF168" i="16" s="1"/>
  <c r="M169" i="16"/>
  <c r="AF169" i="16" s="1"/>
  <c r="M170" i="16"/>
  <c r="AF170" i="16" s="1"/>
  <c r="M171" i="16"/>
  <c r="AF171" i="16" s="1"/>
  <c r="M172" i="16"/>
  <c r="AF172" i="16" s="1"/>
  <c r="M173" i="16"/>
  <c r="AF173" i="16" s="1"/>
  <c r="M174" i="16"/>
  <c r="AF174" i="16" s="1"/>
  <c r="M175" i="16"/>
  <c r="AF175" i="16" s="1"/>
  <c r="M176" i="16"/>
  <c r="AF176" i="16" s="1"/>
  <c r="M177" i="16"/>
  <c r="AF177" i="16" s="1"/>
  <c r="M178" i="16"/>
  <c r="AF178" i="16" s="1"/>
  <c r="M179" i="16"/>
  <c r="AF179" i="16" s="1"/>
  <c r="M180" i="16"/>
  <c r="AF180" i="16" s="1"/>
  <c r="M181" i="16"/>
  <c r="AF181" i="16" s="1"/>
  <c r="M182" i="16"/>
  <c r="AF182" i="16" s="1"/>
  <c r="M183" i="16"/>
  <c r="AF183" i="16" s="1"/>
  <c r="M184" i="16"/>
  <c r="AF184" i="16" s="1"/>
  <c r="M185" i="16"/>
  <c r="AF185" i="16" s="1"/>
  <c r="M186" i="16"/>
  <c r="AF186" i="16" s="1"/>
  <c r="M187" i="16"/>
  <c r="AF187" i="16" s="1"/>
  <c r="M188" i="16"/>
  <c r="AF188" i="16" s="1"/>
  <c r="M189" i="16"/>
  <c r="AF189" i="16" s="1"/>
  <c r="M190" i="16"/>
  <c r="AF190" i="16" s="1"/>
  <c r="M191" i="16"/>
  <c r="AF191" i="16" s="1"/>
  <c r="M192" i="16"/>
  <c r="AF192" i="16" s="1"/>
  <c r="M193" i="16"/>
  <c r="AF193" i="16" s="1"/>
  <c r="M194" i="16"/>
  <c r="AF194" i="16" s="1"/>
  <c r="M195" i="16"/>
  <c r="AF195" i="16" s="1"/>
  <c r="M196" i="16"/>
  <c r="AF196" i="16" s="1"/>
  <c r="M197" i="16"/>
  <c r="AF197" i="16" s="1"/>
  <c r="M198" i="16"/>
  <c r="AF198" i="16" s="1"/>
  <c r="M199" i="16"/>
  <c r="AF199" i="16" s="1"/>
  <c r="M200" i="16"/>
  <c r="AF200" i="16" s="1"/>
  <c r="M201" i="16"/>
  <c r="AF201" i="16" s="1"/>
  <c r="M202" i="16"/>
  <c r="AF202" i="16" s="1"/>
  <c r="M203" i="16"/>
  <c r="AF203" i="16" s="1"/>
  <c r="M204" i="16"/>
  <c r="AF204" i="16" s="1"/>
  <c r="M205" i="16"/>
  <c r="AF205" i="16" s="1"/>
  <c r="M206" i="16"/>
  <c r="AF206" i="16" s="1"/>
  <c r="M207" i="16"/>
  <c r="AF207" i="16" s="1"/>
  <c r="M208" i="16"/>
  <c r="AF208" i="16" s="1"/>
  <c r="M209" i="16"/>
  <c r="AF209" i="16" s="1"/>
  <c r="M210" i="16"/>
  <c r="AF210" i="16" s="1"/>
  <c r="M211" i="16"/>
  <c r="AF211" i="16" s="1"/>
  <c r="M212" i="16"/>
  <c r="AF212" i="16" s="1"/>
  <c r="M213" i="16"/>
  <c r="AF213" i="16" s="1"/>
  <c r="M214" i="16"/>
  <c r="AF214" i="16" s="1"/>
  <c r="M215" i="16"/>
  <c r="AF215" i="16" s="1"/>
  <c r="M216" i="16"/>
  <c r="AF216" i="16" s="1"/>
  <c r="M217" i="16"/>
  <c r="AF217" i="16" s="1"/>
  <c r="M218" i="16"/>
  <c r="AF218" i="16" s="1"/>
  <c r="M219" i="16"/>
  <c r="AF219" i="16" s="1"/>
  <c r="M220" i="16"/>
  <c r="AF220" i="16" s="1"/>
  <c r="M221" i="16"/>
  <c r="AF221" i="16" s="1"/>
  <c r="M222" i="16"/>
  <c r="AF222" i="16" s="1"/>
  <c r="M223" i="16"/>
  <c r="AF223" i="16" s="1"/>
  <c r="M224" i="16"/>
  <c r="AF224" i="16" s="1"/>
  <c r="M225" i="16"/>
  <c r="AF225" i="16" s="1"/>
  <c r="M226" i="16"/>
  <c r="AF226" i="16" s="1"/>
  <c r="M227" i="16"/>
  <c r="AF227" i="16" s="1"/>
  <c r="M228" i="16"/>
  <c r="AF228" i="16" s="1"/>
  <c r="M229" i="16"/>
  <c r="AF229" i="16" s="1"/>
  <c r="M230" i="16"/>
  <c r="AF230" i="16" s="1"/>
  <c r="M231" i="16"/>
  <c r="AF231" i="16" s="1"/>
  <c r="M232" i="16"/>
  <c r="AF232" i="16" s="1"/>
  <c r="M233" i="16"/>
  <c r="AF233" i="16" s="1"/>
  <c r="M234" i="16"/>
  <c r="AF234" i="16" s="1"/>
  <c r="M235" i="16"/>
  <c r="AF235" i="16" s="1"/>
  <c r="M236" i="16"/>
  <c r="AF236" i="16" s="1"/>
  <c r="M237" i="16"/>
  <c r="AF237" i="16" s="1"/>
  <c r="M238" i="16"/>
  <c r="AF238" i="16" s="1"/>
  <c r="M239" i="16"/>
  <c r="AF239" i="16" s="1"/>
  <c r="M240" i="16"/>
  <c r="AF240" i="16" s="1"/>
  <c r="M241" i="16"/>
  <c r="AF241" i="16" s="1"/>
  <c r="M242" i="16"/>
  <c r="AF242" i="16" s="1"/>
  <c r="M243" i="16"/>
  <c r="AF243" i="16" s="1"/>
  <c r="M244" i="16"/>
  <c r="AF244" i="16" s="1"/>
  <c r="M245" i="16"/>
  <c r="AF245" i="16" s="1"/>
  <c r="M246" i="16"/>
  <c r="AF246" i="16" s="1"/>
  <c r="M247" i="16"/>
  <c r="AF247" i="16" s="1"/>
  <c r="M248" i="16"/>
  <c r="AF248" i="16" s="1"/>
  <c r="M249" i="16"/>
  <c r="AF249" i="16" s="1"/>
  <c r="M250" i="16"/>
  <c r="AF250" i="16" s="1"/>
  <c r="M251" i="16"/>
  <c r="AF251" i="16" s="1"/>
  <c r="M252" i="16"/>
  <c r="AF252" i="16" s="1"/>
  <c r="M253" i="16"/>
  <c r="AF253" i="16" s="1"/>
  <c r="M254" i="16"/>
  <c r="AF254" i="16" s="1"/>
  <c r="M255" i="16"/>
  <c r="AF255" i="16" s="1"/>
  <c r="M256" i="16"/>
  <c r="AF256" i="16" s="1"/>
  <c r="M257" i="16"/>
  <c r="AF257" i="16" s="1"/>
  <c r="M258" i="16"/>
  <c r="AF258" i="16" s="1"/>
  <c r="M259" i="16"/>
  <c r="AF259" i="16" s="1"/>
  <c r="M260" i="16"/>
  <c r="AF260" i="16" s="1"/>
  <c r="M261" i="16"/>
  <c r="AF261" i="16" s="1"/>
  <c r="M262" i="16"/>
  <c r="AF262" i="16" s="1"/>
  <c r="M263" i="16"/>
  <c r="AF263" i="16" s="1"/>
  <c r="M264" i="16"/>
  <c r="AF264" i="16" s="1"/>
  <c r="M265" i="16"/>
  <c r="AF265" i="16" s="1"/>
  <c r="M266" i="16"/>
  <c r="AF266" i="16" s="1"/>
  <c r="M267" i="16"/>
  <c r="AF267" i="16" s="1"/>
  <c r="M268" i="16"/>
  <c r="AF268" i="16" s="1"/>
  <c r="M269" i="16"/>
  <c r="AF269" i="16" s="1"/>
  <c r="M270" i="16"/>
  <c r="AF270" i="16" s="1"/>
  <c r="M271" i="16"/>
  <c r="AF271" i="16" s="1"/>
  <c r="M272" i="16"/>
  <c r="AF272" i="16" s="1"/>
  <c r="M273" i="16"/>
  <c r="AF273" i="16" s="1"/>
  <c r="M274" i="16"/>
  <c r="AF274" i="16" s="1"/>
  <c r="M275" i="16"/>
  <c r="AF275" i="16" s="1"/>
  <c r="M276" i="16"/>
  <c r="AF276" i="16" s="1"/>
  <c r="M277" i="16"/>
  <c r="AF277" i="16" s="1"/>
  <c r="M278" i="16"/>
  <c r="AF278" i="16" s="1"/>
  <c r="M279" i="16"/>
  <c r="AF279" i="16" s="1"/>
  <c r="M280" i="16"/>
  <c r="AF280" i="16" s="1"/>
  <c r="M281" i="16"/>
  <c r="AF281" i="16" s="1"/>
  <c r="M282" i="16"/>
  <c r="AF282" i="16" s="1"/>
  <c r="M283" i="16"/>
  <c r="AF283" i="16" s="1"/>
  <c r="M284" i="16"/>
  <c r="AF284" i="16" s="1"/>
  <c r="M285" i="16"/>
  <c r="AF285" i="16" s="1"/>
  <c r="M286" i="16"/>
  <c r="AF286" i="16" s="1"/>
  <c r="M287" i="16"/>
  <c r="AF287" i="16" s="1"/>
  <c r="M288" i="16"/>
  <c r="AF288" i="16" s="1"/>
  <c r="M289" i="16"/>
  <c r="AF289" i="16" s="1"/>
  <c r="M290" i="16"/>
  <c r="AF290" i="16" s="1"/>
  <c r="M291" i="16"/>
  <c r="AF291" i="16" s="1"/>
  <c r="M292" i="16"/>
  <c r="AF292" i="16" s="1"/>
  <c r="M293" i="16"/>
  <c r="AF293" i="16" s="1"/>
  <c r="M294" i="16"/>
  <c r="AF294" i="16" s="1"/>
  <c r="M295" i="16"/>
  <c r="AF295" i="16" s="1"/>
  <c r="M296" i="16"/>
  <c r="AF296" i="16" s="1"/>
  <c r="M297" i="16"/>
  <c r="AF297" i="16" s="1"/>
  <c r="M298" i="16"/>
  <c r="AF298" i="16" s="1"/>
  <c r="M299" i="16"/>
  <c r="AF299" i="16" s="1"/>
  <c r="M300" i="16"/>
  <c r="AF300" i="16" s="1"/>
  <c r="M301" i="16"/>
  <c r="AF301" i="16" s="1"/>
  <c r="M302" i="16"/>
  <c r="AF302" i="16" s="1"/>
  <c r="M303" i="16"/>
  <c r="AF303" i="16" s="1"/>
  <c r="M304" i="16"/>
  <c r="AF304" i="16" s="1"/>
  <c r="M305" i="16"/>
  <c r="AF305" i="16" s="1"/>
  <c r="M306" i="16"/>
  <c r="AF306" i="16" s="1"/>
  <c r="M307" i="16"/>
  <c r="AF307" i="16" s="1"/>
  <c r="M308" i="16"/>
  <c r="AF308" i="16" s="1"/>
  <c r="M309" i="16"/>
  <c r="AF309" i="16" s="1"/>
  <c r="M310" i="16"/>
  <c r="AF310" i="16" s="1"/>
  <c r="M311" i="16"/>
  <c r="AF311" i="16" s="1"/>
  <c r="M312" i="16"/>
  <c r="AF312" i="16" s="1"/>
  <c r="M313" i="16"/>
  <c r="AF313" i="16" s="1"/>
  <c r="M314" i="16"/>
  <c r="AF314" i="16" s="1"/>
  <c r="M315" i="16"/>
  <c r="AF315" i="16" s="1"/>
  <c r="M316" i="16"/>
  <c r="AF316" i="16" s="1"/>
  <c r="M317" i="16"/>
  <c r="AF317" i="16" s="1"/>
  <c r="M318" i="16"/>
  <c r="AF318" i="16" s="1"/>
  <c r="M319" i="16"/>
  <c r="AF319" i="16" s="1"/>
  <c r="M320" i="16"/>
  <c r="AF320" i="16" s="1"/>
  <c r="M321" i="16"/>
  <c r="AF321" i="16" s="1"/>
  <c r="M322" i="16"/>
  <c r="AF322" i="16" s="1"/>
  <c r="M323" i="16"/>
  <c r="AF323" i="16" s="1"/>
  <c r="M324" i="16"/>
  <c r="AF324" i="16" s="1"/>
  <c r="M325" i="16"/>
  <c r="AF325" i="16" s="1"/>
  <c r="M326" i="16"/>
  <c r="AF326" i="16" s="1"/>
  <c r="M327" i="16"/>
  <c r="AF327" i="16" s="1"/>
  <c r="M328" i="16"/>
  <c r="AF328" i="16" s="1"/>
  <c r="M329" i="16"/>
  <c r="AF329" i="16" s="1"/>
  <c r="M330" i="16"/>
  <c r="AF330" i="16" s="1"/>
  <c r="M331" i="16"/>
  <c r="AF331" i="16" s="1"/>
  <c r="M332" i="16"/>
  <c r="AF332" i="16" s="1"/>
  <c r="M333" i="16"/>
  <c r="AF333" i="16" s="1"/>
  <c r="M334" i="16"/>
  <c r="AF334" i="16" s="1"/>
  <c r="M335" i="16"/>
  <c r="AF335" i="16" s="1"/>
  <c r="M336" i="16"/>
  <c r="AF336" i="16" s="1"/>
  <c r="M337" i="16"/>
  <c r="AF337" i="16" s="1"/>
  <c r="M338" i="16"/>
  <c r="AF338" i="16" s="1"/>
  <c r="M339" i="16"/>
  <c r="AF339" i="16" s="1"/>
  <c r="M340" i="16"/>
  <c r="AF340" i="16" s="1"/>
  <c r="M341" i="16"/>
  <c r="AF341" i="16" s="1"/>
  <c r="M342" i="16"/>
  <c r="AF342" i="16" s="1"/>
  <c r="M343" i="16"/>
  <c r="AF343" i="16" s="1"/>
  <c r="M344" i="16"/>
  <c r="AF344" i="16" s="1"/>
  <c r="M345" i="16"/>
  <c r="AF345" i="16" s="1"/>
  <c r="M346" i="16"/>
  <c r="AF346" i="16" s="1"/>
  <c r="M347" i="16"/>
  <c r="AF347" i="16" s="1"/>
  <c r="M348" i="16"/>
  <c r="AF348" i="16" s="1"/>
  <c r="M349" i="16"/>
  <c r="AF349" i="16" s="1"/>
  <c r="M350" i="16"/>
  <c r="AF350" i="16" s="1"/>
  <c r="M351" i="16"/>
  <c r="AF351" i="16" s="1"/>
  <c r="M352" i="16"/>
  <c r="AF352" i="16" s="1"/>
  <c r="M353" i="16"/>
  <c r="AF353" i="16" s="1"/>
  <c r="M354" i="16"/>
  <c r="AF354" i="16" s="1"/>
  <c r="M355" i="16"/>
  <c r="AF355" i="16" s="1"/>
  <c r="M356" i="16"/>
  <c r="AF356" i="16" s="1"/>
  <c r="M357" i="16"/>
  <c r="AF357" i="16" s="1"/>
  <c r="M358" i="16"/>
  <c r="AF358" i="16" s="1"/>
  <c r="M359" i="16"/>
  <c r="AF359" i="16" s="1"/>
  <c r="M360" i="16"/>
  <c r="AF360" i="16" s="1"/>
  <c r="M361" i="16"/>
  <c r="AF361" i="16" s="1"/>
  <c r="M362" i="16"/>
  <c r="AF362" i="16" s="1"/>
  <c r="M363" i="16"/>
  <c r="AF363" i="16" s="1"/>
  <c r="M364" i="16"/>
  <c r="AF364" i="16" s="1"/>
  <c r="M365" i="16"/>
  <c r="AF365" i="16" s="1"/>
  <c r="M366" i="16"/>
  <c r="AF366" i="16" s="1"/>
  <c r="M367" i="16"/>
  <c r="AF367" i="16" s="1"/>
  <c r="M368" i="16"/>
  <c r="AF368" i="16" s="1"/>
  <c r="M369" i="16"/>
  <c r="AF369" i="16" s="1"/>
  <c r="M370" i="16"/>
  <c r="AF370" i="16" s="1"/>
  <c r="M371" i="16"/>
  <c r="AF371" i="16" s="1"/>
  <c r="M372" i="16"/>
  <c r="AF372" i="16" s="1"/>
  <c r="M373" i="16"/>
  <c r="AF373" i="16" s="1"/>
  <c r="M374" i="16"/>
  <c r="AF374" i="16" s="1"/>
  <c r="M375" i="16"/>
  <c r="AF375" i="16" s="1"/>
  <c r="M376" i="16"/>
  <c r="AF376" i="16" s="1"/>
  <c r="M377" i="16"/>
  <c r="AF377" i="16" s="1"/>
  <c r="M378" i="16"/>
  <c r="AF378" i="16" s="1"/>
  <c r="M379" i="16"/>
  <c r="AF379" i="16" s="1"/>
  <c r="M380" i="16"/>
  <c r="AF380" i="16" s="1"/>
  <c r="M381" i="16"/>
  <c r="AF381" i="16" s="1"/>
  <c r="M382" i="16"/>
  <c r="AF382" i="16" s="1"/>
  <c r="M383" i="16"/>
  <c r="AF383" i="16" s="1"/>
  <c r="M384" i="16"/>
  <c r="AF384" i="16" s="1"/>
  <c r="M385" i="16"/>
  <c r="AF385" i="16" s="1"/>
  <c r="M386" i="16"/>
  <c r="AF386" i="16" s="1"/>
  <c r="M387" i="16"/>
  <c r="AF387" i="16" s="1"/>
  <c r="M388" i="16"/>
  <c r="AF388" i="16" s="1"/>
  <c r="M389" i="16"/>
  <c r="AF389" i="16" s="1"/>
  <c r="M390" i="16"/>
  <c r="AF390" i="16" s="1"/>
  <c r="M391" i="16"/>
  <c r="AF391" i="16" s="1"/>
  <c r="M392" i="16"/>
  <c r="AF392" i="16" s="1"/>
  <c r="M393" i="16"/>
  <c r="AF393" i="16" s="1"/>
  <c r="M394" i="16"/>
  <c r="AF394" i="16" s="1"/>
  <c r="M395" i="16"/>
  <c r="AF395" i="16" s="1"/>
  <c r="M396" i="16"/>
  <c r="AF396" i="16" s="1"/>
  <c r="M397" i="16"/>
  <c r="AF397" i="16" s="1"/>
  <c r="M398" i="16"/>
  <c r="AF398" i="16" s="1"/>
  <c r="M399" i="16"/>
  <c r="AF399" i="16" s="1"/>
  <c r="M19" i="9" l="1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41" i="11"/>
  <c r="AR42" i="11"/>
  <c r="AR43" i="11"/>
  <c r="AR44" i="11"/>
  <c r="AR45" i="11"/>
  <c r="AR46" i="11"/>
  <c r="AR47" i="11"/>
  <c r="AR48" i="11"/>
  <c r="AR49" i="11"/>
  <c r="AR50" i="11"/>
  <c r="AR51" i="11"/>
  <c r="AR52" i="11"/>
  <c r="AR53" i="11"/>
  <c r="AR54" i="11"/>
  <c r="AR55" i="11"/>
  <c r="AR56" i="11"/>
  <c r="AR57" i="11"/>
  <c r="AR58" i="11"/>
  <c r="AR59" i="11"/>
  <c r="AR60" i="11"/>
  <c r="AR61" i="11"/>
  <c r="AR62" i="11"/>
  <c r="AR63" i="11"/>
  <c r="AR64" i="11"/>
  <c r="AR65" i="11"/>
  <c r="AR66" i="11"/>
  <c r="AR67" i="11"/>
  <c r="AR68" i="11"/>
  <c r="AR69" i="11"/>
  <c r="AR70" i="11"/>
  <c r="AR71" i="11"/>
  <c r="AR72" i="11"/>
  <c r="AR73" i="11"/>
  <c r="AR74" i="11"/>
  <c r="AR75" i="11"/>
  <c r="AR76" i="11"/>
  <c r="AR77" i="11"/>
  <c r="AR78" i="11"/>
  <c r="AR79" i="11"/>
  <c r="AR80" i="11"/>
  <c r="AR81" i="11"/>
  <c r="AR82" i="11"/>
  <c r="AR83" i="11"/>
  <c r="AR84" i="11"/>
  <c r="AR85" i="11"/>
  <c r="AR86" i="11"/>
  <c r="AR87" i="11"/>
  <c r="AR88" i="11"/>
  <c r="AR89" i="11"/>
  <c r="AR90" i="11"/>
  <c r="AR91" i="11"/>
  <c r="AR92" i="11"/>
  <c r="AR93" i="11"/>
  <c r="AR94" i="11"/>
  <c r="AR95" i="11"/>
  <c r="AR96" i="11"/>
  <c r="AR97" i="11"/>
  <c r="AR98" i="11"/>
  <c r="AR99" i="11"/>
  <c r="AR100" i="11"/>
  <c r="AR101" i="11"/>
  <c r="AR102" i="11"/>
  <c r="AR103" i="11"/>
  <c r="AR104" i="11"/>
  <c r="AR105" i="11"/>
  <c r="AR106" i="11"/>
  <c r="AR107" i="11"/>
  <c r="AR108" i="11"/>
  <c r="AR109" i="11"/>
  <c r="AR110" i="11"/>
  <c r="AR111" i="11"/>
  <c r="AR112" i="11"/>
  <c r="AR113" i="11"/>
  <c r="AR114" i="11"/>
  <c r="AR115" i="11"/>
  <c r="AR116" i="11"/>
  <c r="AR117" i="11"/>
  <c r="AR118" i="11"/>
  <c r="AR119" i="11"/>
  <c r="AR120" i="11"/>
  <c r="AR121" i="11"/>
  <c r="AR122" i="11"/>
  <c r="AR123" i="11"/>
  <c r="AR124" i="11"/>
  <c r="AR125" i="11"/>
  <c r="AR126" i="11"/>
  <c r="AR127" i="11"/>
  <c r="AR128" i="11"/>
  <c r="AR129" i="11"/>
  <c r="AR130" i="11"/>
  <c r="AR131" i="11"/>
  <c r="AR132" i="11"/>
  <c r="AR133" i="11"/>
  <c r="AR134" i="11"/>
  <c r="AR135" i="11"/>
  <c r="AR136" i="11"/>
  <c r="AR137" i="11"/>
  <c r="AR138" i="11"/>
  <c r="AR139" i="11"/>
  <c r="AR140" i="11"/>
  <c r="AR141" i="11"/>
  <c r="AR142" i="11"/>
  <c r="AR143" i="11"/>
  <c r="AR144" i="11"/>
  <c r="AR145" i="11"/>
  <c r="AR146" i="11"/>
  <c r="AR147" i="11"/>
  <c r="AR148" i="11"/>
  <c r="AR149" i="11"/>
  <c r="AR150" i="11"/>
  <c r="AR151" i="11"/>
  <c r="AR152" i="11"/>
  <c r="AR153" i="11"/>
  <c r="AR154" i="11"/>
  <c r="AR155" i="11"/>
  <c r="AR156" i="11"/>
  <c r="AR157" i="11"/>
  <c r="AR158" i="11"/>
  <c r="AR159" i="11"/>
  <c r="AR160" i="11"/>
  <c r="AR161" i="11"/>
  <c r="AR162" i="11"/>
  <c r="AR163" i="11"/>
  <c r="AR164" i="11"/>
  <c r="AR165" i="11"/>
  <c r="AR166" i="11"/>
  <c r="AR167" i="11"/>
  <c r="AR168" i="11"/>
  <c r="AR169" i="11"/>
  <c r="AR170" i="11"/>
  <c r="AR171" i="11"/>
  <c r="AR172" i="11"/>
  <c r="AR173" i="11"/>
  <c r="AR174" i="11"/>
  <c r="AR175" i="11"/>
  <c r="AR176" i="11"/>
  <c r="AR177" i="11"/>
  <c r="AR178" i="11"/>
  <c r="AR179" i="11"/>
  <c r="AR180" i="11"/>
  <c r="AR181" i="11"/>
  <c r="AR182" i="11"/>
  <c r="AR183" i="11"/>
  <c r="AR184" i="11"/>
  <c r="AR185" i="11"/>
  <c r="AR186" i="11"/>
  <c r="AR187" i="11"/>
  <c r="AR188" i="11"/>
  <c r="AR189" i="11"/>
  <c r="AR190" i="11"/>
  <c r="AR191" i="11"/>
  <c r="AR192" i="11"/>
  <c r="AR193" i="11"/>
  <c r="AR194" i="11"/>
  <c r="AR195" i="11"/>
  <c r="AR196" i="11"/>
  <c r="AR197" i="11"/>
  <c r="AR198" i="11"/>
  <c r="AR199" i="11"/>
  <c r="AR200" i="11"/>
  <c r="AR201" i="11"/>
  <c r="AR202" i="11"/>
  <c r="AR203" i="11"/>
  <c r="AR204" i="11"/>
  <c r="AR205" i="11"/>
  <c r="AR206" i="11"/>
  <c r="AR207" i="11"/>
  <c r="AR208" i="11"/>
  <c r="AR209" i="11"/>
  <c r="AR210" i="11"/>
  <c r="AR211" i="11"/>
  <c r="AR212" i="11"/>
  <c r="AR213" i="11"/>
  <c r="AR214" i="11"/>
  <c r="AR215" i="11"/>
  <c r="AR216" i="11"/>
  <c r="AR217" i="11"/>
  <c r="AR218" i="11"/>
  <c r="AR219" i="11"/>
  <c r="AR220" i="11"/>
  <c r="AR221" i="11"/>
  <c r="AR222" i="11"/>
  <c r="AR223" i="11"/>
  <c r="AR224" i="11"/>
  <c r="AR225" i="11"/>
  <c r="AR226" i="11"/>
  <c r="AR227" i="11"/>
  <c r="AR228" i="11"/>
  <c r="AR229" i="11"/>
  <c r="AR230" i="11"/>
  <c r="AR231" i="11"/>
  <c r="AR232" i="11"/>
  <c r="AR233" i="11"/>
  <c r="AR234" i="11"/>
  <c r="AR235" i="11"/>
  <c r="AR236" i="11"/>
  <c r="AR237" i="11"/>
  <c r="AR238" i="11"/>
  <c r="AR239" i="11"/>
  <c r="AR240" i="11"/>
  <c r="AR241" i="11"/>
  <c r="AR242" i="11"/>
  <c r="AR243" i="11"/>
  <c r="AR244" i="11"/>
  <c r="AR245" i="11"/>
  <c r="AR246" i="11"/>
  <c r="AR247" i="11"/>
  <c r="AR248" i="11"/>
  <c r="AR249" i="11"/>
  <c r="AR250" i="11"/>
  <c r="AR251" i="11"/>
  <c r="AR252" i="11"/>
  <c r="AR253" i="11"/>
  <c r="AR254" i="11"/>
  <c r="AR255" i="11"/>
  <c r="AR256" i="11"/>
  <c r="AR257" i="11"/>
  <c r="AR258" i="11"/>
  <c r="AR259" i="11"/>
  <c r="AR260" i="11"/>
  <c r="AR261" i="11"/>
  <c r="AR262" i="11"/>
  <c r="AR263" i="11"/>
  <c r="AR264" i="11"/>
  <c r="AR265" i="11"/>
  <c r="AR266" i="11"/>
  <c r="AR267" i="11"/>
  <c r="AR268" i="11"/>
  <c r="AR269" i="11"/>
  <c r="AR270" i="11"/>
  <c r="AR271" i="11"/>
  <c r="AR272" i="11"/>
  <c r="AR273" i="11"/>
  <c r="AR274" i="11"/>
  <c r="AR275" i="11"/>
  <c r="AR276" i="11"/>
  <c r="AR277" i="11"/>
  <c r="AR278" i="11"/>
  <c r="AR279" i="11"/>
  <c r="AR280" i="11"/>
  <c r="AR281" i="11"/>
  <c r="AR282" i="11"/>
  <c r="AR283" i="11"/>
  <c r="AR284" i="11"/>
  <c r="AR285" i="11"/>
  <c r="AR286" i="11"/>
  <c r="AR287" i="11"/>
  <c r="AR288" i="11"/>
  <c r="AR289" i="11"/>
  <c r="AR290" i="11"/>
  <c r="AR291" i="11"/>
  <c r="AR292" i="11"/>
  <c r="AR293" i="11"/>
  <c r="AR294" i="11"/>
  <c r="AR295" i="11"/>
  <c r="AR296" i="11"/>
  <c r="AR297" i="11"/>
  <c r="AR298" i="11"/>
  <c r="AR299" i="11"/>
  <c r="AR300" i="11"/>
  <c r="AR301" i="11"/>
  <c r="AR302" i="11"/>
  <c r="AR303" i="11"/>
  <c r="AR304" i="11"/>
  <c r="AR305" i="11"/>
  <c r="AR306" i="11"/>
  <c r="AR307" i="11"/>
  <c r="AR308" i="11"/>
  <c r="AR309" i="11"/>
  <c r="AR310" i="11"/>
  <c r="AR311" i="11"/>
  <c r="AR312" i="11"/>
  <c r="AR313" i="11"/>
  <c r="AR314" i="11"/>
  <c r="AR315" i="11"/>
  <c r="AR316" i="11"/>
  <c r="AR317" i="11"/>
  <c r="AR318" i="11"/>
  <c r="AR319" i="11"/>
  <c r="AR320" i="11"/>
  <c r="AR321" i="11"/>
  <c r="AR322" i="11"/>
  <c r="AR323" i="11"/>
  <c r="AR324" i="11"/>
  <c r="AR325" i="11"/>
  <c r="AR326" i="11"/>
  <c r="AR327" i="11"/>
  <c r="AR328" i="11"/>
  <c r="AR329" i="11"/>
  <c r="AR330" i="11"/>
  <c r="AR331" i="11"/>
  <c r="AR332" i="11"/>
  <c r="AR333" i="11"/>
  <c r="AR334" i="11"/>
  <c r="AR335" i="11"/>
  <c r="AR336" i="11"/>
  <c r="AR337" i="11"/>
  <c r="AR338" i="11"/>
  <c r="AR339" i="11"/>
  <c r="AR340" i="11"/>
  <c r="AR341" i="11"/>
  <c r="AR342" i="11"/>
  <c r="AR343" i="11"/>
  <c r="AR344" i="11"/>
  <c r="AR345" i="11"/>
  <c r="AR346" i="11"/>
  <c r="AR347" i="11"/>
  <c r="AR348" i="11"/>
  <c r="AR349" i="11"/>
  <c r="AR350" i="11"/>
  <c r="AR351" i="11"/>
  <c r="AR352" i="11"/>
  <c r="AR353" i="11"/>
  <c r="AR354" i="11"/>
  <c r="AR355" i="11"/>
  <c r="AR356" i="11"/>
  <c r="AR357" i="11"/>
  <c r="AR358" i="11"/>
  <c r="AR359" i="11"/>
  <c r="AR360" i="11"/>
  <c r="AR361" i="11"/>
  <c r="AR362" i="11"/>
  <c r="AR363" i="11"/>
  <c r="AR364" i="11"/>
  <c r="AR365" i="11"/>
  <c r="AR366" i="11"/>
  <c r="AR367" i="11"/>
  <c r="AR368" i="11"/>
  <c r="AR369" i="11"/>
  <c r="AR370" i="11"/>
  <c r="AR371" i="11"/>
  <c r="AR372" i="11"/>
  <c r="AR373" i="11"/>
  <c r="AR374" i="11"/>
  <c r="AR375" i="11"/>
  <c r="AR376" i="11"/>
  <c r="AR377" i="11"/>
  <c r="AR378" i="11"/>
  <c r="AR379" i="11"/>
  <c r="AR380" i="11"/>
  <c r="AR381" i="11"/>
  <c r="AR382" i="11"/>
  <c r="AR383" i="11"/>
  <c r="AR384" i="11"/>
  <c r="AR385" i="11"/>
  <c r="AR386" i="11"/>
  <c r="AR387" i="11"/>
  <c r="AR388" i="11"/>
  <c r="AR389" i="11"/>
  <c r="AR390" i="11"/>
  <c r="AR391" i="11"/>
  <c r="AR392" i="11"/>
  <c r="AR393" i="11"/>
  <c r="AR394" i="11"/>
  <c r="AR395" i="11"/>
  <c r="AR396" i="11"/>
  <c r="AR39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P36" i="11"/>
  <c r="AP37" i="11"/>
  <c r="AP38" i="11"/>
  <c r="AP39" i="11"/>
  <c r="AP40" i="11"/>
  <c r="AP41" i="11"/>
  <c r="AP42" i="11"/>
  <c r="AP43" i="11"/>
  <c r="AP44" i="11"/>
  <c r="AP45" i="11"/>
  <c r="AP46" i="11"/>
  <c r="AP47" i="11"/>
  <c r="AP48" i="11"/>
  <c r="AP49" i="11"/>
  <c r="AP50" i="11"/>
  <c r="AP51" i="11"/>
  <c r="AP52" i="11"/>
  <c r="AP53" i="11"/>
  <c r="AP54" i="11"/>
  <c r="AP55" i="11"/>
  <c r="AP56" i="11"/>
  <c r="AP57" i="11"/>
  <c r="AP58" i="1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AP71" i="11"/>
  <c r="AP72" i="11"/>
  <c r="AP73" i="11"/>
  <c r="AP74" i="11"/>
  <c r="AP75" i="11"/>
  <c r="AP76" i="11"/>
  <c r="AP77" i="11"/>
  <c r="AP78" i="11"/>
  <c r="AP79" i="11"/>
  <c r="AP80" i="11"/>
  <c r="AP81" i="11"/>
  <c r="AP82" i="11"/>
  <c r="AP83" i="11"/>
  <c r="AP84" i="11"/>
  <c r="AP85" i="11"/>
  <c r="AP86" i="11"/>
  <c r="AP87" i="11"/>
  <c r="AP88" i="11"/>
  <c r="AP89" i="11"/>
  <c r="AP90" i="11"/>
  <c r="AP91" i="11"/>
  <c r="AP92" i="11"/>
  <c r="AP93" i="11"/>
  <c r="AP94" i="11"/>
  <c r="AP95" i="11"/>
  <c r="AP96" i="11"/>
  <c r="AP97" i="11"/>
  <c r="AP98" i="11"/>
  <c r="AP99" i="11"/>
  <c r="AP100" i="11"/>
  <c r="AP101" i="11"/>
  <c r="AP102" i="11"/>
  <c r="AP103" i="11"/>
  <c r="AP104" i="11"/>
  <c r="AP105" i="11"/>
  <c r="AP106" i="11"/>
  <c r="AP107" i="11"/>
  <c r="AP108" i="11"/>
  <c r="AP109" i="11"/>
  <c r="AP110" i="11"/>
  <c r="AP111" i="11"/>
  <c r="AP112" i="11"/>
  <c r="AP113" i="11"/>
  <c r="AP114" i="11"/>
  <c r="AP115" i="11"/>
  <c r="AP116" i="11"/>
  <c r="AP117" i="11"/>
  <c r="AP118" i="11"/>
  <c r="AP119" i="11"/>
  <c r="AP120" i="11"/>
  <c r="AP121" i="11"/>
  <c r="AP122" i="11"/>
  <c r="AP123" i="11"/>
  <c r="AP124" i="11"/>
  <c r="AP125" i="11"/>
  <c r="AP126" i="11"/>
  <c r="AP127" i="11"/>
  <c r="AP128" i="11"/>
  <c r="AP129" i="11"/>
  <c r="AP130" i="11"/>
  <c r="AP131" i="11"/>
  <c r="AP132" i="11"/>
  <c r="AP133" i="11"/>
  <c r="AP134" i="11"/>
  <c r="AP135" i="11"/>
  <c r="AP136" i="11"/>
  <c r="AP137" i="11"/>
  <c r="AP138" i="11"/>
  <c r="AP139" i="11"/>
  <c r="AP140" i="11"/>
  <c r="AP141" i="11"/>
  <c r="AP142" i="11"/>
  <c r="AP143" i="11"/>
  <c r="AP144" i="11"/>
  <c r="AP145" i="11"/>
  <c r="AP146" i="11"/>
  <c r="AP147" i="11"/>
  <c r="AP148" i="11"/>
  <c r="AP149" i="11"/>
  <c r="AP150" i="11"/>
  <c r="AP151" i="11"/>
  <c r="AP152" i="11"/>
  <c r="AP153" i="11"/>
  <c r="AP154" i="11"/>
  <c r="AP155" i="11"/>
  <c r="AP156" i="11"/>
  <c r="AP157" i="11"/>
  <c r="AP158" i="11"/>
  <c r="AP159" i="11"/>
  <c r="AP160" i="11"/>
  <c r="AP161" i="11"/>
  <c r="AP162" i="11"/>
  <c r="AP163" i="11"/>
  <c r="AP164" i="11"/>
  <c r="AP165" i="11"/>
  <c r="AP166" i="11"/>
  <c r="AP167" i="11"/>
  <c r="AP168" i="11"/>
  <c r="AP169" i="11"/>
  <c r="AP170" i="11"/>
  <c r="AP171" i="11"/>
  <c r="AP172" i="11"/>
  <c r="AP173" i="11"/>
  <c r="AP174" i="11"/>
  <c r="AP175" i="11"/>
  <c r="AP176" i="11"/>
  <c r="AP177" i="11"/>
  <c r="AP178" i="11"/>
  <c r="AP179" i="11"/>
  <c r="AP180" i="11"/>
  <c r="AP181" i="11"/>
  <c r="AP182" i="11"/>
  <c r="AP183" i="11"/>
  <c r="AP184" i="11"/>
  <c r="AP185" i="11"/>
  <c r="AP186" i="11"/>
  <c r="AP187" i="11"/>
  <c r="AP188" i="11"/>
  <c r="AP189" i="11"/>
  <c r="AP190" i="11"/>
  <c r="AP191" i="11"/>
  <c r="AP192" i="11"/>
  <c r="AP193" i="11"/>
  <c r="AP194" i="11"/>
  <c r="AP195" i="11"/>
  <c r="AP196" i="11"/>
  <c r="AP197" i="11"/>
  <c r="AP198" i="11"/>
  <c r="AP199" i="11"/>
  <c r="AP200" i="11"/>
  <c r="AP201" i="11"/>
  <c r="AP202" i="11"/>
  <c r="AP203" i="11"/>
  <c r="AP204" i="11"/>
  <c r="AP205" i="11"/>
  <c r="AP206" i="11"/>
  <c r="AP207" i="11"/>
  <c r="AP208" i="11"/>
  <c r="AP209" i="11"/>
  <c r="AP210" i="11"/>
  <c r="AP211" i="11"/>
  <c r="AP212" i="11"/>
  <c r="AP213" i="11"/>
  <c r="AP214" i="11"/>
  <c r="AP215" i="11"/>
  <c r="AP216" i="11"/>
  <c r="AP217" i="11"/>
  <c r="AP218" i="11"/>
  <c r="AP219" i="11"/>
  <c r="AP220" i="11"/>
  <c r="AP221" i="11"/>
  <c r="AP222" i="11"/>
  <c r="AP223" i="11"/>
  <c r="AP224" i="11"/>
  <c r="AP225" i="11"/>
  <c r="AP226" i="11"/>
  <c r="AP227" i="11"/>
  <c r="AP228" i="11"/>
  <c r="AP229" i="11"/>
  <c r="AP230" i="11"/>
  <c r="AP231" i="11"/>
  <c r="AP232" i="11"/>
  <c r="AP233" i="11"/>
  <c r="AP234" i="11"/>
  <c r="AP235" i="11"/>
  <c r="AP236" i="11"/>
  <c r="AP237" i="11"/>
  <c r="AP238" i="11"/>
  <c r="AP239" i="11"/>
  <c r="AP240" i="11"/>
  <c r="AP241" i="11"/>
  <c r="AP242" i="11"/>
  <c r="AP243" i="11"/>
  <c r="AP244" i="11"/>
  <c r="AP245" i="11"/>
  <c r="AP246" i="11"/>
  <c r="AP247" i="11"/>
  <c r="AP248" i="11"/>
  <c r="AP249" i="11"/>
  <c r="AP250" i="11"/>
  <c r="AP251" i="11"/>
  <c r="AP252" i="11"/>
  <c r="AP253" i="11"/>
  <c r="AP254" i="11"/>
  <c r="AP255" i="11"/>
  <c r="AP256" i="11"/>
  <c r="AP257" i="11"/>
  <c r="AP258" i="11"/>
  <c r="AP259" i="11"/>
  <c r="AP260" i="11"/>
  <c r="AP261" i="11"/>
  <c r="AP262" i="11"/>
  <c r="AP263" i="11"/>
  <c r="AP264" i="11"/>
  <c r="AP265" i="11"/>
  <c r="AP266" i="11"/>
  <c r="AP267" i="11"/>
  <c r="AP268" i="11"/>
  <c r="AP269" i="11"/>
  <c r="AP270" i="11"/>
  <c r="AP271" i="11"/>
  <c r="AP272" i="11"/>
  <c r="AP273" i="11"/>
  <c r="AP274" i="11"/>
  <c r="AP275" i="11"/>
  <c r="AP276" i="11"/>
  <c r="AP277" i="11"/>
  <c r="AP278" i="11"/>
  <c r="AP279" i="11"/>
  <c r="AP280" i="11"/>
  <c r="AP281" i="11"/>
  <c r="AP282" i="11"/>
  <c r="AP283" i="11"/>
  <c r="AP284" i="11"/>
  <c r="AP285" i="11"/>
  <c r="AP286" i="11"/>
  <c r="AP287" i="11"/>
  <c r="AP288" i="11"/>
  <c r="AP289" i="11"/>
  <c r="AP290" i="11"/>
  <c r="AP291" i="11"/>
  <c r="AP292" i="11"/>
  <c r="AP293" i="11"/>
  <c r="AP294" i="11"/>
  <c r="AP295" i="11"/>
  <c r="AP296" i="11"/>
  <c r="AP297" i="11"/>
  <c r="AP298" i="11"/>
  <c r="AP299" i="11"/>
  <c r="AP300" i="11"/>
  <c r="AP301" i="11"/>
  <c r="AP302" i="11"/>
  <c r="AP303" i="11"/>
  <c r="AP304" i="11"/>
  <c r="AP305" i="11"/>
  <c r="AP306" i="11"/>
  <c r="AP307" i="11"/>
  <c r="AP308" i="11"/>
  <c r="AP309" i="11"/>
  <c r="AP310" i="11"/>
  <c r="AP311" i="11"/>
  <c r="AP312" i="11"/>
  <c r="AP313" i="11"/>
  <c r="AP314" i="11"/>
  <c r="AP315" i="11"/>
  <c r="AP316" i="11"/>
  <c r="AP317" i="11"/>
  <c r="AP318" i="11"/>
  <c r="AP319" i="11"/>
  <c r="AP320" i="11"/>
  <c r="AP321" i="11"/>
  <c r="AP322" i="11"/>
  <c r="AP323" i="11"/>
  <c r="AP324" i="11"/>
  <c r="AP325" i="11"/>
  <c r="AP326" i="11"/>
  <c r="AP327" i="11"/>
  <c r="AP328" i="11"/>
  <c r="AP329" i="11"/>
  <c r="AP330" i="11"/>
  <c r="AP331" i="11"/>
  <c r="AP332" i="11"/>
  <c r="AP333" i="11"/>
  <c r="AP334" i="11"/>
  <c r="AP335" i="11"/>
  <c r="AP336" i="11"/>
  <c r="AP337" i="11"/>
  <c r="AP338" i="11"/>
  <c r="AP339" i="11"/>
  <c r="AP340" i="11"/>
  <c r="AP341" i="11"/>
  <c r="AP342" i="11"/>
  <c r="AP343" i="11"/>
  <c r="AP344" i="11"/>
  <c r="AP345" i="11"/>
  <c r="AP346" i="11"/>
  <c r="AP347" i="11"/>
  <c r="AP348" i="11"/>
  <c r="AP349" i="11"/>
  <c r="AP350" i="11"/>
  <c r="AP351" i="11"/>
  <c r="AP352" i="11"/>
  <c r="AP353" i="11"/>
  <c r="AP354" i="11"/>
  <c r="AP355" i="11"/>
  <c r="AP356" i="11"/>
  <c r="AP357" i="11"/>
  <c r="AP358" i="11"/>
  <c r="AP359" i="11"/>
  <c r="AP360" i="11"/>
  <c r="AP361" i="11"/>
  <c r="AP362" i="11"/>
  <c r="AP363" i="11"/>
  <c r="AP364" i="11"/>
  <c r="AP365" i="11"/>
  <c r="AP366" i="11"/>
  <c r="AP367" i="11"/>
  <c r="AP368" i="11"/>
  <c r="AP369" i="11"/>
  <c r="AP370" i="11"/>
  <c r="AP371" i="11"/>
  <c r="AP372" i="11"/>
  <c r="AP373" i="11"/>
  <c r="AP374" i="11"/>
  <c r="AP375" i="11"/>
  <c r="AP376" i="11"/>
  <c r="AP377" i="11"/>
  <c r="AP378" i="11"/>
  <c r="AP379" i="11"/>
  <c r="AP380" i="11"/>
  <c r="AP381" i="11"/>
  <c r="AP382" i="11"/>
  <c r="AP383" i="11"/>
  <c r="AP384" i="11"/>
  <c r="AP385" i="11"/>
  <c r="AP386" i="11"/>
  <c r="AP387" i="11"/>
  <c r="AP388" i="11"/>
  <c r="AP389" i="11"/>
  <c r="AP390" i="11"/>
  <c r="AP391" i="11"/>
  <c r="AP392" i="11"/>
  <c r="AP393" i="11"/>
  <c r="AP394" i="11"/>
  <c r="AP395" i="11"/>
  <c r="AP396" i="11"/>
  <c r="AP397" i="11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AF83" i="9" l="1"/>
  <c r="S83" i="9"/>
  <c r="AE83" i="9" s="1"/>
  <c r="AF355" i="9"/>
  <c r="S355" i="9"/>
  <c r="AE355" i="9" s="1"/>
  <c r="AF9" i="9"/>
  <c r="AE9" i="9"/>
  <c r="AF17" i="9"/>
  <c r="AE17" i="9"/>
  <c r="AF20" i="9"/>
  <c r="S20" i="9"/>
  <c r="AE20" i="9" s="1"/>
  <c r="AF28" i="9"/>
  <c r="S28" i="9"/>
  <c r="AE28" i="9" s="1"/>
  <c r="AF36" i="9"/>
  <c r="S36" i="9"/>
  <c r="AE36" i="9" s="1"/>
  <c r="AF44" i="9"/>
  <c r="S44" i="9"/>
  <c r="AE44" i="9" s="1"/>
  <c r="AF52" i="9"/>
  <c r="S52" i="9"/>
  <c r="AE52" i="9" s="1"/>
  <c r="AF60" i="9"/>
  <c r="S60" i="9"/>
  <c r="AE60" i="9" s="1"/>
  <c r="AF68" i="9"/>
  <c r="S68" i="9"/>
  <c r="AE68" i="9" s="1"/>
  <c r="AF76" i="9"/>
  <c r="S76" i="9"/>
  <c r="AE76" i="9" s="1"/>
  <c r="AF84" i="9"/>
  <c r="S84" i="9"/>
  <c r="AE84" i="9" s="1"/>
  <c r="AF92" i="9"/>
  <c r="S92" i="9"/>
  <c r="AE92" i="9" s="1"/>
  <c r="AF100" i="9"/>
  <c r="S100" i="9"/>
  <c r="AE100" i="9" s="1"/>
  <c r="AF108" i="9"/>
  <c r="S108" i="9"/>
  <c r="AE108" i="9" s="1"/>
  <c r="AF116" i="9"/>
  <c r="S116" i="9"/>
  <c r="AE116" i="9" s="1"/>
  <c r="AF124" i="9"/>
  <c r="S124" i="9"/>
  <c r="AE124" i="9" s="1"/>
  <c r="AF132" i="9"/>
  <c r="S132" i="9"/>
  <c r="AE132" i="9" s="1"/>
  <c r="AF140" i="9"/>
  <c r="S140" i="9"/>
  <c r="AE140" i="9" s="1"/>
  <c r="AF148" i="9"/>
  <c r="S148" i="9"/>
  <c r="AE148" i="9" s="1"/>
  <c r="AF156" i="9"/>
  <c r="S156" i="9"/>
  <c r="AE156" i="9" s="1"/>
  <c r="AF164" i="9"/>
  <c r="S164" i="9"/>
  <c r="AE164" i="9" s="1"/>
  <c r="AF172" i="9"/>
  <c r="S172" i="9"/>
  <c r="AE172" i="9" s="1"/>
  <c r="AF180" i="9"/>
  <c r="S180" i="9"/>
  <c r="AE180" i="9" s="1"/>
  <c r="AF188" i="9"/>
  <c r="S188" i="9"/>
  <c r="AE188" i="9" s="1"/>
  <c r="AF196" i="9"/>
  <c r="S196" i="9"/>
  <c r="AE196" i="9" s="1"/>
  <c r="AF204" i="9"/>
  <c r="S204" i="9"/>
  <c r="AE204" i="9" s="1"/>
  <c r="AF212" i="9"/>
  <c r="S212" i="9"/>
  <c r="AE212" i="9" s="1"/>
  <c r="AF220" i="9"/>
  <c r="S220" i="9"/>
  <c r="AE220" i="9" s="1"/>
  <c r="AF228" i="9"/>
  <c r="S228" i="9"/>
  <c r="AE228" i="9" s="1"/>
  <c r="AF236" i="9"/>
  <c r="S236" i="9"/>
  <c r="AE236" i="9" s="1"/>
  <c r="AF244" i="9"/>
  <c r="S244" i="9"/>
  <c r="AE244" i="9" s="1"/>
  <c r="AF252" i="9"/>
  <c r="S252" i="9"/>
  <c r="AE252" i="9" s="1"/>
  <c r="AF260" i="9"/>
  <c r="S260" i="9"/>
  <c r="AE260" i="9" s="1"/>
  <c r="AF268" i="9"/>
  <c r="S268" i="9"/>
  <c r="AE268" i="9" s="1"/>
  <c r="AF276" i="9"/>
  <c r="S276" i="9"/>
  <c r="AE276" i="9" s="1"/>
  <c r="AF284" i="9"/>
  <c r="S284" i="9"/>
  <c r="AE284" i="9" s="1"/>
  <c r="AF292" i="9"/>
  <c r="S292" i="9"/>
  <c r="AE292" i="9" s="1"/>
  <c r="AF300" i="9"/>
  <c r="S300" i="9"/>
  <c r="AE300" i="9" s="1"/>
  <c r="AF308" i="9"/>
  <c r="S308" i="9"/>
  <c r="AE308" i="9" s="1"/>
  <c r="AF316" i="9"/>
  <c r="S316" i="9"/>
  <c r="AE316" i="9" s="1"/>
  <c r="AF324" i="9"/>
  <c r="S324" i="9"/>
  <c r="AE324" i="9" s="1"/>
  <c r="AF332" i="9"/>
  <c r="S332" i="9"/>
  <c r="AE332" i="9" s="1"/>
  <c r="AF340" i="9"/>
  <c r="S340" i="9"/>
  <c r="AE340" i="9" s="1"/>
  <c r="AF348" i="9"/>
  <c r="S348" i="9"/>
  <c r="AE348" i="9" s="1"/>
  <c r="AF356" i="9"/>
  <c r="S356" i="9"/>
  <c r="AE356" i="9" s="1"/>
  <c r="AF364" i="9"/>
  <c r="S364" i="9"/>
  <c r="AE364" i="9" s="1"/>
  <c r="AF372" i="9"/>
  <c r="S372" i="9"/>
  <c r="AE372" i="9" s="1"/>
  <c r="AF380" i="9"/>
  <c r="S380" i="9"/>
  <c r="AE380" i="9" s="1"/>
  <c r="AF388" i="9"/>
  <c r="S388" i="9"/>
  <c r="AE388" i="9" s="1"/>
  <c r="AF106" i="9"/>
  <c r="S106" i="9"/>
  <c r="AE106" i="9" s="1"/>
  <c r="AF178" i="9"/>
  <c r="S178" i="9"/>
  <c r="AE178" i="9" s="1"/>
  <c r="AF202" i="9"/>
  <c r="S202" i="9"/>
  <c r="AE202" i="9" s="1"/>
  <c r="AF250" i="9"/>
  <c r="S250" i="9"/>
  <c r="AE250" i="9" s="1"/>
  <c r="AF266" i="9"/>
  <c r="S266" i="9"/>
  <c r="AE266" i="9" s="1"/>
  <c r="AF322" i="9"/>
  <c r="S322" i="9"/>
  <c r="AE322" i="9" s="1"/>
  <c r="AF394" i="9"/>
  <c r="S394" i="9"/>
  <c r="AE394" i="9" s="1"/>
  <c r="AF27" i="9"/>
  <c r="S27" i="9"/>
  <c r="AE27" i="9" s="1"/>
  <c r="AF75" i="9"/>
  <c r="S75" i="9"/>
  <c r="AE75" i="9" s="1"/>
  <c r="AF115" i="9"/>
  <c r="S115" i="9"/>
  <c r="AE115" i="9" s="1"/>
  <c r="AF163" i="9"/>
  <c r="S163" i="9"/>
  <c r="AE163" i="9" s="1"/>
  <c r="AF187" i="9"/>
  <c r="S187" i="9"/>
  <c r="AE187" i="9" s="1"/>
  <c r="AF219" i="9"/>
  <c r="S219" i="9"/>
  <c r="AE219" i="9" s="1"/>
  <c r="AF283" i="9"/>
  <c r="S283" i="9"/>
  <c r="AE283" i="9" s="1"/>
  <c r="AF379" i="9"/>
  <c r="S379" i="9"/>
  <c r="AE379" i="9" s="1"/>
  <c r="AE10" i="9"/>
  <c r="AF10" i="9"/>
  <c r="AE18" i="9"/>
  <c r="AF18" i="9"/>
  <c r="S21" i="9"/>
  <c r="AE21" i="9" s="1"/>
  <c r="AF21" i="9"/>
  <c r="S29" i="9"/>
  <c r="AE29" i="9" s="1"/>
  <c r="AF29" i="9"/>
  <c r="S37" i="9"/>
  <c r="AE37" i="9" s="1"/>
  <c r="AF37" i="9"/>
  <c r="S45" i="9"/>
  <c r="AE45" i="9" s="1"/>
  <c r="AF45" i="9"/>
  <c r="S53" i="9"/>
  <c r="AE53" i="9" s="1"/>
  <c r="AF53" i="9"/>
  <c r="S61" i="9"/>
  <c r="AE61" i="9" s="1"/>
  <c r="AF61" i="9"/>
  <c r="S69" i="9"/>
  <c r="AE69" i="9" s="1"/>
  <c r="AF69" i="9"/>
  <c r="S77" i="9"/>
  <c r="AE77" i="9" s="1"/>
  <c r="AF77" i="9"/>
  <c r="S85" i="9"/>
  <c r="AE85" i="9" s="1"/>
  <c r="AF85" i="9"/>
  <c r="S93" i="9"/>
  <c r="AE93" i="9" s="1"/>
  <c r="AF93" i="9"/>
  <c r="S101" i="9"/>
  <c r="AE101" i="9" s="1"/>
  <c r="AF101" i="9"/>
  <c r="S109" i="9"/>
  <c r="AE109" i="9" s="1"/>
  <c r="AF109" i="9"/>
  <c r="S117" i="9"/>
  <c r="AE117" i="9" s="1"/>
  <c r="AF117" i="9"/>
  <c r="S125" i="9"/>
  <c r="AE125" i="9" s="1"/>
  <c r="AF125" i="9"/>
  <c r="S133" i="9"/>
  <c r="AE133" i="9" s="1"/>
  <c r="AF133" i="9"/>
  <c r="S141" i="9"/>
  <c r="AE141" i="9" s="1"/>
  <c r="AF141" i="9"/>
  <c r="S149" i="9"/>
  <c r="AE149" i="9" s="1"/>
  <c r="AF149" i="9"/>
  <c r="S157" i="9"/>
  <c r="AE157" i="9" s="1"/>
  <c r="AF157" i="9"/>
  <c r="S165" i="9"/>
  <c r="AE165" i="9" s="1"/>
  <c r="AF165" i="9"/>
  <c r="S173" i="9"/>
  <c r="AE173" i="9" s="1"/>
  <c r="AF173" i="9"/>
  <c r="S181" i="9"/>
  <c r="AE181" i="9" s="1"/>
  <c r="AF181" i="9"/>
  <c r="S189" i="9"/>
  <c r="AE189" i="9" s="1"/>
  <c r="AF189" i="9"/>
  <c r="S197" i="9"/>
  <c r="AE197" i="9" s="1"/>
  <c r="AF197" i="9"/>
  <c r="S205" i="9"/>
  <c r="AE205" i="9" s="1"/>
  <c r="AF205" i="9"/>
  <c r="S213" i="9"/>
  <c r="AE213" i="9" s="1"/>
  <c r="AF213" i="9"/>
  <c r="S221" i="9"/>
  <c r="AE221" i="9" s="1"/>
  <c r="AF221" i="9"/>
  <c r="S229" i="9"/>
  <c r="AE229" i="9" s="1"/>
  <c r="AF229" i="9"/>
  <c r="AF237" i="9"/>
  <c r="S237" i="9"/>
  <c r="AE237" i="9" s="1"/>
  <c r="S245" i="9"/>
  <c r="AE245" i="9" s="1"/>
  <c r="AF245" i="9"/>
  <c r="AF253" i="9"/>
  <c r="S253" i="9"/>
  <c r="AE253" i="9" s="1"/>
  <c r="S261" i="9"/>
  <c r="AE261" i="9" s="1"/>
  <c r="AF261" i="9"/>
  <c r="AF269" i="9"/>
  <c r="S269" i="9"/>
  <c r="AE269" i="9" s="1"/>
  <c r="AF277" i="9"/>
  <c r="S277" i="9"/>
  <c r="AE277" i="9" s="1"/>
  <c r="AF285" i="9"/>
  <c r="S285" i="9"/>
  <c r="AE285" i="9" s="1"/>
  <c r="AF293" i="9"/>
  <c r="S293" i="9"/>
  <c r="AE293" i="9" s="1"/>
  <c r="AF301" i="9"/>
  <c r="S301" i="9"/>
  <c r="AE301" i="9" s="1"/>
  <c r="AF309" i="9"/>
  <c r="S309" i="9"/>
  <c r="AE309" i="9" s="1"/>
  <c r="AF317" i="9"/>
  <c r="S317" i="9"/>
  <c r="AE317" i="9" s="1"/>
  <c r="AF325" i="9"/>
  <c r="S325" i="9"/>
  <c r="AE325" i="9" s="1"/>
  <c r="AF333" i="9"/>
  <c r="S333" i="9"/>
  <c r="AE333" i="9" s="1"/>
  <c r="AF341" i="9"/>
  <c r="S341" i="9"/>
  <c r="AE341" i="9" s="1"/>
  <c r="AF349" i="9"/>
  <c r="S349" i="9"/>
  <c r="AE349" i="9" s="1"/>
  <c r="AF357" i="9"/>
  <c r="S357" i="9"/>
  <c r="AE357" i="9" s="1"/>
  <c r="AF365" i="9"/>
  <c r="S365" i="9"/>
  <c r="AE365" i="9" s="1"/>
  <c r="AF373" i="9"/>
  <c r="S373" i="9"/>
  <c r="AE373" i="9" s="1"/>
  <c r="AF381" i="9"/>
  <c r="S381" i="9"/>
  <c r="AE381" i="9" s="1"/>
  <c r="S389" i="9"/>
  <c r="AE389" i="9" s="1"/>
  <c r="AF389" i="9"/>
  <c r="AF26" i="9"/>
  <c r="S26" i="9"/>
  <c r="AE26" i="9" s="1"/>
  <c r="AF58" i="9"/>
  <c r="S58" i="9"/>
  <c r="AE58" i="9" s="1"/>
  <c r="AF98" i="9"/>
  <c r="S98" i="9"/>
  <c r="AE98" i="9" s="1"/>
  <c r="AF138" i="9"/>
  <c r="S138" i="9"/>
  <c r="AE138" i="9" s="1"/>
  <c r="AF154" i="9"/>
  <c r="S154" i="9"/>
  <c r="AE154" i="9" s="1"/>
  <c r="AF194" i="9"/>
  <c r="S194" i="9"/>
  <c r="AE194" i="9" s="1"/>
  <c r="AF234" i="9"/>
  <c r="S234" i="9"/>
  <c r="AE234" i="9" s="1"/>
  <c r="AF290" i="9"/>
  <c r="S290" i="9"/>
  <c r="AE290" i="9" s="1"/>
  <c r="AF330" i="9"/>
  <c r="S330" i="9"/>
  <c r="AE330" i="9" s="1"/>
  <c r="AF354" i="9"/>
  <c r="S354" i="9"/>
  <c r="AE354" i="9" s="1"/>
  <c r="AF378" i="9"/>
  <c r="S378" i="9"/>
  <c r="AE378" i="9" s="1"/>
  <c r="AF19" i="9"/>
  <c r="S19" i="9"/>
  <c r="AE19" i="9" s="1"/>
  <c r="AF59" i="9"/>
  <c r="S59" i="9"/>
  <c r="AE59" i="9" s="1"/>
  <c r="AF123" i="9"/>
  <c r="S123" i="9"/>
  <c r="AE123" i="9" s="1"/>
  <c r="AF155" i="9"/>
  <c r="S155" i="9"/>
  <c r="AE155" i="9" s="1"/>
  <c r="AF203" i="9"/>
  <c r="S203" i="9"/>
  <c r="AE203" i="9" s="1"/>
  <c r="AF251" i="9"/>
  <c r="S251" i="9"/>
  <c r="AE251" i="9" s="1"/>
  <c r="AF275" i="9"/>
  <c r="S275" i="9"/>
  <c r="AE275" i="9" s="1"/>
  <c r="AF315" i="9"/>
  <c r="S315" i="9"/>
  <c r="AE315" i="9" s="1"/>
  <c r="AF331" i="9"/>
  <c r="S331" i="9"/>
  <c r="AE331" i="9" s="1"/>
  <c r="AF371" i="9"/>
  <c r="S371" i="9"/>
  <c r="AE371" i="9" s="1"/>
  <c r="AF11" i="9"/>
  <c r="AE11" i="9"/>
  <c r="AF22" i="9"/>
  <c r="S22" i="9"/>
  <c r="AE22" i="9" s="1"/>
  <c r="AF30" i="9"/>
  <c r="S30" i="9"/>
  <c r="AE30" i="9" s="1"/>
  <c r="AF38" i="9"/>
  <c r="S38" i="9"/>
  <c r="AE38" i="9" s="1"/>
  <c r="AF46" i="9"/>
  <c r="S46" i="9"/>
  <c r="AE46" i="9" s="1"/>
  <c r="AF54" i="9"/>
  <c r="S54" i="9"/>
  <c r="AE54" i="9" s="1"/>
  <c r="AF62" i="9"/>
  <c r="S62" i="9"/>
  <c r="AE62" i="9" s="1"/>
  <c r="AF70" i="9"/>
  <c r="S70" i="9"/>
  <c r="AE70" i="9" s="1"/>
  <c r="AF78" i="9"/>
  <c r="S78" i="9"/>
  <c r="AE78" i="9" s="1"/>
  <c r="AF86" i="9"/>
  <c r="S86" i="9"/>
  <c r="AE86" i="9" s="1"/>
  <c r="AF94" i="9"/>
  <c r="S94" i="9"/>
  <c r="AE94" i="9" s="1"/>
  <c r="AF102" i="9"/>
  <c r="S102" i="9"/>
  <c r="AE102" i="9" s="1"/>
  <c r="AF110" i="9"/>
  <c r="S110" i="9"/>
  <c r="AE110" i="9" s="1"/>
  <c r="AF118" i="9"/>
  <c r="S118" i="9"/>
  <c r="AE118" i="9" s="1"/>
  <c r="AF126" i="9"/>
  <c r="S126" i="9"/>
  <c r="AE126" i="9" s="1"/>
  <c r="AF134" i="9"/>
  <c r="S134" i="9"/>
  <c r="AE134" i="9" s="1"/>
  <c r="AF142" i="9"/>
  <c r="S142" i="9"/>
  <c r="AE142" i="9" s="1"/>
  <c r="AF150" i="9"/>
  <c r="S150" i="9"/>
  <c r="AE150" i="9" s="1"/>
  <c r="AF158" i="9"/>
  <c r="S158" i="9"/>
  <c r="AE158" i="9" s="1"/>
  <c r="AF166" i="9"/>
  <c r="S166" i="9"/>
  <c r="AE166" i="9" s="1"/>
  <c r="AF174" i="9"/>
  <c r="S174" i="9"/>
  <c r="AE174" i="9" s="1"/>
  <c r="AF182" i="9"/>
  <c r="S182" i="9"/>
  <c r="AE182" i="9" s="1"/>
  <c r="AF190" i="9"/>
  <c r="S190" i="9"/>
  <c r="AE190" i="9" s="1"/>
  <c r="AF198" i="9"/>
  <c r="S198" i="9"/>
  <c r="AE198" i="9" s="1"/>
  <c r="AF206" i="9"/>
  <c r="S206" i="9"/>
  <c r="AE206" i="9" s="1"/>
  <c r="AF214" i="9"/>
  <c r="S214" i="9"/>
  <c r="AE214" i="9" s="1"/>
  <c r="AF222" i="9"/>
  <c r="S222" i="9"/>
  <c r="AE222" i="9" s="1"/>
  <c r="AF230" i="9"/>
  <c r="S230" i="9"/>
  <c r="AE230" i="9" s="1"/>
  <c r="AF238" i="9"/>
  <c r="S238" i="9"/>
  <c r="AE238" i="9" s="1"/>
  <c r="AF246" i="9"/>
  <c r="S246" i="9"/>
  <c r="AE246" i="9" s="1"/>
  <c r="AF254" i="9"/>
  <c r="S254" i="9"/>
  <c r="AE254" i="9" s="1"/>
  <c r="AF262" i="9"/>
  <c r="S262" i="9"/>
  <c r="AE262" i="9" s="1"/>
  <c r="AF270" i="9"/>
  <c r="S270" i="9"/>
  <c r="AE270" i="9" s="1"/>
  <c r="AF278" i="9"/>
  <c r="S278" i="9"/>
  <c r="AE278" i="9" s="1"/>
  <c r="AF286" i="9"/>
  <c r="S286" i="9"/>
  <c r="AE286" i="9" s="1"/>
  <c r="AF294" i="9"/>
  <c r="S294" i="9"/>
  <c r="AE294" i="9" s="1"/>
  <c r="AF302" i="9"/>
  <c r="S302" i="9"/>
  <c r="AE302" i="9" s="1"/>
  <c r="AF310" i="9"/>
  <c r="S310" i="9"/>
  <c r="AE310" i="9" s="1"/>
  <c r="AF318" i="9"/>
  <c r="S318" i="9"/>
  <c r="AE318" i="9" s="1"/>
  <c r="AF326" i="9"/>
  <c r="S326" i="9"/>
  <c r="AE326" i="9" s="1"/>
  <c r="AF334" i="9"/>
  <c r="S334" i="9"/>
  <c r="AE334" i="9" s="1"/>
  <c r="AF342" i="9"/>
  <c r="S342" i="9"/>
  <c r="AE342" i="9" s="1"/>
  <c r="AF350" i="9"/>
  <c r="S350" i="9"/>
  <c r="AE350" i="9" s="1"/>
  <c r="AF358" i="9"/>
  <c r="S358" i="9"/>
  <c r="AE358" i="9" s="1"/>
  <c r="AF366" i="9"/>
  <c r="S366" i="9"/>
  <c r="AE366" i="9" s="1"/>
  <c r="AF374" i="9"/>
  <c r="S374" i="9"/>
  <c r="AE374" i="9" s="1"/>
  <c r="AF382" i="9"/>
  <c r="S382" i="9"/>
  <c r="AE382" i="9" s="1"/>
  <c r="AF390" i="9"/>
  <c r="S390" i="9"/>
  <c r="AE390" i="9" s="1"/>
  <c r="AF15" i="9"/>
  <c r="AE15" i="9"/>
  <c r="AF42" i="9"/>
  <c r="S42" i="9"/>
  <c r="AE42" i="9" s="1"/>
  <c r="AF74" i="9"/>
  <c r="S74" i="9"/>
  <c r="AE74" i="9" s="1"/>
  <c r="AF90" i="9"/>
  <c r="S90" i="9"/>
  <c r="AE90" i="9" s="1"/>
  <c r="AF130" i="9"/>
  <c r="S130" i="9"/>
  <c r="AE130" i="9" s="1"/>
  <c r="AF162" i="9"/>
  <c r="S162" i="9"/>
  <c r="AE162" i="9" s="1"/>
  <c r="AF226" i="9"/>
  <c r="S226" i="9"/>
  <c r="AE226" i="9" s="1"/>
  <c r="AF298" i="9"/>
  <c r="S298" i="9"/>
  <c r="AE298" i="9" s="1"/>
  <c r="AF338" i="9"/>
  <c r="S338" i="9"/>
  <c r="AE338" i="9" s="1"/>
  <c r="AF362" i="9"/>
  <c r="S362" i="9"/>
  <c r="AE362" i="9" s="1"/>
  <c r="AF16" i="9"/>
  <c r="AE16" i="9"/>
  <c r="AF51" i="9"/>
  <c r="S51" i="9"/>
  <c r="AE51" i="9" s="1"/>
  <c r="AF91" i="9"/>
  <c r="S91" i="9"/>
  <c r="AE91" i="9" s="1"/>
  <c r="AF139" i="9"/>
  <c r="S139" i="9"/>
  <c r="AE139" i="9" s="1"/>
  <c r="AF171" i="9"/>
  <c r="S171" i="9"/>
  <c r="AE171" i="9" s="1"/>
  <c r="AF211" i="9"/>
  <c r="S211" i="9"/>
  <c r="AE211" i="9" s="1"/>
  <c r="AF243" i="9"/>
  <c r="S243" i="9"/>
  <c r="AE243" i="9" s="1"/>
  <c r="AF259" i="9"/>
  <c r="S259" i="9"/>
  <c r="AE259" i="9" s="1"/>
  <c r="AF299" i="9"/>
  <c r="S299" i="9"/>
  <c r="AE299" i="9" s="1"/>
  <c r="AF323" i="9"/>
  <c r="S323" i="9"/>
  <c r="AE323" i="9" s="1"/>
  <c r="AF347" i="9"/>
  <c r="S347" i="9"/>
  <c r="AE347" i="9" s="1"/>
  <c r="AF387" i="9"/>
  <c r="S387" i="9"/>
  <c r="AE387" i="9" s="1"/>
  <c r="AF12" i="9"/>
  <c r="AE12" i="9"/>
  <c r="AF23" i="9"/>
  <c r="S23" i="9"/>
  <c r="AE23" i="9" s="1"/>
  <c r="AF31" i="9"/>
  <c r="S31" i="9"/>
  <c r="AE31" i="9" s="1"/>
  <c r="AF39" i="9"/>
  <c r="S39" i="9"/>
  <c r="AE39" i="9" s="1"/>
  <c r="AF47" i="9"/>
  <c r="S47" i="9"/>
  <c r="AE47" i="9" s="1"/>
  <c r="AF55" i="9"/>
  <c r="S55" i="9"/>
  <c r="AE55" i="9" s="1"/>
  <c r="AF63" i="9"/>
  <c r="S63" i="9"/>
  <c r="AE63" i="9" s="1"/>
  <c r="AF71" i="9"/>
  <c r="S71" i="9"/>
  <c r="AE71" i="9" s="1"/>
  <c r="AF79" i="9"/>
  <c r="S79" i="9"/>
  <c r="AE79" i="9" s="1"/>
  <c r="AF87" i="9"/>
  <c r="S87" i="9"/>
  <c r="AE87" i="9" s="1"/>
  <c r="AF95" i="9"/>
  <c r="S95" i="9"/>
  <c r="AE95" i="9" s="1"/>
  <c r="AF103" i="9"/>
  <c r="S103" i="9"/>
  <c r="AE103" i="9" s="1"/>
  <c r="AF111" i="9"/>
  <c r="S111" i="9"/>
  <c r="AE111" i="9" s="1"/>
  <c r="AF119" i="9"/>
  <c r="S119" i="9"/>
  <c r="AE119" i="9" s="1"/>
  <c r="AF127" i="9"/>
  <c r="S127" i="9"/>
  <c r="AE127" i="9" s="1"/>
  <c r="AF135" i="9"/>
  <c r="S135" i="9"/>
  <c r="AE135" i="9" s="1"/>
  <c r="AF143" i="9"/>
  <c r="S143" i="9"/>
  <c r="AE143" i="9" s="1"/>
  <c r="AF151" i="9"/>
  <c r="S151" i="9"/>
  <c r="AE151" i="9" s="1"/>
  <c r="AF159" i="9"/>
  <c r="S159" i="9"/>
  <c r="AE159" i="9" s="1"/>
  <c r="AF167" i="9"/>
  <c r="S167" i="9"/>
  <c r="AE167" i="9" s="1"/>
  <c r="AF175" i="9"/>
  <c r="S175" i="9"/>
  <c r="AE175" i="9" s="1"/>
  <c r="AF183" i="9"/>
  <c r="S183" i="9"/>
  <c r="AE183" i="9" s="1"/>
  <c r="AF191" i="9"/>
  <c r="S191" i="9"/>
  <c r="AE191" i="9" s="1"/>
  <c r="AF199" i="9"/>
  <c r="S199" i="9"/>
  <c r="AE199" i="9" s="1"/>
  <c r="AF207" i="9"/>
  <c r="S207" i="9"/>
  <c r="AE207" i="9" s="1"/>
  <c r="AF215" i="9"/>
  <c r="S215" i="9"/>
  <c r="AE215" i="9" s="1"/>
  <c r="AF223" i="9"/>
  <c r="S223" i="9"/>
  <c r="AE223" i="9" s="1"/>
  <c r="AF231" i="9"/>
  <c r="S231" i="9"/>
  <c r="AE231" i="9" s="1"/>
  <c r="AF239" i="9"/>
  <c r="S239" i="9"/>
  <c r="AE239" i="9" s="1"/>
  <c r="AF247" i="9"/>
  <c r="S247" i="9"/>
  <c r="AE247" i="9" s="1"/>
  <c r="AF255" i="9"/>
  <c r="S255" i="9"/>
  <c r="AE255" i="9" s="1"/>
  <c r="AF263" i="9"/>
  <c r="S263" i="9"/>
  <c r="AE263" i="9" s="1"/>
  <c r="AF271" i="9"/>
  <c r="S271" i="9"/>
  <c r="AE271" i="9" s="1"/>
  <c r="AF279" i="9"/>
  <c r="S279" i="9"/>
  <c r="AE279" i="9" s="1"/>
  <c r="AF287" i="9"/>
  <c r="S287" i="9"/>
  <c r="AE287" i="9" s="1"/>
  <c r="AF295" i="9"/>
  <c r="S295" i="9"/>
  <c r="AE295" i="9" s="1"/>
  <c r="AF303" i="9"/>
  <c r="S303" i="9"/>
  <c r="AE303" i="9" s="1"/>
  <c r="AF311" i="9"/>
  <c r="S311" i="9"/>
  <c r="AE311" i="9" s="1"/>
  <c r="AF319" i="9"/>
  <c r="S319" i="9"/>
  <c r="AE319" i="9" s="1"/>
  <c r="AF327" i="9"/>
  <c r="S327" i="9"/>
  <c r="AE327" i="9" s="1"/>
  <c r="AF335" i="9"/>
  <c r="S335" i="9"/>
  <c r="AE335" i="9" s="1"/>
  <c r="AF343" i="9"/>
  <c r="S343" i="9"/>
  <c r="AE343" i="9" s="1"/>
  <c r="AF351" i="9"/>
  <c r="S351" i="9"/>
  <c r="AE351" i="9" s="1"/>
  <c r="AF359" i="9"/>
  <c r="S359" i="9"/>
  <c r="AE359" i="9" s="1"/>
  <c r="AF367" i="9"/>
  <c r="S367" i="9"/>
  <c r="AE367" i="9" s="1"/>
  <c r="AF375" i="9"/>
  <c r="S375" i="9"/>
  <c r="AE375" i="9" s="1"/>
  <c r="AF383" i="9"/>
  <c r="S383" i="9"/>
  <c r="AE383" i="9" s="1"/>
  <c r="AF391" i="9"/>
  <c r="S391" i="9"/>
  <c r="AE391" i="9" s="1"/>
  <c r="AF34" i="9"/>
  <c r="S34" i="9"/>
  <c r="AE34" i="9" s="1"/>
  <c r="AF66" i="9"/>
  <c r="S66" i="9"/>
  <c r="AE66" i="9" s="1"/>
  <c r="AF82" i="9"/>
  <c r="S82" i="9"/>
  <c r="AE82" i="9" s="1"/>
  <c r="AF122" i="9"/>
  <c r="S122" i="9"/>
  <c r="AE122" i="9" s="1"/>
  <c r="AF146" i="9"/>
  <c r="S146" i="9"/>
  <c r="AE146" i="9" s="1"/>
  <c r="AF170" i="9"/>
  <c r="S170" i="9"/>
  <c r="AE170" i="9" s="1"/>
  <c r="AF218" i="9"/>
  <c r="S218" i="9"/>
  <c r="AE218" i="9" s="1"/>
  <c r="AF274" i="9"/>
  <c r="S274" i="9"/>
  <c r="AE274" i="9" s="1"/>
  <c r="AF306" i="9"/>
  <c r="S306" i="9"/>
  <c r="AE306" i="9" s="1"/>
  <c r="AF346" i="9"/>
  <c r="S346" i="9"/>
  <c r="AE346" i="9" s="1"/>
  <c r="AF370" i="9"/>
  <c r="S370" i="9"/>
  <c r="AE370" i="9" s="1"/>
  <c r="AF8" i="9"/>
  <c r="AE8" i="9"/>
  <c r="AF43" i="9"/>
  <c r="S43" i="9"/>
  <c r="AE43" i="9" s="1"/>
  <c r="AF99" i="9"/>
  <c r="S99" i="9"/>
  <c r="AE99" i="9" s="1"/>
  <c r="AF131" i="9"/>
  <c r="S131" i="9"/>
  <c r="AE131" i="9" s="1"/>
  <c r="AF195" i="9"/>
  <c r="S195" i="9"/>
  <c r="AE195" i="9" s="1"/>
  <c r="AF235" i="9"/>
  <c r="S235" i="9"/>
  <c r="AE235" i="9" s="1"/>
  <c r="AF267" i="9"/>
  <c r="S267" i="9"/>
  <c r="AE267" i="9" s="1"/>
  <c r="AF307" i="9"/>
  <c r="S307" i="9"/>
  <c r="AE307" i="9" s="1"/>
  <c r="AF339" i="9"/>
  <c r="S339" i="9"/>
  <c r="AE339" i="9" s="1"/>
  <c r="AF395" i="9"/>
  <c r="S395" i="9"/>
  <c r="AE395" i="9" s="1"/>
  <c r="AF13" i="9"/>
  <c r="AE13" i="9"/>
  <c r="AF24" i="9"/>
  <c r="S24" i="9"/>
  <c r="AE24" i="9" s="1"/>
  <c r="AF32" i="9"/>
  <c r="S32" i="9"/>
  <c r="AE32" i="9" s="1"/>
  <c r="AF40" i="9"/>
  <c r="S40" i="9"/>
  <c r="AE40" i="9" s="1"/>
  <c r="AF48" i="9"/>
  <c r="S48" i="9"/>
  <c r="AE48" i="9" s="1"/>
  <c r="AF56" i="9"/>
  <c r="S56" i="9"/>
  <c r="AE56" i="9" s="1"/>
  <c r="AF64" i="9"/>
  <c r="S64" i="9"/>
  <c r="AE64" i="9" s="1"/>
  <c r="AF72" i="9"/>
  <c r="S72" i="9"/>
  <c r="AE72" i="9" s="1"/>
  <c r="AF80" i="9"/>
  <c r="S80" i="9"/>
  <c r="AE80" i="9" s="1"/>
  <c r="AF88" i="9"/>
  <c r="S88" i="9"/>
  <c r="AE88" i="9" s="1"/>
  <c r="AF96" i="9"/>
  <c r="S96" i="9"/>
  <c r="AE96" i="9" s="1"/>
  <c r="AF104" i="9"/>
  <c r="S104" i="9"/>
  <c r="AE104" i="9" s="1"/>
  <c r="AF112" i="9"/>
  <c r="S112" i="9"/>
  <c r="AE112" i="9" s="1"/>
  <c r="AF120" i="9"/>
  <c r="S120" i="9"/>
  <c r="AE120" i="9" s="1"/>
  <c r="AF128" i="9"/>
  <c r="S128" i="9"/>
  <c r="AE128" i="9" s="1"/>
  <c r="AF136" i="9"/>
  <c r="S136" i="9"/>
  <c r="AE136" i="9" s="1"/>
  <c r="AF144" i="9"/>
  <c r="S144" i="9"/>
  <c r="AE144" i="9" s="1"/>
  <c r="AF152" i="9"/>
  <c r="S152" i="9"/>
  <c r="AE152" i="9" s="1"/>
  <c r="AF160" i="9"/>
  <c r="S160" i="9"/>
  <c r="AE160" i="9" s="1"/>
  <c r="AF168" i="9"/>
  <c r="S168" i="9"/>
  <c r="AE168" i="9" s="1"/>
  <c r="AF176" i="9"/>
  <c r="S176" i="9"/>
  <c r="AE176" i="9" s="1"/>
  <c r="AF184" i="9"/>
  <c r="S184" i="9"/>
  <c r="AE184" i="9" s="1"/>
  <c r="AF192" i="9"/>
  <c r="S192" i="9"/>
  <c r="AE192" i="9" s="1"/>
  <c r="AF200" i="9"/>
  <c r="S200" i="9"/>
  <c r="AE200" i="9" s="1"/>
  <c r="AF208" i="9"/>
  <c r="S208" i="9"/>
  <c r="AE208" i="9" s="1"/>
  <c r="AF216" i="9"/>
  <c r="S216" i="9"/>
  <c r="AE216" i="9" s="1"/>
  <c r="AF224" i="9"/>
  <c r="S224" i="9"/>
  <c r="AE224" i="9" s="1"/>
  <c r="AF232" i="9"/>
  <c r="S232" i="9"/>
  <c r="AE232" i="9" s="1"/>
  <c r="AF240" i="9"/>
  <c r="S240" i="9"/>
  <c r="AE240" i="9" s="1"/>
  <c r="AF248" i="9"/>
  <c r="S248" i="9"/>
  <c r="AE248" i="9" s="1"/>
  <c r="AF256" i="9"/>
  <c r="S256" i="9"/>
  <c r="AE256" i="9" s="1"/>
  <c r="AF264" i="9"/>
  <c r="S264" i="9"/>
  <c r="AE264" i="9" s="1"/>
  <c r="AF272" i="9"/>
  <c r="S272" i="9"/>
  <c r="AE272" i="9" s="1"/>
  <c r="AF280" i="9"/>
  <c r="S280" i="9"/>
  <c r="AE280" i="9" s="1"/>
  <c r="AF288" i="9"/>
  <c r="S288" i="9"/>
  <c r="AE288" i="9" s="1"/>
  <c r="AF296" i="9"/>
  <c r="S296" i="9"/>
  <c r="AE296" i="9" s="1"/>
  <c r="AF304" i="9"/>
  <c r="S304" i="9"/>
  <c r="AE304" i="9" s="1"/>
  <c r="AF312" i="9"/>
  <c r="S312" i="9"/>
  <c r="AE312" i="9" s="1"/>
  <c r="AF320" i="9"/>
  <c r="S320" i="9"/>
  <c r="AE320" i="9" s="1"/>
  <c r="AF328" i="9"/>
  <c r="S328" i="9"/>
  <c r="AE328" i="9" s="1"/>
  <c r="AF336" i="9"/>
  <c r="S336" i="9"/>
  <c r="AE336" i="9" s="1"/>
  <c r="AF344" i="9"/>
  <c r="S344" i="9"/>
  <c r="AE344" i="9" s="1"/>
  <c r="AF352" i="9"/>
  <c r="S352" i="9"/>
  <c r="AE352" i="9" s="1"/>
  <c r="AF360" i="9"/>
  <c r="S360" i="9"/>
  <c r="AE360" i="9" s="1"/>
  <c r="AF368" i="9"/>
  <c r="S368" i="9"/>
  <c r="AE368" i="9" s="1"/>
  <c r="AF376" i="9"/>
  <c r="S376" i="9"/>
  <c r="AE376" i="9" s="1"/>
  <c r="AF384" i="9"/>
  <c r="S384" i="9"/>
  <c r="AE384" i="9" s="1"/>
  <c r="AF392" i="9"/>
  <c r="S392" i="9"/>
  <c r="AE392" i="9" s="1"/>
  <c r="AF50" i="9"/>
  <c r="S50" i="9"/>
  <c r="AE50" i="9" s="1"/>
  <c r="AF114" i="9"/>
  <c r="S114" i="9"/>
  <c r="AE114" i="9" s="1"/>
  <c r="AF186" i="9"/>
  <c r="S186" i="9"/>
  <c r="AE186" i="9" s="1"/>
  <c r="AF210" i="9"/>
  <c r="S210" i="9"/>
  <c r="AE210" i="9" s="1"/>
  <c r="AF242" i="9"/>
  <c r="S242" i="9"/>
  <c r="AE242" i="9" s="1"/>
  <c r="AF258" i="9"/>
  <c r="S258" i="9"/>
  <c r="AE258" i="9" s="1"/>
  <c r="AF282" i="9"/>
  <c r="S282" i="9"/>
  <c r="AE282" i="9" s="1"/>
  <c r="AF314" i="9"/>
  <c r="S314" i="9"/>
  <c r="AE314" i="9" s="1"/>
  <c r="AF386" i="9"/>
  <c r="S386" i="9"/>
  <c r="AE386" i="9" s="1"/>
  <c r="AF35" i="9"/>
  <c r="S35" i="9"/>
  <c r="AE35" i="9" s="1"/>
  <c r="AF67" i="9"/>
  <c r="S67" i="9"/>
  <c r="AE67" i="9" s="1"/>
  <c r="AF107" i="9"/>
  <c r="S107" i="9"/>
  <c r="AE107" i="9" s="1"/>
  <c r="AF147" i="9"/>
  <c r="S147" i="9"/>
  <c r="AE147" i="9" s="1"/>
  <c r="AF179" i="9"/>
  <c r="S179" i="9"/>
  <c r="AE179" i="9" s="1"/>
  <c r="AF227" i="9"/>
  <c r="S227" i="9"/>
  <c r="AE227" i="9" s="1"/>
  <c r="AF291" i="9"/>
  <c r="S291" i="9"/>
  <c r="AE291" i="9" s="1"/>
  <c r="AF363" i="9"/>
  <c r="S363" i="9"/>
  <c r="AE363" i="9" s="1"/>
  <c r="AF14" i="9"/>
  <c r="AE14" i="9"/>
  <c r="AF25" i="9"/>
  <c r="S25" i="9"/>
  <c r="AE25" i="9" s="1"/>
  <c r="AF33" i="9"/>
  <c r="S33" i="9"/>
  <c r="AE33" i="9" s="1"/>
  <c r="AF41" i="9"/>
  <c r="S41" i="9"/>
  <c r="AE41" i="9" s="1"/>
  <c r="AF49" i="9"/>
  <c r="S49" i="9"/>
  <c r="AE49" i="9" s="1"/>
  <c r="AF57" i="9"/>
  <c r="S57" i="9"/>
  <c r="AE57" i="9" s="1"/>
  <c r="AF65" i="9"/>
  <c r="S65" i="9"/>
  <c r="AE65" i="9" s="1"/>
  <c r="AF73" i="9"/>
  <c r="S73" i="9"/>
  <c r="AE73" i="9" s="1"/>
  <c r="AF81" i="9"/>
  <c r="S81" i="9"/>
  <c r="AE81" i="9" s="1"/>
  <c r="AF89" i="9"/>
  <c r="S89" i="9"/>
  <c r="AE89" i="9" s="1"/>
  <c r="AF97" i="9"/>
  <c r="S97" i="9"/>
  <c r="AE97" i="9" s="1"/>
  <c r="AF105" i="9"/>
  <c r="S105" i="9"/>
  <c r="AE105" i="9" s="1"/>
  <c r="AF113" i="9"/>
  <c r="S113" i="9"/>
  <c r="AE113" i="9" s="1"/>
  <c r="AF121" i="9"/>
  <c r="S121" i="9"/>
  <c r="AE121" i="9" s="1"/>
  <c r="AF129" i="9"/>
  <c r="S129" i="9"/>
  <c r="AE129" i="9" s="1"/>
  <c r="AF137" i="9"/>
  <c r="S137" i="9"/>
  <c r="AE137" i="9" s="1"/>
  <c r="AF145" i="9"/>
  <c r="S145" i="9"/>
  <c r="AE145" i="9" s="1"/>
  <c r="AF153" i="9"/>
  <c r="S153" i="9"/>
  <c r="AE153" i="9" s="1"/>
  <c r="AF161" i="9"/>
  <c r="S161" i="9"/>
  <c r="AE161" i="9" s="1"/>
  <c r="AF169" i="9"/>
  <c r="S169" i="9"/>
  <c r="AE169" i="9" s="1"/>
  <c r="AF177" i="9"/>
  <c r="S177" i="9"/>
  <c r="AE177" i="9" s="1"/>
  <c r="AF185" i="9"/>
  <c r="S185" i="9"/>
  <c r="AE185" i="9" s="1"/>
  <c r="AF193" i="9"/>
  <c r="S193" i="9"/>
  <c r="AE193" i="9" s="1"/>
  <c r="AF201" i="9"/>
  <c r="S201" i="9"/>
  <c r="AE201" i="9" s="1"/>
  <c r="AF209" i="9"/>
  <c r="S209" i="9"/>
  <c r="AE209" i="9" s="1"/>
  <c r="AF217" i="9"/>
  <c r="S217" i="9"/>
  <c r="AE217" i="9" s="1"/>
  <c r="AF225" i="9"/>
  <c r="S225" i="9"/>
  <c r="AE225" i="9" s="1"/>
  <c r="AF233" i="9"/>
  <c r="S233" i="9"/>
  <c r="AE233" i="9" s="1"/>
  <c r="AF241" i="9"/>
  <c r="S241" i="9"/>
  <c r="AE241" i="9" s="1"/>
  <c r="AF249" i="9"/>
  <c r="S249" i="9"/>
  <c r="AE249" i="9" s="1"/>
  <c r="AF257" i="9"/>
  <c r="S257" i="9"/>
  <c r="AE257" i="9" s="1"/>
  <c r="AF265" i="9"/>
  <c r="S265" i="9"/>
  <c r="AE265" i="9" s="1"/>
  <c r="AF273" i="9"/>
  <c r="S273" i="9"/>
  <c r="AE273" i="9" s="1"/>
  <c r="AF281" i="9"/>
  <c r="S281" i="9"/>
  <c r="AE281" i="9" s="1"/>
  <c r="AF289" i="9"/>
  <c r="S289" i="9"/>
  <c r="AE289" i="9" s="1"/>
  <c r="AF297" i="9"/>
  <c r="S297" i="9"/>
  <c r="AE297" i="9" s="1"/>
  <c r="AF305" i="9"/>
  <c r="S305" i="9"/>
  <c r="AE305" i="9" s="1"/>
  <c r="AF313" i="9"/>
  <c r="S313" i="9"/>
  <c r="AE313" i="9" s="1"/>
  <c r="AF321" i="9"/>
  <c r="S321" i="9"/>
  <c r="AE321" i="9" s="1"/>
  <c r="AF329" i="9"/>
  <c r="S329" i="9"/>
  <c r="AE329" i="9" s="1"/>
  <c r="AF337" i="9"/>
  <c r="S337" i="9"/>
  <c r="AE337" i="9" s="1"/>
  <c r="AF345" i="9"/>
  <c r="S345" i="9"/>
  <c r="AE345" i="9" s="1"/>
  <c r="AF353" i="9"/>
  <c r="S353" i="9"/>
  <c r="AE353" i="9" s="1"/>
  <c r="AF361" i="9"/>
  <c r="S361" i="9"/>
  <c r="AE361" i="9" s="1"/>
  <c r="AF369" i="9"/>
  <c r="S369" i="9"/>
  <c r="AE369" i="9" s="1"/>
  <c r="AF377" i="9"/>
  <c r="S377" i="9"/>
  <c r="AE377" i="9" s="1"/>
  <c r="AF385" i="9"/>
  <c r="S385" i="9"/>
  <c r="AE385" i="9" s="1"/>
  <c r="AF393" i="9"/>
  <c r="S393" i="9"/>
  <c r="AE393" i="9" s="1"/>
</calcChain>
</file>

<file path=xl/sharedStrings.xml><?xml version="1.0" encoding="utf-8"?>
<sst xmlns="http://schemas.openxmlformats.org/spreadsheetml/2006/main" count="959" uniqueCount="86">
  <si>
    <t>Surname</t>
  </si>
  <si>
    <t>Gender</t>
  </si>
  <si>
    <t>Class</t>
  </si>
  <si>
    <t>Optional</t>
  </si>
  <si>
    <t>Required</t>
  </si>
  <si>
    <t>Test Date
(dd/mm/yy)</t>
  </si>
  <si>
    <t>DOB
(dd/mm/yy)</t>
  </si>
  <si>
    <t>Phonemic Segmentation Fluency
(PSF) Score</t>
  </si>
  <si>
    <t>Composite Score</t>
  </si>
  <si>
    <t>Nonsense Word Fluency
(NWF)</t>
  </si>
  <si>
    <t>Oral Reading Fluency
(ORF)</t>
  </si>
  <si>
    <t>Correct Letter Sounds
(NWF-CLS) Score</t>
  </si>
  <si>
    <t>Whole Words Read
(NWF-WWR) Score</t>
  </si>
  <si>
    <t>MAZE</t>
  </si>
  <si>
    <t>Words Read Correctly
(ORF-WRC) Score</t>
  </si>
  <si>
    <t>ORF-Errors</t>
  </si>
  <si>
    <t>Look up tables</t>
  </si>
  <si>
    <t>Accuracy Value</t>
  </si>
  <si>
    <t>ORF Accuracy %</t>
  </si>
  <si>
    <t>Year 1 Middle of Year</t>
  </si>
  <si>
    <t>Acadience Reading (2021) K-6 Assessment
Scoring Template</t>
  </si>
  <si>
    <t>Please Note:</t>
  </si>
  <si>
    <t>According to the Acadience guidelines "The Acadience Reading measures that are used to calculate the [Reading Composite Score] RCS vary by grade and time of year. As such, the RCS is not comparable across different grades and does not provide a direct measure of growth across grades. For grades K through 2, the RCS is also not comparable across different times of year and should not be used as an indicator of growth within a grade." Therefore, SPA will not calculate RCS growth in Foundation, Year 1 or Year 2 data. However, we will calculate within year RCS growth for Year 3,4,5,&amp; 6 data.</t>
  </si>
  <si>
    <t>Beginning</t>
  </si>
  <si>
    <t>Middle</t>
  </si>
  <si>
    <t>End</t>
  </si>
  <si>
    <t>Accuracy
Value
(ORF-AV)</t>
  </si>
  <si>
    <t>Acadience Reading (2021)
K-6 Assessment</t>
  </si>
  <si>
    <t>Retell</t>
  </si>
  <si>
    <t>Retell Quality of Response</t>
  </si>
  <si>
    <t>Year 1 End of Year
&amp; Beginning Year 2</t>
  </si>
  <si>
    <t>Year 2 (Middle &amp; End) 
&amp; ALL 3,4,5,6</t>
  </si>
  <si>
    <t>Maze
Correct</t>
  </si>
  <si>
    <t>Maze
Errors</t>
  </si>
  <si>
    <t>Maze Adjusted Score</t>
  </si>
  <si>
    <t>Maze Adjusted Score calculation</t>
  </si>
  <si>
    <t>Accuracy Percent
(ORF-AP)</t>
  </si>
  <si>
    <t>The Maze Adjusted Score is a modified score that compensates for student guessing. To calculate the Adjusted Score, use the following formula: Maze Adjusted Score = number of correct responses – (number of incorrect responses ÷ 2). The result of the formula should then be rounded to the nearest whole number. Half-points (0.5) should be rounded up. The minimum Maze Adjusted Score is 0. Do not record a negative number.</t>
  </si>
  <si>
    <t>Year Level</t>
  </si>
  <si>
    <t>First Name</t>
  </si>
  <si>
    <t>First Sound Fluency
(FSF) Score</t>
  </si>
  <si>
    <t>Letter Name Fluency
(LNF) Score</t>
  </si>
  <si>
    <r>
      <t xml:space="preserve">This spreadsheet provides the template required to enter results into the Student Performance Analyser (SPA) for an Acadience Reading K-6 assessment.
</t>
    </r>
    <r>
      <rPr>
        <b/>
        <sz val="14"/>
        <color rgb="FF773498"/>
        <rFont val="Calibri (Body)_x0000_"/>
      </rPr>
      <t>Step 1:</t>
    </r>
    <r>
      <rPr>
        <sz val="14"/>
        <color theme="1"/>
        <rFont val="Calibri"/>
        <family val="2"/>
        <scheme val="minor"/>
      </rPr>
      <t xml:space="preserve">
Click on the appropriate tab below for the year level you wish to enter data for.
</t>
    </r>
    <r>
      <rPr>
        <b/>
        <sz val="14"/>
        <color rgb="FF773498"/>
        <rFont val="Calibri (Body)_x0000_"/>
      </rPr>
      <t>Step 2:</t>
    </r>
    <r>
      <rPr>
        <sz val="14"/>
        <color theme="1"/>
        <rFont val="Calibri"/>
        <family val="2"/>
        <scheme val="minor"/>
      </rPr>
      <t xml:space="preserve">
For each student, enter the Year Level, Name, Student ID, Gender, DOB &amp; Home Group
</t>
    </r>
    <r>
      <rPr>
        <b/>
        <sz val="14"/>
        <color rgb="FF773498"/>
        <rFont val="Calibri (Body)_x0000_"/>
      </rPr>
      <t xml:space="preserve">Step 3:
</t>
    </r>
    <r>
      <rPr>
        <sz val="14"/>
        <color theme="1"/>
        <rFont val="Calibri"/>
        <family val="2"/>
        <scheme val="minor"/>
      </rPr>
      <t xml:space="preserve">Input test round so test results can be analysed using correct benchmarks in SPA.
</t>
    </r>
    <r>
      <rPr>
        <sz val="14"/>
        <color rgb="FFFF0000"/>
        <rFont val="Calibri (Body)"/>
      </rPr>
      <t>PLEASE NOTE: The values of shaded cells are automatically calculated by a formula. Please do not paste data directly into these cells.</t>
    </r>
    <r>
      <rPr>
        <b/>
        <sz val="14"/>
        <color rgb="FF773498"/>
        <rFont val="Calibri (Body)_x0000_"/>
      </rPr>
      <t xml:space="preserve">
Step 4:
</t>
    </r>
    <r>
      <rPr>
        <sz val="14"/>
        <color theme="1"/>
        <rFont val="Calibri"/>
        <family val="2"/>
        <scheme val="minor"/>
      </rPr>
      <t xml:space="preserve">Save the template to your computer or a school shared-drive.
</t>
    </r>
    <r>
      <rPr>
        <b/>
        <sz val="14"/>
        <color rgb="FF773498"/>
        <rFont val="Calibri (Body)_x0000_"/>
      </rPr>
      <t>Step 5:</t>
    </r>
    <r>
      <rPr>
        <sz val="14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</si>
  <si>
    <t>Student ID</t>
  </si>
  <si>
    <t>Letter Name Fluency
 (LNF) Score</t>
  </si>
  <si>
    <t>NOTE:
If ORF-WRC is below 40 and Retell is not administered, use 0 for the Retell value only. This ensures an accurate Acadience Reading Composite Score can be calculated.
A score recorded in the Retell Quality of Response column will display in SPA. However, note that this value is not used to calculate a composite score.</t>
  </si>
  <si>
    <t xml:space="preserve">NOTE:
Beginning Testing:
Scores recorded in the Correct Letter Sounds (NWF-CLS) &amp; Retell Score columns will display in SPA. However, note that these values are not used to calculate a composite score.
Middle/End Testing:
If ORF-WRC is below 40 and Retell is not administered, use 0 for the Retell value only. This ensures an accurate Acadience Reading Composite Score can be calculated.
A score recorded in the Retell Quality of Response column will display in SPA. However, note that this value is not used to calculate a composite score.
</t>
  </si>
  <si>
    <t>NOTE:
Beginning Testing:
A score recorded in the Whole Words Read (NWF-WWR) Score column will display in SPA. However, note that these values are not used to calculate a composite score.
Middle/End Testing:
Scores recorded in the Correct Letter Sounds (NWF-CLS) (END testing) &amp; Retell Score (MIDDLE &amp; END testing) columns will display in SPA. However, note that these values 
are not used to calculate a composite score.</t>
  </si>
  <si>
    <t>complete all columns or leave blank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</si>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</sst>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d/mm/yyyy;@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24"/>
      <color indexed="9"/>
      <name val="Arial Black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73498"/>
      <name val="Calibri (Body)_x0000_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rgb="FF000000"/>
      <name val="Calibri"/>
      <family val="2"/>
      <scheme val="minor"/>
    </font>
    <font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7030A0"/>
      <name val="Calibri"/>
      <family val="2"/>
      <scheme val="minor"/>
    </font>
    <font>
      <sz val="14"/>
      <color rgb="FFFF0000"/>
      <name val="Calibri (Body)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D6E0"/>
        <bgColor indexed="64"/>
      </patternFill>
    </fill>
    <fill>
      <patternFill patternType="solid">
        <fgColor rgb="FF94BBD3"/>
        <bgColor indexed="64"/>
      </patternFill>
    </fill>
    <fill>
      <patternFill patternType="solid">
        <fgColor rgb="FF7690AA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C0D6E1"/>
        <bgColor indexed="64"/>
      </patternFill>
    </fill>
    <fill>
      <patternFill patternType="solid">
        <fgColor rgb="FFDFEBF8"/>
        <bgColor indexed="64"/>
      </patternFill>
    </fill>
    <fill>
      <patternFill patternType="solid">
        <fgColor rgb="FFC0D7E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  <xf numFmtId="0" fontId="0" fillId="2" borderId="16" xfId="0" applyFill="1" applyBorder="1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4" fillId="0" borderId="0" xfId="0" applyFont="1"/>
    <xf numFmtId="0" fontId="0" fillId="0" borderId="1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0" fillId="0" borderId="4" xfId="1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49" fontId="2" fillId="0" borderId="30" xfId="0" applyNumberFormat="1" applyFont="1" applyBorder="1" applyAlignment="1">
      <alignment horizontal="center"/>
    </xf>
    <xf numFmtId="0" fontId="0" fillId="10" borderId="27" xfId="0" applyFill="1" applyBorder="1" applyAlignment="1">
      <alignment horizontal="center"/>
    </xf>
    <xf numFmtId="9" fontId="0" fillId="8" borderId="1" xfId="1" applyFon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11" borderId="20" xfId="1" applyNumberFormat="1" applyFont="1" applyFill="1" applyBorder="1" applyAlignment="1">
      <alignment horizontal="center"/>
    </xf>
    <xf numFmtId="0" fontId="0" fillId="10" borderId="20" xfId="1" applyNumberFormat="1" applyFont="1" applyFill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" fontId="0" fillId="9" borderId="24" xfId="0" applyNumberFormat="1" applyFill="1" applyBorder="1" applyAlignment="1">
      <alignment horizontal="center" vertical="center"/>
    </xf>
    <xf numFmtId="9" fontId="0" fillId="11" borderId="20" xfId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9" fontId="0" fillId="15" borderId="1" xfId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10" borderId="20" xfId="1" applyFont="1" applyFill="1" applyBorder="1" applyAlignment="1">
      <alignment horizontal="center"/>
    </xf>
    <xf numFmtId="9" fontId="0" fillId="11" borderId="20" xfId="1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0" fontId="0" fillId="0" borderId="23" xfId="0" applyBorder="1"/>
    <xf numFmtId="9" fontId="0" fillId="0" borderId="0" xfId="0" applyNumberFormat="1"/>
    <xf numFmtId="9" fontId="2" fillId="0" borderId="30" xfId="0" applyNumberFormat="1" applyFont="1" applyBorder="1" applyAlignment="1">
      <alignment horizontal="center"/>
    </xf>
    <xf numFmtId="1" fontId="0" fillId="0" borderId="0" xfId="0" applyNumberFormat="1"/>
    <xf numFmtId="1" fontId="1" fillId="12" borderId="21" xfId="0" applyNumberFormat="1" applyFont="1" applyFill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0" fillId="13" borderId="20" xfId="0" applyNumberFormat="1" applyFill="1" applyBorder="1" applyAlignment="1">
      <alignment horizontal="center"/>
    </xf>
    <xf numFmtId="1" fontId="0" fillId="10" borderId="20" xfId="0" applyNumberFormat="1" applyFill="1" applyBorder="1" applyAlignment="1">
      <alignment horizontal="center"/>
    </xf>
    <xf numFmtId="1" fontId="0" fillId="11" borderId="20" xfId="0" applyNumberFormat="1" applyFill="1" applyBorder="1" applyAlignment="1">
      <alignment horizontal="center"/>
    </xf>
    <xf numFmtId="0" fontId="1" fillId="11" borderId="15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0" fillId="9" borderId="22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9" fontId="0" fillId="10" borderId="4" xfId="1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0" borderId="28" xfId="1" applyNumberFormat="1" applyFont="1" applyFill="1" applyBorder="1" applyAlignment="1">
      <alignment horizontal="center" vertical="center"/>
    </xf>
    <xf numFmtId="0" fontId="0" fillId="11" borderId="27" xfId="1" applyNumberFormat="1" applyFont="1" applyFill="1" applyBorder="1" applyAlignment="1">
      <alignment horizontal="center" vertical="center"/>
    </xf>
    <xf numFmtId="0" fontId="0" fillId="15" borderId="28" xfId="1" applyNumberFormat="1" applyFont="1" applyFill="1" applyBorder="1" applyAlignment="1">
      <alignment horizontal="center"/>
    </xf>
    <xf numFmtId="0" fontId="0" fillId="11" borderId="27" xfId="1" applyNumberFormat="1" applyFont="1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9" fontId="0" fillId="11" borderId="33" xfId="1" applyFont="1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9" fontId="0" fillId="13" borderId="20" xfId="1" applyFont="1" applyFill="1" applyBorder="1" applyAlignment="1">
      <alignment horizontal="center"/>
    </xf>
    <xf numFmtId="0" fontId="19" fillId="0" borderId="0" xfId="0" applyFont="1" applyAlignment="1">
      <alignment vertical="top" wrapText="1"/>
    </xf>
    <xf numFmtId="49" fontId="2" fillId="0" borderId="9" xfId="0" applyNumberFormat="1" applyFont="1" applyBorder="1"/>
    <xf numFmtId="49" fontId="2" fillId="0" borderId="0" xfId="0" applyNumberFormat="1" applyFont="1"/>
    <xf numFmtId="14" fontId="2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9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9" fontId="0" fillId="0" borderId="20" xfId="1" applyFont="1" applyFill="1" applyBorder="1" applyAlignment="1">
      <alignment horizontal="center" vertical="center"/>
    </xf>
    <xf numFmtId="9" fontId="0" fillId="10" borderId="20" xfId="1" applyFont="1" applyFill="1" applyBorder="1" applyAlignment="1">
      <alignment horizontal="center" vertical="center"/>
    </xf>
    <xf numFmtId="9" fontId="0" fillId="15" borderId="4" xfId="1" applyFont="1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9" fontId="0" fillId="10" borderId="33" xfId="1" applyFont="1" applyFill="1" applyBorder="1" applyAlignment="1">
      <alignment horizontal="center"/>
    </xf>
    <xf numFmtId="9" fontId="0" fillId="13" borderId="33" xfId="1" applyFont="1" applyFill="1" applyBorder="1" applyAlignment="1">
      <alignment horizontal="center"/>
    </xf>
    <xf numFmtId="1" fontId="0" fillId="13" borderId="33" xfId="0" applyNumberFormat="1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1" fontId="0" fillId="10" borderId="33" xfId="0" applyNumberFormat="1" applyFill="1" applyBorder="1" applyAlignment="1">
      <alignment horizontal="center"/>
    </xf>
    <xf numFmtId="1" fontId="0" fillId="11" borderId="33" xfId="0" applyNumberFormat="1" applyFill="1" applyBorder="1" applyAlignment="1">
      <alignment horizontal="center"/>
    </xf>
    <xf numFmtId="0" fontId="0" fillId="13" borderId="25" xfId="1" applyNumberFormat="1" applyFont="1" applyFill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10" borderId="26" xfId="1" applyNumberFormat="1" applyFont="1" applyFill="1" applyBorder="1" applyAlignment="1">
      <alignment horizontal="center"/>
    </xf>
    <xf numFmtId="0" fontId="0" fillId="11" borderId="26" xfId="1" applyNumberFormat="1" applyFont="1" applyFill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0" fillId="13" borderId="28" xfId="1" applyNumberFormat="1" applyFont="1" applyFill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0" fillId="13" borderId="31" xfId="1" applyNumberFormat="1" applyFont="1" applyFill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10" borderId="33" xfId="1" applyNumberFormat="1" applyFont="1" applyFill="1" applyBorder="1" applyAlignment="1">
      <alignment horizontal="center"/>
    </xf>
    <xf numFmtId="0" fontId="0" fillId="11" borderId="33" xfId="1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1" fillId="11" borderId="1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" fillId="10" borderId="15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8" fillId="3" borderId="29" xfId="0" applyFont="1" applyFill="1" applyBorder="1" applyAlignment="1">
      <alignment vertical="center"/>
    </xf>
    <xf numFmtId="0" fontId="18" fillId="3" borderId="29" xfId="0" applyFont="1" applyFill="1" applyBorder="1" applyAlignment="1">
      <alignment vertical="center" wrapText="1"/>
    </xf>
    <xf numFmtId="0" fontId="18" fillId="4" borderId="29" xfId="0" applyFont="1" applyFill="1" applyBorder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top" wrapText="1"/>
    </xf>
    <xf numFmtId="0" fontId="18" fillId="4" borderId="19" xfId="0" applyFont="1" applyFill="1" applyBorder="1" applyAlignment="1">
      <alignment horizontal="center" vertical="top"/>
    </xf>
    <xf numFmtId="0" fontId="18" fillId="4" borderId="11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horizontal="center" vertical="top" wrapText="1"/>
    </xf>
    <xf numFmtId="1" fontId="0" fillId="9" borderId="27" xfId="0" applyNumberForma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1" fontId="0" fillId="10" borderId="27" xfId="0" applyNumberFormat="1" applyFill="1" applyBorder="1" applyAlignment="1">
      <alignment horizontal="center" vertical="center"/>
    </xf>
    <xf numFmtId="1" fontId="0" fillId="11" borderId="27" xfId="0" applyNumberForma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top" wrapText="1"/>
    </xf>
    <xf numFmtId="0" fontId="1" fillId="15" borderId="19" xfId="0" applyFont="1" applyFill="1" applyBorder="1" applyAlignment="1">
      <alignment horizontal="center" vertical="top" wrapText="1"/>
    </xf>
    <xf numFmtId="0" fontId="1" fillId="10" borderId="19" xfId="0" applyFont="1" applyFill="1" applyBorder="1" applyAlignment="1">
      <alignment horizontal="center" vertical="top" wrapText="1"/>
    </xf>
    <xf numFmtId="0" fontId="1" fillId="11" borderId="19" xfId="0" applyFont="1" applyFill="1" applyBorder="1" applyAlignment="1">
      <alignment horizontal="center" vertical="top" wrapText="1"/>
    </xf>
    <xf numFmtId="0" fontId="2" fillId="15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14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15" borderId="17" xfId="0" applyFont="1" applyFill="1" applyBorder="1"/>
    <xf numFmtId="0" fontId="2" fillId="10" borderId="17" xfId="0" applyFont="1" applyFill="1" applyBorder="1"/>
    <xf numFmtId="0" fontId="2" fillId="11" borderId="17" xfId="0" applyFont="1" applyFill="1" applyBorder="1"/>
    <xf numFmtId="14" fontId="0" fillId="0" borderId="28" xfId="0" applyNumberFormat="1" applyBorder="1"/>
    <xf numFmtId="0" fontId="2" fillId="15" borderId="5" xfId="0" applyFont="1" applyFill="1" applyBorder="1"/>
    <xf numFmtId="0" fontId="2" fillId="10" borderId="5" xfId="0" applyFont="1" applyFill="1" applyBorder="1"/>
    <xf numFmtId="0" fontId="1" fillId="13" borderId="19" xfId="0" applyFont="1" applyFill="1" applyBorder="1" applyAlignment="1">
      <alignment horizontal="center" vertical="top" wrapText="1"/>
    </xf>
    <xf numFmtId="49" fontId="1" fillId="9" borderId="19" xfId="0" applyNumberFormat="1" applyFont="1" applyFill="1" applyBorder="1" applyAlignment="1">
      <alignment horizontal="center" vertical="top" wrapText="1"/>
    </xf>
    <xf numFmtId="49" fontId="1" fillId="10" borderId="19" xfId="0" applyNumberFormat="1" applyFont="1" applyFill="1" applyBorder="1" applyAlignment="1">
      <alignment horizontal="center" vertical="top" wrapText="1"/>
    </xf>
    <xf numFmtId="49" fontId="1" fillId="11" borderId="19" xfId="0" applyNumberFormat="1" applyFont="1" applyFill="1" applyBorder="1" applyAlignment="1">
      <alignment horizontal="center" vertical="top" wrapText="1"/>
    </xf>
    <xf numFmtId="49" fontId="1" fillId="9" borderId="8" xfId="0" applyNumberFormat="1" applyFont="1" applyFill="1" applyBorder="1" applyAlignment="1">
      <alignment horizontal="center" vertical="top" wrapText="1"/>
    </xf>
    <xf numFmtId="49" fontId="1" fillId="10" borderId="8" xfId="0" applyNumberFormat="1" applyFont="1" applyFill="1" applyBorder="1" applyAlignment="1">
      <alignment horizontal="center" vertical="top" wrapText="1"/>
    </xf>
    <xf numFmtId="0" fontId="1" fillId="9" borderId="10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9" fontId="1" fillId="10" borderId="8" xfId="1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9" fontId="1" fillId="9" borderId="19" xfId="0" applyNumberFormat="1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9" fontId="1" fillId="10" borderId="19" xfId="0" applyNumberFormat="1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9" fontId="1" fillId="11" borderId="21" xfId="0" applyNumberFormat="1" applyFont="1" applyFill="1" applyBorder="1" applyAlignment="1">
      <alignment horizontal="center" vertical="center" wrapText="1"/>
    </xf>
    <xf numFmtId="9" fontId="1" fillId="13" borderId="21" xfId="0" applyNumberFormat="1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1" fontId="1" fillId="13" borderId="13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top" wrapText="1"/>
    </xf>
    <xf numFmtId="1" fontId="1" fillId="11" borderId="13" xfId="0" applyNumberFormat="1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top" wrapText="1"/>
    </xf>
    <xf numFmtId="9" fontId="1" fillId="10" borderId="21" xfId="0" applyNumberFormat="1" applyFont="1" applyFill="1" applyBorder="1" applyAlignment="1">
      <alignment horizontal="center" vertical="center" wrapText="1"/>
    </xf>
    <xf numFmtId="1" fontId="1" fillId="10" borderId="13" xfId="0" applyNumberFormat="1" applyFont="1" applyFill="1" applyBorder="1" applyAlignment="1">
      <alignment horizontal="center" vertical="center" wrapText="1"/>
    </xf>
    <xf numFmtId="0" fontId="0" fillId="0" borderId="20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2" fillId="0" borderId="19" xfId="0" applyFont="1" applyBorder="1" applyAlignment="1" applyProtection="1">
      <alignment horizontal="center" vertical="center"/>
      <protection locked="0"/>
    </xf>
    <xf numFmtId="14" fontId="2" fillId="0" borderId="19" xfId="0" applyNumberFormat="1" applyFont="1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2" fontId="2" fillId="0" borderId="19" xfId="0" applyNumberFormat="1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4" fontId="2" fillId="0" borderId="19" xfId="0" applyNumberFormat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9" fontId="2" fillId="0" borderId="19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left"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5" fillId="10" borderId="17" xfId="0" applyFont="1" applyFill="1" applyBorder="1" applyAlignment="1" applyProtection="1">
      <alignment horizontal="center" vertical="center"/>
      <protection locked="0"/>
    </xf>
    <xf numFmtId="0" fontId="15" fillId="10" borderId="21" xfId="0" applyFont="1" applyFill="1" applyBorder="1" applyAlignment="1" applyProtection="1">
      <alignment horizontal="center" vertical="center"/>
      <protection locked="0"/>
    </xf>
    <xf numFmtId="0" fontId="12" fillId="5" borderId="0" xfId="0" applyFont="1" applyFill="1" applyAlignment="1">
      <alignment horizontal="center" vertical="center" wrapText="1"/>
    </xf>
    <xf numFmtId="0" fontId="15" fillId="9" borderId="7" xfId="0" applyFont="1" applyFill="1" applyBorder="1" applyAlignment="1" applyProtection="1">
      <alignment horizontal="center" vertical="center"/>
      <protection locked="0"/>
    </xf>
    <xf numFmtId="0" fontId="15" fillId="9" borderId="17" xfId="0" applyFont="1" applyFill="1" applyBorder="1" applyAlignment="1" applyProtection="1">
      <alignment horizontal="center" vertical="center"/>
      <protection locked="0"/>
    </xf>
    <xf numFmtId="0" fontId="15" fillId="11" borderId="17" xfId="0" applyFont="1" applyFill="1" applyBorder="1" applyAlignment="1" applyProtection="1">
      <alignment horizontal="center" vertical="center"/>
      <protection locked="0"/>
    </xf>
    <xf numFmtId="0" fontId="15" fillId="11" borderId="21" xfId="0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 wrapText="1"/>
    </xf>
    <xf numFmtId="0" fontId="1" fillId="10" borderId="35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 applyProtection="1">
      <alignment horizontal="center" vertical="center"/>
      <protection locked="0"/>
    </xf>
    <xf numFmtId="0" fontId="15" fillId="9" borderId="6" xfId="0" applyFont="1" applyFill="1" applyBorder="1" applyAlignment="1" applyProtection="1">
      <alignment horizontal="center" vertical="center"/>
      <protection locked="0"/>
    </xf>
    <xf numFmtId="0" fontId="15" fillId="9" borderId="14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top" wrapText="1"/>
    </xf>
    <xf numFmtId="0" fontId="15" fillId="11" borderId="5" xfId="0" applyFont="1" applyFill="1" applyBorder="1" applyAlignment="1" applyProtection="1">
      <alignment horizontal="center" vertical="center"/>
      <protection locked="0"/>
    </xf>
    <xf numFmtId="0" fontId="15" fillId="11" borderId="14" xfId="0" applyFont="1" applyFill="1" applyBorder="1" applyAlignment="1" applyProtection="1">
      <alignment horizontal="center" vertical="center"/>
      <protection locked="0"/>
    </xf>
    <xf numFmtId="0" fontId="15" fillId="11" borderId="7" xfId="0" applyFont="1" applyFill="1" applyBorder="1" applyAlignment="1" applyProtection="1">
      <alignment horizontal="center" vertical="center"/>
      <protection locked="0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 applyProtection="1">
      <alignment horizontal="center" vertical="center"/>
      <protection locked="0"/>
    </xf>
    <xf numFmtId="0" fontId="15" fillId="10" borderId="14" xfId="0" applyFont="1" applyFill="1" applyBorder="1" applyAlignment="1" applyProtection="1">
      <alignment horizontal="center" vertical="center"/>
      <protection locked="0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15" borderId="35" xfId="0" applyFont="1" applyFill="1" applyBorder="1" applyAlignment="1">
      <alignment horizontal="center" vertical="center" wrapText="1"/>
    </xf>
    <xf numFmtId="0" fontId="1" fillId="15" borderId="18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37" xfId="0" applyNumberFormat="1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1" fillId="10" borderId="1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/>
    </xf>
    <xf numFmtId="0" fontId="15" fillId="10" borderId="14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15" fillId="11" borderId="14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0" fillId="0" borderId="20" xfId="0" applyNumberFormat="1" applyBorder="1" applyAlignment="1">
      <alignment horizontal="center" vertical="center"/>
    </xf>
    <xf numFmtId="0" fontId="21" fillId="0" borderId="27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/>
      <protection locked="0"/>
    </xf>
    <xf numFmtId="165" fontId="21" fillId="0" borderId="1" xfId="0" applyNumberFormat="1" applyFont="1" applyBorder="1" applyAlignment="1" applyProtection="1">
      <alignment horizontal="right"/>
      <protection locked="0"/>
    </xf>
    <xf numFmtId="0" fontId="21" fillId="0" borderId="2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690AA"/>
      <color rgb="FF94BBD3"/>
      <color rgb="FFC0D7E1"/>
      <color rgb="FFDFEBF8"/>
      <color rgb="FFDEEBF8"/>
      <color rgb="FFC0D6E1"/>
      <color rgb="FF21B0F0"/>
      <color rgb="FFC0D6E0"/>
      <color rgb="FFDAF5F5"/>
      <color rgb="FFBCE4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aplatform.com.a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246326</xdr:colOff>
      <xdr:row>3</xdr:row>
      <xdr:rowOff>76200</xdr:rowOff>
    </xdr:from>
    <xdr:to>
      <xdr:col>2</xdr:col>
      <xdr:colOff>1003300</xdr:colOff>
      <xdr:row>12</xdr:row>
      <xdr:rowOff>106748</xdr:rowOff>
    </xdr:to>
    <xdr:pic>
      <xdr:nvPicPr>
        <xdr:cNvPr id="10" name="Pictur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040A4-6866-844C-9053-BA1A52F3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62226" y="1790700"/>
          <a:ext cx="2128574" cy="174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5A7-E9EF-0943-8BF7-3A88E4E0324F}">
  <dimension ref="B1:N33"/>
  <sheetViews>
    <sheetView showGridLines="0" zoomScaleNormal="100" workbookViewId="0"/>
  </sheetViews>
  <sheetFormatPr defaultColWidth="18" defaultRowHeight="15"/>
  <cols>
    <col min="1" max="1" width="2.85546875" customWidth="1"/>
    <col min="7" max="7" width="32.85546875" customWidth="1"/>
  </cols>
  <sheetData>
    <row r="1" spans="2:14" ht="15.75" thickBot="1"/>
    <row r="2" spans="2:14" ht="102.95" customHeight="1" thickBot="1">
      <c r="B2" s="229" t="s">
        <v>20</v>
      </c>
      <c r="C2" s="230"/>
      <c r="D2" s="230"/>
      <c r="E2" s="230"/>
      <c r="F2" s="230"/>
      <c r="G2" s="230"/>
      <c r="H2" s="230"/>
      <c r="I2" s="230"/>
      <c r="J2" s="230"/>
      <c r="K2" s="230"/>
      <c r="L2" s="231"/>
    </row>
    <row r="3" spans="2:14" ht="15.75" thickBot="1"/>
    <row r="4" spans="2:14" ht="15" customHeight="1">
      <c r="B4" s="232" t="s">
        <v>42</v>
      </c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4"/>
      <c r="N4" s="4"/>
    </row>
    <row r="5" spans="2:14" ht="15" customHeight="1">
      <c r="B5" s="235"/>
      <c r="C5" s="236"/>
      <c r="D5" s="236"/>
      <c r="E5" s="236"/>
      <c r="F5" s="236"/>
      <c r="G5" s="236"/>
      <c r="H5" s="236"/>
      <c r="I5" s="236"/>
      <c r="J5" s="236"/>
      <c r="K5" s="236"/>
      <c r="L5" s="237"/>
    </row>
    <row r="6" spans="2:14" ht="15" customHeight="1"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7"/>
    </row>
    <row r="7" spans="2:14" ht="15" customHeight="1">
      <c r="B7" s="235"/>
      <c r="C7" s="236"/>
      <c r="D7" s="236"/>
      <c r="E7" s="236"/>
      <c r="F7" s="236"/>
      <c r="G7" s="236"/>
      <c r="H7" s="236"/>
      <c r="I7" s="236"/>
      <c r="J7" s="236"/>
      <c r="K7" s="236"/>
      <c r="L7" s="237"/>
    </row>
    <row r="8" spans="2:14" ht="15" customHeight="1">
      <c r="B8" s="235"/>
      <c r="C8" s="236"/>
      <c r="D8" s="236"/>
      <c r="E8" s="236"/>
      <c r="F8" s="236"/>
      <c r="G8" s="236"/>
      <c r="H8" s="236"/>
      <c r="I8" s="236"/>
      <c r="J8" s="236"/>
      <c r="K8" s="236"/>
      <c r="L8" s="237"/>
    </row>
    <row r="9" spans="2:14" ht="15" customHeight="1"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37"/>
      <c r="N9" s="5"/>
    </row>
    <row r="10" spans="2:14" ht="15" customHeight="1">
      <c r="B10" s="235"/>
      <c r="C10" s="236"/>
      <c r="D10" s="236"/>
      <c r="E10" s="236"/>
      <c r="F10" s="236"/>
      <c r="G10" s="236"/>
      <c r="H10" s="236"/>
      <c r="I10" s="236"/>
      <c r="J10" s="236"/>
      <c r="K10" s="236"/>
      <c r="L10" s="237"/>
    </row>
    <row r="11" spans="2:14" ht="15" customHeight="1">
      <c r="B11" s="235"/>
      <c r="C11" s="236"/>
      <c r="D11" s="236"/>
      <c r="E11" s="236"/>
      <c r="F11" s="236"/>
      <c r="G11" s="236"/>
      <c r="H11" s="236"/>
      <c r="I11" s="236"/>
      <c r="J11" s="236"/>
      <c r="K11" s="236"/>
      <c r="L11" s="237"/>
    </row>
    <row r="12" spans="2:14" ht="15" customHeight="1"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7"/>
    </row>
    <row r="13" spans="2:14" ht="15" customHeight="1"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7"/>
    </row>
    <row r="14" spans="2:14" ht="15" customHeight="1"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7"/>
    </row>
    <row r="15" spans="2:14" ht="15" customHeight="1"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7"/>
    </row>
    <row r="16" spans="2:14" ht="15" customHeight="1"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7"/>
    </row>
    <row r="17" spans="2:12" ht="15" customHeight="1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7"/>
    </row>
    <row r="18" spans="2:12" ht="15" customHeight="1"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7"/>
    </row>
    <row r="19" spans="2:12" ht="15" customHeight="1">
      <c r="B19" s="235"/>
      <c r="C19" s="236"/>
      <c r="D19" s="236"/>
      <c r="E19" s="236"/>
      <c r="F19" s="236"/>
      <c r="G19" s="236"/>
      <c r="H19" s="236"/>
      <c r="I19" s="236"/>
      <c r="J19" s="236"/>
      <c r="K19" s="236"/>
      <c r="L19" s="237"/>
    </row>
    <row r="20" spans="2:12" ht="15" customHeight="1"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7"/>
    </row>
    <row r="21" spans="2:12" ht="15" customHeight="1">
      <c r="B21" s="235"/>
      <c r="C21" s="236"/>
      <c r="D21" s="236"/>
      <c r="E21" s="236"/>
      <c r="F21" s="236"/>
      <c r="G21" s="236"/>
      <c r="H21" s="236"/>
      <c r="I21" s="236"/>
      <c r="J21" s="236"/>
      <c r="K21" s="236"/>
      <c r="L21" s="237"/>
    </row>
    <row r="22" spans="2:12" ht="15.95" customHeight="1" thickBot="1">
      <c r="B22" s="238"/>
      <c r="C22" s="239"/>
      <c r="D22" s="239"/>
      <c r="E22" s="239"/>
      <c r="F22" s="239"/>
      <c r="G22" s="239"/>
      <c r="H22" s="239"/>
      <c r="I22" s="239"/>
      <c r="J22" s="239"/>
      <c r="K22" s="239"/>
      <c r="L22" s="240"/>
    </row>
    <row r="23" spans="2:12">
      <c r="B23" s="3"/>
      <c r="C23" s="3"/>
      <c r="D23" s="3"/>
      <c r="H23" s="3"/>
      <c r="I23" s="3"/>
      <c r="J23" s="3"/>
    </row>
    <row r="24" spans="2:12" ht="18.75">
      <c r="B24" s="23" t="s">
        <v>21</v>
      </c>
    </row>
    <row r="25" spans="2:12">
      <c r="B25" s="241" t="s">
        <v>22</v>
      </c>
      <c r="C25" s="241"/>
      <c r="D25" s="241"/>
      <c r="E25" s="241"/>
      <c r="F25" s="241"/>
      <c r="G25" s="241"/>
      <c r="H25" s="241"/>
      <c r="I25" s="241"/>
      <c r="J25" s="241"/>
      <c r="K25" s="241"/>
      <c r="L25" s="241"/>
    </row>
    <row r="26" spans="2:12"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</row>
    <row r="27" spans="2:12"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</row>
    <row r="28" spans="2:12"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</row>
    <row r="29" spans="2:12"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</row>
    <row r="30" spans="2:12" ht="18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</row>
    <row r="31" spans="2:12">
      <c r="B31" s="228" t="s">
        <v>37</v>
      </c>
      <c r="C31" s="228"/>
      <c r="D31" s="228"/>
      <c r="E31" s="228"/>
      <c r="F31" s="228"/>
      <c r="G31" s="228"/>
      <c r="H31" s="228"/>
      <c r="I31" s="228"/>
      <c r="J31" s="228"/>
      <c r="K31" s="228"/>
      <c r="L31" s="228"/>
    </row>
    <row r="32" spans="2:12"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</row>
    <row r="33" spans="2:12"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</sheetData>
  <mergeCells count="4">
    <mergeCell ref="B31:L33"/>
    <mergeCell ref="B2:L2"/>
    <mergeCell ref="B4:L22"/>
    <mergeCell ref="B25:L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93C-BCA1-6D4A-869A-A89741D56411}">
  <dimension ref="A1:Z406"/>
  <sheetViews>
    <sheetView topLeftCell="A6" zoomScaleNormal="100" workbookViewId="0">
      <pane xSplit="7" topLeftCell="H1" activePane="topRight" state="frozen"/>
      <selection pane="topRight" activeCell="A8" sqref="A8:G18"/>
    </sheetView>
  </sheetViews>
  <sheetFormatPr defaultColWidth="10" defaultRowHeight="15"/>
  <cols>
    <col min="1" max="1" width="8.7109375" style="20" bestFit="1" customWidth="1"/>
    <col min="2" max="2" width="10.140625" style="20" customWidth="1"/>
    <col min="3" max="4" width="8.7109375" style="20" bestFit="1" customWidth="1"/>
    <col min="5" max="5" width="7.7109375" style="20" bestFit="1" customWidth="1"/>
    <col min="6" max="6" width="12.140625" style="20" customWidth="1"/>
    <col min="7" max="7" width="8.42578125" style="20" customWidth="1"/>
    <col min="8" max="8" width="13.28515625" style="20" bestFit="1" customWidth="1"/>
    <col min="9" max="10" width="13.140625" style="20" customWidth="1"/>
    <col min="11" max="11" width="10.42578125" style="54" customWidth="1"/>
    <col min="12" max="12" width="13.28515625" style="20" bestFit="1" customWidth="1"/>
    <col min="13" max="15" width="13.140625" style="20" customWidth="1"/>
    <col min="16" max="16" width="23" style="20" customWidth="1"/>
    <col min="17" max="17" width="11.42578125" style="54" customWidth="1"/>
    <col min="18" max="18" width="13.28515625" style="20" bestFit="1" customWidth="1"/>
    <col min="19" max="20" width="13.140625" style="20" customWidth="1"/>
    <col min="21" max="21" width="22.42578125" style="20" customWidth="1"/>
    <col min="22" max="22" width="10.28515625" style="54" customWidth="1"/>
    <col min="23" max="16384" width="10" style="20"/>
  </cols>
  <sheetData>
    <row r="1" spans="1:26" ht="30" customHeight="1">
      <c r="A1" s="244" t="s">
        <v>27</v>
      </c>
      <c r="B1" s="244"/>
      <c r="C1" s="244"/>
      <c r="D1" s="244"/>
      <c r="E1" s="244"/>
      <c r="F1" s="244"/>
      <c r="G1" s="244"/>
      <c r="H1" s="27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26" ht="30" customHeight="1">
      <c r="A2" s="244"/>
      <c r="B2" s="244"/>
      <c r="C2" s="244"/>
      <c r="D2" s="244"/>
      <c r="E2" s="244"/>
      <c r="F2" s="244"/>
      <c r="G2" s="244"/>
      <c r="H2" s="27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" customHeight="1" thickBot="1">
      <c r="C3" s="55"/>
    </row>
    <row r="4" spans="1:26" ht="15" customHeight="1" thickBot="1">
      <c r="A4" s="150" t="s">
        <v>4</v>
      </c>
      <c r="B4" s="150" t="s">
        <v>4</v>
      </c>
      <c r="C4" s="150" t="s">
        <v>4</v>
      </c>
      <c r="D4" s="150" t="s">
        <v>4</v>
      </c>
      <c r="E4" s="151" t="s">
        <v>3</v>
      </c>
      <c r="F4" s="150" t="s">
        <v>4</v>
      </c>
      <c r="G4" s="152" t="s">
        <v>3</v>
      </c>
      <c r="H4" s="249" t="s">
        <v>48</v>
      </c>
      <c r="I4" s="250"/>
      <c r="J4" s="250"/>
      <c r="K4" s="251"/>
      <c r="L4" s="249" t="s">
        <v>48</v>
      </c>
      <c r="M4" s="250"/>
      <c r="N4" s="250"/>
      <c r="O4" s="250"/>
      <c r="P4" s="250"/>
      <c r="Q4" s="251"/>
      <c r="R4" s="249" t="s">
        <v>48</v>
      </c>
      <c r="S4" s="250"/>
      <c r="T4" s="250"/>
      <c r="U4" s="250"/>
      <c r="V4" s="251"/>
    </row>
    <row r="5" spans="1:26" s="57" customFormat="1" ht="24" thickBot="1">
      <c r="A5" s="157"/>
      <c r="B5" s="157"/>
      <c r="C5" s="157"/>
      <c r="D5" s="157"/>
      <c r="E5" s="158"/>
      <c r="F5" s="157"/>
      <c r="G5" s="158"/>
      <c r="H5" s="245" t="s">
        <v>23</v>
      </c>
      <c r="I5" s="246"/>
      <c r="J5" s="246"/>
      <c r="K5" s="246"/>
      <c r="L5" s="242" t="s">
        <v>24</v>
      </c>
      <c r="M5" s="242"/>
      <c r="N5" s="242"/>
      <c r="O5" s="242"/>
      <c r="P5" s="243"/>
      <c r="Q5" s="242"/>
      <c r="R5" s="247" t="s">
        <v>25</v>
      </c>
      <c r="S5" s="247"/>
      <c r="T5" s="247"/>
      <c r="U5" s="248"/>
      <c r="V5" s="247"/>
    </row>
    <row r="6" spans="1:26" s="57" customFormat="1" ht="45.75" thickBot="1">
      <c r="A6" s="154"/>
      <c r="B6" s="155"/>
      <c r="C6" s="154"/>
      <c r="D6" s="155"/>
      <c r="E6" s="156"/>
      <c r="F6" s="155"/>
      <c r="G6" s="161"/>
      <c r="H6" s="164"/>
      <c r="I6" s="164"/>
      <c r="J6" s="164"/>
      <c r="K6" s="164"/>
      <c r="L6" s="165"/>
      <c r="M6" s="165"/>
      <c r="N6" s="165"/>
      <c r="O6" s="165"/>
      <c r="P6" s="101" t="s">
        <v>9</v>
      </c>
      <c r="Q6" s="165"/>
      <c r="R6" s="168"/>
      <c r="S6" s="168"/>
      <c r="T6" s="168"/>
      <c r="U6" s="146" t="s">
        <v>9</v>
      </c>
      <c r="V6" s="168"/>
    </row>
    <row r="7" spans="1:26" ht="60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69" t="s">
        <v>5</v>
      </c>
      <c r="I7" s="169" t="s">
        <v>40</v>
      </c>
      <c r="J7" s="170" t="s">
        <v>41</v>
      </c>
      <c r="K7" s="184" t="s">
        <v>8</v>
      </c>
      <c r="L7" s="171" t="s">
        <v>5</v>
      </c>
      <c r="M7" s="171" t="s">
        <v>40</v>
      </c>
      <c r="N7" s="171" t="s">
        <v>41</v>
      </c>
      <c r="O7" s="171" t="s">
        <v>7</v>
      </c>
      <c r="P7" s="101" t="s">
        <v>11</v>
      </c>
      <c r="Q7" s="185" t="s">
        <v>8</v>
      </c>
      <c r="R7" s="172" t="s">
        <v>5</v>
      </c>
      <c r="S7" s="172" t="s">
        <v>41</v>
      </c>
      <c r="T7" s="172" t="s">
        <v>7</v>
      </c>
      <c r="U7" s="146" t="s">
        <v>11</v>
      </c>
      <c r="V7" s="186" t="s">
        <v>8</v>
      </c>
    </row>
    <row r="8" spans="1:26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86">
        <v>45376</v>
      </c>
      <c r="I8" s="70">
        <v>0</v>
      </c>
      <c r="J8" s="70">
        <v>0</v>
      </c>
      <c r="K8" s="163">
        <v>0</v>
      </c>
      <c r="L8" s="86">
        <v>45441</v>
      </c>
      <c r="M8" s="70">
        <v>0</v>
      </c>
      <c r="N8" s="70">
        <v>1</v>
      </c>
      <c r="O8" s="70">
        <v>0</v>
      </c>
      <c r="P8" s="61">
        <v>0</v>
      </c>
      <c r="Q8" s="166">
        <v>1</v>
      </c>
      <c r="R8" s="86">
        <v>45580</v>
      </c>
      <c r="S8" s="70">
        <v>2</v>
      </c>
      <c r="T8" s="70">
        <v>0</v>
      </c>
      <c r="U8" s="61">
        <v>0</v>
      </c>
      <c r="V8" s="167">
        <v>2</v>
      </c>
    </row>
    <row r="9" spans="1:26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3">
        <v>45376</v>
      </c>
      <c r="I9" s="61">
        <v>0</v>
      </c>
      <c r="J9" s="61">
        <v>0</v>
      </c>
      <c r="K9" s="71">
        <v>0</v>
      </c>
      <c r="L9" s="83">
        <v>45441</v>
      </c>
      <c r="M9" s="61">
        <v>7</v>
      </c>
      <c r="N9" s="61">
        <v>7</v>
      </c>
      <c r="O9" s="61">
        <v>2</v>
      </c>
      <c r="P9" s="61">
        <v>2</v>
      </c>
      <c r="Q9" s="166">
        <v>18</v>
      </c>
      <c r="R9" s="83">
        <v>45580</v>
      </c>
      <c r="S9" s="61">
        <v>19</v>
      </c>
      <c r="T9" s="61">
        <v>12</v>
      </c>
      <c r="U9" s="61">
        <v>10</v>
      </c>
      <c r="V9" s="167">
        <v>41</v>
      </c>
    </row>
    <row r="10" spans="1:26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3">
        <v>45376</v>
      </c>
      <c r="I10" s="61">
        <v>0</v>
      </c>
      <c r="J10" s="61">
        <v>1</v>
      </c>
      <c r="K10" s="71">
        <v>1</v>
      </c>
      <c r="L10" s="83">
        <v>45441</v>
      </c>
      <c r="M10" s="61">
        <v>16</v>
      </c>
      <c r="N10" s="61">
        <v>14</v>
      </c>
      <c r="O10" s="61">
        <v>8</v>
      </c>
      <c r="P10" s="61">
        <v>6</v>
      </c>
      <c r="Q10" s="166">
        <v>44</v>
      </c>
      <c r="R10" s="83">
        <v>45580</v>
      </c>
      <c r="S10" s="61">
        <v>28</v>
      </c>
      <c r="T10" s="61">
        <v>28</v>
      </c>
      <c r="U10" s="61">
        <v>17</v>
      </c>
      <c r="V10" s="167">
        <v>73</v>
      </c>
    </row>
    <row r="11" spans="1:26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3">
        <v>45376</v>
      </c>
      <c r="I11" s="61">
        <v>1</v>
      </c>
      <c r="J11" s="61">
        <v>2</v>
      </c>
      <c r="K11" s="71">
        <v>3</v>
      </c>
      <c r="L11" s="83">
        <v>45441</v>
      </c>
      <c r="M11" s="61">
        <v>22</v>
      </c>
      <c r="N11" s="61">
        <v>20</v>
      </c>
      <c r="O11" s="61">
        <v>11</v>
      </c>
      <c r="P11" s="61">
        <v>10</v>
      </c>
      <c r="Q11" s="166">
        <v>63</v>
      </c>
      <c r="R11" s="83">
        <v>45580</v>
      </c>
      <c r="S11" s="61">
        <v>33</v>
      </c>
      <c r="T11" s="61">
        <v>36</v>
      </c>
      <c r="U11" s="61">
        <v>20</v>
      </c>
      <c r="V11" s="167">
        <v>89</v>
      </c>
    </row>
    <row r="12" spans="1:26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3">
        <v>45376</v>
      </c>
      <c r="I12" s="61">
        <v>1</v>
      </c>
      <c r="J12" s="61">
        <v>3</v>
      </c>
      <c r="K12" s="71">
        <v>4</v>
      </c>
      <c r="L12" s="83">
        <v>45441</v>
      </c>
      <c r="M12" s="61">
        <v>26</v>
      </c>
      <c r="N12" s="61">
        <v>24</v>
      </c>
      <c r="O12" s="61">
        <v>15</v>
      </c>
      <c r="P12" s="61">
        <v>13</v>
      </c>
      <c r="Q12" s="166">
        <v>78</v>
      </c>
      <c r="R12" s="83">
        <v>45580</v>
      </c>
      <c r="S12" s="61">
        <v>37</v>
      </c>
      <c r="T12" s="61">
        <v>41</v>
      </c>
      <c r="U12" s="61">
        <v>23</v>
      </c>
      <c r="V12" s="167">
        <v>101</v>
      </c>
    </row>
    <row r="13" spans="1:26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3">
        <v>45376</v>
      </c>
      <c r="I13" s="61">
        <v>1</v>
      </c>
      <c r="J13" s="61">
        <v>4</v>
      </c>
      <c r="K13" s="71">
        <v>5</v>
      </c>
      <c r="L13" s="83">
        <v>45441</v>
      </c>
      <c r="M13" s="61">
        <v>29</v>
      </c>
      <c r="N13" s="61">
        <v>27</v>
      </c>
      <c r="O13" s="61">
        <v>19</v>
      </c>
      <c r="P13" s="61">
        <v>15</v>
      </c>
      <c r="Q13" s="166">
        <v>90</v>
      </c>
      <c r="R13" s="83">
        <v>45580</v>
      </c>
      <c r="S13" s="61">
        <v>40</v>
      </c>
      <c r="T13" s="61">
        <v>44</v>
      </c>
      <c r="U13" s="61">
        <v>26</v>
      </c>
      <c r="V13" s="167">
        <v>110</v>
      </c>
    </row>
    <row r="14" spans="1:26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3">
        <v>45376</v>
      </c>
      <c r="I14" s="61">
        <v>2</v>
      </c>
      <c r="J14" s="61">
        <v>6</v>
      </c>
      <c r="K14" s="71">
        <v>8</v>
      </c>
      <c r="L14" s="83">
        <v>45441</v>
      </c>
      <c r="M14" s="61">
        <v>32</v>
      </c>
      <c r="N14" s="61">
        <v>30</v>
      </c>
      <c r="O14" s="61">
        <v>25</v>
      </c>
      <c r="P14" s="61">
        <v>17</v>
      </c>
      <c r="Q14" s="166">
        <v>104</v>
      </c>
      <c r="R14" s="83">
        <v>45580</v>
      </c>
      <c r="S14" s="61">
        <v>43</v>
      </c>
      <c r="T14" s="61">
        <v>46</v>
      </c>
      <c r="U14" s="61">
        <v>28</v>
      </c>
      <c r="V14" s="167">
        <v>117</v>
      </c>
    </row>
    <row r="15" spans="1:26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3">
        <v>45376</v>
      </c>
      <c r="I15" s="61">
        <v>5</v>
      </c>
      <c r="J15" s="61">
        <v>8</v>
      </c>
      <c r="K15" s="71">
        <v>13</v>
      </c>
      <c r="L15" s="83">
        <v>45441</v>
      </c>
      <c r="M15" s="61">
        <v>35</v>
      </c>
      <c r="N15" s="61">
        <v>32</v>
      </c>
      <c r="O15" s="61">
        <v>30</v>
      </c>
      <c r="P15" s="61">
        <v>19</v>
      </c>
      <c r="Q15" s="166">
        <v>116</v>
      </c>
      <c r="R15" s="83">
        <v>45580</v>
      </c>
      <c r="S15" s="61">
        <v>45</v>
      </c>
      <c r="T15" s="61">
        <v>49</v>
      </c>
      <c r="U15" s="61">
        <v>30</v>
      </c>
      <c r="V15" s="167">
        <v>124</v>
      </c>
    </row>
    <row r="16" spans="1:26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3">
        <v>45376</v>
      </c>
      <c r="I16" s="61">
        <v>7</v>
      </c>
      <c r="J16" s="61">
        <v>11</v>
      </c>
      <c r="K16" s="71">
        <v>18</v>
      </c>
      <c r="L16" s="83">
        <v>45441</v>
      </c>
      <c r="M16" s="61">
        <v>37</v>
      </c>
      <c r="N16" s="61">
        <v>35</v>
      </c>
      <c r="O16" s="61">
        <v>34</v>
      </c>
      <c r="P16" s="61">
        <v>21</v>
      </c>
      <c r="Q16" s="166">
        <v>127</v>
      </c>
      <c r="R16" s="83">
        <v>45580</v>
      </c>
      <c r="S16" s="61">
        <v>48</v>
      </c>
      <c r="T16" s="61">
        <v>51</v>
      </c>
      <c r="U16" s="61">
        <v>32</v>
      </c>
      <c r="V16" s="167">
        <v>131</v>
      </c>
    </row>
    <row r="17" spans="1:22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3">
        <v>45376</v>
      </c>
      <c r="I17" s="61">
        <v>10</v>
      </c>
      <c r="J17" s="61">
        <v>14</v>
      </c>
      <c r="K17" s="71">
        <v>24</v>
      </c>
      <c r="L17" s="83">
        <v>45441</v>
      </c>
      <c r="M17" s="61">
        <v>39</v>
      </c>
      <c r="N17" s="61">
        <v>38</v>
      </c>
      <c r="O17" s="61">
        <v>38</v>
      </c>
      <c r="P17" s="61">
        <v>23</v>
      </c>
      <c r="Q17" s="166">
        <v>138</v>
      </c>
      <c r="R17" s="83">
        <v>45580</v>
      </c>
      <c r="S17" s="61">
        <v>50</v>
      </c>
      <c r="T17" s="61">
        <v>52</v>
      </c>
      <c r="U17" s="61">
        <v>34</v>
      </c>
      <c r="V17" s="167">
        <v>136</v>
      </c>
    </row>
    <row r="18" spans="1:22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3">
        <v>45376</v>
      </c>
      <c r="I18" s="61">
        <v>12</v>
      </c>
      <c r="J18" s="61">
        <v>16</v>
      </c>
      <c r="K18" s="71">
        <v>28</v>
      </c>
      <c r="L18" s="83">
        <v>45441</v>
      </c>
      <c r="M18" s="61">
        <v>41</v>
      </c>
      <c r="N18" s="61">
        <v>39</v>
      </c>
      <c r="O18" s="61">
        <v>41</v>
      </c>
      <c r="P18" s="61">
        <v>25</v>
      </c>
      <c r="Q18" s="166">
        <v>146</v>
      </c>
      <c r="R18" s="83">
        <v>45580</v>
      </c>
      <c r="S18" s="61">
        <v>52</v>
      </c>
      <c r="T18" s="61">
        <v>54</v>
      </c>
      <c r="U18" s="61">
        <v>36</v>
      </c>
      <c r="V18" s="167">
        <v>142</v>
      </c>
    </row>
    <row r="19" spans="1:22">
      <c r="A19" s="58"/>
      <c r="B19" s="59"/>
      <c r="C19" s="60"/>
      <c r="D19" s="61"/>
      <c r="E19" s="58"/>
      <c r="F19" s="62"/>
      <c r="G19" s="63"/>
      <c r="H19" s="83"/>
      <c r="I19" s="61"/>
      <c r="J19" s="61"/>
      <c r="K19" s="71" t="str">
        <f t="shared" ref="K19:K68" si="0">IF($B19="","",SUM($I19:$J19))</f>
        <v/>
      </c>
      <c r="L19" s="83"/>
      <c r="M19" s="61"/>
      <c r="N19" s="61"/>
      <c r="O19" s="61"/>
      <c r="P19" s="61"/>
      <c r="Q19" s="166" t="str">
        <f t="shared" ref="Q19:Q69" si="1">IF($L19="","",SUM($M19:$P19))</f>
        <v/>
      </c>
      <c r="R19" s="83"/>
      <c r="S19" s="61"/>
      <c r="T19" s="61"/>
      <c r="U19" s="61"/>
      <c r="V19" s="167" t="str">
        <f t="shared" ref="V19:V69" si="2">IF($R19="","",SUM($S19:$U19))</f>
        <v/>
      </c>
    </row>
    <row r="20" spans="1:22">
      <c r="A20" s="58"/>
      <c r="B20" s="59"/>
      <c r="C20" s="60"/>
      <c r="D20" s="61"/>
      <c r="E20" s="58"/>
      <c r="F20" s="62"/>
      <c r="G20" s="63"/>
      <c r="H20" s="83"/>
      <c r="I20" s="61"/>
      <c r="J20" s="61"/>
      <c r="K20" s="71" t="str">
        <f t="shared" si="0"/>
        <v/>
      </c>
      <c r="L20" s="83"/>
      <c r="M20" s="61"/>
      <c r="N20" s="61"/>
      <c r="O20" s="61"/>
      <c r="P20" s="61"/>
      <c r="Q20" s="166" t="str">
        <f t="shared" si="1"/>
        <v/>
      </c>
      <c r="R20" s="83"/>
      <c r="S20" s="61"/>
      <c r="T20" s="61"/>
      <c r="U20" s="61"/>
      <c r="V20" s="167" t="str">
        <f t="shared" si="2"/>
        <v/>
      </c>
    </row>
    <row r="21" spans="1:22">
      <c r="A21" s="58"/>
      <c r="B21" s="59"/>
      <c r="C21" s="60"/>
      <c r="D21" s="61"/>
      <c r="E21" s="58"/>
      <c r="F21" s="62"/>
      <c r="G21" s="63"/>
      <c r="H21" s="83"/>
      <c r="I21" s="61"/>
      <c r="J21" s="61"/>
      <c r="K21" s="71" t="str">
        <f t="shared" si="0"/>
        <v/>
      </c>
      <c r="L21" s="83"/>
      <c r="M21" s="61"/>
      <c r="N21" s="61"/>
      <c r="O21" s="61"/>
      <c r="P21" s="61"/>
      <c r="Q21" s="166" t="str">
        <f t="shared" si="1"/>
        <v/>
      </c>
      <c r="R21" s="83"/>
      <c r="S21" s="61"/>
      <c r="T21" s="61"/>
      <c r="U21" s="61"/>
      <c r="V21" s="167" t="str">
        <f t="shared" si="2"/>
        <v/>
      </c>
    </row>
    <row r="22" spans="1:22">
      <c r="A22" s="58"/>
      <c r="B22" s="59"/>
      <c r="C22" s="60"/>
      <c r="D22" s="61"/>
      <c r="E22" s="58"/>
      <c r="F22" s="62"/>
      <c r="G22" s="63"/>
      <c r="H22" s="83"/>
      <c r="I22" s="61"/>
      <c r="J22" s="61"/>
      <c r="K22" s="71" t="str">
        <f t="shared" si="0"/>
        <v/>
      </c>
      <c r="L22" s="83"/>
      <c r="M22" s="61"/>
      <c r="N22" s="61"/>
      <c r="O22" s="61"/>
      <c r="P22" s="61"/>
      <c r="Q22" s="166" t="str">
        <f t="shared" si="1"/>
        <v/>
      </c>
      <c r="R22" s="83"/>
      <c r="S22" s="61"/>
      <c r="T22" s="61"/>
      <c r="U22" s="61"/>
      <c r="V22" s="167" t="str">
        <f t="shared" si="2"/>
        <v/>
      </c>
    </row>
    <row r="23" spans="1:22">
      <c r="A23" s="58"/>
      <c r="B23" s="59"/>
      <c r="C23" s="60"/>
      <c r="D23" s="61"/>
      <c r="E23" s="58"/>
      <c r="F23" s="62"/>
      <c r="G23" s="63"/>
      <c r="H23" s="83"/>
      <c r="I23" s="61"/>
      <c r="J23" s="61"/>
      <c r="K23" s="71" t="str">
        <f t="shared" si="0"/>
        <v/>
      </c>
      <c r="L23" s="83"/>
      <c r="M23" s="61"/>
      <c r="N23" s="61"/>
      <c r="O23" s="61"/>
      <c r="P23" s="61"/>
      <c r="Q23" s="166" t="str">
        <f t="shared" si="1"/>
        <v/>
      </c>
      <c r="R23" s="83"/>
      <c r="S23" s="61"/>
      <c r="T23" s="61"/>
      <c r="U23" s="61"/>
      <c r="V23" s="167" t="str">
        <f t="shared" si="2"/>
        <v/>
      </c>
    </row>
    <row r="24" spans="1:22">
      <c r="A24" s="58"/>
      <c r="B24" s="59"/>
      <c r="C24" s="60"/>
      <c r="D24" s="61"/>
      <c r="E24" s="58"/>
      <c r="F24" s="62"/>
      <c r="G24" s="63"/>
      <c r="H24" s="83"/>
      <c r="I24" s="61"/>
      <c r="J24" s="61"/>
      <c r="K24" s="71" t="str">
        <f t="shared" si="0"/>
        <v/>
      </c>
      <c r="L24" s="83"/>
      <c r="M24" s="61"/>
      <c r="N24" s="61"/>
      <c r="O24" s="61"/>
      <c r="P24" s="61"/>
      <c r="Q24" s="166" t="str">
        <f t="shared" si="1"/>
        <v/>
      </c>
      <c r="R24" s="83"/>
      <c r="S24" s="61"/>
      <c r="T24" s="61"/>
      <c r="U24" s="61"/>
      <c r="V24" s="167" t="str">
        <f t="shared" si="2"/>
        <v/>
      </c>
    </row>
    <row r="25" spans="1:22">
      <c r="A25" s="58"/>
      <c r="B25" s="59"/>
      <c r="C25" s="60"/>
      <c r="D25" s="61"/>
      <c r="E25" s="58"/>
      <c r="F25" s="62"/>
      <c r="G25" s="63"/>
      <c r="H25" s="83"/>
      <c r="I25" s="61"/>
      <c r="J25" s="61"/>
      <c r="K25" s="71" t="str">
        <f t="shared" si="0"/>
        <v/>
      </c>
      <c r="L25" s="83"/>
      <c r="M25" s="61"/>
      <c r="N25" s="61"/>
      <c r="O25" s="61"/>
      <c r="P25" s="61"/>
      <c r="Q25" s="166" t="str">
        <f t="shared" si="1"/>
        <v/>
      </c>
      <c r="R25" s="83"/>
      <c r="S25" s="61"/>
      <c r="T25" s="61"/>
      <c r="U25" s="61"/>
      <c r="V25" s="167" t="str">
        <f t="shared" si="2"/>
        <v/>
      </c>
    </row>
    <row r="26" spans="1:22">
      <c r="A26" s="58"/>
      <c r="B26" s="59"/>
      <c r="C26" s="60"/>
      <c r="D26" s="61"/>
      <c r="E26" s="58"/>
      <c r="F26" s="62"/>
      <c r="G26" s="63"/>
      <c r="H26" s="83"/>
      <c r="I26" s="61"/>
      <c r="J26" s="61"/>
      <c r="K26" s="71" t="str">
        <f t="shared" si="0"/>
        <v/>
      </c>
      <c r="L26" s="83"/>
      <c r="M26" s="61"/>
      <c r="N26" s="61"/>
      <c r="O26" s="61"/>
      <c r="P26" s="61"/>
      <c r="Q26" s="166" t="str">
        <f t="shared" si="1"/>
        <v/>
      </c>
      <c r="R26" s="83"/>
      <c r="S26" s="61"/>
      <c r="T26" s="61"/>
      <c r="U26" s="61"/>
      <c r="V26" s="167" t="str">
        <f t="shared" si="2"/>
        <v/>
      </c>
    </row>
    <row r="27" spans="1:22">
      <c r="A27" s="58"/>
      <c r="B27" s="59"/>
      <c r="C27" s="60"/>
      <c r="D27" s="61"/>
      <c r="E27" s="58"/>
      <c r="F27" s="62"/>
      <c r="G27" s="63"/>
      <c r="H27" s="83"/>
      <c r="I27" s="61"/>
      <c r="J27" s="61"/>
      <c r="K27" s="71" t="str">
        <f t="shared" si="0"/>
        <v/>
      </c>
      <c r="L27" s="83"/>
      <c r="M27" s="61"/>
      <c r="N27" s="61"/>
      <c r="O27" s="61"/>
      <c r="P27" s="61"/>
      <c r="Q27" s="166" t="str">
        <f t="shared" si="1"/>
        <v/>
      </c>
      <c r="R27" s="83"/>
      <c r="S27" s="61"/>
      <c r="T27" s="61"/>
      <c r="U27" s="61"/>
      <c r="V27" s="167" t="str">
        <f t="shared" si="2"/>
        <v/>
      </c>
    </row>
    <row r="28" spans="1:22">
      <c r="A28" s="58"/>
      <c r="B28" s="59"/>
      <c r="C28" s="60"/>
      <c r="D28" s="61"/>
      <c r="E28" s="58"/>
      <c r="F28" s="62"/>
      <c r="G28" s="63"/>
      <c r="H28" s="83"/>
      <c r="I28" s="61"/>
      <c r="J28" s="61"/>
      <c r="K28" s="71" t="str">
        <f t="shared" si="0"/>
        <v/>
      </c>
      <c r="L28" s="83"/>
      <c r="M28" s="61"/>
      <c r="N28" s="61"/>
      <c r="O28" s="61"/>
      <c r="P28" s="61"/>
      <c r="Q28" s="166" t="str">
        <f t="shared" si="1"/>
        <v/>
      </c>
      <c r="R28" s="83"/>
      <c r="S28" s="61"/>
      <c r="T28" s="61"/>
      <c r="U28" s="61"/>
      <c r="V28" s="167" t="str">
        <f t="shared" si="2"/>
        <v/>
      </c>
    </row>
    <row r="29" spans="1:22">
      <c r="A29" s="58"/>
      <c r="B29" s="59"/>
      <c r="C29" s="60"/>
      <c r="D29" s="61"/>
      <c r="E29" s="58"/>
      <c r="F29" s="62"/>
      <c r="G29" s="63"/>
      <c r="H29" s="83"/>
      <c r="I29" s="61"/>
      <c r="J29" s="61"/>
      <c r="K29" s="71" t="str">
        <f t="shared" si="0"/>
        <v/>
      </c>
      <c r="L29" s="83"/>
      <c r="M29" s="61"/>
      <c r="N29" s="61"/>
      <c r="O29" s="61"/>
      <c r="P29" s="61"/>
      <c r="Q29" s="166" t="str">
        <f t="shared" si="1"/>
        <v/>
      </c>
      <c r="R29" s="83"/>
      <c r="S29" s="61"/>
      <c r="T29" s="61"/>
      <c r="U29" s="61"/>
      <c r="V29" s="167" t="str">
        <f t="shared" si="2"/>
        <v/>
      </c>
    </row>
    <row r="30" spans="1:22">
      <c r="A30" s="58"/>
      <c r="B30" s="59"/>
      <c r="C30" s="60"/>
      <c r="D30" s="61"/>
      <c r="E30" s="58"/>
      <c r="F30" s="62"/>
      <c r="G30" s="63"/>
      <c r="H30" s="83"/>
      <c r="I30" s="61"/>
      <c r="J30" s="61"/>
      <c r="K30" s="71" t="str">
        <f t="shared" si="0"/>
        <v/>
      </c>
      <c r="L30" s="83"/>
      <c r="M30" s="61"/>
      <c r="N30" s="61"/>
      <c r="O30" s="61"/>
      <c r="P30" s="61"/>
      <c r="Q30" s="166" t="str">
        <f t="shared" si="1"/>
        <v/>
      </c>
      <c r="R30" s="83"/>
      <c r="S30" s="61"/>
      <c r="T30" s="61"/>
      <c r="U30" s="61"/>
      <c r="V30" s="167" t="str">
        <f t="shared" si="2"/>
        <v/>
      </c>
    </row>
    <row r="31" spans="1:22">
      <c r="A31" s="58"/>
      <c r="B31" s="59"/>
      <c r="C31" s="60"/>
      <c r="D31" s="61"/>
      <c r="E31" s="58"/>
      <c r="F31" s="62"/>
      <c r="G31" s="63"/>
      <c r="H31" s="83"/>
      <c r="I31" s="61"/>
      <c r="J31" s="61"/>
      <c r="K31" s="71" t="str">
        <f t="shared" si="0"/>
        <v/>
      </c>
      <c r="L31" s="83"/>
      <c r="M31" s="61"/>
      <c r="N31" s="61"/>
      <c r="O31" s="61"/>
      <c r="P31" s="61"/>
      <c r="Q31" s="166" t="str">
        <f t="shared" si="1"/>
        <v/>
      </c>
      <c r="R31" s="83"/>
      <c r="S31" s="61"/>
      <c r="T31" s="61"/>
      <c r="U31" s="61"/>
      <c r="V31" s="167" t="str">
        <f t="shared" si="2"/>
        <v/>
      </c>
    </row>
    <row r="32" spans="1:22">
      <c r="A32" s="58"/>
      <c r="B32" s="59"/>
      <c r="C32" s="60"/>
      <c r="D32" s="61"/>
      <c r="E32" s="58"/>
      <c r="F32" s="62"/>
      <c r="G32" s="63"/>
      <c r="H32" s="83"/>
      <c r="I32" s="61"/>
      <c r="J32" s="61"/>
      <c r="K32" s="71" t="str">
        <f t="shared" si="0"/>
        <v/>
      </c>
      <c r="L32" s="83"/>
      <c r="M32" s="61"/>
      <c r="N32" s="61"/>
      <c r="O32" s="61"/>
      <c r="P32" s="61"/>
      <c r="Q32" s="166" t="str">
        <f t="shared" si="1"/>
        <v/>
      </c>
      <c r="R32" s="83"/>
      <c r="S32" s="61"/>
      <c r="T32" s="61"/>
      <c r="U32" s="61"/>
      <c r="V32" s="167" t="str">
        <f t="shared" si="2"/>
        <v/>
      </c>
    </row>
    <row r="33" spans="1:22">
      <c r="A33" s="58"/>
      <c r="B33" s="59"/>
      <c r="C33" s="60"/>
      <c r="D33" s="61"/>
      <c r="E33" s="58"/>
      <c r="F33" s="62"/>
      <c r="G33" s="63"/>
      <c r="H33" s="83"/>
      <c r="I33" s="61"/>
      <c r="J33" s="61"/>
      <c r="K33" s="71" t="str">
        <f t="shared" si="0"/>
        <v/>
      </c>
      <c r="L33" s="83"/>
      <c r="M33" s="61"/>
      <c r="N33" s="61"/>
      <c r="O33" s="61"/>
      <c r="P33" s="61"/>
      <c r="Q33" s="166" t="str">
        <f t="shared" si="1"/>
        <v/>
      </c>
      <c r="R33" s="83"/>
      <c r="S33" s="61"/>
      <c r="T33" s="61"/>
      <c r="U33" s="61"/>
      <c r="V33" s="167" t="str">
        <f t="shared" si="2"/>
        <v/>
      </c>
    </row>
    <row r="34" spans="1:22">
      <c r="A34" s="58"/>
      <c r="B34" s="59"/>
      <c r="C34" s="60"/>
      <c r="D34" s="61"/>
      <c r="E34" s="58"/>
      <c r="F34" s="62"/>
      <c r="G34" s="63"/>
      <c r="H34" s="83"/>
      <c r="I34" s="61"/>
      <c r="J34" s="61"/>
      <c r="K34" s="71" t="str">
        <f t="shared" si="0"/>
        <v/>
      </c>
      <c r="L34" s="83"/>
      <c r="M34" s="61"/>
      <c r="N34" s="61"/>
      <c r="O34" s="61"/>
      <c r="P34" s="61"/>
      <c r="Q34" s="166" t="str">
        <f t="shared" si="1"/>
        <v/>
      </c>
      <c r="R34" s="83"/>
      <c r="S34" s="61"/>
      <c r="T34" s="61"/>
      <c r="U34" s="61"/>
      <c r="V34" s="167" t="str">
        <f t="shared" si="2"/>
        <v/>
      </c>
    </row>
    <row r="35" spans="1:22">
      <c r="A35" s="58"/>
      <c r="B35" s="59"/>
      <c r="C35" s="60"/>
      <c r="D35" s="61"/>
      <c r="E35" s="58"/>
      <c r="F35" s="62"/>
      <c r="G35" s="63"/>
      <c r="H35" s="83"/>
      <c r="I35" s="61"/>
      <c r="J35" s="61"/>
      <c r="K35" s="71" t="str">
        <f t="shared" si="0"/>
        <v/>
      </c>
      <c r="L35" s="83"/>
      <c r="M35" s="61"/>
      <c r="N35" s="61"/>
      <c r="O35" s="61"/>
      <c r="P35" s="61"/>
      <c r="Q35" s="166" t="str">
        <f t="shared" si="1"/>
        <v/>
      </c>
      <c r="R35" s="83"/>
      <c r="S35" s="61"/>
      <c r="T35" s="61"/>
      <c r="U35" s="61"/>
      <c r="V35" s="167" t="str">
        <f t="shared" si="2"/>
        <v/>
      </c>
    </row>
    <row r="36" spans="1:22">
      <c r="A36" s="58"/>
      <c r="B36" s="59"/>
      <c r="C36" s="60"/>
      <c r="D36" s="61"/>
      <c r="E36" s="58"/>
      <c r="F36" s="62"/>
      <c r="G36" s="63"/>
      <c r="H36" s="83"/>
      <c r="I36" s="61"/>
      <c r="J36" s="61"/>
      <c r="K36" s="71" t="str">
        <f t="shared" si="0"/>
        <v/>
      </c>
      <c r="L36" s="83"/>
      <c r="M36" s="61"/>
      <c r="N36" s="61"/>
      <c r="O36" s="61"/>
      <c r="P36" s="61"/>
      <c r="Q36" s="166" t="str">
        <f t="shared" si="1"/>
        <v/>
      </c>
      <c r="R36" s="83"/>
      <c r="S36" s="61"/>
      <c r="T36" s="61"/>
      <c r="U36" s="61"/>
      <c r="V36" s="167" t="str">
        <f t="shared" si="2"/>
        <v/>
      </c>
    </row>
    <row r="37" spans="1:22">
      <c r="A37" s="58"/>
      <c r="B37" s="59"/>
      <c r="C37" s="60"/>
      <c r="D37" s="61"/>
      <c r="E37" s="58"/>
      <c r="F37" s="62"/>
      <c r="G37" s="63"/>
      <c r="H37" s="83"/>
      <c r="I37" s="61"/>
      <c r="J37" s="61"/>
      <c r="K37" s="71" t="str">
        <f t="shared" si="0"/>
        <v/>
      </c>
      <c r="L37" s="83"/>
      <c r="M37" s="61"/>
      <c r="N37" s="61"/>
      <c r="O37" s="61"/>
      <c r="P37" s="61"/>
      <c r="Q37" s="166" t="str">
        <f t="shared" si="1"/>
        <v/>
      </c>
      <c r="R37" s="83"/>
      <c r="S37" s="61"/>
      <c r="T37" s="61"/>
      <c r="U37" s="61"/>
      <c r="V37" s="167" t="str">
        <f t="shared" si="2"/>
        <v/>
      </c>
    </row>
    <row r="38" spans="1:22">
      <c r="A38" s="58"/>
      <c r="B38" s="59"/>
      <c r="C38" s="60"/>
      <c r="D38" s="61"/>
      <c r="E38" s="58"/>
      <c r="F38" s="62"/>
      <c r="G38" s="63"/>
      <c r="H38" s="83"/>
      <c r="I38" s="61"/>
      <c r="J38" s="61"/>
      <c r="K38" s="71" t="str">
        <f t="shared" si="0"/>
        <v/>
      </c>
      <c r="L38" s="83"/>
      <c r="M38" s="61"/>
      <c r="N38" s="61"/>
      <c r="O38" s="61"/>
      <c r="P38" s="61"/>
      <c r="Q38" s="166" t="str">
        <f t="shared" si="1"/>
        <v/>
      </c>
      <c r="R38" s="83"/>
      <c r="S38" s="61"/>
      <c r="T38" s="61"/>
      <c r="U38" s="61"/>
      <c r="V38" s="167" t="str">
        <f t="shared" si="2"/>
        <v/>
      </c>
    </row>
    <row r="39" spans="1:22">
      <c r="A39" s="58"/>
      <c r="B39" s="59"/>
      <c r="C39" s="60"/>
      <c r="D39" s="61"/>
      <c r="E39" s="58"/>
      <c r="F39" s="62"/>
      <c r="G39" s="63"/>
      <c r="H39" s="83"/>
      <c r="I39" s="61"/>
      <c r="J39" s="61"/>
      <c r="K39" s="71" t="str">
        <f t="shared" si="0"/>
        <v/>
      </c>
      <c r="L39" s="83"/>
      <c r="M39" s="61"/>
      <c r="N39" s="61"/>
      <c r="O39" s="61"/>
      <c r="P39" s="61"/>
      <c r="Q39" s="166" t="str">
        <f t="shared" si="1"/>
        <v/>
      </c>
      <c r="R39" s="83"/>
      <c r="S39" s="61"/>
      <c r="T39" s="61"/>
      <c r="U39" s="61"/>
      <c r="V39" s="167" t="str">
        <f t="shared" si="2"/>
        <v/>
      </c>
    </row>
    <row r="40" spans="1:22">
      <c r="A40" s="58"/>
      <c r="B40" s="59"/>
      <c r="C40" s="60"/>
      <c r="D40" s="61"/>
      <c r="E40" s="58"/>
      <c r="F40" s="62"/>
      <c r="G40" s="63"/>
      <c r="H40" s="83"/>
      <c r="I40" s="61"/>
      <c r="J40" s="61"/>
      <c r="K40" s="71" t="str">
        <f t="shared" si="0"/>
        <v/>
      </c>
      <c r="L40" s="83"/>
      <c r="M40" s="61"/>
      <c r="N40" s="61"/>
      <c r="O40" s="61"/>
      <c r="P40" s="61"/>
      <c r="Q40" s="166" t="str">
        <f t="shared" si="1"/>
        <v/>
      </c>
      <c r="R40" s="83"/>
      <c r="S40" s="61"/>
      <c r="T40" s="61"/>
      <c r="U40" s="61"/>
      <c r="V40" s="167" t="str">
        <f t="shared" si="2"/>
        <v/>
      </c>
    </row>
    <row r="41" spans="1:22">
      <c r="A41" s="58"/>
      <c r="B41" s="59"/>
      <c r="C41" s="60"/>
      <c r="D41" s="61"/>
      <c r="E41" s="58"/>
      <c r="F41" s="62"/>
      <c r="G41" s="63"/>
      <c r="H41" s="83"/>
      <c r="I41" s="61"/>
      <c r="J41" s="61"/>
      <c r="K41" s="71" t="str">
        <f t="shared" si="0"/>
        <v/>
      </c>
      <c r="L41" s="83"/>
      <c r="M41" s="61"/>
      <c r="N41" s="61"/>
      <c r="O41" s="61"/>
      <c r="P41" s="61"/>
      <c r="Q41" s="166" t="str">
        <f t="shared" si="1"/>
        <v/>
      </c>
      <c r="R41" s="83"/>
      <c r="S41" s="61"/>
      <c r="T41" s="61"/>
      <c r="U41" s="61"/>
      <c r="V41" s="167" t="str">
        <f t="shared" si="2"/>
        <v/>
      </c>
    </row>
    <row r="42" spans="1:22">
      <c r="A42" s="58"/>
      <c r="B42" s="59"/>
      <c r="C42" s="60"/>
      <c r="D42" s="61"/>
      <c r="E42" s="58"/>
      <c r="F42" s="62"/>
      <c r="G42" s="63"/>
      <c r="H42" s="83"/>
      <c r="I42" s="61"/>
      <c r="J42" s="61"/>
      <c r="K42" s="71" t="str">
        <f t="shared" si="0"/>
        <v/>
      </c>
      <c r="L42" s="83"/>
      <c r="M42" s="61"/>
      <c r="N42" s="61"/>
      <c r="O42" s="61"/>
      <c r="P42" s="61"/>
      <c r="Q42" s="166" t="str">
        <f t="shared" si="1"/>
        <v/>
      </c>
      <c r="R42" s="83"/>
      <c r="S42" s="61"/>
      <c r="T42" s="61"/>
      <c r="U42" s="61"/>
      <c r="V42" s="167" t="str">
        <f t="shared" si="2"/>
        <v/>
      </c>
    </row>
    <row r="43" spans="1:22">
      <c r="A43" s="58"/>
      <c r="B43" s="59"/>
      <c r="C43" s="60"/>
      <c r="D43" s="61"/>
      <c r="E43" s="58"/>
      <c r="F43" s="62"/>
      <c r="G43" s="63"/>
      <c r="H43" s="83"/>
      <c r="I43" s="61"/>
      <c r="J43" s="61"/>
      <c r="K43" s="71" t="str">
        <f t="shared" si="0"/>
        <v/>
      </c>
      <c r="L43" s="83"/>
      <c r="M43" s="61"/>
      <c r="N43" s="61"/>
      <c r="O43" s="61"/>
      <c r="P43" s="61"/>
      <c r="Q43" s="166" t="str">
        <f t="shared" si="1"/>
        <v/>
      </c>
      <c r="R43" s="83"/>
      <c r="S43" s="61"/>
      <c r="T43" s="61"/>
      <c r="U43" s="61"/>
      <c r="V43" s="167" t="str">
        <f t="shared" si="2"/>
        <v/>
      </c>
    </row>
    <row r="44" spans="1:22">
      <c r="A44" s="58"/>
      <c r="B44" s="59"/>
      <c r="C44" s="60"/>
      <c r="D44" s="61"/>
      <c r="E44" s="58"/>
      <c r="F44" s="62"/>
      <c r="G44" s="63"/>
      <c r="H44" s="83"/>
      <c r="I44" s="61"/>
      <c r="J44" s="61"/>
      <c r="K44" s="71" t="str">
        <f t="shared" si="0"/>
        <v/>
      </c>
      <c r="L44" s="83"/>
      <c r="M44" s="61"/>
      <c r="N44" s="61"/>
      <c r="O44" s="61"/>
      <c r="P44" s="61"/>
      <c r="Q44" s="166" t="str">
        <f t="shared" si="1"/>
        <v/>
      </c>
      <c r="R44" s="83"/>
      <c r="S44" s="61"/>
      <c r="T44" s="61"/>
      <c r="U44" s="61"/>
      <c r="V44" s="167" t="str">
        <f t="shared" si="2"/>
        <v/>
      </c>
    </row>
    <row r="45" spans="1:22">
      <c r="A45" s="58"/>
      <c r="B45" s="59"/>
      <c r="C45" s="60"/>
      <c r="D45" s="61"/>
      <c r="E45" s="58"/>
      <c r="F45" s="62"/>
      <c r="G45" s="63"/>
      <c r="H45" s="83"/>
      <c r="I45" s="61"/>
      <c r="J45" s="61"/>
      <c r="K45" s="71" t="str">
        <f t="shared" si="0"/>
        <v/>
      </c>
      <c r="L45" s="83"/>
      <c r="M45" s="61"/>
      <c r="N45" s="61"/>
      <c r="O45" s="61"/>
      <c r="P45" s="61"/>
      <c r="Q45" s="166" t="str">
        <f t="shared" si="1"/>
        <v/>
      </c>
      <c r="R45" s="83"/>
      <c r="S45" s="61"/>
      <c r="T45" s="61"/>
      <c r="U45" s="61"/>
      <c r="V45" s="167" t="str">
        <f t="shared" si="2"/>
        <v/>
      </c>
    </row>
    <row r="46" spans="1:22">
      <c r="A46" s="58"/>
      <c r="B46" s="59"/>
      <c r="C46" s="60"/>
      <c r="D46" s="61"/>
      <c r="E46" s="58"/>
      <c r="F46" s="62"/>
      <c r="G46" s="63"/>
      <c r="H46" s="83"/>
      <c r="I46" s="61"/>
      <c r="J46" s="61"/>
      <c r="K46" s="71" t="str">
        <f t="shared" si="0"/>
        <v/>
      </c>
      <c r="L46" s="83"/>
      <c r="M46" s="61"/>
      <c r="N46" s="61"/>
      <c r="O46" s="61"/>
      <c r="P46" s="61"/>
      <c r="Q46" s="166" t="str">
        <f t="shared" si="1"/>
        <v/>
      </c>
      <c r="R46" s="83"/>
      <c r="S46" s="61"/>
      <c r="T46" s="61"/>
      <c r="U46" s="61"/>
      <c r="V46" s="167" t="str">
        <f t="shared" si="2"/>
        <v/>
      </c>
    </row>
    <row r="47" spans="1:22">
      <c r="A47" s="58"/>
      <c r="B47" s="59"/>
      <c r="C47" s="60"/>
      <c r="D47" s="61"/>
      <c r="E47" s="58"/>
      <c r="F47" s="62"/>
      <c r="G47" s="63"/>
      <c r="H47" s="83"/>
      <c r="I47" s="61"/>
      <c r="J47" s="61"/>
      <c r="K47" s="71" t="str">
        <f t="shared" si="0"/>
        <v/>
      </c>
      <c r="L47" s="83"/>
      <c r="M47" s="61"/>
      <c r="N47" s="61"/>
      <c r="O47" s="61"/>
      <c r="P47" s="61"/>
      <c r="Q47" s="166" t="str">
        <f t="shared" si="1"/>
        <v/>
      </c>
      <c r="R47" s="83"/>
      <c r="S47" s="61"/>
      <c r="T47" s="61"/>
      <c r="U47" s="61"/>
      <c r="V47" s="167" t="str">
        <f t="shared" si="2"/>
        <v/>
      </c>
    </row>
    <row r="48" spans="1:22">
      <c r="A48" s="58"/>
      <c r="B48" s="59"/>
      <c r="C48" s="60"/>
      <c r="D48" s="61"/>
      <c r="E48" s="58"/>
      <c r="F48" s="62"/>
      <c r="G48" s="63"/>
      <c r="H48" s="83"/>
      <c r="I48" s="61"/>
      <c r="J48" s="61"/>
      <c r="K48" s="71" t="str">
        <f t="shared" si="0"/>
        <v/>
      </c>
      <c r="L48" s="83"/>
      <c r="M48" s="61"/>
      <c r="N48" s="61"/>
      <c r="O48" s="61"/>
      <c r="P48" s="61"/>
      <c r="Q48" s="166" t="str">
        <f t="shared" si="1"/>
        <v/>
      </c>
      <c r="R48" s="83"/>
      <c r="S48" s="61"/>
      <c r="T48" s="61"/>
      <c r="U48" s="61"/>
      <c r="V48" s="167" t="str">
        <f t="shared" si="2"/>
        <v/>
      </c>
    </row>
    <row r="49" spans="1:22">
      <c r="A49" s="58"/>
      <c r="B49" s="59"/>
      <c r="C49" s="60"/>
      <c r="D49" s="61"/>
      <c r="E49" s="58"/>
      <c r="F49" s="62"/>
      <c r="G49" s="63"/>
      <c r="H49" s="83"/>
      <c r="I49" s="61"/>
      <c r="J49" s="61"/>
      <c r="K49" s="71" t="str">
        <f t="shared" si="0"/>
        <v/>
      </c>
      <c r="L49" s="83"/>
      <c r="M49" s="61"/>
      <c r="N49" s="61"/>
      <c r="O49" s="61"/>
      <c r="P49" s="61"/>
      <c r="Q49" s="166" t="str">
        <f t="shared" si="1"/>
        <v/>
      </c>
      <c r="R49" s="83"/>
      <c r="S49" s="61"/>
      <c r="T49" s="61"/>
      <c r="U49" s="61"/>
      <c r="V49" s="167" t="str">
        <f t="shared" si="2"/>
        <v/>
      </c>
    </row>
    <row r="50" spans="1:22">
      <c r="A50" s="58"/>
      <c r="B50" s="59"/>
      <c r="C50" s="60"/>
      <c r="D50" s="61"/>
      <c r="E50" s="58"/>
      <c r="F50" s="62"/>
      <c r="G50" s="63"/>
      <c r="H50" s="83"/>
      <c r="I50" s="61"/>
      <c r="J50" s="61"/>
      <c r="K50" s="71" t="str">
        <f t="shared" si="0"/>
        <v/>
      </c>
      <c r="L50" s="83"/>
      <c r="M50" s="61"/>
      <c r="N50" s="61"/>
      <c r="O50" s="61"/>
      <c r="P50" s="61"/>
      <c r="Q50" s="166" t="str">
        <f t="shared" si="1"/>
        <v/>
      </c>
      <c r="R50" s="83"/>
      <c r="S50" s="61"/>
      <c r="T50" s="61"/>
      <c r="U50" s="61"/>
      <c r="V50" s="167" t="str">
        <f t="shared" si="2"/>
        <v/>
      </c>
    </row>
    <row r="51" spans="1:22">
      <c r="A51" s="58"/>
      <c r="B51" s="59"/>
      <c r="C51" s="60"/>
      <c r="D51" s="61"/>
      <c r="E51" s="58"/>
      <c r="F51" s="62"/>
      <c r="G51" s="63"/>
      <c r="H51" s="83"/>
      <c r="I51" s="61"/>
      <c r="J51" s="61"/>
      <c r="K51" s="71" t="str">
        <f t="shared" si="0"/>
        <v/>
      </c>
      <c r="L51" s="83"/>
      <c r="M51" s="61"/>
      <c r="N51" s="61"/>
      <c r="O51" s="61"/>
      <c r="P51" s="61"/>
      <c r="Q51" s="166" t="str">
        <f t="shared" si="1"/>
        <v/>
      </c>
      <c r="R51" s="83"/>
      <c r="S51" s="61"/>
      <c r="T51" s="61"/>
      <c r="U51" s="61"/>
      <c r="V51" s="167" t="str">
        <f t="shared" si="2"/>
        <v/>
      </c>
    </row>
    <row r="52" spans="1:22">
      <c r="A52" s="58"/>
      <c r="B52" s="59"/>
      <c r="C52" s="60"/>
      <c r="D52" s="61"/>
      <c r="E52" s="58"/>
      <c r="F52" s="62"/>
      <c r="G52" s="63"/>
      <c r="H52" s="83"/>
      <c r="I52" s="61"/>
      <c r="J52" s="61"/>
      <c r="K52" s="71" t="str">
        <f t="shared" si="0"/>
        <v/>
      </c>
      <c r="L52" s="83"/>
      <c r="M52" s="61"/>
      <c r="N52" s="61"/>
      <c r="O52" s="61"/>
      <c r="P52" s="61"/>
      <c r="Q52" s="166" t="str">
        <f t="shared" si="1"/>
        <v/>
      </c>
      <c r="R52" s="83"/>
      <c r="S52" s="61"/>
      <c r="T52" s="61"/>
      <c r="U52" s="61"/>
      <c r="V52" s="167" t="str">
        <f t="shared" si="2"/>
        <v/>
      </c>
    </row>
    <row r="53" spans="1:22">
      <c r="A53" s="58"/>
      <c r="B53" s="59"/>
      <c r="C53" s="60"/>
      <c r="D53" s="61"/>
      <c r="E53" s="58"/>
      <c r="F53" s="62"/>
      <c r="G53" s="63"/>
      <c r="H53" s="83"/>
      <c r="I53" s="61"/>
      <c r="J53" s="61"/>
      <c r="K53" s="71" t="str">
        <f t="shared" si="0"/>
        <v/>
      </c>
      <c r="L53" s="83"/>
      <c r="M53" s="61"/>
      <c r="N53" s="61"/>
      <c r="O53" s="61"/>
      <c r="P53" s="61"/>
      <c r="Q53" s="166" t="str">
        <f t="shared" si="1"/>
        <v/>
      </c>
      <c r="R53" s="83"/>
      <c r="S53" s="61"/>
      <c r="T53" s="61"/>
      <c r="U53" s="61"/>
      <c r="V53" s="167" t="str">
        <f t="shared" si="2"/>
        <v/>
      </c>
    </row>
    <row r="54" spans="1:22">
      <c r="A54" s="58"/>
      <c r="B54" s="59"/>
      <c r="C54" s="60"/>
      <c r="D54" s="61"/>
      <c r="E54" s="58"/>
      <c r="F54" s="62"/>
      <c r="G54" s="63"/>
      <c r="H54" s="83"/>
      <c r="I54" s="61"/>
      <c r="J54" s="61"/>
      <c r="K54" s="71" t="str">
        <f t="shared" si="0"/>
        <v/>
      </c>
      <c r="L54" s="83"/>
      <c r="M54" s="61"/>
      <c r="N54" s="61"/>
      <c r="O54" s="61"/>
      <c r="P54" s="61"/>
      <c r="Q54" s="166" t="str">
        <f t="shared" si="1"/>
        <v/>
      </c>
      <c r="R54" s="83"/>
      <c r="S54" s="61"/>
      <c r="T54" s="61"/>
      <c r="U54" s="61"/>
      <c r="V54" s="167" t="str">
        <f t="shared" si="2"/>
        <v/>
      </c>
    </row>
    <row r="55" spans="1:22">
      <c r="A55" s="58"/>
      <c r="B55" s="59"/>
      <c r="C55" s="60"/>
      <c r="D55" s="61"/>
      <c r="E55" s="58"/>
      <c r="F55" s="62"/>
      <c r="G55" s="63"/>
      <c r="H55" s="83"/>
      <c r="I55" s="61"/>
      <c r="J55" s="61"/>
      <c r="K55" s="71" t="str">
        <f t="shared" si="0"/>
        <v/>
      </c>
      <c r="L55" s="83"/>
      <c r="M55" s="61"/>
      <c r="N55" s="61"/>
      <c r="O55" s="61"/>
      <c r="P55" s="61"/>
      <c r="Q55" s="166" t="str">
        <f t="shared" si="1"/>
        <v/>
      </c>
      <c r="R55" s="83"/>
      <c r="S55" s="61"/>
      <c r="T55" s="61"/>
      <c r="U55" s="61"/>
      <c r="V55" s="167" t="str">
        <f t="shared" si="2"/>
        <v/>
      </c>
    </row>
    <row r="56" spans="1:22">
      <c r="A56" s="58"/>
      <c r="B56" s="59"/>
      <c r="C56" s="60"/>
      <c r="D56" s="61"/>
      <c r="E56" s="58"/>
      <c r="F56" s="62"/>
      <c r="G56" s="63"/>
      <c r="H56" s="83"/>
      <c r="I56" s="61"/>
      <c r="J56" s="61"/>
      <c r="K56" s="71" t="str">
        <f t="shared" si="0"/>
        <v/>
      </c>
      <c r="L56" s="83"/>
      <c r="M56" s="61"/>
      <c r="N56" s="61"/>
      <c r="O56" s="61"/>
      <c r="P56" s="61"/>
      <c r="Q56" s="166" t="str">
        <f t="shared" si="1"/>
        <v/>
      </c>
      <c r="R56" s="83"/>
      <c r="S56" s="61"/>
      <c r="T56" s="61"/>
      <c r="U56" s="61"/>
      <c r="V56" s="167" t="str">
        <f t="shared" si="2"/>
        <v/>
      </c>
    </row>
    <row r="57" spans="1:22">
      <c r="A57" s="58"/>
      <c r="B57" s="59"/>
      <c r="C57" s="60"/>
      <c r="D57" s="61"/>
      <c r="E57" s="58"/>
      <c r="F57" s="62"/>
      <c r="G57" s="63"/>
      <c r="H57" s="83"/>
      <c r="I57" s="61"/>
      <c r="J57" s="61"/>
      <c r="K57" s="71" t="str">
        <f t="shared" si="0"/>
        <v/>
      </c>
      <c r="L57" s="83"/>
      <c r="M57" s="61"/>
      <c r="N57" s="61"/>
      <c r="O57" s="61"/>
      <c r="P57" s="61"/>
      <c r="Q57" s="166" t="str">
        <f t="shared" si="1"/>
        <v/>
      </c>
      <c r="R57" s="83"/>
      <c r="S57" s="61"/>
      <c r="T57" s="61"/>
      <c r="U57" s="61"/>
      <c r="V57" s="167" t="str">
        <f t="shared" si="2"/>
        <v/>
      </c>
    </row>
    <row r="58" spans="1:22">
      <c r="A58" s="58"/>
      <c r="B58" s="59"/>
      <c r="C58" s="60"/>
      <c r="D58" s="61"/>
      <c r="E58" s="58"/>
      <c r="F58" s="62"/>
      <c r="G58" s="63"/>
      <c r="H58" s="83"/>
      <c r="I58" s="61"/>
      <c r="J58" s="61"/>
      <c r="K58" s="71" t="str">
        <f t="shared" si="0"/>
        <v/>
      </c>
      <c r="L58" s="83"/>
      <c r="M58" s="61"/>
      <c r="N58" s="61"/>
      <c r="O58" s="61"/>
      <c r="P58" s="61"/>
      <c r="Q58" s="166" t="str">
        <f t="shared" si="1"/>
        <v/>
      </c>
      <c r="R58" s="83"/>
      <c r="S58" s="61"/>
      <c r="T58" s="61"/>
      <c r="U58" s="61"/>
      <c r="V58" s="167" t="str">
        <f t="shared" si="2"/>
        <v/>
      </c>
    </row>
    <row r="59" spans="1:22">
      <c r="A59" s="58"/>
      <c r="B59" s="59"/>
      <c r="C59" s="60"/>
      <c r="D59" s="61"/>
      <c r="E59" s="58"/>
      <c r="F59" s="62"/>
      <c r="G59" s="63"/>
      <c r="H59" s="83"/>
      <c r="I59" s="61"/>
      <c r="J59" s="61"/>
      <c r="K59" s="71" t="str">
        <f t="shared" si="0"/>
        <v/>
      </c>
      <c r="L59" s="83"/>
      <c r="M59" s="61"/>
      <c r="N59" s="61"/>
      <c r="O59" s="61"/>
      <c r="P59" s="61"/>
      <c r="Q59" s="166" t="str">
        <f t="shared" si="1"/>
        <v/>
      </c>
      <c r="R59" s="83"/>
      <c r="S59" s="61"/>
      <c r="T59" s="61"/>
      <c r="U59" s="61"/>
      <c r="V59" s="167" t="str">
        <f t="shared" si="2"/>
        <v/>
      </c>
    </row>
    <row r="60" spans="1:22">
      <c r="A60" s="58"/>
      <c r="B60" s="59"/>
      <c r="C60" s="60"/>
      <c r="D60" s="61"/>
      <c r="E60" s="58"/>
      <c r="F60" s="62"/>
      <c r="G60" s="63"/>
      <c r="H60" s="83"/>
      <c r="I60" s="61"/>
      <c r="J60" s="61"/>
      <c r="K60" s="71" t="str">
        <f t="shared" si="0"/>
        <v/>
      </c>
      <c r="L60" s="83"/>
      <c r="M60" s="61"/>
      <c r="N60" s="61"/>
      <c r="O60" s="61"/>
      <c r="P60" s="61"/>
      <c r="Q60" s="166" t="str">
        <f t="shared" si="1"/>
        <v/>
      </c>
      <c r="R60" s="83"/>
      <c r="S60" s="61"/>
      <c r="T60" s="61"/>
      <c r="U60" s="61"/>
      <c r="V60" s="167" t="str">
        <f t="shared" si="2"/>
        <v/>
      </c>
    </row>
    <row r="61" spans="1:22">
      <c r="A61" s="58"/>
      <c r="B61" s="59"/>
      <c r="C61" s="60"/>
      <c r="D61" s="61"/>
      <c r="E61" s="58"/>
      <c r="F61" s="62"/>
      <c r="G61" s="63"/>
      <c r="H61" s="83"/>
      <c r="I61" s="61"/>
      <c r="J61" s="61"/>
      <c r="K61" s="71" t="str">
        <f t="shared" si="0"/>
        <v/>
      </c>
      <c r="L61" s="83"/>
      <c r="M61" s="61"/>
      <c r="N61" s="61"/>
      <c r="O61" s="61"/>
      <c r="P61" s="61"/>
      <c r="Q61" s="166" t="str">
        <f t="shared" si="1"/>
        <v/>
      </c>
      <c r="R61" s="83"/>
      <c r="S61" s="61"/>
      <c r="T61" s="61"/>
      <c r="U61" s="61"/>
      <c r="V61" s="167" t="str">
        <f t="shared" si="2"/>
        <v/>
      </c>
    </row>
    <row r="62" spans="1:22">
      <c r="A62" s="58"/>
      <c r="B62" s="59"/>
      <c r="C62" s="60"/>
      <c r="D62" s="61"/>
      <c r="E62" s="58"/>
      <c r="F62" s="62"/>
      <c r="G62" s="63"/>
      <c r="H62" s="83"/>
      <c r="I62" s="61"/>
      <c r="J62" s="61"/>
      <c r="K62" s="71" t="str">
        <f t="shared" si="0"/>
        <v/>
      </c>
      <c r="L62" s="83"/>
      <c r="M62" s="61"/>
      <c r="N62" s="61"/>
      <c r="O62" s="61"/>
      <c r="P62" s="61"/>
      <c r="Q62" s="166" t="str">
        <f t="shared" si="1"/>
        <v/>
      </c>
      <c r="R62" s="83"/>
      <c r="S62" s="61"/>
      <c r="T62" s="61"/>
      <c r="U62" s="61"/>
      <c r="V62" s="167" t="str">
        <f t="shared" si="2"/>
        <v/>
      </c>
    </row>
    <row r="63" spans="1:22">
      <c r="A63" s="58"/>
      <c r="B63" s="59"/>
      <c r="C63" s="60"/>
      <c r="D63" s="61"/>
      <c r="E63" s="58"/>
      <c r="F63" s="62"/>
      <c r="G63" s="63"/>
      <c r="H63" s="83"/>
      <c r="I63" s="61"/>
      <c r="J63" s="61"/>
      <c r="K63" s="71" t="str">
        <f t="shared" si="0"/>
        <v/>
      </c>
      <c r="L63" s="83"/>
      <c r="M63" s="61"/>
      <c r="N63" s="61"/>
      <c r="O63" s="61"/>
      <c r="P63" s="61"/>
      <c r="Q63" s="166" t="str">
        <f t="shared" si="1"/>
        <v/>
      </c>
      <c r="R63" s="83"/>
      <c r="S63" s="61"/>
      <c r="T63" s="61"/>
      <c r="U63" s="61"/>
      <c r="V63" s="167" t="str">
        <f t="shared" si="2"/>
        <v/>
      </c>
    </row>
    <row r="64" spans="1:22">
      <c r="A64" s="58"/>
      <c r="B64" s="59"/>
      <c r="C64" s="60"/>
      <c r="D64" s="61"/>
      <c r="E64" s="58"/>
      <c r="F64" s="62"/>
      <c r="G64" s="63"/>
      <c r="H64" s="83"/>
      <c r="I64" s="61"/>
      <c r="J64" s="61"/>
      <c r="K64" s="71" t="str">
        <f t="shared" si="0"/>
        <v/>
      </c>
      <c r="L64" s="83"/>
      <c r="M64" s="61"/>
      <c r="N64" s="61"/>
      <c r="O64" s="61"/>
      <c r="P64" s="61"/>
      <c r="Q64" s="166" t="str">
        <f t="shared" si="1"/>
        <v/>
      </c>
      <c r="R64" s="83"/>
      <c r="S64" s="61"/>
      <c r="T64" s="61"/>
      <c r="U64" s="61"/>
      <c r="V64" s="167" t="str">
        <f t="shared" si="2"/>
        <v/>
      </c>
    </row>
    <row r="65" spans="1:22">
      <c r="A65" s="58"/>
      <c r="B65" s="59"/>
      <c r="C65" s="60"/>
      <c r="D65" s="61"/>
      <c r="E65" s="58"/>
      <c r="F65" s="62"/>
      <c r="G65" s="63"/>
      <c r="H65" s="83"/>
      <c r="I65" s="61"/>
      <c r="J65" s="61"/>
      <c r="K65" s="71" t="str">
        <f t="shared" si="0"/>
        <v/>
      </c>
      <c r="L65" s="83"/>
      <c r="M65" s="61"/>
      <c r="N65" s="61"/>
      <c r="O65" s="61"/>
      <c r="P65" s="61"/>
      <c r="Q65" s="166" t="str">
        <f t="shared" si="1"/>
        <v/>
      </c>
      <c r="R65" s="83"/>
      <c r="S65" s="61"/>
      <c r="T65" s="61"/>
      <c r="U65" s="61"/>
      <c r="V65" s="167" t="str">
        <f t="shared" si="2"/>
        <v/>
      </c>
    </row>
    <row r="66" spans="1:22">
      <c r="A66" s="58"/>
      <c r="B66" s="59"/>
      <c r="C66" s="60"/>
      <c r="D66" s="61"/>
      <c r="E66" s="58"/>
      <c r="F66" s="62"/>
      <c r="G66" s="63"/>
      <c r="H66" s="83"/>
      <c r="I66" s="61"/>
      <c r="J66" s="61"/>
      <c r="K66" s="71" t="str">
        <f t="shared" si="0"/>
        <v/>
      </c>
      <c r="L66" s="83"/>
      <c r="M66" s="61"/>
      <c r="N66" s="61"/>
      <c r="O66" s="61"/>
      <c r="P66" s="61"/>
      <c r="Q66" s="166" t="str">
        <f t="shared" si="1"/>
        <v/>
      </c>
      <c r="R66" s="83"/>
      <c r="S66" s="61"/>
      <c r="T66" s="61"/>
      <c r="U66" s="61"/>
      <c r="V66" s="167" t="str">
        <f t="shared" si="2"/>
        <v/>
      </c>
    </row>
    <row r="67" spans="1:22">
      <c r="A67" s="58"/>
      <c r="B67" s="59"/>
      <c r="C67" s="60"/>
      <c r="D67" s="61"/>
      <c r="E67" s="58"/>
      <c r="F67" s="62"/>
      <c r="G67" s="63"/>
      <c r="H67" s="83"/>
      <c r="I67" s="61"/>
      <c r="J67" s="61"/>
      <c r="K67" s="71" t="str">
        <f t="shared" si="0"/>
        <v/>
      </c>
      <c r="L67" s="83"/>
      <c r="M67" s="61"/>
      <c r="N67" s="61"/>
      <c r="O67" s="61"/>
      <c r="P67" s="61"/>
      <c r="Q67" s="166" t="str">
        <f t="shared" si="1"/>
        <v/>
      </c>
      <c r="R67" s="83"/>
      <c r="S67" s="61"/>
      <c r="T67" s="61"/>
      <c r="U67" s="61"/>
      <c r="V67" s="167" t="str">
        <f t="shared" si="2"/>
        <v/>
      </c>
    </row>
    <row r="68" spans="1:22">
      <c r="A68" s="58"/>
      <c r="B68" s="59"/>
      <c r="C68" s="60"/>
      <c r="D68" s="61"/>
      <c r="E68" s="58"/>
      <c r="F68" s="62"/>
      <c r="G68" s="63"/>
      <c r="H68" s="83"/>
      <c r="I68" s="61"/>
      <c r="J68" s="61"/>
      <c r="K68" s="71" t="str">
        <f t="shared" si="0"/>
        <v/>
      </c>
      <c r="L68" s="83"/>
      <c r="M68" s="61"/>
      <c r="N68" s="61"/>
      <c r="O68" s="61"/>
      <c r="P68" s="61"/>
      <c r="Q68" s="166" t="str">
        <f t="shared" si="1"/>
        <v/>
      </c>
      <c r="R68" s="83"/>
      <c r="S68" s="61"/>
      <c r="T68" s="61"/>
      <c r="U68" s="61"/>
      <c r="V68" s="167" t="str">
        <f t="shared" si="2"/>
        <v/>
      </c>
    </row>
    <row r="69" spans="1:22">
      <c r="A69" s="58"/>
      <c r="B69" s="59"/>
      <c r="C69" s="60"/>
      <c r="D69" s="61"/>
      <c r="E69" s="58"/>
      <c r="F69" s="62"/>
      <c r="G69" s="63"/>
      <c r="H69" s="83"/>
      <c r="I69" s="61"/>
      <c r="J69" s="61"/>
      <c r="K69" s="71" t="str">
        <f t="shared" ref="K69:K132" si="3">IF($B69="","",SUM($I69:$J69))</f>
        <v/>
      </c>
      <c r="L69" s="83"/>
      <c r="M69" s="61"/>
      <c r="N69" s="61"/>
      <c r="O69" s="61"/>
      <c r="P69" s="61"/>
      <c r="Q69" s="166" t="str">
        <f t="shared" si="1"/>
        <v/>
      </c>
      <c r="R69" s="83"/>
      <c r="S69" s="61"/>
      <c r="T69" s="61"/>
      <c r="U69" s="61"/>
      <c r="V69" s="167" t="str">
        <f t="shared" si="2"/>
        <v/>
      </c>
    </row>
    <row r="70" spans="1:22">
      <c r="A70" s="58"/>
      <c r="B70" s="59"/>
      <c r="C70" s="60"/>
      <c r="D70" s="61"/>
      <c r="E70" s="58"/>
      <c r="F70" s="62"/>
      <c r="G70" s="63"/>
      <c r="H70" s="83"/>
      <c r="I70" s="61"/>
      <c r="J70" s="61"/>
      <c r="K70" s="71" t="str">
        <f t="shared" si="3"/>
        <v/>
      </c>
      <c r="L70" s="83"/>
      <c r="M70" s="61"/>
      <c r="N70" s="61"/>
      <c r="O70" s="61"/>
      <c r="P70" s="61"/>
      <c r="Q70" s="166" t="str">
        <f t="shared" ref="Q70:Q133" si="4">IF($L70="","",SUM($M70:$P70))</f>
        <v/>
      </c>
      <c r="R70" s="83"/>
      <c r="S70" s="61"/>
      <c r="T70" s="61"/>
      <c r="U70" s="61"/>
      <c r="V70" s="167" t="str">
        <f t="shared" ref="V70:V133" si="5">IF($R70="","",SUM($S70:$U70))</f>
        <v/>
      </c>
    </row>
    <row r="71" spans="1:22">
      <c r="A71" s="58"/>
      <c r="B71" s="59"/>
      <c r="C71" s="60"/>
      <c r="D71" s="61"/>
      <c r="E71" s="58"/>
      <c r="F71" s="62"/>
      <c r="G71" s="63"/>
      <c r="H71" s="83"/>
      <c r="I71" s="61"/>
      <c r="J71" s="61"/>
      <c r="K71" s="71" t="str">
        <f t="shared" si="3"/>
        <v/>
      </c>
      <c r="L71" s="83"/>
      <c r="M71" s="61"/>
      <c r="N71" s="61"/>
      <c r="O71" s="61"/>
      <c r="P71" s="61"/>
      <c r="Q71" s="166" t="str">
        <f t="shared" si="4"/>
        <v/>
      </c>
      <c r="R71" s="83"/>
      <c r="S71" s="61"/>
      <c r="T71" s="61"/>
      <c r="U71" s="61"/>
      <c r="V71" s="167" t="str">
        <f t="shared" si="5"/>
        <v/>
      </c>
    </row>
    <row r="72" spans="1:22">
      <c r="A72" s="58"/>
      <c r="B72" s="59"/>
      <c r="C72" s="60"/>
      <c r="D72" s="61"/>
      <c r="E72" s="58"/>
      <c r="F72" s="62"/>
      <c r="G72" s="63"/>
      <c r="H72" s="83"/>
      <c r="I72" s="61"/>
      <c r="J72" s="61"/>
      <c r="K72" s="71" t="str">
        <f t="shared" si="3"/>
        <v/>
      </c>
      <c r="L72" s="83"/>
      <c r="M72" s="61"/>
      <c r="N72" s="61"/>
      <c r="O72" s="61"/>
      <c r="P72" s="61"/>
      <c r="Q72" s="166" t="str">
        <f t="shared" si="4"/>
        <v/>
      </c>
      <c r="R72" s="83"/>
      <c r="S72" s="61"/>
      <c r="T72" s="61"/>
      <c r="U72" s="61"/>
      <c r="V72" s="167" t="str">
        <f t="shared" si="5"/>
        <v/>
      </c>
    </row>
    <row r="73" spans="1:22">
      <c r="A73" s="58"/>
      <c r="B73" s="59"/>
      <c r="C73" s="60"/>
      <c r="D73" s="61"/>
      <c r="E73" s="58"/>
      <c r="F73" s="62"/>
      <c r="G73" s="63"/>
      <c r="H73" s="83"/>
      <c r="I73" s="61"/>
      <c r="J73" s="61"/>
      <c r="K73" s="71" t="str">
        <f t="shared" si="3"/>
        <v/>
      </c>
      <c r="L73" s="83"/>
      <c r="M73" s="61"/>
      <c r="N73" s="61"/>
      <c r="O73" s="61"/>
      <c r="P73" s="61"/>
      <c r="Q73" s="166" t="str">
        <f t="shared" si="4"/>
        <v/>
      </c>
      <c r="R73" s="83"/>
      <c r="S73" s="61"/>
      <c r="T73" s="61"/>
      <c r="U73" s="61"/>
      <c r="V73" s="167" t="str">
        <f t="shared" si="5"/>
        <v/>
      </c>
    </row>
    <row r="74" spans="1:22">
      <c r="A74" s="58"/>
      <c r="B74" s="59"/>
      <c r="C74" s="60"/>
      <c r="D74" s="61"/>
      <c r="E74" s="58"/>
      <c r="F74" s="62"/>
      <c r="G74" s="63"/>
      <c r="H74" s="83"/>
      <c r="I74" s="61"/>
      <c r="J74" s="61"/>
      <c r="K74" s="71" t="str">
        <f t="shared" si="3"/>
        <v/>
      </c>
      <c r="L74" s="83"/>
      <c r="M74" s="61"/>
      <c r="N74" s="61"/>
      <c r="O74" s="61"/>
      <c r="P74" s="61"/>
      <c r="Q74" s="166" t="str">
        <f t="shared" si="4"/>
        <v/>
      </c>
      <c r="R74" s="83"/>
      <c r="S74" s="61"/>
      <c r="T74" s="61"/>
      <c r="U74" s="61"/>
      <c r="V74" s="167" t="str">
        <f t="shared" si="5"/>
        <v/>
      </c>
    </row>
    <row r="75" spans="1:22">
      <c r="A75" s="58"/>
      <c r="B75" s="59"/>
      <c r="C75" s="60"/>
      <c r="D75" s="61"/>
      <c r="E75" s="58"/>
      <c r="F75" s="62"/>
      <c r="G75" s="63"/>
      <c r="H75" s="83"/>
      <c r="I75" s="61"/>
      <c r="J75" s="61"/>
      <c r="K75" s="71" t="str">
        <f t="shared" si="3"/>
        <v/>
      </c>
      <c r="L75" s="83"/>
      <c r="M75" s="61"/>
      <c r="N75" s="61"/>
      <c r="O75" s="61"/>
      <c r="P75" s="61"/>
      <c r="Q75" s="166" t="str">
        <f t="shared" si="4"/>
        <v/>
      </c>
      <c r="R75" s="83"/>
      <c r="S75" s="61"/>
      <c r="T75" s="61"/>
      <c r="U75" s="61"/>
      <c r="V75" s="167" t="str">
        <f t="shared" si="5"/>
        <v/>
      </c>
    </row>
    <row r="76" spans="1:22">
      <c r="A76" s="58"/>
      <c r="B76" s="59"/>
      <c r="C76" s="60"/>
      <c r="D76" s="61"/>
      <c r="E76" s="58"/>
      <c r="F76" s="62"/>
      <c r="G76" s="63"/>
      <c r="H76" s="83"/>
      <c r="I76" s="61"/>
      <c r="J76" s="61"/>
      <c r="K76" s="71" t="str">
        <f t="shared" si="3"/>
        <v/>
      </c>
      <c r="L76" s="83"/>
      <c r="M76" s="61"/>
      <c r="N76" s="61"/>
      <c r="O76" s="61"/>
      <c r="P76" s="61"/>
      <c r="Q76" s="166" t="str">
        <f t="shared" si="4"/>
        <v/>
      </c>
      <c r="R76" s="83"/>
      <c r="S76" s="61"/>
      <c r="T76" s="61"/>
      <c r="U76" s="61"/>
      <c r="V76" s="167" t="str">
        <f t="shared" si="5"/>
        <v/>
      </c>
    </row>
    <row r="77" spans="1:22">
      <c r="A77" s="58"/>
      <c r="B77" s="59"/>
      <c r="C77" s="60"/>
      <c r="D77" s="61"/>
      <c r="E77" s="58"/>
      <c r="F77" s="62"/>
      <c r="G77" s="63"/>
      <c r="H77" s="83"/>
      <c r="I77" s="61"/>
      <c r="J77" s="61"/>
      <c r="K77" s="71" t="str">
        <f t="shared" si="3"/>
        <v/>
      </c>
      <c r="L77" s="83"/>
      <c r="M77" s="61"/>
      <c r="N77" s="61"/>
      <c r="O77" s="61"/>
      <c r="P77" s="61"/>
      <c r="Q77" s="166" t="str">
        <f t="shared" si="4"/>
        <v/>
      </c>
      <c r="R77" s="83"/>
      <c r="S77" s="61"/>
      <c r="T77" s="61"/>
      <c r="U77" s="61"/>
      <c r="V77" s="167" t="str">
        <f t="shared" si="5"/>
        <v/>
      </c>
    </row>
    <row r="78" spans="1:22">
      <c r="A78" s="58"/>
      <c r="B78" s="59"/>
      <c r="C78" s="60"/>
      <c r="D78" s="61"/>
      <c r="E78" s="58"/>
      <c r="F78" s="62"/>
      <c r="G78" s="63"/>
      <c r="H78" s="83"/>
      <c r="I78" s="61"/>
      <c r="J78" s="61"/>
      <c r="K78" s="71" t="str">
        <f t="shared" si="3"/>
        <v/>
      </c>
      <c r="L78" s="83"/>
      <c r="M78" s="61"/>
      <c r="N78" s="61"/>
      <c r="O78" s="61"/>
      <c r="P78" s="61"/>
      <c r="Q78" s="166" t="str">
        <f t="shared" si="4"/>
        <v/>
      </c>
      <c r="R78" s="83"/>
      <c r="S78" s="61"/>
      <c r="T78" s="61"/>
      <c r="U78" s="61"/>
      <c r="V78" s="167" t="str">
        <f t="shared" si="5"/>
        <v/>
      </c>
    </row>
    <row r="79" spans="1:22">
      <c r="A79" s="58"/>
      <c r="B79" s="59"/>
      <c r="C79" s="60"/>
      <c r="D79" s="61"/>
      <c r="E79" s="58"/>
      <c r="F79" s="62"/>
      <c r="G79" s="63"/>
      <c r="H79" s="83"/>
      <c r="I79" s="61"/>
      <c r="J79" s="61"/>
      <c r="K79" s="71" t="str">
        <f t="shared" si="3"/>
        <v/>
      </c>
      <c r="L79" s="83"/>
      <c r="M79" s="61"/>
      <c r="N79" s="61"/>
      <c r="O79" s="61"/>
      <c r="P79" s="61"/>
      <c r="Q79" s="166" t="str">
        <f t="shared" si="4"/>
        <v/>
      </c>
      <c r="R79" s="83"/>
      <c r="S79" s="61"/>
      <c r="T79" s="61"/>
      <c r="U79" s="61"/>
      <c r="V79" s="167" t="str">
        <f t="shared" si="5"/>
        <v/>
      </c>
    </row>
    <row r="80" spans="1:22">
      <c r="A80" s="58"/>
      <c r="B80" s="59"/>
      <c r="C80" s="60"/>
      <c r="D80" s="61"/>
      <c r="E80" s="58"/>
      <c r="F80" s="62"/>
      <c r="G80" s="63"/>
      <c r="H80" s="83"/>
      <c r="I80" s="61"/>
      <c r="J80" s="61"/>
      <c r="K80" s="71" t="str">
        <f t="shared" si="3"/>
        <v/>
      </c>
      <c r="L80" s="83"/>
      <c r="M80" s="61"/>
      <c r="N80" s="61"/>
      <c r="O80" s="61"/>
      <c r="P80" s="61"/>
      <c r="Q80" s="166" t="str">
        <f t="shared" si="4"/>
        <v/>
      </c>
      <c r="R80" s="83"/>
      <c r="S80" s="61"/>
      <c r="T80" s="61"/>
      <c r="U80" s="61"/>
      <c r="V80" s="167" t="str">
        <f t="shared" si="5"/>
        <v/>
      </c>
    </row>
    <row r="81" spans="1:22">
      <c r="A81" s="58"/>
      <c r="B81" s="59"/>
      <c r="C81" s="60"/>
      <c r="D81" s="61"/>
      <c r="E81" s="58"/>
      <c r="F81" s="62"/>
      <c r="G81" s="63"/>
      <c r="H81" s="83"/>
      <c r="I81" s="61"/>
      <c r="J81" s="61"/>
      <c r="K81" s="71" t="str">
        <f t="shared" si="3"/>
        <v/>
      </c>
      <c r="L81" s="83"/>
      <c r="M81" s="61"/>
      <c r="N81" s="61"/>
      <c r="O81" s="61"/>
      <c r="P81" s="61"/>
      <c r="Q81" s="166" t="str">
        <f t="shared" si="4"/>
        <v/>
      </c>
      <c r="R81" s="83"/>
      <c r="S81" s="61"/>
      <c r="T81" s="61"/>
      <c r="U81" s="61"/>
      <c r="V81" s="167" t="str">
        <f t="shared" si="5"/>
        <v/>
      </c>
    </row>
    <row r="82" spans="1:22">
      <c r="A82" s="58"/>
      <c r="B82" s="59"/>
      <c r="C82" s="60"/>
      <c r="D82" s="61"/>
      <c r="E82" s="58"/>
      <c r="F82" s="62"/>
      <c r="G82" s="63"/>
      <c r="H82" s="83"/>
      <c r="I82" s="61"/>
      <c r="J82" s="61"/>
      <c r="K82" s="71" t="str">
        <f t="shared" si="3"/>
        <v/>
      </c>
      <c r="L82" s="83"/>
      <c r="M82" s="61"/>
      <c r="N82" s="61"/>
      <c r="O82" s="61"/>
      <c r="P82" s="61"/>
      <c r="Q82" s="166" t="str">
        <f t="shared" si="4"/>
        <v/>
      </c>
      <c r="R82" s="83"/>
      <c r="S82" s="61"/>
      <c r="T82" s="61"/>
      <c r="U82" s="61"/>
      <c r="V82" s="167" t="str">
        <f t="shared" si="5"/>
        <v/>
      </c>
    </row>
    <row r="83" spans="1:22">
      <c r="A83" s="58"/>
      <c r="B83" s="59"/>
      <c r="C83" s="60"/>
      <c r="D83" s="61"/>
      <c r="E83" s="58"/>
      <c r="F83" s="62"/>
      <c r="G83" s="63"/>
      <c r="H83" s="83"/>
      <c r="I83" s="61"/>
      <c r="J83" s="61"/>
      <c r="K83" s="71" t="str">
        <f t="shared" si="3"/>
        <v/>
      </c>
      <c r="L83" s="83"/>
      <c r="M83" s="61"/>
      <c r="N83" s="61"/>
      <c r="O83" s="61"/>
      <c r="P83" s="61"/>
      <c r="Q83" s="166" t="str">
        <f t="shared" si="4"/>
        <v/>
      </c>
      <c r="R83" s="83"/>
      <c r="S83" s="61"/>
      <c r="T83" s="61"/>
      <c r="U83" s="61"/>
      <c r="V83" s="167" t="str">
        <f t="shared" si="5"/>
        <v/>
      </c>
    </row>
    <row r="84" spans="1:22">
      <c r="A84" s="58"/>
      <c r="B84" s="59"/>
      <c r="C84" s="60"/>
      <c r="D84" s="61"/>
      <c r="E84" s="58"/>
      <c r="F84" s="62"/>
      <c r="G84" s="63"/>
      <c r="H84" s="83"/>
      <c r="I84" s="61"/>
      <c r="J84" s="61"/>
      <c r="K84" s="71" t="str">
        <f t="shared" si="3"/>
        <v/>
      </c>
      <c r="L84" s="83"/>
      <c r="M84" s="61"/>
      <c r="N84" s="61"/>
      <c r="O84" s="61"/>
      <c r="P84" s="61"/>
      <c r="Q84" s="166" t="str">
        <f t="shared" si="4"/>
        <v/>
      </c>
      <c r="R84" s="83"/>
      <c r="S84" s="61"/>
      <c r="T84" s="61"/>
      <c r="U84" s="61"/>
      <c r="V84" s="167" t="str">
        <f t="shared" si="5"/>
        <v/>
      </c>
    </row>
    <row r="85" spans="1:22">
      <c r="A85" s="58"/>
      <c r="B85" s="59"/>
      <c r="C85" s="60"/>
      <c r="D85" s="61"/>
      <c r="E85" s="58"/>
      <c r="F85" s="62"/>
      <c r="G85" s="63"/>
      <c r="H85" s="83"/>
      <c r="I85" s="61"/>
      <c r="J85" s="61"/>
      <c r="K85" s="71" t="str">
        <f t="shared" si="3"/>
        <v/>
      </c>
      <c r="L85" s="83"/>
      <c r="M85" s="61"/>
      <c r="N85" s="61"/>
      <c r="O85" s="61"/>
      <c r="P85" s="61"/>
      <c r="Q85" s="166" t="str">
        <f t="shared" si="4"/>
        <v/>
      </c>
      <c r="R85" s="83"/>
      <c r="S85" s="61"/>
      <c r="T85" s="61"/>
      <c r="U85" s="61"/>
      <c r="V85" s="167" t="str">
        <f t="shared" si="5"/>
        <v/>
      </c>
    </row>
    <row r="86" spans="1:22">
      <c r="A86" s="58"/>
      <c r="B86" s="59"/>
      <c r="C86" s="60"/>
      <c r="D86" s="61"/>
      <c r="E86" s="58"/>
      <c r="F86" s="62"/>
      <c r="G86" s="63"/>
      <c r="H86" s="83"/>
      <c r="I86" s="61"/>
      <c r="J86" s="61"/>
      <c r="K86" s="71" t="str">
        <f t="shared" si="3"/>
        <v/>
      </c>
      <c r="L86" s="83"/>
      <c r="M86" s="61"/>
      <c r="N86" s="61"/>
      <c r="O86" s="61"/>
      <c r="P86" s="61"/>
      <c r="Q86" s="166" t="str">
        <f t="shared" si="4"/>
        <v/>
      </c>
      <c r="R86" s="83"/>
      <c r="S86" s="61"/>
      <c r="T86" s="61"/>
      <c r="U86" s="61"/>
      <c r="V86" s="167" t="str">
        <f t="shared" si="5"/>
        <v/>
      </c>
    </row>
    <row r="87" spans="1:22">
      <c r="A87" s="58"/>
      <c r="B87" s="59"/>
      <c r="C87" s="60"/>
      <c r="D87" s="61"/>
      <c r="E87" s="58"/>
      <c r="F87" s="62"/>
      <c r="G87" s="63"/>
      <c r="H87" s="83"/>
      <c r="I87" s="61"/>
      <c r="J87" s="61"/>
      <c r="K87" s="71" t="str">
        <f t="shared" si="3"/>
        <v/>
      </c>
      <c r="L87" s="83"/>
      <c r="M87" s="61"/>
      <c r="N87" s="61"/>
      <c r="O87" s="61"/>
      <c r="P87" s="61"/>
      <c r="Q87" s="166" t="str">
        <f t="shared" si="4"/>
        <v/>
      </c>
      <c r="R87" s="83"/>
      <c r="S87" s="61"/>
      <c r="T87" s="61"/>
      <c r="U87" s="61"/>
      <c r="V87" s="167" t="str">
        <f t="shared" si="5"/>
        <v/>
      </c>
    </row>
    <row r="88" spans="1:22">
      <c r="A88" s="58"/>
      <c r="B88" s="59"/>
      <c r="C88" s="60"/>
      <c r="D88" s="61"/>
      <c r="E88" s="58"/>
      <c r="F88" s="62"/>
      <c r="G88" s="63"/>
      <c r="H88" s="83"/>
      <c r="I88" s="61"/>
      <c r="J88" s="61"/>
      <c r="K88" s="71" t="str">
        <f t="shared" si="3"/>
        <v/>
      </c>
      <c r="L88" s="83"/>
      <c r="M88" s="61"/>
      <c r="N88" s="61"/>
      <c r="O88" s="61"/>
      <c r="P88" s="61"/>
      <c r="Q88" s="166" t="str">
        <f t="shared" si="4"/>
        <v/>
      </c>
      <c r="R88" s="83"/>
      <c r="S88" s="61"/>
      <c r="T88" s="61"/>
      <c r="U88" s="61"/>
      <c r="V88" s="167" t="str">
        <f t="shared" si="5"/>
        <v/>
      </c>
    </row>
    <row r="89" spans="1:22">
      <c r="A89" s="58"/>
      <c r="B89" s="59"/>
      <c r="C89" s="60"/>
      <c r="D89" s="61"/>
      <c r="E89" s="58"/>
      <c r="F89" s="62"/>
      <c r="G89" s="63"/>
      <c r="H89" s="83"/>
      <c r="I89" s="61"/>
      <c r="J89" s="61"/>
      <c r="K89" s="71" t="str">
        <f t="shared" si="3"/>
        <v/>
      </c>
      <c r="L89" s="83"/>
      <c r="M89" s="61"/>
      <c r="N89" s="61"/>
      <c r="O89" s="61"/>
      <c r="P89" s="61"/>
      <c r="Q89" s="166" t="str">
        <f t="shared" si="4"/>
        <v/>
      </c>
      <c r="R89" s="83"/>
      <c r="S89" s="61"/>
      <c r="T89" s="61"/>
      <c r="U89" s="61"/>
      <c r="V89" s="167" t="str">
        <f t="shared" si="5"/>
        <v/>
      </c>
    </row>
    <row r="90" spans="1:22">
      <c r="A90" s="58"/>
      <c r="B90" s="59"/>
      <c r="C90" s="60"/>
      <c r="D90" s="61"/>
      <c r="E90" s="58"/>
      <c r="F90" s="62"/>
      <c r="G90" s="63"/>
      <c r="H90" s="83"/>
      <c r="I90" s="61"/>
      <c r="J90" s="61"/>
      <c r="K90" s="71" t="str">
        <f t="shared" si="3"/>
        <v/>
      </c>
      <c r="L90" s="83"/>
      <c r="M90" s="61"/>
      <c r="N90" s="61"/>
      <c r="O90" s="61"/>
      <c r="P90" s="61"/>
      <c r="Q90" s="166" t="str">
        <f t="shared" si="4"/>
        <v/>
      </c>
      <c r="R90" s="83"/>
      <c r="S90" s="61"/>
      <c r="T90" s="61"/>
      <c r="U90" s="61"/>
      <c r="V90" s="167" t="str">
        <f t="shared" si="5"/>
        <v/>
      </c>
    </row>
    <row r="91" spans="1:22">
      <c r="A91" s="58"/>
      <c r="B91" s="59"/>
      <c r="C91" s="60"/>
      <c r="D91" s="61"/>
      <c r="E91" s="58"/>
      <c r="F91" s="62"/>
      <c r="G91" s="63"/>
      <c r="H91" s="83"/>
      <c r="I91" s="61"/>
      <c r="J91" s="61"/>
      <c r="K91" s="71" t="str">
        <f t="shared" si="3"/>
        <v/>
      </c>
      <c r="L91" s="83"/>
      <c r="M91" s="61"/>
      <c r="N91" s="61"/>
      <c r="O91" s="61"/>
      <c r="P91" s="61"/>
      <c r="Q91" s="166" t="str">
        <f t="shared" si="4"/>
        <v/>
      </c>
      <c r="R91" s="83"/>
      <c r="S91" s="61"/>
      <c r="T91" s="61"/>
      <c r="U91" s="61"/>
      <c r="V91" s="167" t="str">
        <f t="shared" si="5"/>
        <v/>
      </c>
    </row>
    <row r="92" spans="1:22">
      <c r="A92" s="58"/>
      <c r="B92" s="59"/>
      <c r="C92" s="60"/>
      <c r="D92" s="61"/>
      <c r="E92" s="58"/>
      <c r="F92" s="62"/>
      <c r="G92" s="63"/>
      <c r="H92" s="83"/>
      <c r="I92" s="61"/>
      <c r="J92" s="61"/>
      <c r="K92" s="71" t="str">
        <f t="shared" si="3"/>
        <v/>
      </c>
      <c r="L92" s="83"/>
      <c r="M92" s="61"/>
      <c r="N92" s="61"/>
      <c r="O92" s="61"/>
      <c r="P92" s="61"/>
      <c r="Q92" s="166" t="str">
        <f t="shared" si="4"/>
        <v/>
      </c>
      <c r="R92" s="83"/>
      <c r="S92" s="61"/>
      <c r="T92" s="61"/>
      <c r="U92" s="61"/>
      <c r="V92" s="167" t="str">
        <f t="shared" si="5"/>
        <v/>
      </c>
    </row>
    <row r="93" spans="1:22">
      <c r="A93" s="58"/>
      <c r="B93" s="59"/>
      <c r="C93" s="60"/>
      <c r="D93" s="61"/>
      <c r="E93" s="58"/>
      <c r="F93" s="62"/>
      <c r="G93" s="63"/>
      <c r="H93" s="83"/>
      <c r="I93" s="61"/>
      <c r="J93" s="61"/>
      <c r="K93" s="71" t="str">
        <f t="shared" si="3"/>
        <v/>
      </c>
      <c r="L93" s="83"/>
      <c r="M93" s="61"/>
      <c r="N93" s="61"/>
      <c r="O93" s="61"/>
      <c r="P93" s="61"/>
      <c r="Q93" s="166" t="str">
        <f t="shared" si="4"/>
        <v/>
      </c>
      <c r="R93" s="83"/>
      <c r="S93" s="61"/>
      <c r="T93" s="61"/>
      <c r="U93" s="61"/>
      <c r="V93" s="167" t="str">
        <f t="shared" si="5"/>
        <v/>
      </c>
    </row>
    <row r="94" spans="1:22">
      <c r="A94" s="58"/>
      <c r="B94" s="59"/>
      <c r="C94" s="60"/>
      <c r="D94" s="61"/>
      <c r="E94" s="58"/>
      <c r="F94" s="62"/>
      <c r="G94" s="63"/>
      <c r="H94" s="83"/>
      <c r="I94" s="61"/>
      <c r="J94" s="61"/>
      <c r="K94" s="71" t="str">
        <f t="shared" si="3"/>
        <v/>
      </c>
      <c r="L94" s="83"/>
      <c r="M94" s="61"/>
      <c r="N94" s="61"/>
      <c r="O94" s="61"/>
      <c r="P94" s="61"/>
      <c r="Q94" s="166" t="str">
        <f t="shared" si="4"/>
        <v/>
      </c>
      <c r="R94" s="83"/>
      <c r="S94" s="61"/>
      <c r="T94" s="61"/>
      <c r="U94" s="61"/>
      <c r="V94" s="167" t="str">
        <f t="shared" si="5"/>
        <v/>
      </c>
    </row>
    <row r="95" spans="1:22">
      <c r="A95" s="58"/>
      <c r="B95" s="59"/>
      <c r="C95" s="60"/>
      <c r="D95" s="61"/>
      <c r="E95" s="58"/>
      <c r="F95" s="62"/>
      <c r="G95" s="63"/>
      <c r="H95" s="83"/>
      <c r="I95" s="61"/>
      <c r="J95" s="61"/>
      <c r="K95" s="71" t="str">
        <f t="shared" si="3"/>
        <v/>
      </c>
      <c r="L95" s="83"/>
      <c r="M95" s="61"/>
      <c r="N95" s="61"/>
      <c r="O95" s="61"/>
      <c r="P95" s="61"/>
      <c r="Q95" s="166" t="str">
        <f t="shared" si="4"/>
        <v/>
      </c>
      <c r="R95" s="83"/>
      <c r="S95" s="61"/>
      <c r="T95" s="61"/>
      <c r="U95" s="61"/>
      <c r="V95" s="167" t="str">
        <f t="shared" si="5"/>
        <v/>
      </c>
    </row>
    <row r="96" spans="1:22">
      <c r="A96" s="58"/>
      <c r="B96" s="59"/>
      <c r="C96" s="60"/>
      <c r="D96" s="61"/>
      <c r="E96" s="58"/>
      <c r="F96" s="62"/>
      <c r="G96" s="63"/>
      <c r="H96" s="83"/>
      <c r="I96" s="61"/>
      <c r="J96" s="61"/>
      <c r="K96" s="71" t="str">
        <f t="shared" si="3"/>
        <v/>
      </c>
      <c r="L96" s="83"/>
      <c r="M96" s="61"/>
      <c r="N96" s="61"/>
      <c r="O96" s="61"/>
      <c r="P96" s="61"/>
      <c r="Q96" s="166" t="str">
        <f t="shared" si="4"/>
        <v/>
      </c>
      <c r="R96" s="83"/>
      <c r="S96" s="61"/>
      <c r="T96" s="61"/>
      <c r="U96" s="61"/>
      <c r="V96" s="167" t="str">
        <f t="shared" si="5"/>
        <v/>
      </c>
    </row>
    <row r="97" spans="1:22">
      <c r="A97" s="58"/>
      <c r="B97" s="59"/>
      <c r="C97" s="60"/>
      <c r="D97" s="61"/>
      <c r="E97" s="58"/>
      <c r="F97" s="62"/>
      <c r="G97" s="63"/>
      <c r="H97" s="83"/>
      <c r="I97" s="61"/>
      <c r="J97" s="61"/>
      <c r="K97" s="71" t="str">
        <f t="shared" si="3"/>
        <v/>
      </c>
      <c r="L97" s="83"/>
      <c r="M97" s="61"/>
      <c r="N97" s="61"/>
      <c r="O97" s="61"/>
      <c r="P97" s="61"/>
      <c r="Q97" s="166" t="str">
        <f t="shared" si="4"/>
        <v/>
      </c>
      <c r="R97" s="83"/>
      <c r="S97" s="61"/>
      <c r="T97" s="61"/>
      <c r="U97" s="61"/>
      <c r="V97" s="167" t="str">
        <f t="shared" si="5"/>
        <v/>
      </c>
    </row>
    <row r="98" spans="1:22">
      <c r="A98" s="58"/>
      <c r="B98" s="59"/>
      <c r="C98" s="60"/>
      <c r="D98" s="61"/>
      <c r="E98" s="58"/>
      <c r="F98" s="62"/>
      <c r="G98" s="63"/>
      <c r="H98" s="83"/>
      <c r="I98" s="61"/>
      <c r="J98" s="61"/>
      <c r="K98" s="71" t="str">
        <f t="shared" si="3"/>
        <v/>
      </c>
      <c r="L98" s="83"/>
      <c r="M98" s="61"/>
      <c r="N98" s="61"/>
      <c r="O98" s="61"/>
      <c r="P98" s="61"/>
      <c r="Q98" s="166" t="str">
        <f t="shared" si="4"/>
        <v/>
      </c>
      <c r="R98" s="83"/>
      <c r="S98" s="61"/>
      <c r="T98" s="61"/>
      <c r="U98" s="61"/>
      <c r="V98" s="167" t="str">
        <f t="shared" si="5"/>
        <v/>
      </c>
    </row>
    <row r="99" spans="1:22">
      <c r="A99" s="58"/>
      <c r="B99" s="59"/>
      <c r="C99" s="60"/>
      <c r="D99" s="61"/>
      <c r="E99" s="58"/>
      <c r="F99" s="62"/>
      <c r="G99" s="63"/>
      <c r="H99" s="83"/>
      <c r="I99" s="61"/>
      <c r="J99" s="61"/>
      <c r="K99" s="71" t="str">
        <f t="shared" si="3"/>
        <v/>
      </c>
      <c r="L99" s="83"/>
      <c r="M99" s="61"/>
      <c r="N99" s="61"/>
      <c r="O99" s="61"/>
      <c r="P99" s="61"/>
      <c r="Q99" s="166" t="str">
        <f t="shared" si="4"/>
        <v/>
      </c>
      <c r="R99" s="83"/>
      <c r="S99" s="61"/>
      <c r="T99" s="61"/>
      <c r="U99" s="61"/>
      <c r="V99" s="167" t="str">
        <f t="shared" si="5"/>
        <v/>
      </c>
    </row>
    <row r="100" spans="1:22">
      <c r="A100" s="58"/>
      <c r="B100" s="59"/>
      <c r="C100" s="60"/>
      <c r="D100" s="61"/>
      <c r="E100" s="58"/>
      <c r="F100" s="62"/>
      <c r="G100" s="63"/>
      <c r="H100" s="83"/>
      <c r="I100" s="61"/>
      <c r="J100" s="61"/>
      <c r="K100" s="71" t="str">
        <f t="shared" si="3"/>
        <v/>
      </c>
      <c r="L100" s="83"/>
      <c r="M100" s="61"/>
      <c r="N100" s="61"/>
      <c r="O100" s="61"/>
      <c r="P100" s="61"/>
      <c r="Q100" s="166" t="str">
        <f t="shared" si="4"/>
        <v/>
      </c>
      <c r="R100" s="83"/>
      <c r="S100" s="61"/>
      <c r="T100" s="61"/>
      <c r="U100" s="61"/>
      <c r="V100" s="167" t="str">
        <f t="shared" si="5"/>
        <v/>
      </c>
    </row>
    <row r="101" spans="1:22">
      <c r="A101" s="58"/>
      <c r="B101" s="59"/>
      <c r="C101" s="60"/>
      <c r="D101" s="61"/>
      <c r="E101" s="58"/>
      <c r="F101" s="62"/>
      <c r="G101" s="63"/>
      <c r="H101" s="83"/>
      <c r="I101" s="61"/>
      <c r="J101" s="61"/>
      <c r="K101" s="71" t="str">
        <f t="shared" si="3"/>
        <v/>
      </c>
      <c r="L101" s="83"/>
      <c r="M101" s="61"/>
      <c r="N101" s="61"/>
      <c r="O101" s="61"/>
      <c r="P101" s="61"/>
      <c r="Q101" s="166" t="str">
        <f t="shared" si="4"/>
        <v/>
      </c>
      <c r="R101" s="83"/>
      <c r="S101" s="61"/>
      <c r="T101" s="61"/>
      <c r="U101" s="61"/>
      <c r="V101" s="167" t="str">
        <f t="shared" si="5"/>
        <v/>
      </c>
    </row>
    <row r="102" spans="1:22">
      <c r="A102" s="58"/>
      <c r="B102" s="59"/>
      <c r="C102" s="60"/>
      <c r="D102" s="61"/>
      <c r="E102" s="58"/>
      <c r="F102" s="62"/>
      <c r="G102" s="63"/>
      <c r="H102" s="83"/>
      <c r="I102" s="61"/>
      <c r="J102" s="61"/>
      <c r="K102" s="71" t="str">
        <f t="shared" si="3"/>
        <v/>
      </c>
      <c r="L102" s="83"/>
      <c r="M102" s="61"/>
      <c r="N102" s="61"/>
      <c r="O102" s="61"/>
      <c r="P102" s="61"/>
      <c r="Q102" s="166" t="str">
        <f t="shared" si="4"/>
        <v/>
      </c>
      <c r="R102" s="83"/>
      <c r="S102" s="61"/>
      <c r="T102" s="61"/>
      <c r="U102" s="61"/>
      <c r="V102" s="167" t="str">
        <f t="shared" si="5"/>
        <v/>
      </c>
    </row>
    <row r="103" spans="1:22">
      <c r="A103" s="58"/>
      <c r="B103" s="59"/>
      <c r="C103" s="60"/>
      <c r="D103" s="61"/>
      <c r="E103" s="58"/>
      <c r="F103" s="62"/>
      <c r="G103" s="63"/>
      <c r="H103" s="83"/>
      <c r="I103" s="61"/>
      <c r="J103" s="61"/>
      <c r="K103" s="71" t="str">
        <f t="shared" si="3"/>
        <v/>
      </c>
      <c r="L103" s="83"/>
      <c r="M103" s="61"/>
      <c r="N103" s="61"/>
      <c r="O103" s="61"/>
      <c r="P103" s="61"/>
      <c r="Q103" s="166" t="str">
        <f t="shared" si="4"/>
        <v/>
      </c>
      <c r="R103" s="83"/>
      <c r="S103" s="61"/>
      <c r="T103" s="61"/>
      <c r="U103" s="61"/>
      <c r="V103" s="167" t="str">
        <f t="shared" si="5"/>
        <v/>
      </c>
    </row>
    <row r="104" spans="1:22">
      <c r="A104" s="58"/>
      <c r="B104" s="59"/>
      <c r="C104" s="60"/>
      <c r="D104" s="61"/>
      <c r="E104" s="58"/>
      <c r="F104" s="62"/>
      <c r="G104" s="63"/>
      <c r="H104" s="83"/>
      <c r="I104" s="61"/>
      <c r="J104" s="61"/>
      <c r="K104" s="71" t="str">
        <f t="shared" si="3"/>
        <v/>
      </c>
      <c r="L104" s="83"/>
      <c r="M104" s="61"/>
      <c r="N104" s="61"/>
      <c r="O104" s="61"/>
      <c r="P104" s="61"/>
      <c r="Q104" s="166" t="str">
        <f t="shared" si="4"/>
        <v/>
      </c>
      <c r="R104" s="83"/>
      <c r="S104" s="61"/>
      <c r="T104" s="61"/>
      <c r="U104" s="61"/>
      <c r="V104" s="167" t="str">
        <f t="shared" si="5"/>
        <v/>
      </c>
    </row>
    <row r="105" spans="1:22">
      <c r="A105" s="58"/>
      <c r="B105" s="59"/>
      <c r="C105" s="60"/>
      <c r="D105" s="61"/>
      <c r="E105" s="58"/>
      <c r="F105" s="62"/>
      <c r="G105" s="63"/>
      <c r="H105" s="83"/>
      <c r="I105" s="61"/>
      <c r="J105" s="61"/>
      <c r="K105" s="71" t="str">
        <f t="shared" si="3"/>
        <v/>
      </c>
      <c r="L105" s="83"/>
      <c r="M105" s="61"/>
      <c r="N105" s="61"/>
      <c r="O105" s="61"/>
      <c r="P105" s="61"/>
      <c r="Q105" s="166" t="str">
        <f t="shared" si="4"/>
        <v/>
      </c>
      <c r="R105" s="83"/>
      <c r="S105" s="61"/>
      <c r="T105" s="61"/>
      <c r="U105" s="61"/>
      <c r="V105" s="167" t="str">
        <f t="shared" si="5"/>
        <v/>
      </c>
    </row>
    <row r="106" spans="1:22">
      <c r="A106" s="58"/>
      <c r="B106" s="59"/>
      <c r="C106" s="60"/>
      <c r="D106" s="61"/>
      <c r="E106" s="58"/>
      <c r="F106" s="62"/>
      <c r="G106" s="63"/>
      <c r="H106" s="83"/>
      <c r="I106" s="61"/>
      <c r="J106" s="61"/>
      <c r="K106" s="71" t="str">
        <f t="shared" si="3"/>
        <v/>
      </c>
      <c r="L106" s="83"/>
      <c r="M106" s="61"/>
      <c r="N106" s="61"/>
      <c r="O106" s="61"/>
      <c r="P106" s="61"/>
      <c r="Q106" s="166" t="str">
        <f t="shared" si="4"/>
        <v/>
      </c>
      <c r="R106" s="83"/>
      <c r="S106" s="61"/>
      <c r="T106" s="61"/>
      <c r="U106" s="61"/>
      <c r="V106" s="167" t="str">
        <f t="shared" si="5"/>
        <v/>
      </c>
    </row>
    <row r="107" spans="1:22">
      <c r="A107" s="58"/>
      <c r="B107" s="59"/>
      <c r="C107" s="60"/>
      <c r="D107" s="61"/>
      <c r="E107" s="58"/>
      <c r="F107" s="62"/>
      <c r="G107" s="63"/>
      <c r="H107" s="83"/>
      <c r="I107" s="61"/>
      <c r="J107" s="61"/>
      <c r="K107" s="71" t="str">
        <f t="shared" si="3"/>
        <v/>
      </c>
      <c r="L107" s="83"/>
      <c r="M107" s="61"/>
      <c r="N107" s="61"/>
      <c r="O107" s="61"/>
      <c r="P107" s="61"/>
      <c r="Q107" s="166" t="str">
        <f t="shared" si="4"/>
        <v/>
      </c>
      <c r="R107" s="83"/>
      <c r="S107" s="61"/>
      <c r="T107" s="61"/>
      <c r="U107" s="61"/>
      <c r="V107" s="167" t="str">
        <f t="shared" si="5"/>
        <v/>
      </c>
    </row>
    <row r="108" spans="1:22">
      <c r="A108" s="58"/>
      <c r="B108" s="59"/>
      <c r="C108" s="60"/>
      <c r="D108" s="61"/>
      <c r="E108" s="58"/>
      <c r="F108" s="62"/>
      <c r="G108" s="63"/>
      <c r="H108" s="83"/>
      <c r="I108" s="61"/>
      <c r="J108" s="61"/>
      <c r="K108" s="71" t="str">
        <f t="shared" si="3"/>
        <v/>
      </c>
      <c r="L108" s="83"/>
      <c r="M108" s="61"/>
      <c r="N108" s="61"/>
      <c r="O108" s="61"/>
      <c r="P108" s="61"/>
      <c r="Q108" s="166" t="str">
        <f t="shared" si="4"/>
        <v/>
      </c>
      <c r="R108" s="83"/>
      <c r="S108" s="61"/>
      <c r="T108" s="61"/>
      <c r="U108" s="61"/>
      <c r="V108" s="167" t="str">
        <f t="shared" si="5"/>
        <v/>
      </c>
    </row>
    <row r="109" spans="1:22">
      <c r="A109" s="58"/>
      <c r="B109" s="59"/>
      <c r="C109" s="60"/>
      <c r="D109" s="61"/>
      <c r="E109" s="58"/>
      <c r="F109" s="62"/>
      <c r="G109" s="63"/>
      <c r="H109" s="83"/>
      <c r="I109" s="61"/>
      <c r="J109" s="61"/>
      <c r="K109" s="71" t="str">
        <f t="shared" si="3"/>
        <v/>
      </c>
      <c r="L109" s="83"/>
      <c r="M109" s="61"/>
      <c r="N109" s="61"/>
      <c r="O109" s="61"/>
      <c r="P109" s="61"/>
      <c r="Q109" s="166" t="str">
        <f t="shared" si="4"/>
        <v/>
      </c>
      <c r="R109" s="83"/>
      <c r="S109" s="61"/>
      <c r="T109" s="61"/>
      <c r="U109" s="61"/>
      <c r="V109" s="167" t="str">
        <f t="shared" si="5"/>
        <v/>
      </c>
    </row>
    <row r="110" spans="1:22">
      <c r="A110" s="58"/>
      <c r="B110" s="59"/>
      <c r="C110" s="60"/>
      <c r="D110" s="61"/>
      <c r="E110" s="58"/>
      <c r="F110" s="62"/>
      <c r="G110" s="63"/>
      <c r="H110" s="83"/>
      <c r="I110" s="61"/>
      <c r="J110" s="61"/>
      <c r="K110" s="71" t="str">
        <f t="shared" si="3"/>
        <v/>
      </c>
      <c r="L110" s="83"/>
      <c r="M110" s="61"/>
      <c r="N110" s="61"/>
      <c r="O110" s="61"/>
      <c r="P110" s="61"/>
      <c r="Q110" s="166" t="str">
        <f t="shared" si="4"/>
        <v/>
      </c>
      <c r="R110" s="83"/>
      <c r="S110" s="61"/>
      <c r="T110" s="61"/>
      <c r="U110" s="61"/>
      <c r="V110" s="167" t="str">
        <f t="shared" si="5"/>
        <v/>
      </c>
    </row>
    <row r="111" spans="1:22">
      <c r="A111" s="58"/>
      <c r="B111" s="59"/>
      <c r="C111" s="60"/>
      <c r="D111" s="61"/>
      <c r="E111" s="58"/>
      <c r="F111" s="62"/>
      <c r="G111" s="63"/>
      <c r="H111" s="83"/>
      <c r="I111" s="61"/>
      <c r="J111" s="61"/>
      <c r="K111" s="71" t="str">
        <f t="shared" si="3"/>
        <v/>
      </c>
      <c r="L111" s="83"/>
      <c r="M111" s="61"/>
      <c r="N111" s="61"/>
      <c r="O111" s="61"/>
      <c r="P111" s="61"/>
      <c r="Q111" s="166" t="str">
        <f t="shared" si="4"/>
        <v/>
      </c>
      <c r="R111" s="83"/>
      <c r="S111" s="61"/>
      <c r="T111" s="61"/>
      <c r="U111" s="61"/>
      <c r="V111" s="167" t="str">
        <f t="shared" si="5"/>
        <v/>
      </c>
    </row>
    <row r="112" spans="1:22">
      <c r="A112" s="58"/>
      <c r="B112" s="59"/>
      <c r="C112" s="60"/>
      <c r="D112" s="61"/>
      <c r="E112" s="58"/>
      <c r="F112" s="62"/>
      <c r="G112" s="63"/>
      <c r="H112" s="83"/>
      <c r="I112" s="61"/>
      <c r="J112" s="61"/>
      <c r="K112" s="71" t="str">
        <f t="shared" si="3"/>
        <v/>
      </c>
      <c r="L112" s="83"/>
      <c r="M112" s="61"/>
      <c r="N112" s="61"/>
      <c r="O112" s="61"/>
      <c r="P112" s="61"/>
      <c r="Q112" s="166" t="str">
        <f t="shared" si="4"/>
        <v/>
      </c>
      <c r="R112" s="83"/>
      <c r="S112" s="61"/>
      <c r="T112" s="61"/>
      <c r="U112" s="61"/>
      <c r="V112" s="167" t="str">
        <f t="shared" si="5"/>
        <v/>
      </c>
    </row>
    <row r="113" spans="1:22">
      <c r="A113" s="58"/>
      <c r="B113" s="59"/>
      <c r="C113" s="60"/>
      <c r="D113" s="61"/>
      <c r="E113" s="58"/>
      <c r="F113" s="62"/>
      <c r="G113" s="63"/>
      <c r="H113" s="83"/>
      <c r="I113" s="61"/>
      <c r="J113" s="61"/>
      <c r="K113" s="71" t="str">
        <f t="shared" si="3"/>
        <v/>
      </c>
      <c r="L113" s="83"/>
      <c r="M113" s="61"/>
      <c r="N113" s="61"/>
      <c r="O113" s="61"/>
      <c r="P113" s="61"/>
      <c r="Q113" s="166" t="str">
        <f t="shared" si="4"/>
        <v/>
      </c>
      <c r="R113" s="83"/>
      <c r="S113" s="61"/>
      <c r="T113" s="61"/>
      <c r="U113" s="61"/>
      <c r="V113" s="167" t="str">
        <f t="shared" si="5"/>
        <v/>
      </c>
    </row>
    <row r="114" spans="1:22">
      <c r="A114" s="58"/>
      <c r="B114" s="59"/>
      <c r="C114" s="60"/>
      <c r="D114" s="61"/>
      <c r="E114" s="58"/>
      <c r="F114" s="62"/>
      <c r="G114" s="63"/>
      <c r="H114" s="83"/>
      <c r="I114" s="61"/>
      <c r="J114" s="61"/>
      <c r="K114" s="71" t="str">
        <f t="shared" si="3"/>
        <v/>
      </c>
      <c r="L114" s="83"/>
      <c r="M114" s="61"/>
      <c r="N114" s="61"/>
      <c r="O114" s="61"/>
      <c r="P114" s="61"/>
      <c r="Q114" s="166" t="str">
        <f t="shared" si="4"/>
        <v/>
      </c>
      <c r="R114" s="83"/>
      <c r="S114" s="61"/>
      <c r="T114" s="61"/>
      <c r="U114" s="61"/>
      <c r="V114" s="167" t="str">
        <f t="shared" si="5"/>
        <v/>
      </c>
    </row>
    <row r="115" spans="1:22">
      <c r="A115" s="58"/>
      <c r="B115" s="59"/>
      <c r="C115" s="60"/>
      <c r="D115" s="61"/>
      <c r="E115" s="58"/>
      <c r="F115" s="62"/>
      <c r="G115" s="63"/>
      <c r="H115" s="83"/>
      <c r="I115" s="61"/>
      <c r="J115" s="61"/>
      <c r="K115" s="71" t="str">
        <f t="shared" si="3"/>
        <v/>
      </c>
      <c r="L115" s="83"/>
      <c r="M115" s="61"/>
      <c r="N115" s="61"/>
      <c r="O115" s="61"/>
      <c r="P115" s="61"/>
      <c r="Q115" s="166" t="str">
        <f t="shared" si="4"/>
        <v/>
      </c>
      <c r="R115" s="83"/>
      <c r="S115" s="61"/>
      <c r="T115" s="61"/>
      <c r="U115" s="61"/>
      <c r="V115" s="167" t="str">
        <f t="shared" si="5"/>
        <v/>
      </c>
    </row>
    <row r="116" spans="1:22">
      <c r="A116" s="58"/>
      <c r="B116" s="59"/>
      <c r="C116" s="60"/>
      <c r="D116" s="61"/>
      <c r="E116" s="58"/>
      <c r="F116" s="62"/>
      <c r="G116" s="63"/>
      <c r="H116" s="83"/>
      <c r="I116" s="61"/>
      <c r="J116" s="61"/>
      <c r="K116" s="71" t="str">
        <f t="shared" si="3"/>
        <v/>
      </c>
      <c r="L116" s="83"/>
      <c r="M116" s="61"/>
      <c r="N116" s="61"/>
      <c r="O116" s="61"/>
      <c r="P116" s="61"/>
      <c r="Q116" s="166" t="str">
        <f t="shared" si="4"/>
        <v/>
      </c>
      <c r="R116" s="83"/>
      <c r="S116" s="61"/>
      <c r="T116" s="61"/>
      <c r="U116" s="61"/>
      <c r="V116" s="167" t="str">
        <f t="shared" si="5"/>
        <v/>
      </c>
    </row>
    <row r="117" spans="1:22">
      <c r="A117" s="58"/>
      <c r="B117" s="59"/>
      <c r="C117" s="60"/>
      <c r="D117" s="61"/>
      <c r="E117" s="58"/>
      <c r="F117" s="62"/>
      <c r="G117" s="63"/>
      <c r="H117" s="83"/>
      <c r="I117" s="61"/>
      <c r="J117" s="61"/>
      <c r="K117" s="71" t="str">
        <f t="shared" si="3"/>
        <v/>
      </c>
      <c r="L117" s="83"/>
      <c r="M117" s="61"/>
      <c r="N117" s="61"/>
      <c r="O117" s="61"/>
      <c r="P117" s="61"/>
      <c r="Q117" s="166" t="str">
        <f t="shared" si="4"/>
        <v/>
      </c>
      <c r="R117" s="83"/>
      <c r="S117" s="61"/>
      <c r="T117" s="61"/>
      <c r="U117" s="61"/>
      <c r="V117" s="167" t="str">
        <f t="shared" si="5"/>
        <v/>
      </c>
    </row>
    <row r="118" spans="1:22">
      <c r="A118" s="58"/>
      <c r="B118" s="59"/>
      <c r="C118" s="60"/>
      <c r="D118" s="61"/>
      <c r="E118" s="58"/>
      <c r="F118" s="62"/>
      <c r="G118" s="63"/>
      <c r="H118" s="83"/>
      <c r="I118" s="61"/>
      <c r="J118" s="61"/>
      <c r="K118" s="71" t="str">
        <f t="shared" si="3"/>
        <v/>
      </c>
      <c r="L118" s="83"/>
      <c r="M118" s="61"/>
      <c r="N118" s="61"/>
      <c r="O118" s="61"/>
      <c r="P118" s="61"/>
      <c r="Q118" s="166" t="str">
        <f t="shared" si="4"/>
        <v/>
      </c>
      <c r="R118" s="83"/>
      <c r="S118" s="61"/>
      <c r="T118" s="61"/>
      <c r="U118" s="61"/>
      <c r="V118" s="167" t="str">
        <f t="shared" si="5"/>
        <v/>
      </c>
    </row>
    <row r="119" spans="1:22">
      <c r="A119" s="58"/>
      <c r="B119" s="59"/>
      <c r="C119" s="60"/>
      <c r="D119" s="61"/>
      <c r="E119" s="58"/>
      <c r="F119" s="62"/>
      <c r="G119" s="63"/>
      <c r="H119" s="83"/>
      <c r="I119" s="61"/>
      <c r="J119" s="61"/>
      <c r="K119" s="71" t="str">
        <f t="shared" si="3"/>
        <v/>
      </c>
      <c r="L119" s="83"/>
      <c r="M119" s="61"/>
      <c r="N119" s="61"/>
      <c r="O119" s="61"/>
      <c r="P119" s="61"/>
      <c r="Q119" s="166" t="str">
        <f t="shared" si="4"/>
        <v/>
      </c>
      <c r="R119" s="83"/>
      <c r="S119" s="61"/>
      <c r="T119" s="61"/>
      <c r="U119" s="61"/>
      <c r="V119" s="167" t="str">
        <f t="shared" si="5"/>
        <v/>
      </c>
    </row>
    <row r="120" spans="1:22">
      <c r="A120" s="58"/>
      <c r="B120" s="59"/>
      <c r="C120" s="60"/>
      <c r="D120" s="61"/>
      <c r="E120" s="58"/>
      <c r="F120" s="62"/>
      <c r="G120" s="63"/>
      <c r="H120" s="83"/>
      <c r="I120" s="61"/>
      <c r="J120" s="61"/>
      <c r="K120" s="71" t="str">
        <f t="shared" si="3"/>
        <v/>
      </c>
      <c r="L120" s="83"/>
      <c r="M120" s="61"/>
      <c r="N120" s="61"/>
      <c r="O120" s="61"/>
      <c r="P120" s="61"/>
      <c r="Q120" s="166" t="str">
        <f t="shared" si="4"/>
        <v/>
      </c>
      <c r="R120" s="83"/>
      <c r="S120" s="61"/>
      <c r="T120" s="61"/>
      <c r="U120" s="61"/>
      <c r="V120" s="167" t="str">
        <f t="shared" si="5"/>
        <v/>
      </c>
    </row>
    <row r="121" spans="1:22">
      <c r="A121" s="58"/>
      <c r="B121" s="59"/>
      <c r="C121" s="60"/>
      <c r="D121" s="61"/>
      <c r="E121" s="58"/>
      <c r="F121" s="62"/>
      <c r="G121" s="63"/>
      <c r="H121" s="83"/>
      <c r="I121" s="61"/>
      <c r="J121" s="61"/>
      <c r="K121" s="71" t="str">
        <f t="shared" si="3"/>
        <v/>
      </c>
      <c r="L121" s="83"/>
      <c r="M121" s="61"/>
      <c r="N121" s="61"/>
      <c r="O121" s="61"/>
      <c r="P121" s="61"/>
      <c r="Q121" s="166" t="str">
        <f t="shared" si="4"/>
        <v/>
      </c>
      <c r="R121" s="83"/>
      <c r="S121" s="61"/>
      <c r="T121" s="61"/>
      <c r="U121" s="61"/>
      <c r="V121" s="167" t="str">
        <f t="shared" si="5"/>
        <v/>
      </c>
    </row>
    <row r="122" spans="1:22">
      <c r="A122" s="58"/>
      <c r="B122" s="59"/>
      <c r="C122" s="60"/>
      <c r="D122" s="61"/>
      <c r="E122" s="58"/>
      <c r="F122" s="62"/>
      <c r="G122" s="63"/>
      <c r="H122" s="83"/>
      <c r="I122" s="61"/>
      <c r="J122" s="61"/>
      <c r="K122" s="71" t="str">
        <f t="shared" si="3"/>
        <v/>
      </c>
      <c r="L122" s="83"/>
      <c r="M122" s="61"/>
      <c r="N122" s="61"/>
      <c r="O122" s="61"/>
      <c r="P122" s="61"/>
      <c r="Q122" s="166" t="str">
        <f t="shared" si="4"/>
        <v/>
      </c>
      <c r="R122" s="83"/>
      <c r="S122" s="61"/>
      <c r="T122" s="61"/>
      <c r="U122" s="61"/>
      <c r="V122" s="167" t="str">
        <f t="shared" si="5"/>
        <v/>
      </c>
    </row>
    <row r="123" spans="1:22">
      <c r="A123" s="58"/>
      <c r="B123" s="59"/>
      <c r="C123" s="60"/>
      <c r="D123" s="61"/>
      <c r="E123" s="58"/>
      <c r="F123" s="62"/>
      <c r="G123" s="63"/>
      <c r="H123" s="83"/>
      <c r="I123" s="61"/>
      <c r="J123" s="61"/>
      <c r="K123" s="71" t="str">
        <f t="shared" si="3"/>
        <v/>
      </c>
      <c r="L123" s="83"/>
      <c r="M123" s="61"/>
      <c r="N123" s="61"/>
      <c r="O123" s="61"/>
      <c r="P123" s="61"/>
      <c r="Q123" s="166" t="str">
        <f t="shared" si="4"/>
        <v/>
      </c>
      <c r="R123" s="83"/>
      <c r="S123" s="61"/>
      <c r="T123" s="61"/>
      <c r="U123" s="61"/>
      <c r="V123" s="167" t="str">
        <f t="shared" si="5"/>
        <v/>
      </c>
    </row>
    <row r="124" spans="1:22">
      <c r="A124" s="58"/>
      <c r="B124" s="59"/>
      <c r="C124" s="60"/>
      <c r="D124" s="61"/>
      <c r="E124" s="58"/>
      <c r="F124" s="62"/>
      <c r="G124" s="63"/>
      <c r="H124" s="83"/>
      <c r="I124" s="61"/>
      <c r="J124" s="61"/>
      <c r="K124" s="71" t="str">
        <f t="shared" si="3"/>
        <v/>
      </c>
      <c r="L124" s="83"/>
      <c r="M124" s="61"/>
      <c r="N124" s="61"/>
      <c r="O124" s="61"/>
      <c r="P124" s="61"/>
      <c r="Q124" s="166" t="str">
        <f t="shared" si="4"/>
        <v/>
      </c>
      <c r="R124" s="83"/>
      <c r="S124" s="61"/>
      <c r="T124" s="61"/>
      <c r="U124" s="61"/>
      <c r="V124" s="167" t="str">
        <f t="shared" si="5"/>
        <v/>
      </c>
    </row>
    <row r="125" spans="1:22">
      <c r="A125" s="58"/>
      <c r="B125" s="59"/>
      <c r="C125" s="60"/>
      <c r="D125" s="61"/>
      <c r="E125" s="58"/>
      <c r="F125" s="62"/>
      <c r="G125" s="63"/>
      <c r="H125" s="83"/>
      <c r="I125" s="61"/>
      <c r="J125" s="61"/>
      <c r="K125" s="71" t="str">
        <f t="shared" si="3"/>
        <v/>
      </c>
      <c r="L125" s="83"/>
      <c r="M125" s="61"/>
      <c r="N125" s="61"/>
      <c r="O125" s="61"/>
      <c r="P125" s="61"/>
      <c r="Q125" s="166" t="str">
        <f t="shared" si="4"/>
        <v/>
      </c>
      <c r="R125" s="83"/>
      <c r="S125" s="61"/>
      <c r="T125" s="61"/>
      <c r="U125" s="61"/>
      <c r="V125" s="167" t="str">
        <f t="shared" si="5"/>
        <v/>
      </c>
    </row>
    <row r="126" spans="1:22">
      <c r="A126" s="58"/>
      <c r="B126" s="59"/>
      <c r="C126" s="60"/>
      <c r="D126" s="61"/>
      <c r="E126" s="58"/>
      <c r="F126" s="62"/>
      <c r="G126" s="63"/>
      <c r="H126" s="83"/>
      <c r="I126" s="61"/>
      <c r="J126" s="61"/>
      <c r="K126" s="71" t="str">
        <f t="shared" si="3"/>
        <v/>
      </c>
      <c r="L126" s="83"/>
      <c r="M126" s="61"/>
      <c r="N126" s="61"/>
      <c r="O126" s="61"/>
      <c r="P126" s="61"/>
      <c r="Q126" s="166" t="str">
        <f t="shared" si="4"/>
        <v/>
      </c>
      <c r="R126" s="83"/>
      <c r="S126" s="61"/>
      <c r="T126" s="61"/>
      <c r="U126" s="61"/>
      <c r="V126" s="167" t="str">
        <f t="shared" si="5"/>
        <v/>
      </c>
    </row>
    <row r="127" spans="1:22">
      <c r="A127" s="58"/>
      <c r="B127" s="59"/>
      <c r="C127" s="60"/>
      <c r="D127" s="61"/>
      <c r="E127" s="58"/>
      <c r="F127" s="62"/>
      <c r="G127" s="63"/>
      <c r="H127" s="83"/>
      <c r="I127" s="61"/>
      <c r="J127" s="61"/>
      <c r="K127" s="71" t="str">
        <f t="shared" si="3"/>
        <v/>
      </c>
      <c r="L127" s="83"/>
      <c r="M127" s="61"/>
      <c r="N127" s="61"/>
      <c r="O127" s="61"/>
      <c r="P127" s="61"/>
      <c r="Q127" s="166" t="str">
        <f t="shared" si="4"/>
        <v/>
      </c>
      <c r="R127" s="83"/>
      <c r="S127" s="61"/>
      <c r="T127" s="61"/>
      <c r="U127" s="61"/>
      <c r="V127" s="167" t="str">
        <f t="shared" si="5"/>
        <v/>
      </c>
    </row>
    <row r="128" spans="1:22">
      <c r="A128" s="58"/>
      <c r="B128" s="59"/>
      <c r="C128" s="60"/>
      <c r="D128" s="61"/>
      <c r="E128" s="58"/>
      <c r="F128" s="62"/>
      <c r="G128" s="63"/>
      <c r="H128" s="83"/>
      <c r="I128" s="61"/>
      <c r="J128" s="61"/>
      <c r="K128" s="71" t="str">
        <f t="shared" si="3"/>
        <v/>
      </c>
      <c r="L128" s="83"/>
      <c r="M128" s="61"/>
      <c r="N128" s="61"/>
      <c r="O128" s="61"/>
      <c r="P128" s="61"/>
      <c r="Q128" s="166" t="str">
        <f t="shared" si="4"/>
        <v/>
      </c>
      <c r="R128" s="83"/>
      <c r="S128" s="61"/>
      <c r="T128" s="61"/>
      <c r="U128" s="61"/>
      <c r="V128" s="167" t="str">
        <f t="shared" si="5"/>
        <v/>
      </c>
    </row>
    <row r="129" spans="1:22">
      <c r="A129" s="58"/>
      <c r="B129" s="59"/>
      <c r="C129" s="60"/>
      <c r="D129" s="61"/>
      <c r="E129" s="58"/>
      <c r="F129" s="62"/>
      <c r="G129" s="63"/>
      <c r="H129" s="83"/>
      <c r="I129" s="61"/>
      <c r="J129" s="61"/>
      <c r="K129" s="71" t="str">
        <f t="shared" si="3"/>
        <v/>
      </c>
      <c r="L129" s="83"/>
      <c r="M129" s="61"/>
      <c r="N129" s="61"/>
      <c r="O129" s="61"/>
      <c r="P129" s="61"/>
      <c r="Q129" s="166" t="str">
        <f t="shared" si="4"/>
        <v/>
      </c>
      <c r="R129" s="83"/>
      <c r="S129" s="61"/>
      <c r="T129" s="61"/>
      <c r="U129" s="61"/>
      <c r="V129" s="167" t="str">
        <f t="shared" si="5"/>
        <v/>
      </c>
    </row>
    <row r="130" spans="1:22">
      <c r="A130" s="58"/>
      <c r="B130" s="59"/>
      <c r="C130" s="60"/>
      <c r="D130" s="61"/>
      <c r="E130" s="58"/>
      <c r="F130" s="62"/>
      <c r="G130" s="63"/>
      <c r="H130" s="83"/>
      <c r="I130" s="61"/>
      <c r="J130" s="61"/>
      <c r="K130" s="71" t="str">
        <f t="shared" si="3"/>
        <v/>
      </c>
      <c r="L130" s="83"/>
      <c r="M130" s="61"/>
      <c r="N130" s="61"/>
      <c r="O130" s="61"/>
      <c r="P130" s="61"/>
      <c r="Q130" s="166" t="str">
        <f t="shared" si="4"/>
        <v/>
      </c>
      <c r="R130" s="83"/>
      <c r="S130" s="61"/>
      <c r="T130" s="61"/>
      <c r="U130" s="61"/>
      <c r="V130" s="167" t="str">
        <f t="shared" si="5"/>
        <v/>
      </c>
    </row>
    <row r="131" spans="1:22">
      <c r="A131" s="58"/>
      <c r="B131" s="59"/>
      <c r="C131" s="60"/>
      <c r="D131" s="61"/>
      <c r="E131" s="58"/>
      <c r="F131" s="62"/>
      <c r="G131" s="63"/>
      <c r="H131" s="83"/>
      <c r="I131" s="61"/>
      <c r="J131" s="61"/>
      <c r="K131" s="71" t="str">
        <f t="shared" si="3"/>
        <v/>
      </c>
      <c r="L131" s="83"/>
      <c r="M131" s="61"/>
      <c r="N131" s="61"/>
      <c r="O131" s="61"/>
      <c r="P131" s="61"/>
      <c r="Q131" s="166" t="str">
        <f t="shared" si="4"/>
        <v/>
      </c>
      <c r="R131" s="83"/>
      <c r="S131" s="61"/>
      <c r="T131" s="61"/>
      <c r="U131" s="61"/>
      <c r="V131" s="167" t="str">
        <f t="shared" si="5"/>
        <v/>
      </c>
    </row>
    <row r="132" spans="1:22">
      <c r="A132" s="58"/>
      <c r="B132" s="59"/>
      <c r="C132" s="60"/>
      <c r="D132" s="61"/>
      <c r="E132" s="58"/>
      <c r="F132" s="62"/>
      <c r="G132" s="63"/>
      <c r="H132" s="83"/>
      <c r="I132" s="61"/>
      <c r="J132" s="61"/>
      <c r="K132" s="71" t="str">
        <f t="shared" si="3"/>
        <v/>
      </c>
      <c r="L132" s="83"/>
      <c r="M132" s="61"/>
      <c r="N132" s="61"/>
      <c r="O132" s="61"/>
      <c r="P132" s="61"/>
      <c r="Q132" s="166" t="str">
        <f t="shared" si="4"/>
        <v/>
      </c>
      <c r="R132" s="83"/>
      <c r="S132" s="61"/>
      <c r="T132" s="61"/>
      <c r="U132" s="61"/>
      <c r="V132" s="167" t="str">
        <f t="shared" si="5"/>
        <v/>
      </c>
    </row>
    <row r="133" spans="1:22">
      <c r="A133" s="58"/>
      <c r="B133" s="58"/>
      <c r="C133" s="58"/>
      <c r="D133" s="58"/>
      <c r="E133" s="58"/>
      <c r="F133" s="62"/>
      <c r="G133" s="63"/>
      <c r="H133" s="84"/>
      <c r="I133" s="61"/>
      <c r="J133" s="61"/>
      <c r="K133" s="71" t="str">
        <f t="shared" ref="K133:K196" si="6">IF($B133="","",SUM($I133:$J133))</f>
        <v/>
      </c>
      <c r="L133" s="84"/>
      <c r="M133" s="61"/>
      <c r="N133" s="61"/>
      <c r="O133" s="61"/>
      <c r="P133" s="61"/>
      <c r="Q133" s="166" t="str">
        <f t="shared" si="4"/>
        <v/>
      </c>
      <c r="R133" s="84"/>
      <c r="S133" s="61"/>
      <c r="T133" s="61"/>
      <c r="U133" s="61"/>
      <c r="V133" s="167" t="str">
        <f t="shared" si="5"/>
        <v/>
      </c>
    </row>
    <row r="134" spans="1:22">
      <c r="A134" s="58"/>
      <c r="B134" s="58"/>
      <c r="C134" s="58"/>
      <c r="D134" s="58"/>
      <c r="E134" s="58"/>
      <c r="F134" s="62"/>
      <c r="G134" s="63"/>
      <c r="H134" s="84"/>
      <c r="I134" s="61"/>
      <c r="J134" s="61"/>
      <c r="K134" s="71" t="str">
        <f t="shared" si="6"/>
        <v/>
      </c>
      <c r="L134" s="84"/>
      <c r="M134" s="61"/>
      <c r="N134" s="61"/>
      <c r="O134" s="61"/>
      <c r="P134" s="61"/>
      <c r="Q134" s="166" t="str">
        <f t="shared" ref="Q134:Q197" si="7">IF($L134="","",SUM($M134:$P134))</f>
        <v/>
      </c>
      <c r="R134" s="84"/>
      <c r="S134" s="61"/>
      <c r="T134" s="61"/>
      <c r="U134" s="61"/>
      <c r="V134" s="167" t="str">
        <f t="shared" ref="V134:V197" si="8">IF($R134="","",SUM($S134:$U134))</f>
        <v/>
      </c>
    </row>
    <row r="135" spans="1:22">
      <c r="A135" s="58"/>
      <c r="B135" s="58"/>
      <c r="C135" s="58"/>
      <c r="D135" s="58"/>
      <c r="E135" s="58"/>
      <c r="F135" s="62"/>
      <c r="G135" s="63"/>
      <c r="H135" s="84"/>
      <c r="I135" s="61"/>
      <c r="J135" s="61"/>
      <c r="K135" s="71" t="str">
        <f t="shared" si="6"/>
        <v/>
      </c>
      <c r="L135" s="84"/>
      <c r="M135" s="61"/>
      <c r="N135" s="61"/>
      <c r="O135" s="61"/>
      <c r="P135" s="61"/>
      <c r="Q135" s="166" t="str">
        <f t="shared" si="7"/>
        <v/>
      </c>
      <c r="R135" s="84"/>
      <c r="S135" s="61"/>
      <c r="T135" s="61"/>
      <c r="U135" s="61"/>
      <c r="V135" s="167" t="str">
        <f t="shared" si="8"/>
        <v/>
      </c>
    </row>
    <row r="136" spans="1:22">
      <c r="A136" s="58"/>
      <c r="B136" s="58"/>
      <c r="C136" s="58"/>
      <c r="D136" s="58"/>
      <c r="E136" s="58"/>
      <c r="F136" s="62"/>
      <c r="G136" s="63"/>
      <c r="H136" s="84"/>
      <c r="I136" s="61"/>
      <c r="J136" s="61"/>
      <c r="K136" s="71" t="str">
        <f t="shared" si="6"/>
        <v/>
      </c>
      <c r="L136" s="84"/>
      <c r="M136" s="61"/>
      <c r="N136" s="61"/>
      <c r="O136" s="61"/>
      <c r="P136" s="61"/>
      <c r="Q136" s="166" t="str">
        <f t="shared" si="7"/>
        <v/>
      </c>
      <c r="R136" s="84"/>
      <c r="S136" s="61"/>
      <c r="T136" s="61"/>
      <c r="U136" s="61"/>
      <c r="V136" s="167" t="str">
        <f t="shared" si="8"/>
        <v/>
      </c>
    </row>
    <row r="137" spans="1:22">
      <c r="A137" s="58"/>
      <c r="B137" s="58"/>
      <c r="C137" s="58"/>
      <c r="D137" s="58"/>
      <c r="E137" s="58"/>
      <c r="F137" s="62"/>
      <c r="G137" s="63"/>
      <c r="H137" s="84"/>
      <c r="I137" s="61"/>
      <c r="J137" s="61"/>
      <c r="K137" s="71" t="str">
        <f t="shared" si="6"/>
        <v/>
      </c>
      <c r="L137" s="84"/>
      <c r="M137" s="61"/>
      <c r="N137" s="61"/>
      <c r="O137" s="61"/>
      <c r="P137" s="61"/>
      <c r="Q137" s="166" t="str">
        <f t="shared" si="7"/>
        <v/>
      </c>
      <c r="R137" s="84"/>
      <c r="S137" s="61"/>
      <c r="T137" s="61"/>
      <c r="U137" s="61"/>
      <c r="V137" s="167" t="str">
        <f t="shared" si="8"/>
        <v/>
      </c>
    </row>
    <row r="138" spans="1:22">
      <c r="A138" s="58"/>
      <c r="B138" s="58"/>
      <c r="C138" s="58"/>
      <c r="D138" s="58"/>
      <c r="E138" s="58"/>
      <c r="F138" s="62"/>
      <c r="G138" s="63"/>
      <c r="H138" s="84"/>
      <c r="I138" s="61"/>
      <c r="J138" s="61"/>
      <c r="K138" s="71" t="str">
        <f t="shared" si="6"/>
        <v/>
      </c>
      <c r="L138" s="84"/>
      <c r="M138" s="61"/>
      <c r="N138" s="61"/>
      <c r="O138" s="61"/>
      <c r="P138" s="61"/>
      <c r="Q138" s="166" t="str">
        <f t="shared" si="7"/>
        <v/>
      </c>
      <c r="R138" s="84"/>
      <c r="S138" s="61"/>
      <c r="T138" s="61"/>
      <c r="U138" s="61"/>
      <c r="V138" s="167" t="str">
        <f t="shared" si="8"/>
        <v/>
      </c>
    </row>
    <row r="139" spans="1:22">
      <c r="A139" s="58"/>
      <c r="B139" s="58"/>
      <c r="C139" s="58"/>
      <c r="D139" s="58"/>
      <c r="E139" s="58"/>
      <c r="F139" s="62"/>
      <c r="G139" s="63"/>
      <c r="H139" s="84"/>
      <c r="I139" s="61"/>
      <c r="J139" s="61"/>
      <c r="K139" s="71" t="str">
        <f t="shared" si="6"/>
        <v/>
      </c>
      <c r="L139" s="84"/>
      <c r="M139" s="61"/>
      <c r="N139" s="61"/>
      <c r="O139" s="61"/>
      <c r="P139" s="61"/>
      <c r="Q139" s="166" t="str">
        <f t="shared" si="7"/>
        <v/>
      </c>
      <c r="R139" s="84"/>
      <c r="S139" s="61"/>
      <c r="T139" s="61"/>
      <c r="U139" s="61"/>
      <c r="V139" s="167" t="str">
        <f t="shared" si="8"/>
        <v/>
      </c>
    </row>
    <row r="140" spans="1:22">
      <c r="A140" s="58"/>
      <c r="B140" s="58"/>
      <c r="C140" s="58"/>
      <c r="D140" s="58"/>
      <c r="E140" s="58"/>
      <c r="F140" s="62"/>
      <c r="G140" s="63"/>
      <c r="H140" s="84"/>
      <c r="I140" s="61"/>
      <c r="J140" s="61"/>
      <c r="K140" s="71" t="str">
        <f t="shared" si="6"/>
        <v/>
      </c>
      <c r="L140" s="84"/>
      <c r="M140" s="61"/>
      <c r="N140" s="61"/>
      <c r="O140" s="61"/>
      <c r="P140" s="61"/>
      <c r="Q140" s="166" t="str">
        <f t="shared" si="7"/>
        <v/>
      </c>
      <c r="R140" s="84"/>
      <c r="S140" s="61"/>
      <c r="T140" s="61"/>
      <c r="U140" s="61"/>
      <c r="V140" s="167" t="str">
        <f t="shared" si="8"/>
        <v/>
      </c>
    </row>
    <row r="141" spans="1:22">
      <c r="A141" s="58"/>
      <c r="B141" s="58"/>
      <c r="C141" s="58"/>
      <c r="D141" s="58"/>
      <c r="E141" s="58"/>
      <c r="F141" s="62"/>
      <c r="G141" s="63"/>
      <c r="H141" s="84"/>
      <c r="I141" s="61"/>
      <c r="J141" s="61"/>
      <c r="K141" s="71" t="str">
        <f t="shared" si="6"/>
        <v/>
      </c>
      <c r="L141" s="84"/>
      <c r="M141" s="61"/>
      <c r="N141" s="61"/>
      <c r="O141" s="61"/>
      <c r="P141" s="61"/>
      <c r="Q141" s="166" t="str">
        <f t="shared" si="7"/>
        <v/>
      </c>
      <c r="R141" s="84"/>
      <c r="S141" s="61"/>
      <c r="T141" s="61"/>
      <c r="U141" s="61"/>
      <c r="V141" s="167" t="str">
        <f t="shared" si="8"/>
        <v/>
      </c>
    </row>
    <row r="142" spans="1:22">
      <c r="A142" s="58"/>
      <c r="B142" s="58"/>
      <c r="C142" s="58"/>
      <c r="D142" s="58"/>
      <c r="E142" s="58"/>
      <c r="F142" s="62"/>
      <c r="G142" s="63"/>
      <c r="H142" s="84"/>
      <c r="I142" s="61"/>
      <c r="J142" s="61"/>
      <c r="K142" s="71" t="str">
        <f t="shared" si="6"/>
        <v/>
      </c>
      <c r="L142" s="84"/>
      <c r="M142" s="61"/>
      <c r="N142" s="61"/>
      <c r="O142" s="61"/>
      <c r="P142" s="61"/>
      <c r="Q142" s="166" t="str">
        <f t="shared" si="7"/>
        <v/>
      </c>
      <c r="R142" s="84"/>
      <c r="S142" s="61"/>
      <c r="T142" s="61"/>
      <c r="U142" s="61"/>
      <c r="V142" s="167" t="str">
        <f t="shared" si="8"/>
        <v/>
      </c>
    </row>
    <row r="143" spans="1:22">
      <c r="A143" s="58"/>
      <c r="B143" s="58"/>
      <c r="C143" s="58"/>
      <c r="D143" s="58"/>
      <c r="E143" s="58"/>
      <c r="F143" s="62"/>
      <c r="G143" s="63"/>
      <c r="H143" s="84"/>
      <c r="I143" s="61"/>
      <c r="J143" s="61"/>
      <c r="K143" s="71" t="str">
        <f t="shared" si="6"/>
        <v/>
      </c>
      <c r="L143" s="84"/>
      <c r="M143" s="61"/>
      <c r="N143" s="61"/>
      <c r="O143" s="61"/>
      <c r="P143" s="61"/>
      <c r="Q143" s="166" t="str">
        <f t="shared" si="7"/>
        <v/>
      </c>
      <c r="R143" s="84"/>
      <c r="S143" s="61"/>
      <c r="T143" s="61"/>
      <c r="U143" s="61"/>
      <c r="V143" s="167" t="str">
        <f t="shared" si="8"/>
        <v/>
      </c>
    </row>
    <row r="144" spans="1:22">
      <c r="A144" s="58"/>
      <c r="B144" s="58"/>
      <c r="C144" s="58"/>
      <c r="D144" s="58"/>
      <c r="E144" s="58"/>
      <c r="F144" s="62"/>
      <c r="G144" s="63"/>
      <c r="H144" s="84"/>
      <c r="I144" s="61"/>
      <c r="J144" s="61"/>
      <c r="K144" s="71" t="str">
        <f t="shared" si="6"/>
        <v/>
      </c>
      <c r="L144" s="84"/>
      <c r="M144" s="61"/>
      <c r="N144" s="61"/>
      <c r="O144" s="61"/>
      <c r="P144" s="61"/>
      <c r="Q144" s="166" t="str">
        <f t="shared" si="7"/>
        <v/>
      </c>
      <c r="R144" s="84"/>
      <c r="S144" s="61"/>
      <c r="T144" s="61"/>
      <c r="U144" s="61"/>
      <c r="V144" s="167" t="str">
        <f t="shared" si="8"/>
        <v/>
      </c>
    </row>
    <row r="145" spans="1:22">
      <c r="A145" s="58"/>
      <c r="B145" s="58"/>
      <c r="C145" s="58"/>
      <c r="D145" s="58"/>
      <c r="E145" s="58"/>
      <c r="F145" s="62"/>
      <c r="G145" s="63"/>
      <c r="H145" s="84"/>
      <c r="I145" s="61"/>
      <c r="J145" s="61"/>
      <c r="K145" s="71" t="str">
        <f t="shared" si="6"/>
        <v/>
      </c>
      <c r="L145" s="84"/>
      <c r="M145" s="61"/>
      <c r="N145" s="61"/>
      <c r="O145" s="61"/>
      <c r="P145" s="61"/>
      <c r="Q145" s="166" t="str">
        <f t="shared" si="7"/>
        <v/>
      </c>
      <c r="R145" s="84"/>
      <c r="S145" s="61"/>
      <c r="T145" s="61"/>
      <c r="U145" s="61"/>
      <c r="V145" s="167" t="str">
        <f t="shared" si="8"/>
        <v/>
      </c>
    </row>
    <row r="146" spans="1:22">
      <c r="A146" s="58"/>
      <c r="B146" s="58"/>
      <c r="C146" s="58"/>
      <c r="D146" s="58"/>
      <c r="E146" s="58"/>
      <c r="F146" s="62"/>
      <c r="G146" s="63"/>
      <c r="H146" s="84"/>
      <c r="I146" s="61"/>
      <c r="J146" s="61"/>
      <c r="K146" s="71" t="str">
        <f t="shared" si="6"/>
        <v/>
      </c>
      <c r="L146" s="84"/>
      <c r="M146" s="61"/>
      <c r="N146" s="61"/>
      <c r="O146" s="61"/>
      <c r="P146" s="61"/>
      <c r="Q146" s="166" t="str">
        <f t="shared" si="7"/>
        <v/>
      </c>
      <c r="R146" s="84"/>
      <c r="S146" s="61"/>
      <c r="T146" s="61"/>
      <c r="U146" s="61"/>
      <c r="V146" s="167" t="str">
        <f t="shared" si="8"/>
        <v/>
      </c>
    </row>
    <row r="147" spans="1:22">
      <c r="A147" s="58"/>
      <c r="B147" s="58"/>
      <c r="C147" s="58"/>
      <c r="D147" s="58"/>
      <c r="E147" s="58"/>
      <c r="F147" s="62"/>
      <c r="G147" s="63"/>
      <c r="H147" s="84"/>
      <c r="I147" s="61"/>
      <c r="J147" s="61"/>
      <c r="K147" s="71" t="str">
        <f t="shared" si="6"/>
        <v/>
      </c>
      <c r="L147" s="84"/>
      <c r="M147" s="61"/>
      <c r="N147" s="61"/>
      <c r="O147" s="61"/>
      <c r="P147" s="61"/>
      <c r="Q147" s="166" t="str">
        <f t="shared" si="7"/>
        <v/>
      </c>
      <c r="R147" s="84"/>
      <c r="S147" s="61"/>
      <c r="T147" s="61"/>
      <c r="U147" s="61"/>
      <c r="V147" s="167" t="str">
        <f t="shared" si="8"/>
        <v/>
      </c>
    </row>
    <row r="148" spans="1:22">
      <c r="A148" s="58"/>
      <c r="B148" s="58"/>
      <c r="C148" s="58"/>
      <c r="D148" s="58"/>
      <c r="E148" s="58"/>
      <c r="F148" s="62"/>
      <c r="G148" s="63"/>
      <c r="H148" s="84"/>
      <c r="I148" s="61"/>
      <c r="J148" s="61"/>
      <c r="K148" s="71" t="str">
        <f t="shared" si="6"/>
        <v/>
      </c>
      <c r="L148" s="84"/>
      <c r="M148" s="61"/>
      <c r="N148" s="61"/>
      <c r="O148" s="61"/>
      <c r="P148" s="61"/>
      <c r="Q148" s="166" t="str">
        <f t="shared" si="7"/>
        <v/>
      </c>
      <c r="R148" s="84"/>
      <c r="S148" s="61"/>
      <c r="T148" s="61"/>
      <c r="U148" s="61"/>
      <c r="V148" s="167" t="str">
        <f t="shared" si="8"/>
        <v/>
      </c>
    </row>
    <row r="149" spans="1:22">
      <c r="A149" s="58"/>
      <c r="B149" s="58"/>
      <c r="C149" s="58"/>
      <c r="D149" s="58"/>
      <c r="E149" s="58"/>
      <c r="F149" s="62"/>
      <c r="G149" s="63"/>
      <c r="H149" s="84"/>
      <c r="I149" s="61"/>
      <c r="J149" s="61"/>
      <c r="K149" s="71" t="str">
        <f t="shared" si="6"/>
        <v/>
      </c>
      <c r="L149" s="84"/>
      <c r="M149" s="61"/>
      <c r="N149" s="61"/>
      <c r="O149" s="61"/>
      <c r="P149" s="61"/>
      <c r="Q149" s="166" t="str">
        <f t="shared" si="7"/>
        <v/>
      </c>
      <c r="R149" s="84"/>
      <c r="S149" s="61"/>
      <c r="T149" s="61"/>
      <c r="U149" s="61"/>
      <c r="V149" s="167" t="str">
        <f t="shared" si="8"/>
        <v/>
      </c>
    </row>
    <row r="150" spans="1:22">
      <c r="A150" s="58"/>
      <c r="B150" s="58"/>
      <c r="C150" s="58"/>
      <c r="D150" s="58"/>
      <c r="E150" s="58"/>
      <c r="F150" s="62"/>
      <c r="G150" s="63"/>
      <c r="H150" s="84"/>
      <c r="I150" s="61"/>
      <c r="J150" s="61"/>
      <c r="K150" s="71" t="str">
        <f t="shared" si="6"/>
        <v/>
      </c>
      <c r="L150" s="84"/>
      <c r="M150" s="61"/>
      <c r="N150" s="61"/>
      <c r="O150" s="61"/>
      <c r="P150" s="61"/>
      <c r="Q150" s="166" t="str">
        <f t="shared" si="7"/>
        <v/>
      </c>
      <c r="R150" s="84"/>
      <c r="S150" s="61"/>
      <c r="T150" s="61"/>
      <c r="U150" s="61"/>
      <c r="V150" s="167" t="str">
        <f t="shared" si="8"/>
        <v/>
      </c>
    </row>
    <row r="151" spans="1:22">
      <c r="A151" s="58"/>
      <c r="B151" s="58"/>
      <c r="C151" s="58"/>
      <c r="D151" s="58"/>
      <c r="E151" s="58"/>
      <c r="F151" s="62"/>
      <c r="G151" s="63"/>
      <c r="H151" s="84"/>
      <c r="I151" s="61"/>
      <c r="J151" s="61"/>
      <c r="K151" s="71" t="str">
        <f t="shared" si="6"/>
        <v/>
      </c>
      <c r="L151" s="84"/>
      <c r="M151" s="61"/>
      <c r="N151" s="61"/>
      <c r="O151" s="61"/>
      <c r="P151" s="61"/>
      <c r="Q151" s="166" t="str">
        <f t="shared" si="7"/>
        <v/>
      </c>
      <c r="R151" s="84"/>
      <c r="S151" s="61"/>
      <c r="T151" s="61"/>
      <c r="U151" s="61"/>
      <c r="V151" s="167" t="str">
        <f t="shared" si="8"/>
        <v/>
      </c>
    </row>
    <row r="152" spans="1:22">
      <c r="A152" s="58"/>
      <c r="B152" s="58"/>
      <c r="C152" s="58"/>
      <c r="D152" s="58"/>
      <c r="E152" s="58"/>
      <c r="F152" s="62"/>
      <c r="G152" s="63"/>
      <c r="H152" s="84"/>
      <c r="I152" s="61"/>
      <c r="J152" s="61"/>
      <c r="K152" s="71" t="str">
        <f t="shared" si="6"/>
        <v/>
      </c>
      <c r="L152" s="84"/>
      <c r="M152" s="61"/>
      <c r="N152" s="61"/>
      <c r="O152" s="61"/>
      <c r="P152" s="61"/>
      <c r="Q152" s="166" t="str">
        <f t="shared" si="7"/>
        <v/>
      </c>
      <c r="R152" s="84"/>
      <c r="S152" s="61"/>
      <c r="T152" s="61"/>
      <c r="U152" s="61"/>
      <c r="V152" s="167" t="str">
        <f t="shared" si="8"/>
        <v/>
      </c>
    </row>
    <row r="153" spans="1:22">
      <c r="A153" s="58"/>
      <c r="B153" s="58"/>
      <c r="C153" s="58"/>
      <c r="D153" s="58"/>
      <c r="E153" s="58"/>
      <c r="F153" s="62"/>
      <c r="G153" s="63"/>
      <c r="H153" s="84"/>
      <c r="I153" s="61"/>
      <c r="J153" s="61"/>
      <c r="K153" s="71" t="str">
        <f t="shared" si="6"/>
        <v/>
      </c>
      <c r="L153" s="84"/>
      <c r="M153" s="61"/>
      <c r="N153" s="61"/>
      <c r="O153" s="61"/>
      <c r="P153" s="61"/>
      <c r="Q153" s="166" t="str">
        <f t="shared" si="7"/>
        <v/>
      </c>
      <c r="R153" s="84"/>
      <c r="S153" s="61"/>
      <c r="T153" s="61"/>
      <c r="U153" s="61"/>
      <c r="V153" s="167" t="str">
        <f t="shared" si="8"/>
        <v/>
      </c>
    </row>
    <row r="154" spans="1:22">
      <c r="A154" s="58"/>
      <c r="B154" s="58"/>
      <c r="C154" s="58"/>
      <c r="D154" s="58"/>
      <c r="E154" s="58"/>
      <c r="F154" s="62"/>
      <c r="G154" s="63"/>
      <c r="H154" s="84"/>
      <c r="I154" s="61"/>
      <c r="J154" s="61"/>
      <c r="K154" s="71" t="str">
        <f t="shared" si="6"/>
        <v/>
      </c>
      <c r="L154" s="84"/>
      <c r="M154" s="61"/>
      <c r="N154" s="61"/>
      <c r="O154" s="61"/>
      <c r="P154" s="61"/>
      <c r="Q154" s="166" t="str">
        <f t="shared" si="7"/>
        <v/>
      </c>
      <c r="R154" s="84"/>
      <c r="S154" s="61"/>
      <c r="T154" s="61"/>
      <c r="U154" s="61"/>
      <c r="V154" s="167" t="str">
        <f t="shared" si="8"/>
        <v/>
      </c>
    </row>
    <row r="155" spans="1:22">
      <c r="A155" s="58"/>
      <c r="B155" s="58"/>
      <c r="C155" s="58"/>
      <c r="D155" s="58"/>
      <c r="E155" s="58"/>
      <c r="F155" s="62"/>
      <c r="G155" s="63"/>
      <c r="H155" s="84"/>
      <c r="I155" s="61"/>
      <c r="J155" s="61"/>
      <c r="K155" s="71" t="str">
        <f t="shared" si="6"/>
        <v/>
      </c>
      <c r="L155" s="84"/>
      <c r="M155" s="61"/>
      <c r="N155" s="61"/>
      <c r="O155" s="61"/>
      <c r="P155" s="61"/>
      <c r="Q155" s="166" t="str">
        <f t="shared" si="7"/>
        <v/>
      </c>
      <c r="R155" s="84"/>
      <c r="S155" s="61"/>
      <c r="T155" s="61"/>
      <c r="U155" s="61"/>
      <c r="V155" s="167" t="str">
        <f t="shared" si="8"/>
        <v/>
      </c>
    </row>
    <row r="156" spans="1:22">
      <c r="A156" s="58"/>
      <c r="B156" s="58"/>
      <c r="C156" s="58"/>
      <c r="D156" s="58"/>
      <c r="E156" s="58"/>
      <c r="F156" s="62"/>
      <c r="G156" s="63"/>
      <c r="H156" s="84"/>
      <c r="I156" s="61"/>
      <c r="J156" s="61"/>
      <c r="K156" s="71" t="str">
        <f t="shared" si="6"/>
        <v/>
      </c>
      <c r="L156" s="84"/>
      <c r="M156" s="61"/>
      <c r="N156" s="61"/>
      <c r="O156" s="61"/>
      <c r="P156" s="61"/>
      <c r="Q156" s="166" t="str">
        <f t="shared" si="7"/>
        <v/>
      </c>
      <c r="R156" s="84"/>
      <c r="S156" s="61"/>
      <c r="T156" s="61"/>
      <c r="U156" s="61"/>
      <c r="V156" s="167" t="str">
        <f t="shared" si="8"/>
        <v/>
      </c>
    </row>
    <row r="157" spans="1:22">
      <c r="A157" s="58"/>
      <c r="B157" s="58"/>
      <c r="C157" s="58"/>
      <c r="D157" s="58"/>
      <c r="E157" s="58"/>
      <c r="F157" s="62"/>
      <c r="G157" s="63"/>
      <c r="H157" s="84"/>
      <c r="I157" s="61"/>
      <c r="J157" s="61"/>
      <c r="K157" s="71" t="str">
        <f t="shared" si="6"/>
        <v/>
      </c>
      <c r="L157" s="84"/>
      <c r="M157" s="61"/>
      <c r="N157" s="61"/>
      <c r="O157" s="61"/>
      <c r="P157" s="61"/>
      <c r="Q157" s="166" t="str">
        <f t="shared" si="7"/>
        <v/>
      </c>
      <c r="R157" s="84"/>
      <c r="S157" s="61"/>
      <c r="T157" s="61"/>
      <c r="U157" s="61"/>
      <c r="V157" s="167" t="str">
        <f t="shared" si="8"/>
        <v/>
      </c>
    </row>
    <row r="158" spans="1:22">
      <c r="A158" s="58"/>
      <c r="B158" s="58"/>
      <c r="C158" s="58"/>
      <c r="D158" s="58"/>
      <c r="E158" s="58"/>
      <c r="F158" s="62"/>
      <c r="G158" s="63"/>
      <c r="H158" s="84"/>
      <c r="I158" s="61"/>
      <c r="J158" s="61"/>
      <c r="K158" s="71" t="str">
        <f t="shared" si="6"/>
        <v/>
      </c>
      <c r="L158" s="84"/>
      <c r="M158" s="61"/>
      <c r="N158" s="61"/>
      <c r="O158" s="61"/>
      <c r="P158" s="61"/>
      <c r="Q158" s="166" t="str">
        <f t="shared" si="7"/>
        <v/>
      </c>
      <c r="R158" s="84"/>
      <c r="S158" s="61"/>
      <c r="T158" s="61"/>
      <c r="U158" s="61"/>
      <c r="V158" s="167" t="str">
        <f t="shared" si="8"/>
        <v/>
      </c>
    </row>
    <row r="159" spans="1:22">
      <c r="A159" s="58"/>
      <c r="B159" s="58"/>
      <c r="C159" s="58"/>
      <c r="D159" s="58"/>
      <c r="E159" s="58"/>
      <c r="F159" s="62"/>
      <c r="G159" s="63"/>
      <c r="H159" s="84"/>
      <c r="I159" s="61"/>
      <c r="J159" s="61"/>
      <c r="K159" s="71" t="str">
        <f t="shared" si="6"/>
        <v/>
      </c>
      <c r="L159" s="84"/>
      <c r="M159" s="61"/>
      <c r="N159" s="61"/>
      <c r="O159" s="61"/>
      <c r="P159" s="61"/>
      <c r="Q159" s="166" t="str">
        <f t="shared" si="7"/>
        <v/>
      </c>
      <c r="R159" s="84"/>
      <c r="S159" s="61"/>
      <c r="T159" s="61"/>
      <c r="U159" s="61"/>
      <c r="V159" s="167" t="str">
        <f t="shared" si="8"/>
        <v/>
      </c>
    </row>
    <row r="160" spans="1:22">
      <c r="A160" s="58"/>
      <c r="B160" s="58"/>
      <c r="C160" s="58"/>
      <c r="D160" s="58"/>
      <c r="E160" s="58"/>
      <c r="F160" s="62"/>
      <c r="G160" s="63"/>
      <c r="H160" s="84"/>
      <c r="I160" s="61"/>
      <c r="J160" s="61"/>
      <c r="K160" s="71" t="str">
        <f t="shared" si="6"/>
        <v/>
      </c>
      <c r="L160" s="84"/>
      <c r="M160" s="61"/>
      <c r="N160" s="61"/>
      <c r="O160" s="61"/>
      <c r="P160" s="61"/>
      <c r="Q160" s="166" t="str">
        <f t="shared" si="7"/>
        <v/>
      </c>
      <c r="R160" s="84"/>
      <c r="S160" s="61"/>
      <c r="T160" s="61"/>
      <c r="U160" s="61"/>
      <c r="V160" s="167" t="str">
        <f t="shared" si="8"/>
        <v/>
      </c>
    </row>
    <row r="161" spans="1:22">
      <c r="A161" s="58"/>
      <c r="B161" s="58"/>
      <c r="C161" s="58"/>
      <c r="D161" s="58"/>
      <c r="E161" s="58"/>
      <c r="F161" s="62"/>
      <c r="G161" s="63"/>
      <c r="H161" s="84"/>
      <c r="I161" s="61"/>
      <c r="J161" s="61"/>
      <c r="K161" s="71" t="str">
        <f t="shared" si="6"/>
        <v/>
      </c>
      <c r="L161" s="84"/>
      <c r="M161" s="61"/>
      <c r="N161" s="61"/>
      <c r="O161" s="61"/>
      <c r="P161" s="61"/>
      <c r="Q161" s="166" t="str">
        <f t="shared" si="7"/>
        <v/>
      </c>
      <c r="R161" s="84"/>
      <c r="S161" s="61"/>
      <c r="T161" s="61"/>
      <c r="U161" s="61"/>
      <c r="V161" s="167" t="str">
        <f t="shared" si="8"/>
        <v/>
      </c>
    </row>
    <row r="162" spans="1:22">
      <c r="A162" s="58"/>
      <c r="B162" s="58"/>
      <c r="C162" s="58"/>
      <c r="D162" s="58"/>
      <c r="E162" s="58"/>
      <c r="F162" s="62"/>
      <c r="G162" s="63"/>
      <c r="H162" s="84"/>
      <c r="I162" s="61"/>
      <c r="J162" s="61"/>
      <c r="K162" s="71" t="str">
        <f t="shared" si="6"/>
        <v/>
      </c>
      <c r="L162" s="84"/>
      <c r="M162" s="61"/>
      <c r="N162" s="61"/>
      <c r="O162" s="61"/>
      <c r="P162" s="61"/>
      <c r="Q162" s="166" t="str">
        <f t="shared" si="7"/>
        <v/>
      </c>
      <c r="R162" s="84"/>
      <c r="S162" s="61"/>
      <c r="T162" s="61"/>
      <c r="U162" s="61"/>
      <c r="V162" s="167" t="str">
        <f t="shared" si="8"/>
        <v/>
      </c>
    </row>
    <row r="163" spans="1:22">
      <c r="A163" s="58"/>
      <c r="B163" s="58"/>
      <c r="C163" s="58"/>
      <c r="D163" s="58"/>
      <c r="E163" s="58"/>
      <c r="F163" s="62"/>
      <c r="G163" s="63"/>
      <c r="H163" s="84"/>
      <c r="I163" s="61"/>
      <c r="J163" s="61"/>
      <c r="K163" s="71" t="str">
        <f t="shared" si="6"/>
        <v/>
      </c>
      <c r="L163" s="84"/>
      <c r="M163" s="61"/>
      <c r="N163" s="61"/>
      <c r="O163" s="61"/>
      <c r="P163" s="61"/>
      <c r="Q163" s="166" t="str">
        <f t="shared" si="7"/>
        <v/>
      </c>
      <c r="R163" s="84"/>
      <c r="S163" s="61"/>
      <c r="T163" s="61"/>
      <c r="U163" s="61"/>
      <c r="V163" s="167" t="str">
        <f t="shared" si="8"/>
        <v/>
      </c>
    </row>
    <row r="164" spans="1:22">
      <c r="A164" s="58"/>
      <c r="B164" s="58"/>
      <c r="C164" s="58"/>
      <c r="D164" s="58"/>
      <c r="E164" s="58"/>
      <c r="F164" s="62"/>
      <c r="G164" s="63"/>
      <c r="H164" s="84"/>
      <c r="I164" s="61"/>
      <c r="J164" s="61"/>
      <c r="K164" s="71" t="str">
        <f t="shared" si="6"/>
        <v/>
      </c>
      <c r="L164" s="84"/>
      <c r="M164" s="61"/>
      <c r="N164" s="61"/>
      <c r="O164" s="61"/>
      <c r="P164" s="61"/>
      <c r="Q164" s="166" t="str">
        <f t="shared" si="7"/>
        <v/>
      </c>
      <c r="R164" s="84"/>
      <c r="S164" s="61"/>
      <c r="T164" s="61"/>
      <c r="U164" s="61"/>
      <c r="V164" s="167" t="str">
        <f t="shared" si="8"/>
        <v/>
      </c>
    </row>
    <row r="165" spans="1:22">
      <c r="A165" s="58"/>
      <c r="B165" s="58"/>
      <c r="C165" s="58"/>
      <c r="D165" s="58"/>
      <c r="E165" s="58"/>
      <c r="F165" s="62"/>
      <c r="G165" s="63"/>
      <c r="H165" s="84"/>
      <c r="I165" s="61"/>
      <c r="J165" s="61"/>
      <c r="K165" s="71" t="str">
        <f t="shared" si="6"/>
        <v/>
      </c>
      <c r="L165" s="84"/>
      <c r="M165" s="61"/>
      <c r="N165" s="61"/>
      <c r="O165" s="61"/>
      <c r="P165" s="61"/>
      <c r="Q165" s="166" t="str">
        <f t="shared" si="7"/>
        <v/>
      </c>
      <c r="R165" s="84"/>
      <c r="S165" s="61"/>
      <c r="T165" s="61"/>
      <c r="U165" s="61"/>
      <c r="V165" s="167" t="str">
        <f t="shared" si="8"/>
        <v/>
      </c>
    </row>
    <row r="166" spans="1:22">
      <c r="A166" s="58"/>
      <c r="B166" s="58"/>
      <c r="C166" s="58"/>
      <c r="D166" s="58"/>
      <c r="E166" s="58"/>
      <c r="F166" s="62"/>
      <c r="G166" s="63"/>
      <c r="H166" s="84"/>
      <c r="I166" s="61"/>
      <c r="J166" s="61"/>
      <c r="K166" s="71" t="str">
        <f t="shared" si="6"/>
        <v/>
      </c>
      <c r="L166" s="84"/>
      <c r="M166" s="61"/>
      <c r="N166" s="61"/>
      <c r="O166" s="61"/>
      <c r="P166" s="61"/>
      <c r="Q166" s="166" t="str">
        <f t="shared" si="7"/>
        <v/>
      </c>
      <c r="R166" s="84"/>
      <c r="S166" s="61"/>
      <c r="T166" s="61"/>
      <c r="U166" s="61"/>
      <c r="V166" s="167" t="str">
        <f t="shared" si="8"/>
        <v/>
      </c>
    </row>
    <row r="167" spans="1:22">
      <c r="A167" s="58"/>
      <c r="B167" s="58"/>
      <c r="C167" s="58"/>
      <c r="D167" s="58"/>
      <c r="E167" s="58"/>
      <c r="F167" s="62"/>
      <c r="G167" s="63"/>
      <c r="H167" s="84"/>
      <c r="I167" s="61"/>
      <c r="J167" s="61"/>
      <c r="K167" s="71" t="str">
        <f t="shared" si="6"/>
        <v/>
      </c>
      <c r="L167" s="84"/>
      <c r="M167" s="61"/>
      <c r="N167" s="61"/>
      <c r="O167" s="61"/>
      <c r="P167" s="61"/>
      <c r="Q167" s="166" t="str">
        <f t="shared" si="7"/>
        <v/>
      </c>
      <c r="R167" s="84"/>
      <c r="S167" s="61"/>
      <c r="T167" s="61"/>
      <c r="U167" s="61"/>
      <c r="V167" s="167" t="str">
        <f t="shared" si="8"/>
        <v/>
      </c>
    </row>
    <row r="168" spans="1:22">
      <c r="A168" s="58"/>
      <c r="B168" s="58"/>
      <c r="C168" s="58"/>
      <c r="D168" s="58"/>
      <c r="E168" s="58"/>
      <c r="F168" s="62"/>
      <c r="G168" s="63"/>
      <c r="H168" s="84"/>
      <c r="I168" s="61"/>
      <c r="J168" s="61"/>
      <c r="K168" s="71" t="str">
        <f t="shared" si="6"/>
        <v/>
      </c>
      <c r="L168" s="84"/>
      <c r="M168" s="61"/>
      <c r="N168" s="61"/>
      <c r="O168" s="61"/>
      <c r="P168" s="61"/>
      <c r="Q168" s="166" t="str">
        <f t="shared" si="7"/>
        <v/>
      </c>
      <c r="R168" s="84"/>
      <c r="S168" s="61"/>
      <c r="T168" s="61"/>
      <c r="U168" s="61"/>
      <c r="V168" s="167" t="str">
        <f t="shared" si="8"/>
        <v/>
      </c>
    </row>
    <row r="169" spans="1:22">
      <c r="A169" s="58"/>
      <c r="B169" s="58"/>
      <c r="C169" s="58"/>
      <c r="D169" s="58"/>
      <c r="E169" s="58"/>
      <c r="F169" s="62"/>
      <c r="G169" s="63"/>
      <c r="H169" s="84"/>
      <c r="I169" s="61"/>
      <c r="J169" s="61"/>
      <c r="K169" s="71" t="str">
        <f t="shared" si="6"/>
        <v/>
      </c>
      <c r="L169" s="84"/>
      <c r="M169" s="61"/>
      <c r="N169" s="61"/>
      <c r="O169" s="61"/>
      <c r="P169" s="61"/>
      <c r="Q169" s="166" t="str">
        <f t="shared" si="7"/>
        <v/>
      </c>
      <c r="R169" s="84"/>
      <c r="S169" s="61"/>
      <c r="T169" s="61"/>
      <c r="U169" s="61"/>
      <c r="V169" s="167" t="str">
        <f t="shared" si="8"/>
        <v/>
      </c>
    </row>
    <row r="170" spans="1:22">
      <c r="A170" s="58"/>
      <c r="B170" s="58"/>
      <c r="C170" s="58"/>
      <c r="D170" s="58"/>
      <c r="E170" s="58"/>
      <c r="F170" s="62"/>
      <c r="G170" s="63"/>
      <c r="H170" s="84"/>
      <c r="I170" s="61"/>
      <c r="J170" s="61"/>
      <c r="K170" s="71" t="str">
        <f t="shared" si="6"/>
        <v/>
      </c>
      <c r="L170" s="84"/>
      <c r="M170" s="61"/>
      <c r="N170" s="61"/>
      <c r="O170" s="61"/>
      <c r="P170" s="61"/>
      <c r="Q170" s="166" t="str">
        <f t="shared" si="7"/>
        <v/>
      </c>
      <c r="R170" s="84"/>
      <c r="S170" s="61"/>
      <c r="T170" s="61"/>
      <c r="U170" s="61"/>
      <c r="V170" s="167" t="str">
        <f t="shared" si="8"/>
        <v/>
      </c>
    </row>
    <row r="171" spans="1:22">
      <c r="A171" s="58"/>
      <c r="B171" s="58"/>
      <c r="C171" s="58"/>
      <c r="D171" s="58"/>
      <c r="E171" s="58"/>
      <c r="F171" s="62"/>
      <c r="G171" s="63"/>
      <c r="H171" s="84"/>
      <c r="I171" s="61"/>
      <c r="J171" s="61"/>
      <c r="K171" s="71" t="str">
        <f t="shared" si="6"/>
        <v/>
      </c>
      <c r="L171" s="84"/>
      <c r="M171" s="61"/>
      <c r="N171" s="61"/>
      <c r="O171" s="61"/>
      <c r="P171" s="61"/>
      <c r="Q171" s="166" t="str">
        <f t="shared" si="7"/>
        <v/>
      </c>
      <c r="R171" s="84"/>
      <c r="S171" s="61"/>
      <c r="T171" s="61"/>
      <c r="U171" s="61"/>
      <c r="V171" s="167" t="str">
        <f t="shared" si="8"/>
        <v/>
      </c>
    </row>
    <row r="172" spans="1:22">
      <c r="A172" s="58"/>
      <c r="B172" s="58"/>
      <c r="C172" s="58"/>
      <c r="D172" s="58"/>
      <c r="E172" s="58"/>
      <c r="F172" s="62"/>
      <c r="G172" s="63"/>
      <c r="H172" s="84"/>
      <c r="I172" s="61"/>
      <c r="J172" s="61"/>
      <c r="K172" s="71" t="str">
        <f t="shared" si="6"/>
        <v/>
      </c>
      <c r="L172" s="84"/>
      <c r="M172" s="61"/>
      <c r="N172" s="61"/>
      <c r="O172" s="61"/>
      <c r="P172" s="61"/>
      <c r="Q172" s="166" t="str">
        <f t="shared" si="7"/>
        <v/>
      </c>
      <c r="R172" s="84"/>
      <c r="S172" s="61"/>
      <c r="T172" s="61"/>
      <c r="U172" s="61"/>
      <c r="V172" s="167" t="str">
        <f t="shared" si="8"/>
        <v/>
      </c>
    </row>
    <row r="173" spans="1:22">
      <c r="A173" s="58"/>
      <c r="B173" s="58"/>
      <c r="C173" s="58"/>
      <c r="D173" s="58"/>
      <c r="E173" s="58"/>
      <c r="F173" s="62"/>
      <c r="G173" s="63"/>
      <c r="H173" s="84"/>
      <c r="I173" s="61"/>
      <c r="J173" s="61"/>
      <c r="K173" s="71" t="str">
        <f t="shared" si="6"/>
        <v/>
      </c>
      <c r="L173" s="84"/>
      <c r="M173" s="61"/>
      <c r="N173" s="61"/>
      <c r="O173" s="61"/>
      <c r="P173" s="61"/>
      <c r="Q173" s="166" t="str">
        <f t="shared" si="7"/>
        <v/>
      </c>
      <c r="R173" s="84"/>
      <c r="S173" s="61"/>
      <c r="T173" s="61"/>
      <c r="U173" s="61"/>
      <c r="V173" s="167" t="str">
        <f t="shared" si="8"/>
        <v/>
      </c>
    </row>
    <row r="174" spans="1:22">
      <c r="A174" s="58"/>
      <c r="B174" s="58"/>
      <c r="C174" s="58"/>
      <c r="D174" s="58"/>
      <c r="E174" s="58"/>
      <c r="F174" s="62"/>
      <c r="G174" s="63"/>
      <c r="H174" s="84"/>
      <c r="I174" s="61"/>
      <c r="J174" s="61"/>
      <c r="K174" s="71" t="str">
        <f t="shared" si="6"/>
        <v/>
      </c>
      <c r="L174" s="84"/>
      <c r="M174" s="61"/>
      <c r="N174" s="61"/>
      <c r="O174" s="61"/>
      <c r="P174" s="61"/>
      <c r="Q174" s="166" t="str">
        <f t="shared" si="7"/>
        <v/>
      </c>
      <c r="R174" s="84"/>
      <c r="S174" s="61"/>
      <c r="T174" s="61"/>
      <c r="U174" s="61"/>
      <c r="V174" s="167" t="str">
        <f t="shared" si="8"/>
        <v/>
      </c>
    </row>
    <row r="175" spans="1:22">
      <c r="A175" s="58"/>
      <c r="B175" s="58"/>
      <c r="C175" s="58"/>
      <c r="D175" s="58"/>
      <c r="E175" s="58"/>
      <c r="F175" s="62"/>
      <c r="G175" s="63"/>
      <c r="H175" s="84"/>
      <c r="I175" s="61"/>
      <c r="J175" s="61"/>
      <c r="K175" s="71" t="str">
        <f t="shared" si="6"/>
        <v/>
      </c>
      <c r="L175" s="84"/>
      <c r="M175" s="61"/>
      <c r="N175" s="61"/>
      <c r="O175" s="61"/>
      <c r="P175" s="61"/>
      <c r="Q175" s="166" t="str">
        <f t="shared" si="7"/>
        <v/>
      </c>
      <c r="R175" s="84"/>
      <c r="S175" s="61"/>
      <c r="T175" s="61"/>
      <c r="U175" s="61"/>
      <c r="V175" s="167" t="str">
        <f t="shared" si="8"/>
        <v/>
      </c>
    </row>
    <row r="176" spans="1:22">
      <c r="A176" s="58"/>
      <c r="B176" s="58"/>
      <c r="C176" s="58"/>
      <c r="D176" s="58"/>
      <c r="E176" s="58"/>
      <c r="F176" s="62"/>
      <c r="G176" s="63"/>
      <c r="H176" s="84"/>
      <c r="I176" s="61"/>
      <c r="J176" s="61"/>
      <c r="K176" s="71" t="str">
        <f t="shared" si="6"/>
        <v/>
      </c>
      <c r="L176" s="84"/>
      <c r="M176" s="61"/>
      <c r="N176" s="61"/>
      <c r="O176" s="61"/>
      <c r="P176" s="61"/>
      <c r="Q176" s="166" t="str">
        <f t="shared" si="7"/>
        <v/>
      </c>
      <c r="R176" s="84"/>
      <c r="S176" s="61"/>
      <c r="T176" s="61"/>
      <c r="U176" s="61"/>
      <c r="V176" s="167" t="str">
        <f t="shared" si="8"/>
        <v/>
      </c>
    </row>
    <row r="177" spans="1:22">
      <c r="A177" s="58"/>
      <c r="B177" s="58"/>
      <c r="C177" s="58"/>
      <c r="D177" s="58"/>
      <c r="E177" s="58"/>
      <c r="F177" s="62"/>
      <c r="G177" s="63"/>
      <c r="H177" s="84"/>
      <c r="I177" s="61"/>
      <c r="J177" s="61"/>
      <c r="K177" s="71" t="str">
        <f t="shared" si="6"/>
        <v/>
      </c>
      <c r="L177" s="84"/>
      <c r="M177" s="61"/>
      <c r="N177" s="61"/>
      <c r="O177" s="61"/>
      <c r="P177" s="61"/>
      <c r="Q177" s="166" t="str">
        <f t="shared" si="7"/>
        <v/>
      </c>
      <c r="R177" s="84"/>
      <c r="S177" s="61"/>
      <c r="T177" s="61"/>
      <c r="U177" s="61"/>
      <c r="V177" s="167" t="str">
        <f t="shared" si="8"/>
        <v/>
      </c>
    </row>
    <row r="178" spans="1:22">
      <c r="A178" s="58"/>
      <c r="B178" s="58"/>
      <c r="C178" s="58"/>
      <c r="D178" s="58"/>
      <c r="E178" s="58"/>
      <c r="F178" s="62"/>
      <c r="G178" s="63"/>
      <c r="H178" s="84"/>
      <c r="I178" s="61"/>
      <c r="J178" s="61"/>
      <c r="K178" s="71" t="str">
        <f t="shared" si="6"/>
        <v/>
      </c>
      <c r="L178" s="84"/>
      <c r="M178" s="61"/>
      <c r="N178" s="61"/>
      <c r="O178" s="61"/>
      <c r="P178" s="61"/>
      <c r="Q178" s="166" t="str">
        <f t="shared" si="7"/>
        <v/>
      </c>
      <c r="R178" s="84"/>
      <c r="S178" s="61"/>
      <c r="T178" s="61"/>
      <c r="U178" s="61"/>
      <c r="V178" s="167" t="str">
        <f t="shared" si="8"/>
        <v/>
      </c>
    </row>
    <row r="179" spans="1:22">
      <c r="A179" s="58"/>
      <c r="B179" s="58"/>
      <c r="C179" s="58"/>
      <c r="D179" s="58"/>
      <c r="E179" s="58"/>
      <c r="F179" s="62"/>
      <c r="G179" s="63"/>
      <c r="H179" s="84"/>
      <c r="I179" s="61"/>
      <c r="J179" s="61"/>
      <c r="K179" s="71" t="str">
        <f t="shared" si="6"/>
        <v/>
      </c>
      <c r="L179" s="84"/>
      <c r="M179" s="61"/>
      <c r="N179" s="61"/>
      <c r="O179" s="61"/>
      <c r="P179" s="61"/>
      <c r="Q179" s="166" t="str">
        <f t="shared" si="7"/>
        <v/>
      </c>
      <c r="R179" s="84"/>
      <c r="S179" s="61"/>
      <c r="T179" s="61"/>
      <c r="U179" s="61"/>
      <c r="V179" s="167" t="str">
        <f t="shared" si="8"/>
        <v/>
      </c>
    </row>
    <row r="180" spans="1:22">
      <c r="A180" s="58"/>
      <c r="B180" s="58"/>
      <c r="C180" s="58"/>
      <c r="D180" s="58"/>
      <c r="E180" s="58"/>
      <c r="F180" s="62"/>
      <c r="G180" s="63"/>
      <c r="H180" s="84"/>
      <c r="I180" s="61"/>
      <c r="J180" s="61"/>
      <c r="K180" s="71" t="str">
        <f t="shared" si="6"/>
        <v/>
      </c>
      <c r="L180" s="84"/>
      <c r="M180" s="61"/>
      <c r="N180" s="61"/>
      <c r="O180" s="61"/>
      <c r="P180" s="61"/>
      <c r="Q180" s="166" t="str">
        <f t="shared" si="7"/>
        <v/>
      </c>
      <c r="R180" s="84"/>
      <c r="S180" s="61"/>
      <c r="T180" s="61"/>
      <c r="U180" s="61"/>
      <c r="V180" s="167" t="str">
        <f t="shared" si="8"/>
        <v/>
      </c>
    </row>
    <row r="181" spans="1:22">
      <c r="A181" s="58"/>
      <c r="B181" s="58"/>
      <c r="C181" s="58"/>
      <c r="D181" s="58"/>
      <c r="E181" s="58"/>
      <c r="F181" s="62"/>
      <c r="G181" s="63"/>
      <c r="H181" s="84"/>
      <c r="I181" s="61"/>
      <c r="J181" s="61"/>
      <c r="K181" s="71" t="str">
        <f t="shared" si="6"/>
        <v/>
      </c>
      <c r="L181" s="84"/>
      <c r="M181" s="61"/>
      <c r="N181" s="61"/>
      <c r="O181" s="61"/>
      <c r="P181" s="61"/>
      <c r="Q181" s="166" t="str">
        <f t="shared" si="7"/>
        <v/>
      </c>
      <c r="R181" s="84"/>
      <c r="S181" s="61"/>
      <c r="T181" s="61"/>
      <c r="U181" s="61"/>
      <c r="V181" s="167" t="str">
        <f t="shared" si="8"/>
        <v/>
      </c>
    </row>
    <row r="182" spans="1:22">
      <c r="A182" s="58"/>
      <c r="B182" s="58"/>
      <c r="C182" s="58"/>
      <c r="D182" s="58"/>
      <c r="E182" s="58"/>
      <c r="F182" s="62"/>
      <c r="G182" s="63"/>
      <c r="H182" s="84"/>
      <c r="I182" s="61"/>
      <c r="J182" s="61"/>
      <c r="K182" s="71" t="str">
        <f t="shared" si="6"/>
        <v/>
      </c>
      <c r="L182" s="84"/>
      <c r="M182" s="61"/>
      <c r="N182" s="61"/>
      <c r="O182" s="61"/>
      <c r="P182" s="61"/>
      <c r="Q182" s="166" t="str">
        <f t="shared" si="7"/>
        <v/>
      </c>
      <c r="R182" s="84"/>
      <c r="S182" s="61"/>
      <c r="T182" s="61"/>
      <c r="U182" s="61"/>
      <c r="V182" s="167" t="str">
        <f t="shared" si="8"/>
        <v/>
      </c>
    </row>
    <row r="183" spans="1:22">
      <c r="A183" s="58"/>
      <c r="B183" s="58"/>
      <c r="C183" s="58"/>
      <c r="D183" s="58"/>
      <c r="E183" s="58"/>
      <c r="F183" s="62"/>
      <c r="G183" s="63"/>
      <c r="H183" s="84"/>
      <c r="I183" s="61"/>
      <c r="J183" s="61"/>
      <c r="K183" s="71" t="str">
        <f t="shared" si="6"/>
        <v/>
      </c>
      <c r="L183" s="84"/>
      <c r="M183" s="61"/>
      <c r="N183" s="61"/>
      <c r="O183" s="61"/>
      <c r="P183" s="61"/>
      <c r="Q183" s="166" t="str">
        <f t="shared" si="7"/>
        <v/>
      </c>
      <c r="R183" s="84"/>
      <c r="S183" s="61"/>
      <c r="T183" s="61"/>
      <c r="U183" s="61"/>
      <c r="V183" s="167" t="str">
        <f t="shared" si="8"/>
        <v/>
      </c>
    </row>
    <row r="184" spans="1:22">
      <c r="A184" s="58"/>
      <c r="B184" s="58"/>
      <c r="C184" s="58"/>
      <c r="D184" s="58"/>
      <c r="E184" s="58"/>
      <c r="F184" s="62"/>
      <c r="G184" s="63"/>
      <c r="H184" s="84"/>
      <c r="I184" s="61"/>
      <c r="J184" s="61"/>
      <c r="K184" s="71" t="str">
        <f t="shared" si="6"/>
        <v/>
      </c>
      <c r="L184" s="84"/>
      <c r="M184" s="61"/>
      <c r="N184" s="61"/>
      <c r="O184" s="61"/>
      <c r="P184" s="61"/>
      <c r="Q184" s="166" t="str">
        <f t="shared" si="7"/>
        <v/>
      </c>
      <c r="R184" s="84"/>
      <c r="S184" s="61"/>
      <c r="T184" s="61"/>
      <c r="U184" s="61"/>
      <c r="V184" s="167" t="str">
        <f t="shared" si="8"/>
        <v/>
      </c>
    </row>
    <row r="185" spans="1:22">
      <c r="A185" s="58"/>
      <c r="B185" s="58"/>
      <c r="C185" s="58"/>
      <c r="D185" s="58"/>
      <c r="E185" s="58"/>
      <c r="F185" s="62"/>
      <c r="G185" s="63"/>
      <c r="H185" s="84"/>
      <c r="I185" s="61"/>
      <c r="J185" s="61"/>
      <c r="K185" s="71" t="str">
        <f t="shared" si="6"/>
        <v/>
      </c>
      <c r="L185" s="84"/>
      <c r="M185" s="61"/>
      <c r="N185" s="61"/>
      <c r="O185" s="61"/>
      <c r="P185" s="61"/>
      <c r="Q185" s="166" t="str">
        <f t="shared" si="7"/>
        <v/>
      </c>
      <c r="R185" s="84"/>
      <c r="S185" s="61"/>
      <c r="T185" s="61"/>
      <c r="U185" s="61"/>
      <c r="V185" s="167" t="str">
        <f t="shared" si="8"/>
        <v/>
      </c>
    </row>
    <row r="186" spans="1:22">
      <c r="A186" s="58"/>
      <c r="B186" s="58"/>
      <c r="C186" s="58"/>
      <c r="D186" s="58"/>
      <c r="E186" s="58"/>
      <c r="F186" s="62"/>
      <c r="G186" s="63"/>
      <c r="H186" s="84"/>
      <c r="I186" s="61"/>
      <c r="J186" s="61"/>
      <c r="K186" s="71" t="str">
        <f t="shared" si="6"/>
        <v/>
      </c>
      <c r="L186" s="84"/>
      <c r="M186" s="61"/>
      <c r="N186" s="61"/>
      <c r="O186" s="61"/>
      <c r="P186" s="61"/>
      <c r="Q186" s="166" t="str">
        <f t="shared" si="7"/>
        <v/>
      </c>
      <c r="R186" s="84"/>
      <c r="S186" s="61"/>
      <c r="T186" s="61"/>
      <c r="U186" s="61"/>
      <c r="V186" s="167" t="str">
        <f t="shared" si="8"/>
        <v/>
      </c>
    </row>
    <row r="187" spans="1:22">
      <c r="A187" s="58"/>
      <c r="B187" s="58"/>
      <c r="C187" s="58"/>
      <c r="D187" s="58"/>
      <c r="E187" s="58"/>
      <c r="F187" s="62"/>
      <c r="G187" s="63"/>
      <c r="H187" s="84"/>
      <c r="I187" s="61"/>
      <c r="J187" s="61"/>
      <c r="K187" s="71" t="str">
        <f t="shared" si="6"/>
        <v/>
      </c>
      <c r="L187" s="84"/>
      <c r="M187" s="61"/>
      <c r="N187" s="61"/>
      <c r="O187" s="61"/>
      <c r="P187" s="61"/>
      <c r="Q187" s="166" t="str">
        <f t="shared" si="7"/>
        <v/>
      </c>
      <c r="R187" s="84"/>
      <c r="S187" s="61"/>
      <c r="T187" s="61"/>
      <c r="U187" s="61"/>
      <c r="V187" s="167" t="str">
        <f t="shared" si="8"/>
        <v/>
      </c>
    </row>
    <row r="188" spans="1:22">
      <c r="A188" s="58"/>
      <c r="B188" s="58"/>
      <c r="C188" s="58"/>
      <c r="D188" s="58"/>
      <c r="E188" s="58"/>
      <c r="F188" s="62"/>
      <c r="G188" s="63"/>
      <c r="H188" s="84"/>
      <c r="I188" s="61"/>
      <c r="J188" s="61"/>
      <c r="K188" s="71" t="str">
        <f t="shared" si="6"/>
        <v/>
      </c>
      <c r="L188" s="84"/>
      <c r="M188" s="61"/>
      <c r="N188" s="61"/>
      <c r="O188" s="61"/>
      <c r="P188" s="61"/>
      <c r="Q188" s="166" t="str">
        <f t="shared" si="7"/>
        <v/>
      </c>
      <c r="R188" s="84"/>
      <c r="S188" s="61"/>
      <c r="T188" s="61"/>
      <c r="U188" s="61"/>
      <c r="V188" s="167" t="str">
        <f t="shared" si="8"/>
        <v/>
      </c>
    </row>
    <row r="189" spans="1:22">
      <c r="A189" s="58"/>
      <c r="B189" s="58"/>
      <c r="C189" s="58"/>
      <c r="D189" s="58"/>
      <c r="E189" s="58"/>
      <c r="F189" s="62"/>
      <c r="G189" s="63"/>
      <c r="H189" s="84"/>
      <c r="I189" s="61"/>
      <c r="J189" s="61"/>
      <c r="K189" s="71" t="str">
        <f t="shared" si="6"/>
        <v/>
      </c>
      <c r="L189" s="84"/>
      <c r="M189" s="61"/>
      <c r="N189" s="61"/>
      <c r="O189" s="61"/>
      <c r="P189" s="61"/>
      <c r="Q189" s="166" t="str">
        <f t="shared" si="7"/>
        <v/>
      </c>
      <c r="R189" s="84"/>
      <c r="S189" s="61"/>
      <c r="T189" s="61"/>
      <c r="U189" s="61"/>
      <c r="V189" s="167" t="str">
        <f t="shared" si="8"/>
        <v/>
      </c>
    </row>
    <row r="190" spans="1:22">
      <c r="A190" s="58"/>
      <c r="B190" s="58"/>
      <c r="C190" s="58"/>
      <c r="D190" s="58"/>
      <c r="E190" s="58"/>
      <c r="F190" s="62"/>
      <c r="G190" s="63"/>
      <c r="H190" s="84"/>
      <c r="I190" s="61"/>
      <c r="J190" s="61"/>
      <c r="K190" s="71" t="str">
        <f t="shared" si="6"/>
        <v/>
      </c>
      <c r="L190" s="84"/>
      <c r="M190" s="61"/>
      <c r="N190" s="61"/>
      <c r="O190" s="61"/>
      <c r="P190" s="61"/>
      <c r="Q190" s="166" t="str">
        <f t="shared" si="7"/>
        <v/>
      </c>
      <c r="R190" s="84"/>
      <c r="S190" s="61"/>
      <c r="T190" s="61"/>
      <c r="U190" s="61"/>
      <c r="V190" s="167" t="str">
        <f t="shared" si="8"/>
        <v/>
      </c>
    </row>
    <row r="191" spans="1:22">
      <c r="A191" s="58"/>
      <c r="B191" s="58"/>
      <c r="C191" s="58"/>
      <c r="D191" s="58"/>
      <c r="E191" s="58"/>
      <c r="F191" s="62"/>
      <c r="G191" s="63"/>
      <c r="H191" s="84"/>
      <c r="I191" s="61"/>
      <c r="J191" s="61"/>
      <c r="K191" s="71" t="str">
        <f t="shared" si="6"/>
        <v/>
      </c>
      <c r="L191" s="84"/>
      <c r="M191" s="61"/>
      <c r="N191" s="61"/>
      <c r="O191" s="61"/>
      <c r="P191" s="61"/>
      <c r="Q191" s="166" t="str">
        <f t="shared" si="7"/>
        <v/>
      </c>
      <c r="R191" s="84"/>
      <c r="S191" s="61"/>
      <c r="T191" s="61"/>
      <c r="U191" s="61"/>
      <c r="V191" s="167" t="str">
        <f t="shared" si="8"/>
        <v/>
      </c>
    </row>
    <row r="192" spans="1:22">
      <c r="A192" s="58"/>
      <c r="B192" s="58"/>
      <c r="C192" s="58"/>
      <c r="D192" s="58"/>
      <c r="E192" s="58"/>
      <c r="F192" s="62"/>
      <c r="G192" s="63"/>
      <c r="H192" s="84"/>
      <c r="I192" s="61"/>
      <c r="J192" s="61"/>
      <c r="K192" s="71" t="str">
        <f t="shared" si="6"/>
        <v/>
      </c>
      <c r="L192" s="84"/>
      <c r="M192" s="61"/>
      <c r="N192" s="61"/>
      <c r="O192" s="61"/>
      <c r="P192" s="61"/>
      <c r="Q192" s="166" t="str">
        <f t="shared" si="7"/>
        <v/>
      </c>
      <c r="R192" s="84"/>
      <c r="S192" s="61"/>
      <c r="T192" s="61"/>
      <c r="U192" s="61"/>
      <c r="V192" s="167" t="str">
        <f t="shared" si="8"/>
        <v/>
      </c>
    </row>
    <row r="193" spans="1:22">
      <c r="A193" s="58"/>
      <c r="B193" s="58"/>
      <c r="C193" s="58"/>
      <c r="D193" s="58"/>
      <c r="E193" s="58"/>
      <c r="F193" s="62"/>
      <c r="G193" s="63"/>
      <c r="H193" s="84"/>
      <c r="I193" s="61"/>
      <c r="J193" s="61"/>
      <c r="K193" s="71" t="str">
        <f t="shared" si="6"/>
        <v/>
      </c>
      <c r="L193" s="84"/>
      <c r="M193" s="61"/>
      <c r="N193" s="61"/>
      <c r="O193" s="61"/>
      <c r="P193" s="61"/>
      <c r="Q193" s="166" t="str">
        <f t="shared" si="7"/>
        <v/>
      </c>
      <c r="R193" s="84"/>
      <c r="S193" s="61"/>
      <c r="T193" s="61"/>
      <c r="U193" s="61"/>
      <c r="V193" s="167" t="str">
        <f t="shared" si="8"/>
        <v/>
      </c>
    </row>
    <row r="194" spans="1:22">
      <c r="A194" s="58"/>
      <c r="B194" s="58"/>
      <c r="C194" s="58"/>
      <c r="D194" s="58"/>
      <c r="E194" s="58"/>
      <c r="F194" s="62"/>
      <c r="G194" s="63"/>
      <c r="H194" s="84"/>
      <c r="I194" s="61"/>
      <c r="J194" s="61"/>
      <c r="K194" s="71" t="str">
        <f t="shared" si="6"/>
        <v/>
      </c>
      <c r="L194" s="84"/>
      <c r="M194" s="61"/>
      <c r="N194" s="61"/>
      <c r="O194" s="61"/>
      <c r="P194" s="61"/>
      <c r="Q194" s="166" t="str">
        <f t="shared" si="7"/>
        <v/>
      </c>
      <c r="R194" s="84"/>
      <c r="S194" s="61"/>
      <c r="T194" s="61"/>
      <c r="U194" s="61"/>
      <c r="V194" s="167" t="str">
        <f t="shared" si="8"/>
        <v/>
      </c>
    </row>
    <row r="195" spans="1:22">
      <c r="A195" s="58"/>
      <c r="B195" s="58"/>
      <c r="C195" s="58"/>
      <c r="D195" s="58"/>
      <c r="E195" s="58"/>
      <c r="F195" s="62"/>
      <c r="G195" s="63"/>
      <c r="H195" s="84"/>
      <c r="I195" s="61"/>
      <c r="J195" s="61"/>
      <c r="K195" s="71" t="str">
        <f t="shared" si="6"/>
        <v/>
      </c>
      <c r="L195" s="84"/>
      <c r="M195" s="61"/>
      <c r="N195" s="61"/>
      <c r="O195" s="61"/>
      <c r="P195" s="61"/>
      <c r="Q195" s="166" t="str">
        <f t="shared" si="7"/>
        <v/>
      </c>
      <c r="R195" s="84"/>
      <c r="S195" s="61"/>
      <c r="T195" s="61"/>
      <c r="U195" s="61"/>
      <c r="V195" s="167" t="str">
        <f t="shared" si="8"/>
        <v/>
      </c>
    </row>
    <row r="196" spans="1:22">
      <c r="A196" s="58"/>
      <c r="B196" s="58"/>
      <c r="C196" s="58"/>
      <c r="D196" s="58"/>
      <c r="E196" s="58"/>
      <c r="F196" s="62"/>
      <c r="G196" s="63"/>
      <c r="H196" s="84"/>
      <c r="I196" s="61"/>
      <c r="J196" s="61"/>
      <c r="K196" s="71" t="str">
        <f t="shared" si="6"/>
        <v/>
      </c>
      <c r="L196" s="84"/>
      <c r="M196" s="61"/>
      <c r="N196" s="61"/>
      <c r="O196" s="61"/>
      <c r="P196" s="61"/>
      <c r="Q196" s="166" t="str">
        <f t="shared" si="7"/>
        <v/>
      </c>
      <c r="R196" s="84"/>
      <c r="S196" s="61"/>
      <c r="T196" s="61"/>
      <c r="U196" s="61"/>
      <c r="V196" s="167" t="str">
        <f t="shared" si="8"/>
        <v/>
      </c>
    </row>
    <row r="197" spans="1:22">
      <c r="A197" s="58"/>
      <c r="B197" s="58"/>
      <c r="C197" s="58"/>
      <c r="D197" s="58"/>
      <c r="E197" s="58"/>
      <c r="F197" s="62"/>
      <c r="G197" s="63"/>
      <c r="H197" s="84"/>
      <c r="I197" s="61"/>
      <c r="J197" s="61"/>
      <c r="K197" s="71" t="str">
        <f t="shared" ref="K197:K260" si="9">IF($B197="","",SUM($I197:$J197))</f>
        <v/>
      </c>
      <c r="L197" s="84"/>
      <c r="M197" s="61"/>
      <c r="N197" s="61"/>
      <c r="O197" s="61"/>
      <c r="P197" s="61"/>
      <c r="Q197" s="166" t="str">
        <f t="shared" si="7"/>
        <v/>
      </c>
      <c r="R197" s="84"/>
      <c r="S197" s="61"/>
      <c r="T197" s="61"/>
      <c r="U197" s="61"/>
      <c r="V197" s="167" t="str">
        <f t="shared" si="8"/>
        <v/>
      </c>
    </row>
    <row r="198" spans="1:22">
      <c r="A198" s="58"/>
      <c r="B198" s="58"/>
      <c r="C198" s="58"/>
      <c r="D198" s="58"/>
      <c r="E198" s="58"/>
      <c r="F198" s="62"/>
      <c r="G198" s="63"/>
      <c r="H198" s="84"/>
      <c r="I198" s="61"/>
      <c r="J198" s="61"/>
      <c r="K198" s="71" t="str">
        <f t="shared" si="9"/>
        <v/>
      </c>
      <c r="L198" s="84"/>
      <c r="M198" s="61"/>
      <c r="N198" s="61"/>
      <c r="O198" s="61"/>
      <c r="P198" s="61"/>
      <c r="Q198" s="166" t="str">
        <f t="shared" ref="Q198:Q261" si="10">IF($L198="","",SUM($M198:$P198))</f>
        <v/>
      </c>
      <c r="R198" s="84"/>
      <c r="S198" s="61"/>
      <c r="T198" s="61"/>
      <c r="U198" s="61"/>
      <c r="V198" s="167" t="str">
        <f t="shared" ref="V198:V261" si="11">IF($R198="","",SUM($S198:$U198))</f>
        <v/>
      </c>
    </row>
    <row r="199" spans="1:22">
      <c r="A199" s="58"/>
      <c r="B199" s="58"/>
      <c r="C199" s="58"/>
      <c r="D199" s="58"/>
      <c r="E199" s="58"/>
      <c r="F199" s="62"/>
      <c r="G199" s="63"/>
      <c r="H199" s="84"/>
      <c r="I199" s="61"/>
      <c r="J199" s="61"/>
      <c r="K199" s="71" t="str">
        <f t="shared" si="9"/>
        <v/>
      </c>
      <c r="L199" s="84"/>
      <c r="M199" s="61"/>
      <c r="N199" s="61"/>
      <c r="O199" s="61"/>
      <c r="P199" s="61"/>
      <c r="Q199" s="166" t="str">
        <f t="shared" si="10"/>
        <v/>
      </c>
      <c r="R199" s="84"/>
      <c r="S199" s="61"/>
      <c r="T199" s="61"/>
      <c r="U199" s="61"/>
      <c r="V199" s="167" t="str">
        <f t="shared" si="11"/>
        <v/>
      </c>
    </row>
    <row r="200" spans="1:22">
      <c r="A200" s="58"/>
      <c r="B200" s="58"/>
      <c r="C200" s="58"/>
      <c r="D200" s="58"/>
      <c r="E200" s="58"/>
      <c r="F200" s="62"/>
      <c r="G200" s="63"/>
      <c r="H200" s="84"/>
      <c r="I200" s="61"/>
      <c r="J200" s="61"/>
      <c r="K200" s="71" t="str">
        <f t="shared" si="9"/>
        <v/>
      </c>
      <c r="L200" s="84"/>
      <c r="M200" s="61"/>
      <c r="N200" s="61"/>
      <c r="O200" s="61"/>
      <c r="P200" s="61"/>
      <c r="Q200" s="166" t="str">
        <f t="shared" si="10"/>
        <v/>
      </c>
      <c r="R200" s="84"/>
      <c r="S200" s="61"/>
      <c r="T200" s="61"/>
      <c r="U200" s="61"/>
      <c r="V200" s="167" t="str">
        <f t="shared" si="11"/>
        <v/>
      </c>
    </row>
    <row r="201" spans="1:22">
      <c r="A201" s="58"/>
      <c r="B201" s="58"/>
      <c r="C201" s="58"/>
      <c r="D201" s="58"/>
      <c r="E201" s="58"/>
      <c r="F201" s="62"/>
      <c r="G201" s="63"/>
      <c r="H201" s="84"/>
      <c r="I201" s="61"/>
      <c r="J201" s="61"/>
      <c r="K201" s="71" t="str">
        <f t="shared" si="9"/>
        <v/>
      </c>
      <c r="L201" s="84"/>
      <c r="M201" s="61"/>
      <c r="N201" s="61"/>
      <c r="O201" s="61"/>
      <c r="P201" s="61"/>
      <c r="Q201" s="166" t="str">
        <f t="shared" si="10"/>
        <v/>
      </c>
      <c r="R201" s="84"/>
      <c r="S201" s="61"/>
      <c r="T201" s="61"/>
      <c r="U201" s="61"/>
      <c r="V201" s="167" t="str">
        <f t="shared" si="11"/>
        <v/>
      </c>
    </row>
    <row r="202" spans="1:22">
      <c r="A202" s="58"/>
      <c r="B202" s="58"/>
      <c r="C202" s="58"/>
      <c r="D202" s="58"/>
      <c r="E202" s="58"/>
      <c r="F202" s="62"/>
      <c r="G202" s="63"/>
      <c r="H202" s="84"/>
      <c r="I202" s="61"/>
      <c r="J202" s="61"/>
      <c r="K202" s="71" t="str">
        <f t="shared" si="9"/>
        <v/>
      </c>
      <c r="L202" s="84"/>
      <c r="M202" s="61"/>
      <c r="N202" s="61"/>
      <c r="O202" s="61"/>
      <c r="P202" s="61"/>
      <c r="Q202" s="166" t="str">
        <f t="shared" si="10"/>
        <v/>
      </c>
      <c r="R202" s="84"/>
      <c r="S202" s="61"/>
      <c r="T202" s="61"/>
      <c r="U202" s="61"/>
      <c r="V202" s="167" t="str">
        <f t="shared" si="11"/>
        <v/>
      </c>
    </row>
    <row r="203" spans="1:22">
      <c r="A203" s="58"/>
      <c r="B203" s="58"/>
      <c r="C203" s="58"/>
      <c r="D203" s="58"/>
      <c r="E203" s="58"/>
      <c r="F203" s="62"/>
      <c r="G203" s="63"/>
      <c r="H203" s="84"/>
      <c r="I203" s="61"/>
      <c r="J203" s="61"/>
      <c r="K203" s="71" t="str">
        <f t="shared" si="9"/>
        <v/>
      </c>
      <c r="L203" s="84"/>
      <c r="M203" s="61"/>
      <c r="N203" s="61"/>
      <c r="O203" s="61"/>
      <c r="P203" s="61"/>
      <c r="Q203" s="166" t="str">
        <f t="shared" si="10"/>
        <v/>
      </c>
      <c r="R203" s="84"/>
      <c r="S203" s="61"/>
      <c r="T203" s="61"/>
      <c r="U203" s="61"/>
      <c r="V203" s="167" t="str">
        <f t="shared" si="11"/>
        <v/>
      </c>
    </row>
    <row r="204" spans="1:22">
      <c r="A204" s="58"/>
      <c r="B204" s="58"/>
      <c r="C204" s="58"/>
      <c r="D204" s="58"/>
      <c r="E204" s="58"/>
      <c r="F204" s="62"/>
      <c r="G204" s="63"/>
      <c r="H204" s="84"/>
      <c r="I204" s="61"/>
      <c r="J204" s="61"/>
      <c r="K204" s="71" t="str">
        <f t="shared" si="9"/>
        <v/>
      </c>
      <c r="L204" s="84"/>
      <c r="M204" s="61"/>
      <c r="N204" s="61"/>
      <c r="O204" s="61"/>
      <c r="P204" s="61"/>
      <c r="Q204" s="166" t="str">
        <f t="shared" si="10"/>
        <v/>
      </c>
      <c r="R204" s="84"/>
      <c r="S204" s="61"/>
      <c r="T204" s="61"/>
      <c r="U204" s="61"/>
      <c r="V204" s="167" t="str">
        <f t="shared" si="11"/>
        <v/>
      </c>
    </row>
    <row r="205" spans="1:22">
      <c r="A205" s="58"/>
      <c r="B205" s="58"/>
      <c r="C205" s="58"/>
      <c r="D205" s="58"/>
      <c r="E205" s="58"/>
      <c r="F205" s="62"/>
      <c r="G205" s="63"/>
      <c r="H205" s="84"/>
      <c r="I205" s="61"/>
      <c r="J205" s="61"/>
      <c r="K205" s="71" t="str">
        <f t="shared" si="9"/>
        <v/>
      </c>
      <c r="L205" s="84"/>
      <c r="M205" s="61"/>
      <c r="N205" s="61"/>
      <c r="O205" s="61"/>
      <c r="P205" s="61"/>
      <c r="Q205" s="166" t="str">
        <f t="shared" si="10"/>
        <v/>
      </c>
      <c r="R205" s="84"/>
      <c r="S205" s="61"/>
      <c r="T205" s="61"/>
      <c r="U205" s="61"/>
      <c r="V205" s="167" t="str">
        <f t="shared" si="11"/>
        <v/>
      </c>
    </row>
    <row r="206" spans="1:22">
      <c r="A206" s="58"/>
      <c r="B206" s="58"/>
      <c r="C206" s="58"/>
      <c r="D206" s="58"/>
      <c r="E206" s="58"/>
      <c r="F206" s="62"/>
      <c r="G206" s="63"/>
      <c r="H206" s="84"/>
      <c r="I206" s="61"/>
      <c r="J206" s="61"/>
      <c r="K206" s="71" t="str">
        <f t="shared" si="9"/>
        <v/>
      </c>
      <c r="L206" s="84"/>
      <c r="M206" s="61"/>
      <c r="N206" s="61"/>
      <c r="O206" s="61"/>
      <c r="P206" s="61"/>
      <c r="Q206" s="166" t="str">
        <f t="shared" si="10"/>
        <v/>
      </c>
      <c r="R206" s="84"/>
      <c r="S206" s="61"/>
      <c r="T206" s="61"/>
      <c r="U206" s="61"/>
      <c r="V206" s="167" t="str">
        <f t="shared" si="11"/>
        <v/>
      </c>
    </row>
    <row r="207" spans="1:22">
      <c r="A207" s="58"/>
      <c r="B207" s="58"/>
      <c r="C207" s="58"/>
      <c r="D207" s="58"/>
      <c r="E207" s="58"/>
      <c r="F207" s="62"/>
      <c r="G207" s="63"/>
      <c r="H207" s="84"/>
      <c r="I207" s="61"/>
      <c r="J207" s="61"/>
      <c r="K207" s="71" t="str">
        <f t="shared" si="9"/>
        <v/>
      </c>
      <c r="L207" s="84"/>
      <c r="M207" s="61"/>
      <c r="N207" s="61"/>
      <c r="O207" s="61"/>
      <c r="P207" s="61"/>
      <c r="Q207" s="166" t="str">
        <f t="shared" si="10"/>
        <v/>
      </c>
      <c r="R207" s="84"/>
      <c r="S207" s="61"/>
      <c r="T207" s="61"/>
      <c r="U207" s="61"/>
      <c r="V207" s="167" t="str">
        <f t="shared" si="11"/>
        <v/>
      </c>
    </row>
    <row r="208" spans="1:22">
      <c r="A208" s="58"/>
      <c r="B208" s="58"/>
      <c r="C208" s="58"/>
      <c r="D208" s="58"/>
      <c r="E208" s="58"/>
      <c r="F208" s="62"/>
      <c r="G208" s="63"/>
      <c r="H208" s="84"/>
      <c r="I208" s="61"/>
      <c r="J208" s="61"/>
      <c r="K208" s="71" t="str">
        <f t="shared" si="9"/>
        <v/>
      </c>
      <c r="L208" s="84"/>
      <c r="M208" s="61"/>
      <c r="N208" s="61"/>
      <c r="O208" s="61"/>
      <c r="P208" s="61"/>
      <c r="Q208" s="166" t="str">
        <f t="shared" si="10"/>
        <v/>
      </c>
      <c r="R208" s="84"/>
      <c r="S208" s="61"/>
      <c r="T208" s="61"/>
      <c r="U208" s="61"/>
      <c r="V208" s="167" t="str">
        <f t="shared" si="11"/>
        <v/>
      </c>
    </row>
    <row r="209" spans="1:22">
      <c r="A209" s="58"/>
      <c r="B209" s="58"/>
      <c r="C209" s="58"/>
      <c r="D209" s="58"/>
      <c r="E209" s="58"/>
      <c r="F209" s="62"/>
      <c r="G209" s="63"/>
      <c r="H209" s="84"/>
      <c r="I209" s="61"/>
      <c r="J209" s="61"/>
      <c r="K209" s="71" t="str">
        <f t="shared" si="9"/>
        <v/>
      </c>
      <c r="L209" s="84"/>
      <c r="M209" s="61"/>
      <c r="N209" s="61"/>
      <c r="O209" s="61"/>
      <c r="P209" s="61"/>
      <c r="Q209" s="166" t="str">
        <f t="shared" si="10"/>
        <v/>
      </c>
      <c r="R209" s="84"/>
      <c r="S209" s="61"/>
      <c r="T209" s="61"/>
      <c r="U209" s="61"/>
      <c r="V209" s="167" t="str">
        <f t="shared" si="11"/>
        <v/>
      </c>
    </row>
    <row r="210" spans="1:22">
      <c r="A210" s="58"/>
      <c r="B210" s="58"/>
      <c r="C210" s="58"/>
      <c r="D210" s="58"/>
      <c r="E210" s="58"/>
      <c r="F210" s="62"/>
      <c r="G210" s="63"/>
      <c r="H210" s="84"/>
      <c r="I210" s="61"/>
      <c r="J210" s="61"/>
      <c r="K210" s="71" t="str">
        <f t="shared" si="9"/>
        <v/>
      </c>
      <c r="L210" s="84"/>
      <c r="M210" s="61"/>
      <c r="N210" s="61"/>
      <c r="O210" s="61"/>
      <c r="P210" s="61"/>
      <c r="Q210" s="166" t="str">
        <f t="shared" si="10"/>
        <v/>
      </c>
      <c r="R210" s="84"/>
      <c r="S210" s="61"/>
      <c r="T210" s="61"/>
      <c r="U210" s="61"/>
      <c r="V210" s="167" t="str">
        <f t="shared" si="11"/>
        <v/>
      </c>
    </row>
    <row r="211" spans="1:22">
      <c r="A211" s="58"/>
      <c r="B211" s="58"/>
      <c r="C211" s="58"/>
      <c r="D211" s="58"/>
      <c r="E211" s="58"/>
      <c r="F211" s="62"/>
      <c r="G211" s="63"/>
      <c r="H211" s="84"/>
      <c r="I211" s="61"/>
      <c r="J211" s="61"/>
      <c r="K211" s="71" t="str">
        <f t="shared" si="9"/>
        <v/>
      </c>
      <c r="L211" s="84"/>
      <c r="M211" s="61"/>
      <c r="N211" s="61"/>
      <c r="O211" s="61"/>
      <c r="P211" s="61"/>
      <c r="Q211" s="166" t="str">
        <f t="shared" si="10"/>
        <v/>
      </c>
      <c r="R211" s="84"/>
      <c r="S211" s="61"/>
      <c r="T211" s="61"/>
      <c r="U211" s="61"/>
      <c r="V211" s="167" t="str">
        <f t="shared" si="11"/>
        <v/>
      </c>
    </row>
    <row r="212" spans="1:22">
      <c r="A212" s="58"/>
      <c r="B212" s="58"/>
      <c r="C212" s="58"/>
      <c r="D212" s="58"/>
      <c r="E212" s="58"/>
      <c r="F212" s="62"/>
      <c r="G212" s="63"/>
      <c r="H212" s="84"/>
      <c r="I212" s="61"/>
      <c r="J212" s="61"/>
      <c r="K212" s="71" t="str">
        <f t="shared" si="9"/>
        <v/>
      </c>
      <c r="L212" s="84"/>
      <c r="M212" s="61"/>
      <c r="N212" s="61"/>
      <c r="O212" s="61"/>
      <c r="P212" s="61"/>
      <c r="Q212" s="166" t="str">
        <f t="shared" si="10"/>
        <v/>
      </c>
      <c r="R212" s="84"/>
      <c r="S212" s="61"/>
      <c r="T212" s="61"/>
      <c r="U212" s="61"/>
      <c r="V212" s="167" t="str">
        <f t="shared" si="11"/>
        <v/>
      </c>
    </row>
    <row r="213" spans="1:22">
      <c r="A213" s="58"/>
      <c r="B213" s="58"/>
      <c r="C213" s="58"/>
      <c r="D213" s="58"/>
      <c r="E213" s="58"/>
      <c r="F213" s="62"/>
      <c r="G213" s="63"/>
      <c r="H213" s="84"/>
      <c r="I213" s="61"/>
      <c r="J213" s="61"/>
      <c r="K213" s="71" t="str">
        <f t="shared" si="9"/>
        <v/>
      </c>
      <c r="L213" s="84"/>
      <c r="M213" s="61"/>
      <c r="N213" s="61"/>
      <c r="O213" s="61"/>
      <c r="P213" s="61"/>
      <c r="Q213" s="166" t="str">
        <f t="shared" si="10"/>
        <v/>
      </c>
      <c r="R213" s="84"/>
      <c r="S213" s="61"/>
      <c r="T213" s="61"/>
      <c r="U213" s="61"/>
      <c r="V213" s="167" t="str">
        <f t="shared" si="11"/>
        <v/>
      </c>
    </row>
    <row r="214" spans="1:22">
      <c r="A214" s="58"/>
      <c r="B214" s="58"/>
      <c r="C214" s="58"/>
      <c r="D214" s="58"/>
      <c r="E214" s="58"/>
      <c r="F214" s="62"/>
      <c r="G214" s="63"/>
      <c r="H214" s="84"/>
      <c r="I214" s="61"/>
      <c r="J214" s="61"/>
      <c r="K214" s="71" t="str">
        <f t="shared" si="9"/>
        <v/>
      </c>
      <c r="L214" s="84"/>
      <c r="M214" s="61"/>
      <c r="N214" s="61"/>
      <c r="O214" s="61"/>
      <c r="P214" s="61"/>
      <c r="Q214" s="166" t="str">
        <f t="shared" si="10"/>
        <v/>
      </c>
      <c r="R214" s="84"/>
      <c r="S214" s="61"/>
      <c r="T214" s="61"/>
      <c r="U214" s="61"/>
      <c r="V214" s="167" t="str">
        <f t="shared" si="11"/>
        <v/>
      </c>
    </row>
    <row r="215" spans="1:22">
      <c r="A215" s="58"/>
      <c r="B215" s="58"/>
      <c r="C215" s="58"/>
      <c r="D215" s="58"/>
      <c r="E215" s="58"/>
      <c r="F215" s="62"/>
      <c r="G215" s="63"/>
      <c r="H215" s="84"/>
      <c r="I215" s="61"/>
      <c r="J215" s="61"/>
      <c r="K215" s="71" t="str">
        <f t="shared" si="9"/>
        <v/>
      </c>
      <c r="L215" s="84"/>
      <c r="M215" s="61"/>
      <c r="N215" s="61"/>
      <c r="O215" s="61"/>
      <c r="P215" s="61"/>
      <c r="Q215" s="166" t="str">
        <f t="shared" si="10"/>
        <v/>
      </c>
      <c r="R215" s="84"/>
      <c r="S215" s="61"/>
      <c r="T215" s="61"/>
      <c r="U215" s="61"/>
      <c r="V215" s="167" t="str">
        <f t="shared" si="11"/>
        <v/>
      </c>
    </row>
    <row r="216" spans="1:22">
      <c r="A216" s="58"/>
      <c r="B216" s="58"/>
      <c r="C216" s="58"/>
      <c r="D216" s="58"/>
      <c r="E216" s="58"/>
      <c r="F216" s="62"/>
      <c r="G216" s="63"/>
      <c r="H216" s="84"/>
      <c r="I216" s="61"/>
      <c r="J216" s="61"/>
      <c r="K216" s="71" t="str">
        <f t="shared" si="9"/>
        <v/>
      </c>
      <c r="L216" s="84"/>
      <c r="M216" s="61"/>
      <c r="N216" s="61"/>
      <c r="O216" s="61"/>
      <c r="P216" s="61"/>
      <c r="Q216" s="166" t="str">
        <f t="shared" si="10"/>
        <v/>
      </c>
      <c r="R216" s="84"/>
      <c r="S216" s="61"/>
      <c r="T216" s="61"/>
      <c r="U216" s="61"/>
      <c r="V216" s="167" t="str">
        <f t="shared" si="11"/>
        <v/>
      </c>
    </row>
    <row r="217" spans="1:22">
      <c r="A217" s="58"/>
      <c r="B217" s="58"/>
      <c r="C217" s="58"/>
      <c r="D217" s="58"/>
      <c r="E217" s="58"/>
      <c r="F217" s="62"/>
      <c r="G217" s="63"/>
      <c r="H217" s="84"/>
      <c r="I217" s="61"/>
      <c r="J217" s="61"/>
      <c r="K217" s="71" t="str">
        <f t="shared" si="9"/>
        <v/>
      </c>
      <c r="L217" s="84"/>
      <c r="M217" s="61"/>
      <c r="N217" s="61"/>
      <c r="O217" s="61"/>
      <c r="P217" s="61"/>
      <c r="Q217" s="166" t="str">
        <f t="shared" si="10"/>
        <v/>
      </c>
      <c r="R217" s="84"/>
      <c r="S217" s="61"/>
      <c r="T217" s="61"/>
      <c r="U217" s="61"/>
      <c r="V217" s="167" t="str">
        <f t="shared" si="11"/>
        <v/>
      </c>
    </row>
    <row r="218" spans="1:22">
      <c r="A218" s="58"/>
      <c r="B218" s="58"/>
      <c r="C218" s="58"/>
      <c r="D218" s="58"/>
      <c r="E218" s="58"/>
      <c r="F218" s="62"/>
      <c r="G218" s="63"/>
      <c r="H218" s="84"/>
      <c r="I218" s="61"/>
      <c r="J218" s="61"/>
      <c r="K218" s="71" t="str">
        <f t="shared" si="9"/>
        <v/>
      </c>
      <c r="L218" s="84"/>
      <c r="M218" s="61"/>
      <c r="N218" s="61"/>
      <c r="O218" s="61"/>
      <c r="P218" s="61"/>
      <c r="Q218" s="166" t="str">
        <f t="shared" si="10"/>
        <v/>
      </c>
      <c r="R218" s="84"/>
      <c r="S218" s="61"/>
      <c r="T218" s="61"/>
      <c r="U218" s="61"/>
      <c r="V218" s="167" t="str">
        <f t="shared" si="11"/>
        <v/>
      </c>
    </row>
    <row r="219" spans="1:22">
      <c r="A219" s="58"/>
      <c r="B219" s="58"/>
      <c r="C219" s="58"/>
      <c r="D219" s="58"/>
      <c r="E219" s="58"/>
      <c r="F219" s="62"/>
      <c r="G219" s="63"/>
      <c r="H219" s="84"/>
      <c r="I219" s="61"/>
      <c r="J219" s="61"/>
      <c r="K219" s="71" t="str">
        <f t="shared" si="9"/>
        <v/>
      </c>
      <c r="L219" s="84"/>
      <c r="M219" s="61"/>
      <c r="N219" s="61"/>
      <c r="O219" s="61"/>
      <c r="P219" s="61"/>
      <c r="Q219" s="166" t="str">
        <f t="shared" si="10"/>
        <v/>
      </c>
      <c r="R219" s="84"/>
      <c r="S219" s="61"/>
      <c r="T219" s="61"/>
      <c r="U219" s="61"/>
      <c r="V219" s="167" t="str">
        <f t="shared" si="11"/>
        <v/>
      </c>
    </row>
    <row r="220" spans="1:22">
      <c r="A220" s="58"/>
      <c r="B220" s="58"/>
      <c r="C220" s="58"/>
      <c r="D220" s="58"/>
      <c r="E220" s="58"/>
      <c r="F220" s="62"/>
      <c r="G220" s="63"/>
      <c r="H220" s="84"/>
      <c r="I220" s="61"/>
      <c r="J220" s="61"/>
      <c r="K220" s="71" t="str">
        <f t="shared" si="9"/>
        <v/>
      </c>
      <c r="L220" s="84"/>
      <c r="M220" s="61"/>
      <c r="N220" s="61"/>
      <c r="O220" s="61"/>
      <c r="P220" s="61"/>
      <c r="Q220" s="166" t="str">
        <f t="shared" si="10"/>
        <v/>
      </c>
      <c r="R220" s="84"/>
      <c r="S220" s="61"/>
      <c r="T220" s="61"/>
      <c r="U220" s="61"/>
      <c r="V220" s="167" t="str">
        <f t="shared" si="11"/>
        <v/>
      </c>
    </row>
    <row r="221" spans="1:22">
      <c r="A221" s="58"/>
      <c r="B221" s="58"/>
      <c r="C221" s="58"/>
      <c r="D221" s="58"/>
      <c r="E221" s="58"/>
      <c r="F221" s="62"/>
      <c r="G221" s="63"/>
      <c r="H221" s="84"/>
      <c r="I221" s="61"/>
      <c r="J221" s="61"/>
      <c r="K221" s="71" t="str">
        <f t="shared" si="9"/>
        <v/>
      </c>
      <c r="L221" s="84"/>
      <c r="M221" s="61"/>
      <c r="N221" s="61"/>
      <c r="O221" s="61"/>
      <c r="P221" s="61"/>
      <c r="Q221" s="166" t="str">
        <f t="shared" si="10"/>
        <v/>
      </c>
      <c r="R221" s="84"/>
      <c r="S221" s="61"/>
      <c r="T221" s="61"/>
      <c r="U221" s="61"/>
      <c r="V221" s="167" t="str">
        <f t="shared" si="11"/>
        <v/>
      </c>
    </row>
    <row r="222" spans="1:22">
      <c r="A222" s="58"/>
      <c r="B222" s="58"/>
      <c r="C222" s="58"/>
      <c r="D222" s="58"/>
      <c r="E222" s="58"/>
      <c r="F222" s="62"/>
      <c r="G222" s="63"/>
      <c r="H222" s="84"/>
      <c r="I222" s="61"/>
      <c r="J222" s="61"/>
      <c r="K222" s="71" t="str">
        <f t="shared" si="9"/>
        <v/>
      </c>
      <c r="L222" s="84"/>
      <c r="M222" s="61"/>
      <c r="N222" s="61"/>
      <c r="O222" s="61"/>
      <c r="P222" s="61"/>
      <c r="Q222" s="166" t="str">
        <f t="shared" si="10"/>
        <v/>
      </c>
      <c r="R222" s="84"/>
      <c r="S222" s="61"/>
      <c r="T222" s="61"/>
      <c r="U222" s="61"/>
      <c r="V222" s="167" t="str">
        <f t="shared" si="11"/>
        <v/>
      </c>
    </row>
    <row r="223" spans="1:22">
      <c r="A223" s="58"/>
      <c r="B223" s="58"/>
      <c r="C223" s="58"/>
      <c r="D223" s="58"/>
      <c r="E223" s="58"/>
      <c r="F223" s="62"/>
      <c r="G223" s="63"/>
      <c r="H223" s="84"/>
      <c r="I223" s="61"/>
      <c r="J223" s="61"/>
      <c r="K223" s="71" t="str">
        <f t="shared" si="9"/>
        <v/>
      </c>
      <c r="L223" s="84"/>
      <c r="M223" s="61"/>
      <c r="N223" s="61"/>
      <c r="O223" s="61"/>
      <c r="P223" s="61"/>
      <c r="Q223" s="166" t="str">
        <f t="shared" si="10"/>
        <v/>
      </c>
      <c r="R223" s="84"/>
      <c r="S223" s="61"/>
      <c r="T223" s="61"/>
      <c r="U223" s="61"/>
      <c r="V223" s="167" t="str">
        <f t="shared" si="11"/>
        <v/>
      </c>
    </row>
    <row r="224" spans="1:22">
      <c r="A224" s="58"/>
      <c r="B224" s="58"/>
      <c r="C224" s="58"/>
      <c r="D224" s="58"/>
      <c r="E224" s="58"/>
      <c r="F224" s="62"/>
      <c r="G224" s="63"/>
      <c r="H224" s="84"/>
      <c r="I224" s="61"/>
      <c r="J224" s="61"/>
      <c r="K224" s="71" t="str">
        <f t="shared" si="9"/>
        <v/>
      </c>
      <c r="L224" s="84"/>
      <c r="M224" s="61"/>
      <c r="N224" s="61"/>
      <c r="O224" s="61"/>
      <c r="P224" s="61"/>
      <c r="Q224" s="166" t="str">
        <f t="shared" si="10"/>
        <v/>
      </c>
      <c r="R224" s="84"/>
      <c r="S224" s="61"/>
      <c r="T224" s="61"/>
      <c r="U224" s="61"/>
      <c r="V224" s="167" t="str">
        <f t="shared" si="11"/>
        <v/>
      </c>
    </row>
    <row r="225" spans="1:22">
      <c r="A225" s="58"/>
      <c r="B225" s="58"/>
      <c r="C225" s="58"/>
      <c r="D225" s="58"/>
      <c r="E225" s="58"/>
      <c r="F225" s="62"/>
      <c r="G225" s="63"/>
      <c r="H225" s="84"/>
      <c r="I225" s="61"/>
      <c r="J225" s="61"/>
      <c r="K225" s="71" t="str">
        <f t="shared" si="9"/>
        <v/>
      </c>
      <c r="L225" s="84"/>
      <c r="M225" s="61"/>
      <c r="N225" s="61"/>
      <c r="O225" s="61"/>
      <c r="P225" s="61"/>
      <c r="Q225" s="166" t="str">
        <f t="shared" si="10"/>
        <v/>
      </c>
      <c r="R225" s="84"/>
      <c r="S225" s="61"/>
      <c r="T225" s="61"/>
      <c r="U225" s="61"/>
      <c r="V225" s="167" t="str">
        <f t="shared" si="11"/>
        <v/>
      </c>
    </row>
    <row r="226" spans="1:22">
      <c r="A226" s="58"/>
      <c r="B226" s="58"/>
      <c r="C226" s="58"/>
      <c r="D226" s="58"/>
      <c r="E226" s="58"/>
      <c r="F226" s="62"/>
      <c r="G226" s="63"/>
      <c r="H226" s="84"/>
      <c r="I226" s="61"/>
      <c r="J226" s="61"/>
      <c r="K226" s="71" t="str">
        <f t="shared" si="9"/>
        <v/>
      </c>
      <c r="L226" s="84"/>
      <c r="M226" s="61"/>
      <c r="N226" s="61"/>
      <c r="O226" s="61"/>
      <c r="P226" s="61"/>
      <c r="Q226" s="166" t="str">
        <f t="shared" si="10"/>
        <v/>
      </c>
      <c r="R226" s="84"/>
      <c r="S226" s="61"/>
      <c r="T226" s="61"/>
      <c r="U226" s="61"/>
      <c r="V226" s="167" t="str">
        <f t="shared" si="11"/>
        <v/>
      </c>
    </row>
    <row r="227" spans="1:22">
      <c r="A227" s="58"/>
      <c r="B227" s="58"/>
      <c r="C227" s="58"/>
      <c r="D227" s="58"/>
      <c r="E227" s="58"/>
      <c r="F227" s="62"/>
      <c r="G227" s="63"/>
      <c r="H227" s="84"/>
      <c r="I227" s="61"/>
      <c r="J227" s="61"/>
      <c r="K227" s="71" t="str">
        <f t="shared" si="9"/>
        <v/>
      </c>
      <c r="L227" s="84"/>
      <c r="M227" s="61"/>
      <c r="N227" s="61"/>
      <c r="O227" s="61"/>
      <c r="P227" s="61"/>
      <c r="Q227" s="166" t="str">
        <f t="shared" si="10"/>
        <v/>
      </c>
      <c r="R227" s="84"/>
      <c r="S227" s="61"/>
      <c r="T227" s="61"/>
      <c r="U227" s="61"/>
      <c r="V227" s="167" t="str">
        <f t="shared" si="11"/>
        <v/>
      </c>
    </row>
    <row r="228" spans="1:22">
      <c r="A228" s="58"/>
      <c r="B228" s="58"/>
      <c r="C228" s="58"/>
      <c r="D228" s="58"/>
      <c r="E228" s="58"/>
      <c r="F228" s="62"/>
      <c r="G228" s="63"/>
      <c r="H228" s="84"/>
      <c r="I228" s="61"/>
      <c r="J228" s="61"/>
      <c r="K228" s="71" t="str">
        <f t="shared" si="9"/>
        <v/>
      </c>
      <c r="L228" s="84"/>
      <c r="M228" s="61"/>
      <c r="N228" s="61"/>
      <c r="O228" s="61"/>
      <c r="P228" s="61"/>
      <c r="Q228" s="166" t="str">
        <f t="shared" si="10"/>
        <v/>
      </c>
      <c r="R228" s="84"/>
      <c r="S228" s="61"/>
      <c r="T228" s="61"/>
      <c r="U228" s="61"/>
      <c r="V228" s="167" t="str">
        <f t="shared" si="11"/>
        <v/>
      </c>
    </row>
    <row r="229" spans="1:22">
      <c r="A229" s="58"/>
      <c r="B229" s="58"/>
      <c r="C229" s="58"/>
      <c r="D229" s="58"/>
      <c r="E229" s="58"/>
      <c r="F229" s="62"/>
      <c r="G229" s="63"/>
      <c r="H229" s="84"/>
      <c r="I229" s="61"/>
      <c r="J229" s="61"/>
      <c r="K229" s="71" t="str">
        <f t="shared" si="9"/>
        <v/>
      </c>
      <c r="L229" s="84"/>
      <c r="M229" s="61"/>
      <c r="N229" s="61"/>
      <c r="O229" s="61"/>
      <c r="P229" s="61"/>
      <c r="Q229" s="166" t="str">
        <f t="shared" si="10"/>
        <v/>
      </c>
      <c r="R229" s="84"/>
      <c r="S229" s="61"/>
      <c r="T229" s="61"/>
      <c r="U229" s="61"/>
      <c r="V229" s="167" t="str">
        <f t="shared" si="11"/>
        <v/>
      </c>
    </row>
    <row r="230" spans="1:22">
      <c r="A230" s="58"/>
      <c r="B230" s="58"/>
      <c r="C230" s="58"/>
      <c r="D230" s="58"/>
      <c r="E230" s="58"/>
      <c r="F230" s="62"/>
      <c r="G230" s="63"/>
      <c r="H230" s="84"/>
      <c r="I230" s="61"/>
      <c r="J230" s="61"/>
      <c r="K230" s="71" t="str">
        <f t="shared" si="9"/>
        <v/>
      </c>
      <c r="L230" s="84"/>
      <c r="M230" s="61"/>
      <c r="N230" s="61"/>
      <c r="O230" s="61"/>
      <c r="P230" s="61"/>
      <c r="Q230" s="166" t="str">
        <f t="shared" si="10"/>
        <v/>
      </c>
      <c r="R230" s="84"/>
      <c r="S230" s="61"/>
      <c r="T230" s="61"/>
      <c r="U230" s="61"/>
      <c r="V230" s="167" t="str">
        <f t="shared" si="11"/>
        <v/>
      </c>
    </row>
    <row r="231" spans="1:22">
      <c r="A231" s="58"/>
      <c r="B231" s="58"/>
      <c r="C231" s="58"/>
      <c r="D231" s="58"/>
      <c r="E231" s="58"/>
      <c r="F231" s="62"/>
      <c r="G231" s="63"/>
      <c r="H231" s="84"/>
      <c r="I231" s="61"/>
      <c r="J231" s="61"/>
      <c r="K231" s="71" t="str">
        <f t="shared" si="9"/>
        <v/>
      </c>
      <c r="L231" s="84"/>
      <c r="M231" s="61"/>
      <c r="N231" s="61"/>
      <c r="O231" s="61"/>
      <c r="P231" s="61"/>
      <c r="Q231" s="166" t="str">
        <f t="shared" si="10"/>
        <v/>
      </c>
      <c r="R231" s="84"/>
      <c r="S231" s="61"/>
      <c r="T231" s="61"/>
      <c r="U231" s="61"/>
      <c r="V231" s="167" t="str">
        <f t="shared" si="11"/>
        <v/>
      </c>
    </row>
    <row r="232" spans="1:22">
      <c r="A232" s="58"/>
      <c r="B232" s="58"/>
      <c r="C232" s="58"/>
      <c r="D232" s="58"/>
      <c r="E232" s="58"/>
      <c r="F232" s="62"/>
      <c r="G232" s="63"/>
      <c r="H232" s="84"/>
      <c r="I232" s="61"/>
      <c r="J232" s="61"/>
      <c r="K232" s="71" t="str">
        <f t="shared" si="9"/>
        <v/>
      </c>
      <c r="L232" s="84"/>
      <c r="M232" s="61"/>
      <c r="N232" s="61"/>
      <c r="O232" s="61"/>
      <c r="P232" s="61"/>
      <c r="Q232" s="166" t="str">
        <f t="shared" si="10"/>
        <v/>
      </c>
      <c r="R232" s="84"/>
      <c r="S232" s="61"/>
      <c r="T232" s="61"/>
      <c r="U232" s="61"/>
      <c r="V232" s="167" t="str">
        <f t="shared" si="11"/>
        <v/>
      </c>
    </row>
    <row r="233" spans="1:22">
      <c r="A233" s="58"/>
      <c r="B233" s="58"/>
      <c r="C233" s="58"/>
      <c r="D233" s="58"/>
      <c r="E233" s="58"/>
      <c r="F233" s="62"/>
      <c r="G233" s="63"/>
      <c r="H233" s="84"/>
      <c r="I233" s="61"/>
      <c r="J233" s="61"/>
      <c r="K233" s="71" t="str">
        <f t="shared" si="9"/>
        <v/>
      </c>
      <c r="L233" s="84"/>
      <c r="M233" s="61"/>
      <c r="N233" s="61"/>
      <c r="O233" s="61"/>
      <c r="P233" s="61"/>
      <c r="Q233" s="166" t="str">
        <f t="shared" si="10"/>
        <v/>
      </c>
      <c r="R233" s="84"/>
      <c r="S233" s="61"/>
      <c r="T233" s="61"/>
      <c r="U233" s="61"/>
      <c r="V233" s="167" t="str">
        <f t="shared" si="11"/>
        <v/>
      </c>
    </row>
    <row r="234" spans="1:22">
      <c r="A234" s="58"/>
      <c r="B234" s="58"/>
      <c r="C234" s="58"/>
      <c r="D234" s="58"/>
      <c r="E234" s="58"/>
      <c r="F234" s="62"/>
      <c r="G234" s="63"/>
      <c r="H234" s="84"/>
      <c r="I234" s="61"/>
      <c r="J234" s="61"/>
      <c r="K234" s="71" t="str">
        <f t="shared" si="9"/>
        <v/>
      </c>
      <c r="L234" s="84"/>
      <c r="M234" s="61"/>
      <c r="N234" s="61"/>
      <c r="O234" s="61"/>
      <c r="P234" s="61"/>
      <c r="Q234" s="166" t="str">
        <f t="shared" si="10"/>
        <v/>
      </c>
      <c r="R234" s="84"/>
      <c r="S234" s="61"/>
      <c r="T234" s="61"/>
      <c r="U234" s="61"/>
      <c r="V234" s="167" t="str">
        <f t="shared" si="11"/>
        <v/>
      </c>
    </row>
    <row r="235" spans="1:22">
      <c r="A235" s="58"/>
      <c r="B235" s="58"/>
      <c r="C235" s="58"/>
      <c r="D235" s="58"/>
      <c r="E235" s="58"/>
      <c r="F235" s="62"/>
      <c r="G235" s="63"/>
      <c r="H235" s="84"/>
      <c r="I235" s="61"/>
      <c r="J235" s="61"/>
      <c r="K235" s="71" t="str">
        <f t="shared" si="9"/>
        <v/>
      </c>
      <c r="L235" s="84"/>
      <c r="M235" s="61"/>
      <c r="N235" s="61"/>
      <c r="O235" s="61"/>
      <c r="P235" s="61"/>
      <c r="Q235" s="166" t="str">
        <f t="shared" si="10"/>
        <v/>
      </c>
      <c r="R235" s="84"/>
      <c r="S235" s="61"/>
      <c r="T235" s="61"/>
      <c r="U235" s="61"/>
      <c r="V235" s="167" t="str">
        <f t="shared" si="11"/>
        <v/>
      </c>
    </row>
    <row r="236" spans="1:22">
      <c r="A236" s="58"/>
      <c r="B236" s="58"/>
      <c r="C236" s="58"/>
      <c r="D236" s="58"/>
      <c r="E236" s="58"/>
      <c r="F236" s="62"/>
      <c r="G236" s="63"/>
      <c r="H236" s="84"/>
      <c r="I236" s="61"/>
      <c r="J236" s="61"/>
      <c r="K236" s="71" t="str">
        <f t="shared" si="9"/>
        <v/>
      </c>
      <c r="L236" s="84"/>
      <c r="M236" s="61"/>
      <c r="N236" s="61"/>
      <c r="O236" s="61"/>
      <c r="P236" s="61"/>
      <c r="Q236" s="166" t="str">
        <f t="shared" si="10"/>
        <v/>
      </c>
      <c r="R236" s="84"/>
      <c r="S236" s="61"/>
      <c r="T236" s="61"/>
      <c r="U236" s="61"/>
      <c r="V236" s="167" t="str">
        <f t="shared" si="11"/>
        <v/>
      </c>
    </row>
    <row r="237" spans="1:22">
      <c r="A237" s="58"/>
      <c r="B237" s="58"/>
      <c r="C237" s="58"/>
      <c r="D237" s="58"/>
      <c r="E237" s="58"/>
      <c r="F237" s="62"/>
      <c r="G237" s="63"/>
      <c r="H237" s="84"/>
      <c r="I237" s="61"/>
      <c r="J237" s="61"/>
      <c r="K237" s="71" t="str">
        <f t="shared" si="9"/>
        <v/>
      </c>
      <c r="L237" s="84"/>
      <c r="M237" s="61"/>
      <c r="N237" s="61"/>
      <c r="O237" s="61"/>
      <c r="P237" s="61"/>
      <c r="Q237" s="166" t="str">
        <f t="shared" si="10"/>
        <v/>
      </c>
      <c r="R237" s="84"/>
      <c r="S237" s="61"/>
      <c r="T237" s="61"/>
      <c r="U237" s="61"/>
      <c r="V237" s="167" t="str">
        <f t="shared" si="11"/>
        <v/>
      </c>
    </row>
    <row r="238" spans="1:22">
      <c r="A238" s="58"/>
      <c r="B238" s="58"/>
      <c r="C238" s="58"/>
      <c r="D238" s="58"/>
      <c r="E238" s="58"/>
      <c r="F238" s="62"/>
      <c r="G238" s="63"/>
      <c r="H238" s="84"/>
      <c r="I238" s="61"/>
      <c r="J238" s="61"/>
      <c r="K238" s="71" t="str">
        <f t="shared" si="9"/>
        <v/>
      </c>
      <c r="L238" s="84"/>
      <c r="M238" s="61"/>
      <c r="N238" s="61"/>
      <c r="O238" s="61"/>
      <c r="P238" s="61"/>
      <c r="Q238" s="166" t="str">
        <f t="shared" si="10"/>
        <v/>
      </c>
      <c r="R238" s="84"/>
      <c r="S238" s="61"/>
      <c r="T238" s="61"/>
      <c r="U238" s="61"/>
      <c r="V238" s="167" t="str">
        <f t="shared" si="11"/>
        <v/>
      </c>
    </row>
    <row r="239" spans="1:22">
      <c r="A239" s="58"/>
      <c r="B239" s="58"/>
      <c r="C239" s="58"/>
      <c r="D239" s="58"/>
      <c r="E239" s="58"/>
      <c r="F239" s="62"/>
      <c r="G239" s="63"/>
      <c r="H239" s="84"/>
      <c r="I239" s="61"/>
      <c r="J239" s="61"/>
      <c r="K239" s="71" t="str">
        <f t="shared" si="9"/>
        <v/>
      </c>
      <c r="L239" s="84"/>
      <c r="M239" s="61"/>
      <c r="N239" s="61"/>
      <c r="O239" s="61"/>
      <c r="P239" s="61"/>
      <c r="Q239" s="166" t="str">
        <f t="shared" si="10"/>
        <v/>
      </c>
      <c r="R239" s="84"/>
      <c r="S239" s="61"/>
      <c r="T239" s="61"/>
      <c r="U239" s="61"/>
      <c r="V239" s="167" t="str">
        <f t="shared" si="11"/>
        <v/>
      </c>
    </row>
    <row r="240" spans="1:22">
      <c r="A240" s="58"/>
      <c r="B240" s="58"/>
      <c r="C240" s="58"/>
      <c r="D240" s="58"/>
      <c r="E240" s="58"/>
      <c r="F240" s="62"/>
      <c r="G240" s="63"/>
      <c r="H240" s="84"/>
      <c r="I240" s="61"/>
      <c r="J240" s="61"/>
      <c r="K240" s="71" t="str">
        <f t="shared" si="9"/>
        <v/>
      </c>
      <c r="L240" s="84"/>
      <c r="M240" s="61"/>
      <c r="N240" s="61"/>
      <c r="O240" s="61"/>
      <c r="P240" s="61"/>
      <c r="Q240" s="166" t="str">
        <f t="shared" si="10"/>
        <v/>
      </c>
      <c r="R240" s="84"/>
      <c r="S240" s="61"/>
      <c r="T240" s="61"/>
      <c r="U240" s="61"/>
      <c r="V240" s="167" t="str">
        <f t="shared" si="11"/>
        <v/>
      </c>
    </row>
    <row r="241" spans="1:22">
      <c r="A241" s="58"/>
      <c r="B241" s="58"/>
      <c r="C241" s="58"/>
      <c r="D241" s="58"/>
      <c r="E241" s="58"/>
      <c r="F241" s="62"/>
      <c r="G241" s="63"/>
      <c r="H241" s="84"/>
      <c r="I241" s="61"/>
      <c r="J241" s="61"/>
      <c r="K241" s="71" t="str">
        <f t="shared" si="9"/>
        <v/>
      </c>
      <c r="L241" s="84"/>
      <c r="M241" s="61"/>
      <c r="N241" s="61"/>
      <c r="O241" s="61"/>
      <c r="P241" s="61"/>
      <c r="Q241" s="166" t="str">
        <f t="shared" si="10"/>
        <v/>
      </c>
      <c r="R241" s="84"/>
      <c r="S241" s="61"/>
      <c r="T241" s="61"/>
      <c r="U241" s="61"/>
      <c r="V241" s="167" t="str">
        <f t="shared" si="11"/>
        <v/>
      </c>
    </row>
    <row r="242" spans="1:22">
      <c r="A242" s="58"/>
      <c r="B242" s="58"/>
      <c r="C242" s="58"/>
      <c r="D242" s="58"/>
      <c r="E242" s="58"/>
      <c r="F242" s="62"/>
      <c r="G242" s="63"/>
      <c r="H242" s="84"/>
      <c r="I242" s="61"/>
      <c r="J242" s="61"/>
      <c r="K242" s="71" t="str">
        <f t="shared" si="9"/>
        <v/>
      </c>
      <c r="L242" s="84"/>
      <c r="M242" s="61"/>
      <c r="N242" s="61"/>
      <c r="O242" s="61"/>
      <c r="P242" s="61"/>
      <c r="Q242" s="166" t="str">
        <f t="shared" si="10"/>
        <v/>
      </c>
      <c r="R242" s="84"/>
      <c r="S242" s="61"/>
      <c r="T242" s="61"/>
      <c r="U242" s="61"/>
      <c r="V242" s="167" t="str">
        <f t="shared" si="11"/>
        <v/>
      </c>
    </row>
    <row r="243" spans="1:22">
      <c r="A243" s="58"/>
      <c r="B243" s="58"/>
      <c r="C243" s="58"/>
      <c r="D243" s="58"/>
      <c r="E243" s="58"/>
      <c r="F243" s="62"/>
      <c r="G243" s="63"/>
      <c r="H243" s="84"/>
      <c r="I243" s="61"/>
      <c r="J243" s="61"/>
      <c r="K243" s="71" t="str">
        <f t="shared" si="9"/>
        <v/>
      </c>
      <c r="L243" s="84"/>
      <c r="M243" s="61"/>
      <c r="N243" s="61"/>
      <c r="O243" s="61"/>
      <c r="P243" s="61"/>
      <c r="Q243" s="166" t="str">
        <f t="shared" si="10"/>
        <v/>
      </c>
      <c r="R243" s="84"/>
      <c r="S243" s="61"/>
      <c r="T243" s="61"/>
      <c r="U243" s="61"/>
      <c r="V243" s="167" t="str">
        <f t="shared" si="11"/>
        <v/>
      </c>
    </row>
    <row r="244" spans="1:22">
      <c r="A244" s="58"/>
      <c r="B244" s="58"/>
      <c r="C244" s="58"/>
      <c r="D244" s="58"/>
      <c r="E244" s="58"/>
      <c r="F244" s="62"/>
      <c r="G244" s="63"/>
      <c r="H244" s="84"/>
      <c r="I244" s="61"/>
      <c r="J244" s="61"/>
      <c r="K244" s="71" t="str">
        <f t="shared" si="9"/>
        <v/>
      </c>
      <c r="L244" s="84"/>
      <c r="M244" s="61"/>
      <c r="N244" s="61"/>
      <c r="O244" s="61"/>
      <c r="P244" s="61"/>
      <c r="Q244" s="166" t="str">
        <f t="shared" si="10"/>
        <v/>
      </c>
      <c r="R244" s="84"/>
      <c r="S244" s="61"/>
      <c r="T244" s="61"/>
      <c r="U244" s="61"/>
      <c r="V244" s="167" t="str">
        <f t="shared" si="11"/>
        <v/>
      </c>
    </row>
    <row r="245" spans="1:22">
      <c r="A245" s="58"/>
      <c r="B245" s="58"/>
      <c r="C245" s="58"/>
      <c r="D245" s="58"/>
      <c r="E245" s="58"/>
      <c r="F245" s="62"/>
      <c r="G245" s="63"/>
      <c r="H245" s="84"/>
      <c r="I245" s="61"/>
      <c r="J245" s="61"/>
      <c r="K245" s="71" t="str">
        <f t="shared" si="9"/>
        <v/>
      </c>
      <c r="L245" s="84"/>
      <c r="M245" s="61"/>
      <c r="N245" s="61"/>
      <c r="O245" s="61"/>
      <c r="P245" s="61"/>
      <c r="Q245" s="166" t="str">
        <f t="shared" si="10"/>
        <v/>
      </c>
      <c r="R245" s="84"/>
      <c r="S245" s="61"/>
      <c r="T245" s="61"/>
      <c r="U245" s="61"/>
      <c r="V245" s="167" t="str">
        <f t="shared" si="11"/>
        <v/>
      </c>
    </row>
    <row r="246" spans="1:22">
      <c r="A246" s="58"/>
      <c r="B246" s="58"/>
      <c r="C246" s="58"/>
      <c r="D246" s="58"/>
      <c r="E246" s="58"/>
      <c r="F246" s="62"/>
      <c r="G246" s="63"/>
      <c r="H246" s="84"/>
      <c r="I246" s="61"/>
      <c r="J246" s="61"/>
      <c r="K246" s="71" t="str">
        <f t="shared" si="9"/>
        <v/>
      </c>
      <c r="L246" s="84"/>
      <c r="M246" s="61"/>
      <c r="N246" s="61"/>
      <c r="O246" s="61"/>
      <c r="P246" s="61"/>
      <c r="Q246" s="166" t="str">
        <f t="shared" si="10"/>
        <v/>
      </c>
      <c r="R246" s="84"/>
      <c r="S246" s="61"/>
      <c r="T246" s="61"/>
      <c r="U246" s="61"/>
      <c r="V246" s="167" t="str">
        <f t="shared" si="11"/>
        <v/>
      </c>
    </row>
    <row r="247" spans="1:22">
      <c r="A247" s="58"/>
      <c r="B247" s="58"/>
      <c r="C247" s="58"/>
      <c r="D247" s="58"/>
      <c r="E247" s="58"/>
      <c r="F247" s="62"/>
      <c r="G247" s="63"/>
      <c r="H247" s="84"/>
      <c r="I247" s="61"/>
      <c r="J247" s="61"/>
      <c r="K247" s="71" t="str">
        <f t="shared" si="9"/>
        <v/>
      </c>
      <c r="L247" s="84"/>
      <c r="M247" s="61"/>
      <c r="N247" s="61"/>
      <c r="O247" s="61"/>
      <c r="P247" s="61"/>
      <c r="Q247" s="166" t="str">
        <f t="shared" si="10"/>
        <v/>
      </c>
      <c r="R247" s="84"/>
      <c r="S247" s="61"/>
      <c r="T247" s="61"/>
      <c r="U247" s="61"/>
      <c r="V247" s="167" t="str">
        <f t="shared" si="11"/>
        <v/>
      </c>
    </row>
    <row r="248" spans="1:22">
      <c r="A248" s="58"/>
      <c r="B248" s="58"/>
      <c r="C248" s="58"/>
      <c r="D248" s="58"/>
      <c r="E248" s="58"/>
      <c r="F248" s="62"/>
      <c r="G248" s="63"/>
      <c r="H248" s="84"/>
      <c r="I248" s="61"/>
      <c r="J248" s="61"/>
      <c r="K248" s="71" t="str">
        <f t="shared" si="9"/>
        <v/>
      </c>
      <c r="L248" s="84"/>
      <c r="M248" s="61"/>
      <c r="N248" s="61"/>
      <c r="O248" s="61"/>
      <c r="P248" s="61"/>
      <c r="Q248" s="166" t="str">
        <f t="shared" si="10"/>
        <v/>
      </c>
      <c r="R248" s="84"/>
      <c r="S248" s="61"/>
      <c r="T248" s="61"/>
      <c r="U248" s="61"/>
      <c r="V248" s="167" t="str">
        <f t="shared" si="11"/>
        <v/>
      </c>
    </row>
    <row r="249" spans="1:22">
      <c r="A249" s="58"/>
      <c r="B249" s="58"/>
      <c r="C249" s="58"/>
      <c r="D249" s="58"/>
      <c r="E249" s="58"/>
      <c r="F249" s="62"/>
      <c r="G249" s="63"/>
      <c r="H249" s="84"/>
      <c r="I249" s="61"/>
      <c r="J249" s="61"/>
      <c r="K249" s="71" t="str">
        <f t="shared" si="9"/>
        <v/>
      </c>
      <c r="L249" s="84"/>
      <c r="M249" s="61"/>
      <c r="N249" s="61"/>
      <c r="O249" s="61"/>
      <c r="P249" s="61"/>
      <c r="Q249" s="166" t="str">
        <f t="shared" si="10"/>
        <v/>
      </c>
      <c r="R249" s="84"/>
      <c r="S249" s="61"/>
      <c r="T249" s="61"/>
      <c r="U249" s="61"/>
      <c r="V249" s="167" t="str">
        <f t="shared" si="11"/>
        <v/>
      </c>
    </row>
    <row r="250" spans="1:22">
      <c r="A250" s="58"/>
      <c r="B250" s="58"/>
      <c r="C250" s="58"/>
      <c r="D250" s="58"/>
      <c r="E250" s="58"/>
      <c r="F250" s="62"/>
      <c r="G250" s="63"/>
      <c r="H250" s="84"/>
      <c r="I250" s="61"/>
      <c r="J250" s="61"/>
      <c r="K250" s="71" t="str">
        <f t="shared" si="9"/>
        <v/>
      </c>
      <c r="L250" s="84"/>
      <c r="M250" s="61"/>
      <c r="N250" s="61"/>
      <c r="O250" s="61"/>
      <c r="P250" s="61"/>
      <c r="Q250" s="166" t="str">
        <f t="shared" si="10"/>
        <v/>
      </c>
      <c r="R250" s="84"/>
      <c r="S250" s="61"/>
      <c r="T250" s="61"/>
      <c r="U250" s="61"/>
      <c r="V250" s="167" t="str">
        <f t="shared" si="11"/>
        <v/>
      </c>
    </row>
    <row r="251" spans="1:22">
      <c r="A251" s="58"/>
      <c r="B251" s="58"/>
      <c r="C251" s="58"/>
      <c r="D251" s="58"/>
      <c r="E251" s="58"/>
      <c r="F251" s="62"/>
      <c r="G251" s="63"/>
      <c r="H251" s="84"/>
      <c r="I251" s="61"/>
      <c r="J251" s="61"/>
      <c r="K251" s="71" t="str">
        <f t="shared" si="9"/>
        <v/>
      </c>
      <c r="L251" s="84"/>
      <c r="M251" s="61"/>
      <c r="N251" s="61"/>
      <c r="O251" s="61"/>
      <c r="P251" s="61"/>
      <c r="Q251" s="166" t="str">
        <f t="shared" si="10"/>
        <v/>
      </c>
      <c r="R251" s="84"/>
      <c r="S251" s="61"/>
      <c r="T251" s="61"/>
      <c r="U251" s="61"/>
      <c r="V251" s="167" t="str">
        <f t="shared" si="11"/>
        <v/>
      </c>
    </row>
    <row r="252" spans="1:22">
      <c r="A252" s="58"/>
      <c r="B252" s="58"/>
      <c r="C252" s="58"/>
      <c r="D252" s="58"/>
      <c r="E252" s="58"/>
      <c r="F252" s="62"/>
      <c r="G252" s="63"/>
      <c r="H252" s="84"/>
      <c r="I252" s="61"/>
      <c r="J252" s="61"/>
      <c r="K252" s="71" t="str">
        <f t="shared" si="9"/>
        <v/>
      </c>
      <c r="L252" s="84"/>
      <c r="M252" s="61"/>
      <c r="N252" s="61"/>
      <c r="O252" s="61"/>
      <c r="P252" s="61"/>
      <c r="Q252" s="166" t="str">
        <f t="shared" si="10"/>
        <v/>
      </c>
      <c r="R252" s="84"/>
      <c r="S252" s="61"/>
      <c r="T252" s="61"/>
      <c r="U252" s="61"/>
      <c r="V252" s="167" t="str">
        <f t="shared" si="11"/>
        <v/>
      </c>
    </row>
    <row r="253" spans="1:22">
      <c r="A253" s="58"/>
      <c r="B253" s="58"/>
      <c r="C253" s="58"/>
      <c r="D253" s="58"/>
      <c r="E253" s="58"/>
      <c r="F253" s="62"/>
      <c r="G253" s="63"/>
      <c r="H253" s="84"/>
      <c r="I253" s="61"/>
      <c r="J253" s="61"/>
      <c r="K253" s="71" t="str">
        <f t="shared" si="9"/>
        <v/>
      </c>
      <c r="L253" s="84"/>
      <c r="M253" s="61"/>
      <c r="N253" s="61"/>
      <c r="O253" s="61"/>
      <c r="P253" s="61"/>
      <c r="Q253" s="166" t="str">
        <f t="shared" si="10"/>
        <v/>
      </c>
      <c r="R253" s="84"/>
      <c r="S253" s="61"/>
      <c r="T253" s="61"/>
      <c r="U253" s="61"/>
      <c r="V253" s="167" t="str">
        <f t="shared" si="11"/>
        <v/>
      </c>
    </row>
    <row r="254" spans="1:22">
      <c r="A254" s="58"/>
      <c r="B254" s="58"/>
      <c r="C254" s="58"/>
      <c r="D254" s="58"/>
      <c r="E254" s="58"/>
      <c r="F254" s="62"/>
      <c r="G254" s="63"/>
      <c r="H254" s="84"/>
      <c r="I254" s="61"/>
      <c r="J254" s="61"/>
      <c r="K254" s="71" t="str">
        <f t="shared" si="9"/>
        <v/>
      </c>
      <c r="L254" s="84"/>
      <c r="M254" s="61"/>
      <c r="N254" s="61"/>
      <c r="O254" s="61"/>
      <c r="P254" s="61"/>
      <c r="Q254" s="166" t="str">
        <f t="shared" si="10"/>
        <v/>
      </c>
      <c r="R254" s="84"/>
      <c r="S254" s="61"/>
      <c r="T254" s="61"/>
      <c r="U254" s="61"/>
      <c r="V254" s="167" t="str">
        <f t="shared" si="11"/>
        <v/>
      </c>
    </row>
    <row r="255" spans="1:22">
      <c r="A255" s="58"/>
      <c r="B255" s="58"/>
      <c r="C255" s="58"/>
      <c r="D255" s="58"/>
      <c r="E255" s="58"/>
      <c r="F255" s="62"/>
      <c r="G255" s="63"/>
      <c r="H255" s="84"/>
      <c r="I255" s="61"/>
      <c r="J255" s="61"/>
      <c r="K255" s="71" t="str">
        <f t="shared" si="9"/>
        <v/>
      </c>
      <c r="L255" s="84"/>
      <c r="M255" s="61"/>
      <c r="N255" s="61"/>
      <c r="O255" s="61"/>
      <c r="P255" s="61"/>
      <c r="Q255" s="166" t="str">
        <f t="shared" si="10"/>
        <v/>
      </c>
      <c r="R255" s="84"/>
      <c r="S255" s="61"/>
      <c r="T255" s="61"/>
      <c r="U255" s="61"/>
      <c r="V255" s="167" t="str">
        <f t="shared" si="11"/>
        <v/>
      </c>
    </row>
    <row r="256" spans="1:22">
      <c r="A256" s="58"/>
      <c r="B256" s="58"/>
      <c r="C256" s="58"/>
      <c r="D256" s="58"/>
      <c r="E256" s="58"/>
      <c r="F256" s="62"/>
      <c r="G256" s="63"/>
      <c r="H256" s="84"/>
      <c r="I256" s="61"/>
      <c r="J256" s="61"/>
      <c r="K256" s="71" t="str">
        <f t="shared" si="9"/>
        <v/>
      </c>
      <c r="L256" s="84"/>
      <c r="M256" s="61"/>
      <c r="N256" s="61"/>
      <c r="O256" s="61"/>
      <c r="P256" s="61"/>
      <c r="Q256" s="166" t="str">
        <f t="shared" si="10"/>
        <v/>
      </c>
      <c r="R256" s="84"/>
      <c r="S256" s="61"/>
      <c r="T256" s="61"/>
      <c r="U256" s="61"/>
      <c r="V256" s="167" t="str">
        <f t="shared" si="11"/>
        <v/>
      </c>
    </row>
    <row r="257" spans="1:22">
      <c r="A257" s="58"/>
      <c r="B257" s="58"/>
      <c r="C257" s="58"/>
      <c r="D257" s="58"/>
      <c r="E257" s="58"/>
      <c r="F257" s="62"/>
      <c r="G257" s="63"/>
      <c r="H257" s="84"/>
      <c r="I257" s="61"/>
      <c r="J257" s="61"/>
      <c r="K257" s="71" t="str">
        <f t="shared" si="9"/>
        <v/>
      </c>
      <c r="L257" s="84"/>
      <c r="M257" s="61"/>
      <c r="N257" s="61"/>
      <c r="O257" s="61"/>
      <c r="P257" s="61"/>
      <c r="Q257" s="166" t="str">
        <f t="shared" si="10"/>
        <v/>
      </c>
      <c r="R257" s="84"/>
      <c r="S257" s="61"/>
      <c r="T257" s="61"/>
      <c r="U257" s="61"/>
      <c r="V257" s="167" t="str">
        <f t="shared" si="11"/>
        <v/>
      </c>
    </row>
    <row r="258" spans="1:22">
      <c r="A258" s="58"/>
      <c r="B258" s="58"/>
      <c r="C258" s="58"/>
      <c r="D258" s="58"/>
      <c r="E258" s="58"/>
      <c r="F258" s="62"/>
      <c r="G258" s="63"/>
      <c r="H258" s="84"/>
      <c r="I258" s="61"/>
      <c r="J258" s="61"/>
      <c r="K258" s="71" t="str">
        <f t="shared" si="9"/>
        <v/>
      </c>
      <c r="L258" s="84"/>
      <c r="M258" s="61"/>
      <c r="N258" s="61"/>
      <c r="O258" s="61"/>
      <c r="P258" s="61"/>
      <c r="Q258" s="166" t="str">
        <f t="shared" si="10"/>
        <v/>
      </c>
      <c r="R258" s="84"/>
      <c r="S258" s="61"/>
      <c r="T258" s="61"/>
      <c r="U258" s="61"/>
      <c r="V258" s="167" t="str">
        <f t="shared" si="11"/>
        <v/>
      </c>
    </row>
    <row r="259" spans="1:22">
      <c r="A259" s="58"/>
      <c r="B259" s="58"/>
      <c r="C259" s="58"/>
      <c r="D259" s="58"/>
      <c r="E259" s="58"/>
      <c r="F259" s="62"/>
      <c r="G259" s="63"/>
      <c r="H259" s="84"/>
      <c r="I259" s="61"/>
      <c r="J259" s="61"/>
      <c r="K259" s="71" t="str">
        <f t="shared" si="9"/>
        <v/>
      </c>
      <c r="L259" s="84"/>
      <c r="M259" s="61"/>
      <c r="N259" s="61"/>
      <c r="O259" s="61"/>
      <c r="P259" s="61"/>
      <c r="Q259" s="166" t="str">
        <f t="shared" si="10"/>
        <v/>
      </c>
      <c r="R259" s="84"/>
      <c r="S259" s="61"/>
      <c r="T259" s="61"/>
      <c r="U259" s="61"/>
      <c r="V259" s="167" t="str">
        <f t="shared" si="11"/>
        <v/>
      </c>
    </row>
    <row r="260" spans="1:22">
      <c r="A260" s="58"/>
      <c r="B260" s="58"/>
      <c r="C260" s="58"/>
      <c r="D260" s="58"/>
      <c r="E260" s="58"/>
      <c r="F260" s="62"/>
      <c r="G260" s="63"/>
      <c r="H260" s="84"/>
      <c r="I260" s="61"/>
      <c r="J260" s="61"/>
      <c r="K260" s="71" t="str">
        <f t="shared" si="9"/>
        <v/>
      </c>
      <c r="L260" s="84"/>
      <c r="M260" s="61"/>
      <c r="N260" s="61"/>
      <c r="O260" s="61"/>
      <c r="P260" s="61"/>
      <c r="Q260" s="166" t="str">
        <f t="shared" si="10"/>
        <v/>
      </c>
      <c r="R260" s="84"/>
      <c r="S260" s="61"/>
      <c r="T260" s="61"/>
      <c r="U260" s="61"/>
      <c r="V260" s="167" t="str">
        <f t="shared" si="11"/>
        <v/>
      </c>
    </row>
    <row r="261" spans="1:22">
      <c r="A261" s="58"/>
      <c r="B261" s="58"/>
      <c r="C261" s="58"/>
      <c r="D261" s="58"/>
      <c r="E261" s="58"/>
      <c r="F261" s="62"/>
      <c r="G261" s="63"/>
      <c r="H261" s="84"/>
      <c r="I261" s="61"/>
      <c r="J261" s="61"/>
      <c r="K261" s="71" t="str">
        <f t="shared" ref="K261:K324" si="12">IF($B261="","",SUM($I261:$J261))</f>
        <v/>
      </c>
      <c r="L261" s="84"/>
      <c r="M261" s="61"/>
      <c r="N261" s="61"/>
      <c r="O261" s="61"/>
      <c r="P261" s="61"/>
      <c r="Q261" s="166" t="str">
        <f t="shared" si="10"/>
        <v/>
      </c>
      <c r="R261" s="84"/>
      <c r="S261" s="61"/>
      <c r="T261" s="61"/>
      <c r="U261" s="61"/>
      <c r="V261" s="167" t="str">
        <f t="shared" si="11"/>
        <v/>
      </c>
    </row>
    <row r="262" spans="1:22">
      <c r="A262" s="58"/>
      <c r="B262" s="58"/>
      <c r="C262" s="58"/>
      <c r="D262" s="58"/>
      <c r="E262" s="58"/>
      <c r="F262" s="62"/>
      <c r="G262" s="63"/>
      <c r="H262" s="84"/>
      <c r="I262" s="61"/>
      <c r="J262" s="61"/>
      <c r="K262" s="71" t="str">
        <f t="shared" si="12"/>
        <v/>
      </c>
      <c r="L262" s="84"/>
      <c r="M262" s="61"/>
      <c r="N262" s="61"/>
      <c r="O262" s="61"/>
      <c r="P262" s="61"/>
      <c r="Q262" s="166" t="str">
        <f t="shared" ref="Q262:Q325" si="13">IF($L262="","",SUM($M262:$P262))</f>
        <v/>
      </c>
      <c r="R262" s="84"/>
      <c r="S262" s="61"/>
      <c r="T262" s="61"/>
      <c r="U262" s="61"/>
      <c r="V262" s="167" t="str">
        <f t="shared" ref="V262:V325" si="14">IF($R262="","",SUM($S262:$U262))</f>
        <v/>
      </c>
    </row>
    <row r="263" spans="1:22">
      <c r="A263" s="58"/>
      <c r="B263" s="58"/>
      <c r="C263" s="58"/>
      <c r="D263" s="58"/>
      <c r="E263" s="58"/>
      <c r="F263" s="62"/>
      <c r="G263" s="63"/>
      <c r="H263" s="84"/>
      <c r="I263" s="61"/>
      <c r="J263" s="61"/>
      <c r="K263" s="71" t="str">
        <f t="shared" si="12"/>
        <v/>
      </c>
      <c r="L263" s="84"/>
      <c r="M263" s="61"/>
      <c r="N263" s="61"/>
      <c r="O263" s="61"/>
      <c r="P263" s="61"/>
      <c r="Q263" s="166" t="str">
        <f t="shared" si="13"/>
        <v/>
      </c>
      <c r="R263" s="84"/>
      <c r="S263" s="61"/>
      <c r="T263" s="61"/>
      <c r="U263" s="61"/>
      <c r="V263" s="167" t="str">
        <f t="shared" si="14"/>
        <v/>
      </c>
    </row>
    <row r="264" spans="1:22">
      <c r="A264" s="58"/>
      <c r="B264" s="58"/>
      <c r="C264" s="58"/>
      <c r="D264" s="58"/>
      <c r="E264" s="58"/>
      <c r="F264" s="62"/>
      <c r="G264" s="63"/>
      <c r="H264" s="84"/>
      <c r="I264" s="61"/>
      <c r="J264" s="61"/>
      <c r="K264" s="71" t="str">
        <f t="shared" si="12"/>
        <v/>
      </c>
      <c r="L264" s="84"/>
      <c r="M264" s="61"/>
      <c r="N264" s="61"/>
      <c r="O264" s="61"/>
      <c r="P264" s="61"/>
      <c r="Q264" s="166" t="str">
        <f t="shared" si="13"/>
        <v/>
      </c>
      <c r="R264" s="84"/>
      <c r="S264" s="61"/>
      <c r="T264" s="61"/>
      <c r="U264" s="61"/>
      <c r="V264" s="167" t="str">
        <f t="shared" si="14"/>
        <v/>
      </c>
    </row>
    <row r="265" spans="1:22">
      <c r="A265" s="58"/>
      <c r="B265" s="58"/>
      <c r="C265" s="58"/>
      <c r="D265" s="58"/>
      <c r="E265" s="58"/>
      <c r="F265" s="62"/>
      <c r="G265" s="63"/>
      <c r="H265" s="84"/>
      <c r="I265" s="61"/>
      <c r="J265" s="61"/>
      <c r="K265" s="71" t="str">
        <f t="shared" si="12"/>
        <v/>
      </c>
      <c r="L265" s="84"/>
      <c r="M265" s="61"/>
      <c r="N265" s="61"/>
      <c r="O265" s="61"/>
      <c r="P265" s="61"/>
      <c r="Q265" s="166" t="str">
        <f t="shared" si="13"/>
        <v/>
      </c>
      <c r="R265" s="84"/>
      <c r="S265" s="61"/>
      <c r="T265" s="61"/>
      <c r="U265" s="61"/>
      <c r="V265" s="167" t="str">
        <f t="shared" si="14"/>
        <v/>
      </c>
    </row>
    <row r="266" spans="1:22">
      <c r="A266" s="58"/>
      <c r="B266" s="58"/>
      <c r="C266" s="58"/>
      <c r="D266" s="58"/>
      <c r="E266" s="58"/>
      <c r="F266" s="62"/>
      <c r="G266" s="63"/>
      <c r="H266" s="84"/>
      <c r="I266" s="61"/>
      <c r="J266" s="61"/>
      <c r="K266" s="71" t="str">
        <f t="shared" si="12"/>
        <v/>
      </c>
      <c r="L266" s="84"/>
      <c r="M266" s="61"/>
      <c r="N266" s="61"/>
      <c r="O266" s="61"/>
      <c r="P266" s="61"/>
      <c r="Q266" s="166" t="str">
        <f t="shared" si="13"/>
        <v/>
      </c>
      <c r="R266" s="84"/>
      <c r="S266" s="61"/>
      <c r="T266" s="61"/>
      <c r="U266" s="61"/>
      <c r="V266" s="167" t="str">
        <f t="shared" si="14"/>
        <v/>
      </c>
    </row>
    <row r="267" spans="1:22">
      <c r="A267" s="58"/>
      <c r="B267" s="58"/>
      <c r="C267" s="58"/>
      <c r="D267" s="58"/>
      <c r="E267" s="58"/>
      <c r="F267" s="62"/>
      <c r="G267" s="63"/>
      <c r="H267" s="84"/>
      <c r="I267" s="61"/>
      <c r="J267" s="61"/>
      <c r="K267" s="71" t="str">
        <f t="shared" si="12"/>
        <v/>
      </c>
      <c r="L267" s="84"/>
      <c r="M267" s="61"/>
      <c r="N267" s="61"/>
      <c r="O267" s="61"/>
      <c r="P267" s="61"/>
      <c r="Q267" s="166" t="str">
        <f t="shared" si="13"/>
        <v/>
      </c>
      <c r="R267" s="84"/>
      <c r="S267" s="61"/>
      <c r="T267" s="61"/>
      <c r="U267" s="61"/>
      <c r="V267" s="167" t="str">
        <f t="shared" si="14"/>
        <v/>
      </c>
    </row>
    <row r="268" spans="1:22">
      <c r="A268" s="58"/>
      <c r="B268" s="58"/>
      <c r="C268" s="58"/>
      <c r="D268" s="58"/>
      <c r="E268" s="58"/>
      <c r="F268" s="62"/>
      <c r="G268" s="63"/>
      <c r="H268" s="84"/>
      <c r="I268" s="61"/>
      <c r="J268" s="61"/>
      <c r="K268" s="71" t="str">
        <f t="shared" si="12"/>
        <v/>
      </c>
      <c r="L268" s="84"/>
      <c r="M268" s="61"/>
      <c r="N268" s="61"/>
      <c r="O268" s="61"/>
      <c r="P268" s="61"/>
      <c r="Q268" s="166" t="str">
        <f t="shared" si="13"/>
        <v/>
      </c>
      <c r="R268" s="84"/>
      <c r="S268" s="61"/>
      <c r="T268" s="61"/>
      <c r="U268" s="61"/>
      <c r="V268" s="167" t="str">
        <f t="shared" si="14"/>
        <v/>
      </c>
    </row>
    <row r="269" spans="1:22">
      <c r="A269" s="58"/>
      <c r="B269" s="58"/>
      <c r="C269" s="58"/>
      <c r="D269" s="58"/>
      <c r="E269" s="58"/>
      <c r="F269" s="62"/>
      <c r="G269" s="63"/>
      <c r="H269" s="84"/>
      <c r="I269" s="61"/>
      <c r="J269" s="61"/>
      <c r="K269" s="71" t="str">
        <f t="shared" si="12"/>
        <v/>
      </c>
      <c r="L269" s="84"/>
      <c r="M269" s="61"/>
      <c r="N269" s="61"/>
      <c r="O269" s="61"/>
      <c r="P269" s="61"/>
      <c r="Q269" s="166" t="str">
        <f t="shared" si="13"/>
        <v/>
      </c>
      <c r="R269" s="84"/>
      <c r="S269" s="61"/>
      <c r="T269" s="61"/>
      <c r="U269" s="61"/>
      <c r="V269" s="167" t="str">
        <f t="shared" si="14"/>
        <v/>
      </c>
    </row>
    <row r="270" spans="1:22">
      <c r="A270" s="58"/>
      <c r="B270" s="58"/>
      <c r="C270" s="58"/>
      <c r="D270" s="58"/>
      <c r="E270" s="58"/>
      <c r="F270" s="62"/>
      <c r="G270" s="63"/>
      <c r="H270" s="84"/>
      <c r="I270" s="61"/>
      <c r="J270" s="61"/>
      <c r="K270" s="71" t="str">
        <f t="shared" si="12"/>
        <v/>
      </c>
      <c r="L270" s="84"/>
      <c r="M270" s="61"/>
      <c r="N270" s="61"/>
      <c r="O270" s="61"/>
      <c r="P270" s="61"/>
      <c r="Q270" s="166" t="str">
        <f t="shared" si="13"/>
        <v/>
      </c>
      <c r="R270" s="84"/>
      <c r="S270" s="61"/>
      <c r="T270" s="61"/>
      <c r="U270" s="61"/>
      <c r="V270" s="167" t="str">
        <f t="shared" si="14"/>
        <v/>
      </c>
    </row>
    <row r="271" spans="1:22">
      <c r="A271" s="58"/>
      <c r="B271" s="58"/>
      <c r="C271" s="58"/>
      <c r="D271" s="58"/>
      <c r="E271" s="58"/>
      <c r="F271" s="62"/>
      <c r="G271" s="63"/>
      <c r="H271" s="84"/>
      <c r="I271" s="61"/>
      <c r="J271" s="61"/>
      <c r="K271" s="71" t="str">
        <f t="shared" si="12"/>
        <v/>
      </c>
      <c r="L271" s="84"/>
      <c r="M271" s="61"/>
      <c r="N271" s="61"/>
      <c r="O271" s="61"/>
      <c r="P271" s="61"/>
      <c r="Q271" s="166" t="str">
        <f t="shared" si="13"/>
        <v/>
      </c>
      <c r="R271" s="84"/>
      <c r="S271" s="61"/>
      <c r="T271" s="61"/>
      <c r="U271" s="61"/>
      <c r="V271" s="167" t="str">
        <f t="shared" si="14"/>
        <v/>
      </c>
    </row>
    <row r="272" spans="1:22">
      <c r="A272" s="58"/>
      <c r="B272" s="58"/>
      <c r="C272" s="58"/>
      <c r="D272" s="58"/>
      <c r="E272" s="58"/>
      <c r="F272" s="62"/>
      <c r="G272" s="63"/>
      <c r="H272" s="84"/>
      <c r="I272" s="61"/>
      <c r="J272" s="61"/>
      <c r="K272" s="71" t="str">
        <f t="shared" si="12"/>
        <v/>
      </c>
      <c r="L272" s="84"/>
      <c r="M272" s="61"/>
      <c r="N272" s="61"/>
      <c r="O272" s="61"/>
      <c r="P272" s="61"/>
      <c r="Q272" s="166" t="str">
        <f t="shared" si="13"/>
        <v/>
      </c>
      <c r="R272" s="84"/>
      <c r="S272" s="61"/>
      <c r="T272" s="61"/>
      <c r="U272" s="61"/>
      <c r="V272" s="167" t="str">
        <f t="shared" si="14"/>
        <v/>
      </c>
    </row>
    <row r="273" spans="1:22">
      <c r="A273" s="58"/>
      <c r="B273" s="58"/>
      <c r="C273" s="58"/>
      <c r="D273" s="58"/>
      <c r="E273" s="58"/>
      <c r="F273" s="62"/>
      <c r="G273" s="63"/>
      <c r="H273" s="84"/>
      <c r="I273" s="61"/>
      <c r="J273" s="61"/>
      <c r="K273" s="71" t="str">
        <f t="shared" si="12"/>
        <v/>
      </c>
      <c r="L273" s="84"/>
      <c r="M273" s="61"/>
      <c r="N273" s="61"/>
      <c r="O273" s="61"/>
      <c r="P273" s="61"/>
      <c r="Q273" s="166" t="str">
        <f t="shared" si="13"/>
        <v/>
      </c>
      <c r="R273" s="84"/>
      <c r="S273" s="61"/>
      <c r="T273" s="61"/>
      <c r="U273" s="61"/>
      <c r="V273" s="167" t="str">
        <f t="shared" si="14"/>
        <v/>
      </c>
    </row>
    <row r="274" spans="1:22">
      <c r="A274" s="58"/>
      <c r="B274" s="58"/>
      <c r="C274" s="58"/>
      <c r="D274" s="58"/>
      <c r="E274" s="58"/>
      <c r="F274" s="62"/>
      <c r="G274" s="63"/>
      <c r="H274" s="84"/>
      <c r="I274" s="61"/>
      <c r="J274" s="61"/>
      <c r="K274" s="71" t="str">
        <f t="shared" si="12"/>
        <v/>
      </c>
      <c r="L274" s="84"/>
      <c r="M274" s="61"/>
      <c r="N274" s="61"/>
      <c r="O274" s="61"/>
      <c r="P274" s="61"/>
      <c r="Q274" s="166" t="str">
        <f t="shared" si="13"/>
        <v/>
      </c>
      <c r="R274" s="84"/>
      <c r="S274" s="61"/>
      <c r="T274" s="61"/>
      <c r="U274" s="61"/>
      <c r="V274" s="167" t="str">
        <f t="shared" si="14"/>
        <v/>
      </c>
    </row>
    <row r="275" spans="1:22">
      <c r="A275" s="58"/>
      <c r="B275" s="58"/>
      <c r="C275" s="58"/>
      <c r="D275" s="58"/>
      <c r="E275" s="58"/>
      <c r="F275" s="62"/>
      <c r="G275" s="63"/>
      <c r="H275" s="84"/>
      <c r="I275" s="61"/>
      <c r="J275" s="61"/>
      <c r="K275" s="71" t="str">
        <f t="shared" si="12"/>
        <v/>
      </c>
      <c r="L275" s="84"/>
      <c r="M275" s="61"/>
      <c r="N275" s="61"/>
      <c r="O275" s="61"/>
      <c r="P275" s="61"/>
      <c r="Q275" s="166" t="str">
        <f t="shared" si="13"/>
        <v/>
      </c>
      <c r="R275" s="84"/>
      <c r="S275" s="61"/>
      <c r="T275" s="61"/>
      <c r="U275" s="61"/>
      <c r="V275" s="167" t="str">
        <f t="shared" si="14"/>
        <v/>
      </c>
    </row>
    <row r="276" spans="1:22">
      <c r="A276" s="58"/>
      <c r="B276" s="58"/>
      <c r="C276" s="58"/>
      <c r="D276" s="58"/>
      <c r="E276" s="58"/>
      <c r="F276" s="62"/>
      <c r="G276" s="63"/>
      <c r="H276" s="84"/>
      <c r="I276" s="61"/>
      <c r="J276" s="61"/>
      <c r="K276" s="71" t="str">
        <f t="shared" si="12"/>
        <v/>
      </c>
      <c r="L276" s="84"/>
      <c r="M276" s="61"/>
      <c r="N276" s="61"/>
      <c r="O276" s="61"/>
      <c r="P276" s="61"/>
      <c r="Q276" s="166" t="str">
        <f t="shared" si="13"/>
        <v/>
      </c>
      <c r="R276" s="84"/>
      <c r="S276" s="61"/>
      <c r="T276" s="61"/>
      <c r="U276" s="61"/>
      <c r="V276" s="167" t="str">
        <f t="shared" si="14"/>
        <v/>
      </c>
    </row>
    <row r="277" spans="1:22">
      <c r="A277" s="58"/>
      <c r="B277" s="58"/>
      <c r="C277" s="58"/>
      <c r="D277" s="58"/>
      <c r="E277" s="58"/>
      <c r="F277" s="62"/>
      <c r="G277" s="63"/>
      <c r="H277" s="84"/>
      <c r="I277" s="61"/>
      <c r="J277" s="61"/>
      <c r="K277" s="71" t="str">
        <f t="shared" si="12"/>
        <v/>
      </c>
      <c r="L277" s="84"/>
      <c r="M277" s="61"/>
      <c r="N277" s="61"/>
      <c r="O277" s="61"/>
      <c r="P277" s="61"/>
      <c r="Q277" s="166" t="str">
        <f t="shared" si="13"/>
        <v/>
      </c>
      <c r="R277" s="84"/>
      <c r="S277" s="61"/>
      <c r="T277" s="61"/>
      <c r="U277" s="61"/>
      <c r="V277" s="167" t="str">
        <f t="shared" si="14"/>
        <v/>
      </c>
    </row>
    <row r="278" spans="1:22">
      <c r="A278" s="58"/>
      <c r="B278" s="58"/>
      <c r="C278" s="58"/>
      <c r="D278" s="58"/>
      <c r="E278" s="58"/>
      <c r="F278" s="62"/>
      <c r="G278" s="63"/>
      <c r="H278" s="84"/>
      <c r="I278" s="61"/>
      <c r="J278" s="61"/>
      <c r="K278" s="71" t="str">
        <f t="shared" si="12"/>
        <v/>
      </c>
      <c r="L278" s="84"/>
      <c r="M278" s="61"/>
      <c r="N278" s="61"/>
      <c r="O278" s="61"/>
      <c r="P278" s="61"/>
      <c r="Q278" s="166" t="str">
        <f t="shared" si="13"/>
        <v/>
      </c>
      <c r="R278" s="84"/>
      <c r="S278" s="61"/>
      <c r="T278" s="61"/>
      <c r="U278" s="61"/>
      <c r="V278" s="167" t="str">
        <f t="shared" si="14"/>
        <v/>
      </c>
    </row>
    <row r="279" spans="1:22">
      <c r="A279" s="58"/>
      <c r="B279" s="58"/>
      <c r="C279" s="58"/>
      <c r="D279" s="58"/>
      <c r="E279" s="58"/>
      <c r="F279" s="62"/>
      <c r="G279" s="63"/>
      <c r="H279" s="84"/>
      <c r="I279" s="61"/>
      <c r="J279" s="61"/>
      <c r="K279" s="71" t="str">
        <f t="shared" si="12"/>
        <v/>
      </c>
      <c r="L279" s="84"/>
      <c r="M279" s="61"/>
      <c r="N279" s="61"/>
      <c r="O279" s="61"/>
      <c r="P279" s="61"/>
      <c r="Q279" s="166" t="str">
        <f t="shared" si="13"/>
        <v/>
      </c>
      <c r="R279" s="84"/>
      <c r="S279" s="61"/>
      <c r="T279" s="61"/>
      <c r="U279" s="61"/>
      <c r="V279" s="167" t="str">
        <f t="shared" si="14"/>
        <v/>
      </c>
    </row>
    <row r="280" spans="1:22">
      <c r="A280" s="58"/>
      <c r="B280" s="58"/>
      <c r="C280" s="58"/>
      <c r="D280" s="58"/>
      <c r="E280" s="58"/>
      <c r="F280" s="62"/>
      <c r="G280" s="63"/>
      <c r="H280" s="84"/>
      <c r="I280" s="61"/>
      <c r="J280" s="61"/>
      <c r="K280" s="71" t="str">
        <f t="shared" si="12"/>
        <v/>
      </c>
      <c r="L280" s="84"/>
      <c r="M280" s="61"/>
      <c r="N280" s="61"/>
      <c r="O280" s="61"/>
      <c r="P280" s="61"/>
      <c r="Q280" s="166" t="str">
        <f t="shared" si="13"/>
        <v/>
      </c>
      <c r="R280" s="84"/>
      <c r="S280" s="61"/>
      <c r="T280" s="61"/>
      <c r="U280" s="61"/>
      <c r="V280" s="167" t="str">
        <f t="shared" si="14"/>
        <v/>
      </c>
    </row>
    <row r="281" spans="1:22">
      <c r="A281" s="58"/>
      <c r="B281" s="58"/>
      <c r="C281" s="58"/>
      <c r="D281" s="58"/>
      <c r="E281" s="58"/>
      <c r="F281" s="62"/>
      <c r="G281" s="63"/>
      <c r="H281" s="84"/>
      <c r="I281" s="61"/>
      <c r="J281" s="61"/>
      <c r="K281" s="71" t="str">
        <f t="shared" si="12"/>
        <v/>
      </c>
      <c r="L281" s="84"/>
      <c r="M281" s="61"/>
      <c r="N281" s="61"/>
      <c r="O281" s="61"/>
      <c r="P281" s="61"/>
      <c r="Q281" s="166" t="str">
        <f t="shared" si="13"/>
        <v/>
      </c>
      <c r="R281" s="84"/>
      <c r="S281" s="61"/>
      <c r="T281" s="61"/>
      <c r="U281" s="61"/>
      <c r="V281" s="167" t="str">
        <f t="shared" si="14"/>
        <v/>
      </c>
    </row>
    <row r="282" spans="1:22">
      <c r="A282" s="58"/>
      <c r="B282" s="58"/>
      <c r="C282" s="58"/>
      <c r="D282" s="58"/>
      <c r="E282" s="58"/>
      <c r="F282" s="62"/>
      <c r="G282" s="63"/>
      <c r="H282" s="84"/>
      <c r="I282" s="61"/>
      <c r="J282" s="61"/>
      <c r="K282" s="71" t="str">
        <f t="shared" si="12"/>
        <v/>
      </c>
      <c r="L282" s="84"/>
      <c r="M282" s="61"/>
      <c r="N282" s="61"/>
      <c r="O282" s="61"/>
      <c r="P282" s="61"/>
      <c r="Q282" s="166" t="str">
        <f t="shared" si="13"/>
        <v/>
      </c>
      <c r="R282" s="84"/>
      <c r="S282" s="61"/>
      <c r="T282" s="61"/>
      <c r="U282" s="61"/>
      <c r="V282" s="167" t="str">
        <f t="shared" si="14"/>
        <v/>
      </c>
    </row>
    <row r="283" spans="1:22">
      <c r="A283" s="58"/>
      <c r="B283" s="58"/>
      <c r="C283" s="58"/>
      <c r="D283" s="58"/>
      <c r="E283" s="58"/>
      <c r="F283" s="62"/>
      <c r="G283" s="63"/>
      <c r="H283" s="84"/>
      <c r="I283" s="61"/>
      <c r="J283" s="61"/>
      <c r="K283" s="71" t="str">
        <f t="shared" si="12"/>
        <v/>
      </c>
      <c r="L283" s="84"/>
      <c r="M283" s="61"/>
      <c r="N283" s="61"/>
      <c r="O283" s="61"/>
      <c r="P283" s="61"/>
      <c r="Q283" s="166" t="str">
        <f t="shared" si="13"/>
        <v/>
      </c>
      <c r="R283" s="84"/>
      <c r="S283" s="61"/>
      <c r="T283" s="61"/>
      <c r="U283" s="61"/>
      <c r="V283" s="167" t="str">
        <f t="shared" si="14"/>
        <v/>
      </c>
    </row>
    <row r="284" spans="1:22">
      <c r="A284" s="58"/>
      <c r="B284" s="58"/>
      <c r="C284" s="58"/>
      <c r="D284" s="58"/>
      <c r="E284" s="58"/>
      <c r="F284" s="62"/>
      <c r="G284" s="63"/>
      <c r="H284" s="84"/>
      <c r="I284" s="61"/>
      <c r="J284" s="61"/>
      <c r="K284" s="71" t="str">
        <f t="shared" si="12"/>
        <v/>
      </c>
      <c r="L284" s="84"/>
      <c r="M284" s="61"/>
      <c r="N284" s="61"/>
      <c r="O284" s="61"/>
      <c r="P284" s="61"/>
      <c r="Q284" s="166" t="str">
        <f t="shared" si="13"/>
        <v/>
      </c>
      <c r="R284" s="84"/>
      <c r="S284" s="61"/>
      <c r="T284" s="61"/>
      <c r="U284" s="61"/>
      <c r="V284" s="167" t="str">
        <f t="shared" si="14"/>
        <v/>
      </c>
    </row>
    <row r="285" spans="1:22">
      <c r="A285" s="58"/>
      <c r="B285" s="58"/>
      <c r="C285" s="58"/>
      <c r="D285" s="58"/>
      <c r="E285" s="58"/>
      <c r="F285" s="62"/>
      <c r="G285" s="63"/>
      <c r="H285" s="84"/>
      <c r="I285" s="61"/>
      <c r="J285" s="61"/>
      <c r="K285" s="71" t="str">
        <f t="shared" si="12"/>
        <v/>
      </c>
      <c r="L285" s="84"/>
      <c r="M285" s="61"/>
      <c r="N285" s="61"/>
      <c r="O285" s="61"/>
      <c r="P285" s="61"/>
      <c r="Q285" s="166" t="str">
        <f t="shared" si="13"/>
        <v/>
      </c>
      <c r="R285" s="84"/>
      <c r="S285" s="61"/>
      <c r="T285" s="61"/>
      <c r="U285" s="61"/>
      <c r="V285" s="167" t="str">
        <f t="shared" si="14"/>
        <v/>
      </c>
    </row>
    <row r="286" spans="1:22">
      <c r="A286" s="58"/>
      <c r="B286" s="58"/>
      <c r="C286" s="58"/>
      <c r="D286" s="58"/>
      <c r="E286" s="58"/>
      <c r="F286" s="62"/>
      <c r="G286" s="63"/>
      <c r="H286" s="84"/>
      <c r="I286" s="61"/>
      <c r="J286" s="61"/>
      <c r="K286" s="71" t="str">
        <f t="shared" si="12"/>
        <v/>
      </c>
      <c r="L286" s="84"/>
      <c r="M286" s="61"/>
      <c r="N286" s="61"/>
      <c r="O286" s="61"/>
      <c r="P286" s="61"/>
      <c r="Q286" s="166" t="str">
        <f t="shared" si="13"/>
        <v/>
      </c>
      <c r="R286" s="84"/>
      <c r="S286" s="61"/>
      <c r="T286" s="61"/>
      <c r="U286" s="61"/>
      <c r="V286" s="167" t="str">
        <f t="shared" si="14"/>
        <v/>
      </c>
    </row>
    <row r="287" spans="1:22">
      <c r="A287" s="58"/>
      <c r="B287" s="58"/>
      <c r="C287" s="58"/>
      <c r="D287" s="58"/>
      <c r="E287" s="58"/>
      <c r="F287" s="62"/>
      <c r="G287" s="63"/>
      <c r="H287" s="84"/>
      <c r="I287" s="61"/>
      <c r="J287" s="61"/>
      <c r="K287" s="71" t="str">
        <f t="shared" si="12"/>
        <v/>
      </c>
      <c r="L287" s="84"/>
      <c r="M287" s="61"/>
      <c r="N287" s="61"/>
      <c r="O287" s="61"/>
      <c r="P287" s="61"/>
      <c r="Q287" s="166" t="str">
        <f t="shared" si="13"/>
        <v/>
      </c>
      <c r="R287" s="84"/>
      <c r="S287" s="61"/>
      <c r="T287" s="61"/>
      <c r="U287" s="61"/>
      <c r="V287" s="167" t="str">
        <f t="shared" si="14"/>
        <v/>
      </c>
    </row>
    <row r="288" spans="1:22">
      <c r="A288" s="58"/>
      <c r="B288" s="58"/>
      <c r="C288" s="58"/>
      <c r="D288" s="58"/>
      <c r="E288" s="58"/>
      <c r="F288" s="62"/>
      <c r="G288" s="63"/>
      <c r="H288" s="84"/>
      <c r="I288" s="61"/>
      <c r="J288" s="61"/>
      <c r="K288" s="71" t="str">
        <f t="shared" si="12"/>
        <v/>
      </c>
      <c r="L288" s="84"/>
      <c r="M288" s="61"/>
      <c r="N288" s="61"/>
      <c r="O288" s="61"/>
      <c r="P288" s="61"/>
      <c r="Q288" s="166" t="str">
        <f t="shared" si="13"/>
        <v/>
      </c>
      <c r="R288" s="84"/>
      <c r="S288" s="61"/>
      <c r="T288" s="61"/>
      <c r="U288" s="61"/>
      <c r="V288" s="167" t="str">
        <f t="shared" si="14"/>
        <v/>
      </c>
    </row>
    <row r="289" spans="1:22">
      <c r="A289" s="58"/>
      <c r="B289" s="58"/>
      <c r="C289" s="58"/>
      <c r="D289" s="58"/>
      <c r="E289" s="58"/>
      <c r="F289" s="62"/>
      <c r="G289" s="63"/>
      <c r="H289" s="84"/>
      <c r="I289" s="61"/>
      <c r="J289" s="61"/>
      <c r="K289" s="71" t="str">
        <f t="shared" si="12"/>
        <v/>
      </c>
      <c r="L289" s="84"/>
      <c r="M289" s="61"/>
      <c r="N289" s="61"/>
      <c r="O289" s="61"/>
      <c r="P289" s="61"/>
      <c r="Q289" s="166" t="str">
        <f t="shared" si="13"/>
        <v/>
      </c>
      <c r="R289" s="84"/>
      <c r="S289" s="61"/>
      <c r="T289" s="61"/>
      <c r="U289" s="61"/>
      <c r="V289" s="167" t="str">
        <f t="shared" si="14"/>
        <v/>
      </c>
    </row>
    <row r="290" spans="1:22">
      <c r="A290" s="58"/>
      <c r="B290" s="58"/>
      <c r="C290" s="58"/>
      <c r="D290" s="58"/>
      <c r="E290" s="58"/>
      <c r="F290" s="62"/>
      <c r="G290" s="63"/>
      <c r="H290" s="84"/>
      <c r="I290" s="61"/>
      <c r="J290" s="61"/>
      <c r="K290" s="71" t="str">
        <f t="shared" si="12"/>
        <v/>
      </c>
      <c r="L290" s="84"/>
      <c r="M290" s="61"/>
      <c r="N290" s="61"/>
      <c r="O290" s="61"/>
      <c r="P290" s="61"/>
      <c r="Q290" s="166" t="str">
        <f t="shared" si="13"/>
        <v/>
      </c>
      <c r="R290" s="84"/>
      <c r="S290" s="61"/>
      <c r="T290" s="61"/>
      <c r="U290" s="61"/>
      <c r="V290" s="167" t="str">
        <f t="shared" si="14"/>
        <v/>
      </c>
    </row>
    <row r="291" spans="1:22">
      <c r="A291" s="58"/>
      <c r="B291" s="58"/>
      <c r="C291" s="58"/>
      <c r="D291" s="58"/>
      <c r="E291" s="58"/>
      <c r="F291" s="62"/>
      <c r="G291" s="63"/>
      <c r="H291" s="84"/>
      <c r="I291" s="61"/>
      <c r="J291" s="61"/>
      <c r="K291" s="71" t="str">
        <f t="shared" si="12"/>
        <v/>
      </c>
      <c r="L291" s="84"/>
      <c r="M291" s="61"/>
      <c r="N291" s="61"/>
      <c r="O291" s="61"/>
      <c r="P291" s="61"/>
      <c r="Q291" s="166" t="str">
        <f t="shared" si="13"/>
        <v/>
      </c>
      <c r="R291" s="84"/>
      <c r="S291" s="61"/>
      <c r="T291" s="61"/>
      <c r="U291" s="61"/>
      <c r="V291" s="167" t="str">
        <f t="shared" si="14"/>
        <v/>
      </c>
    </row>
    <row r="292" spans="1:22">
      <c r="A292" s="58"/>
      <c r="B292" s="58"/>
      <c r="C292" s="58"/>
      <c r="D292" s="58"/>
      <c r="E292" s="58"/>
      <c r="F292" s="62"/>
      <c r="G292" s="63"/>
      <c r="H292" s="84"/>
      <c r="I292" s="61"/>
      <c r="J292" s="61"/>
      <c r="K292" s="71" t="str">
        <f t="shared" si="12"/>
        <v/>
      </c>
      <c r="L292" s="84"/>
      <c r="M292" s="61"/>
      <c r="N292" s="61"/>
      <c r="O292" s="61"/>
      <c r="P292" s="61"/>
      <c r="Q292" s="166" t="str">
        <f t="shared" si="13"/>
        <v/>
      </c>
      <c r="R292" s="84"/>
      <c r="S292" s="61"/>
      <c r="T292" s="61"/>
      <c r="U292" s="61"/>
      <c r="V292" s="167" t="str">
        <f t="shared" si="14"/>
        <v/>
      </c>
    </row>
    <row r="293" spans="1:22">
      <c r="A293" s="58"/>
      <c r="B293" s="58"/>
      <c r="C293" s="58"/>
      <c r="D293" s="58"/>
      <c r="E293" s="58"/>
      <c r="F293" s="62"/>
      <c r="G293" s="63"/>
      <c r="H293" s="84"/>
      <c r="I293" s="61"/>
      <c r="J293" s="61"/>
      <c r="K293" s="71" t="str">
        <f t="shared" si="12"/>
        <v/>
      </c>
      <c r="L293" s="84"/>
      <c r="M293" s="61"/>
      <c r="N293" s="61"/>
      <c r="O293" s="61"/>
      <c r="P293" s="61"/>
      <c r="Q293" s="166" t="str">
        <f t="shared" si="13"/>
        <v/>
      </c>
      <c r="R293" s="84"/>
      <c r="S293" s="61"/>
      <c r="T293" s="61"/>
      <c r="U293" s="61"/>
      <c r="V293" s="167" t="str">
        <f t="shared" si="14"/>
        <v/>
      </c>
    </row>
    <row r="294" spans="1:22">
      <c r="A294" s="58"/>
      <c r="B294" s="58"/>
      <c r="C294" s="58"/>
      <c r="D294" s="58"/>
      <c r="E294" s="58"/>
      <c r="F294" s="62"/>
      <c r="G294" s="63"/>
      <c r="H294" s="84"/>
      <c r="I294" s="61"/>
      <c r="J294" s="61"/>
      <c r="K294" s="71" t="str">
        <f t="shared" si="12"/>
        <v/>
      </c>
      <c r="L294" s="84"/>
      <c r="M294" s="61"/>
      <c r="N294" s="61"/>
      <c r="O294" s="61"/>
      <c r="P294" s="61"/>
      <c r="Q294" s="166" t="str">
        <f t="shared" si="13"/>
        <v/>
      </c>
      <c r="R294" s="84"/>
      <c r="S294" s="61"/>
      <c r="T294" s="61"/>
      <c r="U294" s="61"/>
      <c r="V294" s="167" t="str">
        <f t="shared" si="14"/>
        <v/>
      </c>
    </row>
    <row r="295" spans="1:22">
      <c r="A295" s="58"/>
      <c r="B295" s="58"/>
      <c r="C295" s="58"/>
      <c r="D295" s="58"/>
      <c r="E295" s="58"/>
      <c r="F295" s="62"/>
      <c r="G295" s="63"/>
      <c r="H295" s="84"/>
      <c r="I295" s="61"/>
      <c r="J295" s="61"/>
      <c r="K295" s="71" t="str">
        <f t="shared" si="12"/>
        <v/>
      </c>
      <c r="L295" s="84"/>
      <c r="M295" s="61"/>
      <c r="N295" s="61"/>
      <c r="O295" s="61"/>
      <c r="P295" s="61"/>
      <c r="Q295" s="166" t="str">
        <f t="shared" si="13"/>
        <v/>
      </c>
      <c r="R295" s="84"/>
      <c r="S295" s="61"/>
      <c r="T295" s="61"/>
      <c r="U295" s="61"/>
      <c r="V295" s="167" t="str">
        <f t="shared" si="14"/>
        <v/>
      </c>
    </row>
    <row r="296" spans="1:22">
      <c r="A296" s="58"/>
      <c r="B296" s="58"/>
      <c r="C296" s="58"/>
      <c r="D296" s="58"/>
      <c r="E296" s="58"/>
      <c r="F296" s="62"/>
      <c r="G296" s="63"/>
      <c r="H296" s="84"/>
      <c r="I296" s="61"/>
      <c r="J296" s="61"/>
      <c r="K296" s="71" t="str">
        <f t="shared" si="12"/>
        <v/>
      </c>
      <c r="L296" s="84"/>
      <c r="M296" s="61"/>
      <c r="N296" s="61"/>
      <c r="O296" s="61"/>
      <c r="P296" s="61"/>
      <c r="Q296" s="166" t="str">
        <f t="shared" si="13"/>
        <v/>
      </c>
      <c r="R296" s="84"/>
      <c r="S296" s="61"/>
      <c r="T296" s="61"/>
      <c r="U296" s="61"/>
      <c r="V296" s="167" t="str">
        <f t="shared" si="14"/>
        <v/>
      </c>
    </row>
    <row r="297" spans="1:22">
      <c r="A297" s="58"/>
      <c r="B297" s="58"/>
      <c r="C297" s="58"/>
      <c r="D297" s="58"/>
      <c r="E297" s="58"/>
      <c r="F297" s="62"/>
      <c r="G297" s="63"/>
      <c r="H297" s="84"/>
      <c r="I297" s="61"/>
      <c r="J297" s="61"/>
      <c r="K297" s="71" t="str">
        <f t="shared" si="12"/>
        <v/>
      </c>
      <c r="L297" s="84"/>
      <c r="M297" s="61"/>
      <c r="N297" s="61"/>
      <c r="O297" s="61"/>
      <c r="P297" s="61"/>
      <c r="Q297" s="166" t="str">
        <f t="shared" si="13"/>
        <v/>
      </c>
      <c r="R297" s="84"/>
      <c r="S297" s="61"/>
      <c r="T297" s="61"/>
      <c r="U297" s="61"/>
      <c r="V297" s="167" t="str">
        <f t="shared" si="14"/>
        <v/>
      </c>
    </row>
    <row r="298" spans="1:22">
      <c r="A298" s="58"/>
      <c r="B298" s="58"/>
      <c r="C298" s="58"/>
      <c r="D298" s="58"/>
      <c r="E298" s="58"/>
      <c r="F298" s="62"/>
      <c r="G298" s="63"/>
      <c r="H298" s="84"/>
      <c r="I298" s="61"/>
      <c r="J298" s="61"/>
      <c r="K298" s="71" t="str">
        <f t="shared" si="12"/>
        <v/>
      </c>
      <c r="L298" s="84"/>
      <c r="M298" s="61"/>
      <c r="N298" s="61"/>
      <c r="O298" s="61"/>
      <c r="P298" s="61"/>
      <c r="Q298" s="166" t="str">
        <f t="shared" si="13"/>
        <v/>
      </c>
      <c r="R298" s="84"/>
      <c r="S298" s="61"/>
      <c r="T298" s="61"/>
      <c r="U298" s="61"/>
      <c r="V298" s="167" t="str">
        <f t="shared" si="14"/>
        <v/>
      </c>
    </row>
    <row r="299" spans="1:22">
      <c r="A299" s="58"/>
      <c r="B299" s="58"/>
      <c r="C299" s="58"/>
      <c r="D299" s="58"/>
      <c r="E299" s="58"/>
      <c r="F299" s="62"/>
      <c r="G299" s="63"/>
      <c r="H299" s="84"/>
      <c r="I299" s="61"/>
      <c r="J299" s="61"/>
      <c r="K299" s="71" t="str">
        <f t="shared" si="12"/>
        <v/>
      </c>
      <c r="L299" s="84"/>
      <c r="M299" s="61"/>
      <c r="N299" s="61"/>
      <c r="O299" s="61"/>
      <c r="P299" s="61"/>
      <c r="Q299" s="166" t="str">
        <f t="shared" si="13"/>
        <v/>
      </c>
      <c r="R299" s="84"/>
      <c r="S299" s="61"/>
      <c r="T299" s="61"/>
      <c r="U299" s="61"/>
      <c r="V299" s="167" t="str">
        <f t="shared" si="14"/>
        <v/>
      </c>
    </row>
    <row r="300" spans="1:22">
      <c r="A300" s="58"/>
      <c r="B300" s="58"/>
      <c r="C300" s="58"/>
      <c r="D300" s="58"/>
      <c r="E300" s="58"/>
      <c r="F300" s="62"/>
      <c r="G300" s="63"/>
      <c r="H300" s="84"/>
      <c r="I300" s="61"/>
      <c r="J300" s="61"/>
      <c r="K300" s="71" t="str">
        <f t="shared" si="12"/>
        <v/>
      </c>
      <c r="L300" s="84"/>
      <c r="M300" s="61"/>
      <c r="N300" s="61"/>
      <c r="O300" s="61"/>
      <c r="P300" s="61"/>
      <c r="Q300" s="166" t="str">
        <f t="shared" si="13"/>
        <v/>
      </c>
      <c r="R300" s="84"/>
      <c r="S300" s="61"/>
      <c r="T300" s="61"/>
      <c r="U300" s="61"/>
      <c r="V300" s="167" t="str">
        <f t="shared" si="14"/>
        <v/>
      </c>
    </row>
    <row r="301" spans="1:22">
      <c r="A301" s="58"/>
      <c r="B301" s="58"/>
      <c r="C301" s="58"/>
      <c r="D301" s="58"/>
      <c r="E301" s="58"/>
      <c r="F301" s="62"/>
      <c r="G301" s="63"/>
      <c r="H301" s="84"/>
      <c r="I301" s="61"/>
      <c r="J301" s="61"/>
      <c r="K301" s="71" t="str">
        <f t="shared" si="12"/>
        <v/>
      </c>
      <c r="L301" s="84"/>
      <c r="M301" s="61"/>
      <c r="N301" s="61"/>
      <c r="O301" s="61"/>
      <c r="P301" s="61"/>
      <c r="Q301" s="166" t="str">
        <f t="shared" si="13"/>
        <v/>
      </c>
      <c r="R301" s="84"/>
      <c r="S301" s="61"/>
      <c r="T301" s="61"/>
      <c r="U301" s="61"/>
      <c r="V301" s="167" t="str">
        <f t="shared" si="14"/>
        <v/>
      </c>
    </row>
    <row r="302" spans="1:22">
      <c r="A302" s="58"/>
      <c r="B302" s="58"/>
      <c r="C302" s="58"/>
      <c r="D302" s="58"/>
      <c r="E302" s="58"/>
      <c r="F302" s="62"/>
      <c r="G302" s="63"/>
      <c r="H302" s="84"/>
      <c r="I302" s="61"/>
      <c r="J302" s="61"/>
      <c r="K302" s="71" t="str">
        <f t="shared" si="12"/>
        <v/>
      </c>
      <c r="L302" s="84"/>
      <c r="M302" s="61"/>
      <c r="N302" s="61"/>
      <c r="O302" s="61"/>
      <c r="P302" s="61"/>
      <c r="Q302" s="166" t="str">
        <f t="shared" si="13"/>
        <v/>
      </c>
      <c r="R302" s="84"/>
      <c r="S302" s="61"/>
      <c r="T302" s="61"/>
      <c r="U302" s="61"/>
      <c r="V302" s="167" t="str">
        <f t="shared" si="14"/>
        <v/>
      </c>
    </row>
    <row r="303" spans="1:22">
      <c r="A303" s="58"/>
      <c r="B303" s="58"/>
      <c r="C303" s="58"/>
      <c r="D303" s="58"/>
      <c r="E303" s="58"/>
      <c r="F303" s="62"/>
      <c r="G303" s="63"/>
      <c r="H303" s="84"/>
      <c r="I303" s="61"/>
      <c r="J303" s="61"/>
      <c r="K303" s="71" t="str">
        <f t="shared" si="12"/>
        <v/>
      </c>
      <c r="L303" s="84"/>
      <c r="M303" s="61"/>
      <c r="N303" s="61"/>
      <c r="O303" s="61"/>
      <c r="P303" s="61"/>
      <c r="Q303" s="166" t="str">
        <f t="shared" si="13"/>
        <v/>
      </c>
      <c r="R303" s="84"/>
      <c r="S303" s="61"/>
      <c r="T303" s="61"/>
      <c r="U303" s="61"/>
      <c r="V303" s="167" t="str">
        <f t="shared" si="14"/>
        <v/>
      </c>
    </row>
    <row r="304" spans="1:22">
      <c r="A304" s="58"/>
      <c r="B304" s="58"/>
      <c r="C304" s="58"/>
      <c r="D304" s="58"/>
      <c r="E304" s="58"/>
      <c r="F304" s="62"/>
      <c r="G304" s="63"/>
      <c r="H304" s="84"/>
      <c r="I304" s="61"/>
      <c r="J304" s="61"/>
      <c r="K304" s="71" t="str">
        <f t="shared" si="12"/>
        <v/>
      </c>
      <c r="L304" s="84"/>
      <c r="M304" s="61"/>
      <c r="N304" s="61"/>
      <c r="O304" s="61"/>
      <c r="P304" s="61"/>
      <c r="Q304" s="166" t="str">
        <f t="shared" si="13"/>
        <v/>
      </c>
      <c r="R304" s="84"/>
      <c r="S304" s="61"/>
      <c r="T304" s="61"/>
      <c r="U304" s="61"/>
      <c r="V304" s="167" t="str">
        <f t="shared" si="14"/>
        <v/>
      </c>
    </row>
    <row r="305" spans="1:22">
      <c r="A305" s="58"/>
      <c r="B305" s="58"/>
      <c r="C305" s="58"/>
      <c r="D305" s="58"/>
      <c r="E305" s="58"/>
      <c r="F305" s="62"/>
      <c r="G305" s="63"/>
      <c r="H305" s="84"/>
      <c r="I305" s="61"/>
      <c r="J305" s="61"/>
      <c r="K305" s="71" t="str">
        <f t="shared" si="12"/>
        <v/>
      </c>
      <c r="L305" s="84"/>
      <c r="M305" s="61"/>
      <c r="N305" s="61"/>
      <c r="O305" s="61"/>
      <c r="P305" s="61"/>
      <c r="Q305" s="166" t="str">
        <f t="shared" si="13"/>
        <v/>
      </c>
      <c r="R305" s="84"/>
      <c r="S305" s="61"/>
      <c r="T305" s="61"/>
      <c r="U305" s="61"/>
      <c r="V305" s="167" t="str">
        <f t="shared" si="14"/>
        <v/>
      </c>
    </row>
    <row r="306" spans="1:22">
      <c r="A306" s="58"/>
      <c r="B306" s="58"/>
      <c r="C306" s="58"/>
      <c r="D306" s="58"/>
      <c r="E306" s="58"/>
      <c r="F306" s="62"/>
      <c r="G306" s="63"/>
      <c r="H306" s="84"/>
      <c r="I306" s="61"/>
      <c r="J306" s="61"/>
      <c r="K306" s="71" t="str">
        <f t="shared" si="12"/>
        <v/>
      </c>
      <c r="L306" s="84"/>
      <c r="M306" s="61"/>
      <c r="N306" s="61"/>
      <c r="O306" s="61"/>
      <c r="P306" s="61"/>
      <c r="Q306" s="166" t="str">
        <f t="shared" si="13"/>
        <v/>
      </c>
      <c r="R306" s="84"/>
      <c r="S306" s="61"/>
      <c r="T306" s="61"/>
      <c r="U306" s="61"/>
      <c r="V306" s="167" t="str">
        <f t="shared" si="14"/>
        <v/>
      </c>
    </row>
    <row r="307" spans="1:22">
      <c r="A307" s="58"/>
      <c r="B307" s="58"/>
      <c r="C307" s="58"/>
      <c r="D307" s="58"/>
      <c r="E307" s="58"/>
      <c r="F307" s="62"/>
      <c r="G307" s="63"/>
      <c r="H307" s="84"/>
      <c r="I307" s="61"/>
      <c r="J307" s="61"/>
      <c r="K307" s="71" t="str">
        <f t="shared" si="12"/>
        <v/>
      </c>
      <c r="L307" s="84"/>
      <c r="M307" s="61"/>
      <c r="N307" s="61"/>
      <c r="O307" s="61"/>
      <c r="P307" s="61"/>
      <c r="Q307" s="166" t="str">
        <f t="shared" si="13"/>
        <v/>
      </c>
      <c r="R307" s="84"/>
      <c r="S307" s="61"/>
      <c r="T307" s="61"/>
      <c r="U307" s="61"/>
      <c r="V307" s="167" t="str">
        <f t="shared" si="14"/>
        <v/>
      </c>
    </row>
    <row r="308" spans="1:22">
      <c r="A308" s="58"/>
      <c r="B308" s="58"/>
      <c r="C308" s="58"/>
      <c r="D308" s="58"/>
      <c r="E308" s="58"/>
      <c r="F308" s="62"/>
      <c r="G308" s="63"/>
      <c r="H308" s="84"/>
      <c r="I308" s="61"/>
      <c r="J308" s="61"/>
      <c r="K308" s="71" t="str">
        <f t="shared" si="12"/>
        <v/>
      </c>
      <c r="L308" s="84"/>
      <c r="M308" s="61"/>
      <c r="N308" s="61"/>
      <c r="O308" s="61"/>
      <c r="P308" s="61"/>
      <c r="Q308" s="166" t="str">
        <f t="shared" si="13"/>
        <v/>
      </c>
      <c r="R308" s="84"/>
      <c r="S308" s="61"/>
      <c r="T308" s="61"/>
      <c r="U308" s="61"/>
      <c r="V308" s="167" t="str">
        <f t="shared" si="14"/>
        <v/>
      </c>
    </row>
    <row r="309" spans="1:22">
      <c r="A309" s="58"/>
      <c r="B309" s="58"/>
      <c r="C309" s="58"/>
      <c r="D309" s="58"/>
      <c r="E309" s="58"/>
      <c r="F309" s="62"/>
      <c r="G309" s="63"/>
      <c r="H309" s="84"/>
      <c r="I309" s="61"/>
      <c r="J309" s="61"/>
      <c r="K309" s="71" t="str">
        <f t="shared" si="12"/>
        <v/>
      </c>
      <c r="L309" s="84"/>
      <c r="M309" s="61"/>
      <c r="N309" s="61"/>
      <c r="O309" s="61"/>
      <c r="P309" s="61"/>
      <c r="Q309" s="166" t="str">
        <f t="shared" si="13"/>
        <v/>
      </c>
      <c r="R309" s="84"/>
      <c r="S309" s="61"/>
      <c r="T309" s="61"/>
      <c r="U309" s="61"/>
      <c r="V309" s="167" t="str">
        <f t="shared" si="14"/>
        <v/>
      </c>
    </row>
    <row r="310" spans="1:22">
      <c r="A310" s="58"/>
      <c r="B310" s="58"/>
      <c r="C310" s="58"/>
      <c r="D310" s="58"/>
      <c r="E310" s="58"/>
      <c r="F310" s="62"/>
      <c r="G310" s="63"/>
      <c r="H310" s="84"/>
      <c r="I310" s="61"/>
      <c r="J310" s="61"/>
      <c r="K310" s="71" t="str">
        <f t="shared" si="12"/>
        <v/>
      </c>
      <c r="L310" s="84"/>
      <c r="M310" s="61"/>
      <c r="N310" s="61"/>
      <c r="O310" s="61"/>
      <c r="P310" s="61"/>
      <c r="Q310" s="166" t="str">
        <f t="shared" si="13"/>
        <v/>
      </c>
      <c r="R310" s="84"/>
      <c r="S310" s="61"/>
      <c r="T310" s="61"/>
      <c r="U310" s="61"/>
      <c r="V310" s="167" t="str">
        <f t="shared" si="14"/>
        <v/>
      </c>
    </row>
    <row r="311" spans="1:22">
      <c r="A311" s="58"/>
      <c r="B311" s="58"/>
      <c r="C311" s="58"/>
      <c r="D311" s="58"/>
      <c r="E311" s="58"/>
      <c r="F311" s="62"/>
      <c r="G311" s="63"/>
      <c r="H311" s="84"/>
      <c r="I311" s="61"/>
      <c r="J311" s="61"/>
      <c r="K311" s="71" t="str">
        <f t="shared" si="12"/>
        <v/>
      </c>
      <c r="L311" s="84"/>
      <c r="M311" s="61"/>
      <c r="N311" s="61"/>
      <c r="O311" s="61"/>
      <c r="P311" s="61"/>
      <c r="Q311" s="166" t="str">
        <f t="shared" si="13"/>
        <v/>
      </c>
      <c r="R311" s="84"/>
      <c r="S311" s="61"/>
      <c r="T311" s="61"/>
      <c r="U311" s="61"/>
      <c r="V311" s="167" t="str">
        <f t="shared" si="14"/>
        <v/>
      </c>
    </row>
    <row r="312" spans="1:22">
      <c r="A312" s="58"/>
      <c r="B312" s="58"/>
      <c r="C312" s="58"/>
      <c r="D312" s="58"/>
      <c r="E312" s="58"/>
      <c r="F312" s="62"/>
      <c r="G312" s="63"/>
      <c r="H312" s="84"/>
      <c r="I312" s="61"/>
      <c r="J312" s="61"/>
      <c r="K312" s="71" t="str">
        <f t="shared" si="12"/>
        <v/>
      </c>
      <c r="L312" s="84"/>
      <c r="M312" s="61"/>
      <c r="N312" s="61"/>
      <c r="O312" s="61"/>
      <c r="P312" s="61"/>
      <c r="Q312" s="166" t="str">
        <f t="shared" si="13"/>
        <v/>
      </c>
      <c r="R312" s="84"/>
      <c r="S312" s="61"/>
      <c r="T312" s="61"/>
      <c r="U312" s="61"/>
      <c r="V312" s="167" t="str">
        <f t="shared" si="14"/>
        <v/>
      </c>
    </row>
    <row r="313" spans="1:22">
      <c r="A313" s="58"/>
      <c r="B313" s="58"/>
      <c r="C313" s="58"/>
      <c r="D313" s="58"/>
      <c r="E313" s="58"/>
      <c r="F313" s="62"/>
      <c r="G313" s="63"/>
      <c r="H313" s="84"/>
      <c r="I313" s="61"/>
      <c r="J313" s="61"/>
      <c r="K313" s="71" t="str">
        <f t="shared" si="12"/>
        <v/>
      </c>
      <c r="L313" s="84"/>
      <c r="M313" s="61"/>
      <c r="N313" s="61"/>
      <c r="O313" s="61"/>
      <c r="P313" s="61"/>
      <c r="Q313" s="166" t="str">
        <f t="shared" si="13"/>
        <v/>
      </c>
      <c r="R313" s="84"/>
      <c r="S313" s="61"/>
      <c r="T313" s="61"/>
      <c r="U313" s="61"/>
      <c r="V313" s="167" t="str">
        <f t="shared" si="14"/>
        <v/>
      </c>
    </row>
    <row r="314" spans="1:22">
      <c r="A314" s="58"/>
      <c r="B314" s="58"/>
      <c r="C314" s="58"/>
      <c r="D314" s="58"/>
      <c r="E314" s="58"/>
      <c r="F314" s="62"/>
      <c r="G314" s="63"/>
      <c r="H314" s="84"/>
      <c r="I314" s="61"/>
      <c r="J314" s="61"/>
      <c r="K314" s="71" t="str">
        <f t="shared" si="12"/>
        <v/>
      </c>
      <c r="L314" s="84"/>
      <c r="M314" s="61"/>
      <c r="N314" s="61"/>
      <c r="O314" s="61"/>
      <c r="P314" s="61"/>
      <c r="Q314" s="166" t="str">
        <f t="shared" si="13"/>
        <v/>
      </c>
      <c r="R314" s="84"/>
      <c r="S314" s="61"/>
      <c r="T314" s="61"/>
      <c r="U314" s="61"/>
      <c r="V314" s="167" t="str">
        <f t="shared" si="14"/>
        <v/>
      </c>
    </row>
    <row r="315" spans="1:22">
      <c r="A315" s="58"/>
      <c r="B315" s="58"/>
      <c r="C315" s="58"/>
      <c r="D315" s="58"/>
      <c r="E315" s="58"/>
      <c r="F315" s="62"/>
      <c r="G315" s="63"/>
      <c r="H315" s="84"/>
      <c r="I315" s="61"/>
      <c r="J315" s="61"/>
      <c r="K315" s="71" t="str">
        <f t="shared" si="12"/>
        <v/>
      </c>
      <c r="L315" s="84"/>
      <c r="M315" s="61"/>
      <c r="N315" s="61"/>
      <c r="O315" s="61"/>
      <c r="P315" s="61"/>
      <c r="Q315" s="166" t="str">
        <f t="shared" si="13"/>
        <v/>
      </c>
      <c r="R315" s="84"/>
      <c r="S315" s="61"/>
      <c r="T315" s="61"/>
      <c r="U315" s="61"/>
      <c r="V315" s="167" t="str">
        <f t="shared" si="14"/>
        <v/>
      </c>
    </row>
    <row r="316" spans="1:22">
      <c r="A316" s="58"/>
      <c r="B316" s="58"/>
      <c r="C316" s="58"/>
      <c r="D316" s="58"/>
      <c r="E316" s="58"/>
      <c r="F316" s="62"/>
      <c r="G316" s="63"/>
      <c r="H316" s="84"/>
      <c r="I316" s="61"/>
      <c r="J316" s="61"/>
      <c r="K316" s="71" t="str">
        <f t="shared" si="12"/>
        <v/>
      </c>
      <c r="L316" s="84"/>
      <c r="M316" s="61"/>
      <c r="N316" s="61"/>
      <c r="O316" s="61"/>
      <c r="P316" s="61"/>
      <c r="Q316" s="166" t="str">
        <f t="shared" si="13"/>
        <v/>
      </c>
      <c r="R316" s="84"/>
      <c r="S316" s="61"/>
      <c r="T316" s="61"/>
      <c r="U316" s="61"/>
      <c r="V316" s="167" t="str">
        <f t="shared" si="14"/>
        <v/>
      </c>
    </row>
    <row r="317" spans="1:22">
      <c r="A317" s="58"/>
      <c r="B317" s="58"/>
      <c r="C317" s="58"/>
      <c r="D317" s="58"/>
      <c r="E317" s="58"/>
      <c r="F317" s="62"/>
      <c r="G317" s="63"/>
      <c r="H317" s="84"/>
      <c r="I317" s="61"/>
      <c r="J317" s="61"/>
      <c r="K317" s="71" t="str">
        <f t="shared" si="12"/>
        <v/>
      </c>
      <c r="L317" s="84"/>
      <c r="M317" s="61"/>
      <c r="N317" s="61"/>
      <c r="O317" s="61"/>
      <c r="P317" s="61"/>
      <c r="Q317" s="166" t="str">
        <f t="shared" si="13"/>
        <v/>
      </c>
      <c r="R317" s="84"/>
      <c r="S317" s="61"/>
      <c r="T317" s="61"/>
      <c r="U317" s="61"/>
      <c r="V317" s="167" t="str">
        <f t="shared" si="14"/>
        <v/>
      </c>
    </row>
    <row r="318" spans="1:22">
      <c r="A318" s="58"/>
      <c r="B318" s="58"/>
      <c r="C318" s="58"/>
      <c r="D318" s="58"/>
      <c r="E318" s="58"/>
      <c r="F318" s="62"/>
      <c r="G318" s="63"/>
      <c r="H318" s="84"/>
      <c r="I318" s="61"/>
      <c r="J318" s="61"/>
      <c r="K318" s="71" t="str">
        <f t="shared" si="12"/>
        <v/>
      </c>
      <c r="L318" s="84"/>
      <c r="M318" s="61"/>
      <c r="N318" s="61"/>
      <c r="O318" s="61"/>
      <c r="P318" s="61"/>
      <c r="Q318" s="166" t="str">
        <f t="shared" si="13"/>
        <v/>
      </c>
      <c r="R318" s="84"/>
      <c r="S318" s="61"/>
      <c r="T318" s="61"/>
      <c r="U318" s="61"/>
      <c r="V318" s="167" t="str">
        <f t="shared" si="14"/>
        <v/>
      </c>
    </row>
    <row r="319" spans="1:22">
      <c r="A319" s="58"/>
      <c r="B319" s="58"/>
      <c r="C319" s="58"/>
      <c r="D319" s="58"/>
      <c r="E319" s="58"/>
      <c r="F319" s="62"/>
      <c r="G319" s="63"/>
      <c r="H319" s="84"/>
      <c r="I319" s="61"/>
      <c r="J319" s="61"/>
      <c r="K319" s="71" t="str">
        <f t="shared" si="12"/>
        <v/>
      </c>
      <c r="L319" s="84"/>
      <c r="M319" s="61"/>
      <c r="N319" s="61"/>
      <c r="O319" s="61"/>
      <c r="P319" s="61"/>
      <c r="Q319" s="166" t="str">
        <f t="shared" si="13"/>
        <v/>
      </c>
      <c r="R319" s="84"/>
      <c r="S319" s="61"/>
      <c r="T319" s="61"/>
      <c r="U319" s="61"/>
      <c r="V319" s="167" t="str">
        <f t="shared" si="14"/>
        <v/>
      </c>
    </row>
    <row r="320" spans="1:22">
      <c r="A320" s="58"/>
      <c r="B320" s="58"/>
      <c r="C320" s="58"/>
      <c r="D320" s="58"/>
      <c r="E320" s="58"/>
      <c r="F320" s="62"/>
      <c r="G320" s="63"/>
      <c r="H320" s="84"/>
      <c r="I320" s="61"/>
      <c r="J320" s="61"/>
      <c r="K320" s="71" t="str">
        <f t="shared" si="12"/>
        <v/>
      </c>
      <c r="L320" s="84"/>
      <c r="M320" s="61"/>
      <c r="N320" s="61"/>
      <c r="O320" s="61"/>
      <c r="P320" s="61"/>
      <c r="Q320" s="166" t="str">
        <f t="shared" si="13"/>
        <v/>
      </c>
      <c r="R320" s="84"/>
      <c r="S320" s="61"/>
      <c r="T320" s="61"/>
      <c r="U320" s="61"/>
      <c r="V320" s="167" t="str">
        <f t="shared" si="14"/>
        <v/>
      </c>
    </row>
    <row r="321" spans="1:22">
      <c r="A321" s="58"/>
      <c r="B321" s="58"/>
      <c r="C321" s="58"/>
      <c r="D321" s="58"/>
      <c r="E321" s="58"/>
      <c r="F321" s="62"/>
      <c r="G321" s="63"/>
      <c r="H321" s="84"/>
      <c r="I321" s="61"/>
      <c r="J321" s="61"/>
      <c r="K321" s="71" t="str">
        <f t="shared" si="12"/>
        <v/>
      </c>
      <c r="L321" s="84"/>
      <c r="M321" s="61"/>
      <c r="N321" s="61"/>
      <c r="O321" s="61"/>
      <c r="P321" s="61"/>
      <c r="Q321" s="166" t="str">
        <f t="shared" si="13"/>
        <v/>
      </c>
      <c r="R321" s="84"/>
      <c r="S321" s="61"/>
      <c r="T321" s="61"/>
      <c r="U321" s="61"/>
      <c r="V321" s="167" t="str">
        <f t="shared" si="14"/>
        <v/>
      </c>
    </row>
    <row r="322" spans="1:22">
      <c r="A322" s="58"/>
      <c r="B322" s="58"/>
      <c r="C322" s="58"/>
      <c r="D322" s="58"/>
      <c r="E322" s="58"/>
      <c r="F322" s="62"/>
      <c r="G322" s="63"/>
      <c r="H322" s="84"/>
      <c r="I322" s="61"/>
      <c r="J322" s="61"/>
      <c r="K322" s="71" t="str">
        <f t="shared" si="12"/>
        <v/>
      </c>
      <c r="L322" s="84"/>
      <c r="M322" s="61"/>
      <c r="N322" s="61"/>
      <c r="O322" s="61"/>
      <c r="P322" s="61"/>
      <c r="Q322" s="166" t="str">
        <f t="shared" si="13"/>
        <v/>
      </c>
      <c r="R322" s="84"/>
      <c r="S322" s="61"/>
      <c r="T322" s="61"/>
      <c r="U322" s="61"/>
      <c r="V322" s="167" t="str">
        <f t="shared" si="14"/>
        <v/>
      </c>
    </row>
    <row r="323" spans="1:22">
      <c r="A323" s="58"/>
      <c r="B323" s="58"/>
      <c r="C323" s="58"/>
      <c r="D323" s="58"/>
      <c r="E323" s="58"/>
      <c r="F323" s="62"/>
      <c r="G323" s="63"/>
      <c r="H323" s="84"/>
      <c r="I323" s="61"/>
      <c r="J323" s="61"/>
      <c r="K323" s="71" t="str">
        <f t="shared" si="12"/>
        <v/>
      </c>
      <c r="L323" s="84"/>
      <c r="M323" s="61"/>
      <c r="N323" s="61"/>
      <c r="O323" s="61"/>
      <c r="P323" s="61"/>
      <c r="Q323" s="166" t="str">
        <f t="shared" si="13"/>
        <v/>
      </c>
      <c r="R323" s="84"/>
      <c r="S323" s="61"/>
      <c r="T323" s="61"/>
      <c r="U323" s="61"/>
      <c r="V323" s="167" t="str">
        <f t="shared" si="14"/>
        <v/>
      </c>
    </row>
    <row r="324" spans="1:22">
      <c r="A324" s="58"/>
      <c r="B324" s="58"/>
      <c r="C324" s="58"/>
      <c r="D324" s="58"/>
      <c r="E324" s="58"/>
      <c r="F324" s="62"/>
      <c r="G324" s="63"/>
      <c r="H324" s="84"/>
      <c r="I324" s="61"/>
      <c r="J324" s="61"/>
      <c r="K324" s="71" t="str">
        <f t="shared" si="12"/>
        <v/>
      </c>
      <c r="L324" s="84"/>
      <c r="M324" s="61"/>
      <c r="N324" s="61"/>
      <c r="O324" s="61"/>
      <c r="P324" s="61"/>
      <c r="Q324" s="166" t="str">
        <f t="shared" si="13"/>
        <v/>
      </c>
      <c r="R324" s="84"/>
      <c r="S324" s="61"/>
      <c r="T324" s="61"/>
      <c r="U324" s="61"/>
      <c r="V324" s="167" t="str">
        <f t="shared" si="14"/>
        <v/>
      </c>
    </row>
    <row r="325" spans="1:22">
      <c r="A325" s="58"/>
      <c r="B325" s="58"/>
      <c r="C325" s="58"/>
      <c r="D325" s="58"/>
      <c r="E325" s="58"/>
      <c r="F325" s="62"/>
      <c r="G325" s="63"/>
      <c r="H325" s="84"/>
      <c r="I325" s="61"/>
      <c r="J325" s="61"/>
      <c r="K325" s="71" t="str">
        <f t="shared" ref="K325:K388" si="15">IF($B325="","",SUM($I325:$J325))</f>
        <v/>
      </c>
      <c r="L325" s="84"/>
      <c r="M325" s="61"/>
      <c r="N325" s="61"/>
      <c r="O325" s="61"/>
      <c r="P325" s="61"/>
      <c r="Q325" s="166" t="str">
        <f t="shared" si="13"/>
        <v/>
      </c>
      <c r="R325" s="84"/>
      <c r="S325" s="61"/>
      <c r="T325" s="61"/>
      <c r="U325" s="61"/>
      <c r="V325" s="167" t="str">
        <f t="shared" si="14"/>
        <v/>
      </c>
    </row>
    <row r="326" spans="1:22">
      <c r="A326" s="58"/>
      <c r="B326" s="58"/>
      <c r="C326" s="58"/>
      <c r="D326" s="58"/>
      <c r="E326" s="58"/>
      <c r="F326" s="62"/>
      <c r="G326" s="63"/>
      <c r="H326" s="84"/>
      <c r="I326" s="61"/>
      <c r="J326" s="61"/>
      <c r="K326" s="71" t="str">
        <f t="shared" si="15"/>
        <v/>
      </c>
      <c r="L326" s="84"/>
      <c r="M326" s="61"/>
      <c r="N326" s="61"/>
      <c r="O326" s="61"/>
      <c r="P326" s="61"/>
      <c r="Q326" s="166" t="str">
        <f t="shared" ref="Q326:Q389" si="16">IF($L326="","",SUM($M326:$P326))</f>
        <v/>
      </c>
      <c r="R326" s="84"/>
      <c r="S326" s="61"/>
      <c r="T326" s="61"/>
      <c r="U326" s="61"/>
      <c r="V326" s="167" t="str">
        <f t="shared" ref="V326:V389" si="17">IF($R326="","",SUM($S326:$U326))</f>
        <v/>
      </c>
    </row>
    <row r="327" spans="1:22">
      <c r="A327" s="58"/>
      <c r="B327" s="58"/>
      <c r="C327" s="58"/>
      <c r="D327" s="58"/>
      <c r="E327" s="58"/>
      <c r="F327" s="62"/>
      <c r="G327" s="63"/>
      <c r="H327" s="84"/>
      <c r="I327" s="61"/>
      <c r="J327" s="61"/>
      <c r="K327" s="71" t="str">
        <f t="shared" si="15"/>
        <v/>
      </c>
      <c r="L327" s="84"/>
      <c r="M327" s="61"/>
      <c r="N327" s="61"/>
      <c r="O327" s="61"/>
      <c r="P327" s="61"/>
      <c r="Q327" s="166" t="str">
        <f t="shared" si="16"/>
        <v/>
      </c>
      <c r="R327" s="84"/>
      <c r="S327" s="61"/>
      <c r="T327" s="61"/>
      <c r="U327" s="61"/>
      <c r="V327" s="167" t="str">
        <f t="shared" si="17"/>
        <v/>
      </c>
    </row>
    <row r="328" spans="1:22">
      <c r="A328" s="58"/>
      <c r="B328" s="58"/>
      <c r="C328" s="58"/>
      <c r="D328" s="58"/>
      <c r="E328" s="58"/>
      <c r="F328" s="62"/>
      <c r="G328" s="63"/>
      <c r="H328" s="84"/>
      <c r="I328" s="61"/>
      <c r="J328" s="61"/>
      <c r="K328" s="71" t="str">
        <f t="shared" si="15"/>
        <v/>
      </c>
      <c r="L328" s="84"/>
      <c r="M328" s="61"/>
      <c r="N328" s="61"/>
      <c r="O328" s="61"/>
      <c r="P328" s="61"/>
      <c r="Q328" s="166" t="str">
        <f t="shared" si="16"/>
        <v/>
      </c>
      <c r="R328" s="84"/>
      <c r="S328" s="61"/>
      <c r="T328" s="61"/>
      <c r="U328" s="61"/>
      <c r="V328" s="167" t="str">
        <f t="shared" si="17"/>
        <v/>
      </c>
    </row>
    <row r="329" spans="1:22">
      <c r="A329" s="58"/>
      <c r="B329" s="58"/>
      <c r="C329" s="58"/>
      <c r="D329" s="58"/>
      <c r="E329" s="58"/>
      <c r="F329" s="62"/>
      <c r="G329" s="63"/>
      <c r="H329" s="84"/>
      <c r="I329" s="61"/>
      <c r="J329" s="61"/>
      <c r="K329" s="71" t="str">
        <f t="shared" si="15"/>
        <v/>
      </c>
      <c r="L329" s="84"/>
      <c r="M329" s="61"/>
      <c r="N329" s="61"/>
      <c r="O329" s="61"/>
      <c r="P329" s="61"/>
      <c r="Q329" s="166" t="str">
        <f t="shared" si="16"/>
        <v/>
      </c>
      <c r="R329" s="84"/>
      <c r="S329" s="61"/>
      <c r="T329" s="61"/>
      <c r="U329" s="61"/>
      <c r="V329" s="167" t="str">
        <f t="shared" si="17"/>
        <v/>
      </c>
    </row>
    <row r="330" spans="1:22">
      <c r="A330" s="58"/>
      <c r="B330" s="58"/>
      <c r="C330" s="58"/>
      <c r="D330" s="58"/>
      <c r="E330" s="58"/>
      <c r="F330" s="62"/>
      <c r="G330" s="63"/>
      <c r="H330" s="84"/>
      <c r="I330" s="61"/>
      <c r="J330" s="61"/>
      <c r="K330" s="71" t="str">
        <f t="shared" si="15"/>
        <v/>
      </c>
      <c r="L330" s="84"/>
      <c r="M330" s="61"/>
      <c r="N330" s="61"/>
      <c r="O330" s="61"/>
      <c r="P330" s="61"/>
      <c r="Q330" s="166" t="str">
        <f t="shared" si="16"/>
        <v/>
      </c>
      <c r="R330" s="84"/>
      <c r="S330" s="61"/>
      <c r="T330" s="61"/>
      <c r="U330" s="61"/>
      <c r="V330" s="167" t="str">
        <f t="shared" si="17"/>
        <v/>
      </c>
    </row>
    <row r="331" spans="1:22">
      <c r="A331" s="58"/>
      <c r="B331" s="58"/>
      <c r="C331" s="58"/>
      <c r="D331" s="58"/>
      <c r="E331" s="58"/>
      <c r="F331" s="62"/>
      <c r="G331" s="63"/>
      <c r="H331" s="84"/>
      <c r="I331" s="61"/>
      <c r="J331" s="61"/>
      <c r="K331" s="71" t="str">
        <f t="shared" si="15"/>
        <v/>
      </c>
      <c r="L331" s="84"/>
      <c r="M331" s="61"/>
      <c r="N331" s="61"/>
      <c r="O331" s="61"/>
      <c r="P331" s="61"/>
      <c r="Q331" s="166" t="str">
        <f t="shared" si="16"/>
        <v/>
      </c>
      <c r="R331" s="84"/>
      <c r="S331" s="61"/>
      <c r="T331" s="61"/>
      <c r="U331" s="61"/>
      <c r="V331" s="167" t="str">
        <f t="shared" si="17"/>
        <v/>
      </c>
    </row>
    <row r="332" spans="1:22">
      <c r="A332" s="58"/>
      <c r="B332" s="58"/>
      <c r="C332" s="58"/>
      <c r="D332" s="58"/>
      <c r="E332" s="58"/>
      <c r="F332" s="62"/>
      <c r="G332" s="63"/>
      <c r="H332" s="84"/>
      <c r="I332" s="61"/>
      <c r="J332" s="61"/>
      <c r="K332" s="71" t="str">
        <f t="shared" si="15"/>
        <v/>
      </c>
      <c r="L332" s="84"/>
      <c r="M332" s="61"/>
      <c r="N332" s="61"/>
      <c r="O332" s="61"/>
      <c r="P332" s="61"/>
      <c r="Q332" s="166" t="str">
        <f t="shared" si="16"/>
        <v/>
      </c>
      <c r="R332" s="84"/>
      <c r="S332" s="61"/>
      <c r="T332" s="61"/>
      <c r="U332" s="61"/>
      <c r="V332" s="167" t="str">
        <f t="shared" si="17"/>
        <v/>
      </c>
    </row>
    <row r="333" spans="1:22">
      <c r="A333" s="58"/>
      <c r="B333" s="58"/>
      <c r="C333" s="58"/>
      <c r="D333" s="58"/>
      <c r="E333" s="58"/>
      <c r="F333" s="62"/>
      <c r="G333" s="63"/>
      <c r="H333" s="84"/>
      <c r="I333" s="61"/>
      <c r="J333" s="61"/>
      <c r="K333" s="71" t="str">
        <f t="shared" si="15"/>
        <v/>
      </c>
      <c r="L333" s="84"/>
      <c r="M333" s="61"/>
      <c r="N333" s="61"/>
      <c r="O333" s="61"/>
      <c r="P333" s="61"/>
      <c r="Q333" s="166" t="str">
        <f t="shared" si="16"/>
        <v/>
      </c>
      <c r="R333" s="84"/>
      <c r="S333" s="61"/>
      <c r="T333" s="61"/>
      <c r="U333" s="61"/>
      <c r="V333" s="167" t="str">
        <f t="shared" si="17"/>
        <v/>
      </c>
    </row>
    <row r="334" spans="1:22">
      <c r="A334" s="58"/>
      <c r="B334" s="58"/>
      <c r="C334" s="58"/>
      <c r="D334" s="58"/>
      <c r="E334" s="58"/>
      <c r="F334" s="62"/>
      <c r="G334" s="63"/>
      <c r="H334" s="84"/>
      <c r="I334" s="61"/>
      <c r="J334" s="61"/>
      <c r="K334" s="71" t="str">
        <f t="shared" si="15"/>
        <v/>
      </c>
      <c r="L334" s="84"/>
      <c r="M334" s="61"/>
      <c r="N334" s="61"/>
      <c r="O334" s="61"/>
      <c r="P334" s="61"/>
      <c r="Q334" s="166" t="str">
        <f t="shared" si="16"/>
        <v/>
      </c>
      <c r="R334" s="84"/>
      <c r="S334" s="61"/>
      <c r="T334" s="61"/>
      <c r="U334" s="61"/>
      <c r="V334" s="167" t="str">
        <f t="shared" si="17"/>
        <v/>
      </c>
    </row>
    <row r="335" spans="1:22">
      <c r="A335" s="58"/>
      <c r="B335" s="58"/>
      <c r="C335" s="58"/>
      <c r="D335" s="58"/>
      <c r="E335" s="58"/>
      <c r="F335" s="62"/>
      <c r="G335" s="63"/>
      <c r="H335" s="84"/>
      <c r="I335" s="61"/>
      <c r="J335" s="61"/>
      <c r="K335" s="71" t="str">
        <f t="shared" si="15"/>
        <v/>
      </c>
      <c r="L335" s="84"/>
      <c r="M335" s="61"/>
      <c r="N335" s="61"/>
      <c r="O335" s="61"/>
      <c r="P335" s="61"/>
      <c r="Q335" s="166" t="str">
        <f t="shared" si="16"/>
        <v/>
      </c>
      <c r="R335" s="84"/>
      <c r="S335" s="61"/>
      <c r="T335" s="61"/>
      <c r="U335" s="61"/>
      <c r="V335" s="167" t="str">
        <f t="shared" si="17"/>
        <v/>
      </c>
    </row>
    <row r="336" spans="1:22">
      <c r="A336" s="58"/>
      <c r="B336" s="58"/>
      <c r="C336" s="58"/>
      <c r="D336" s="58"/>
      <c r="E336" s="58"/>
      <c r="F336" s="62"/>
      <c r="G336" s="63"/>
      <c r="H336" s="84"/>
      <c r="I336" s="61"/>
      <c r="J336" s="61"/>
      <c r="K336" s="71" t="str">
        <f t="shared" si="15"/>
        <v/>
      </c>
      <c r="L336" s="84"/>
      <c r="M336" s="61"/>
      <c r="N336" s="61"/>
      <c r="O336" s="61"/>
      <c r="P336" s="61"/>
      <c r="Q336" s="166" t="str">
        <f t="shared" si="16"/>
        <v/>
      </c>
      <c r="R336" s="84"/>
      <c r="S336" s="61"/>
      <c r="T336" s="61"/>
      <c r="U336" s="61"/>
      <c r="V336" s="167" t="str">
        <f t="shared" si="17"/>
        <v/>
      </c>
    </row>
    <row r="337" spans="1:22">
      <c r="A337" s="58"/>
      <c r="B337" s="58"/>
      <c r="C337" s="58"/>
      <c r="D337" s="58"/>
      <c r="E337" s="58"/>
      <c r="F337" s="62"/>
      <c r="G337" s="63"/>
      <c r="H337" s="84"/>
      <c r="I337" s="61"/>
      <c r="J337" s="61"/>
      <c r="K337" s="71" t="str">
        <f t="shared" si="15"/>
        <v/>
      </c>
      <c r="L337" s="84"/>
      <c r="M337" s="61"/>
      <c r="N337" s="61"/>
      <c r="O337" s="61"/>
      <c r="P337" s="61"/>
      <c r="Q337" s="166" t="str">
        <f t="shared" si="16"/>
        <v/>
      </c>
      <c r="R337" s="84"/>
      <c r="S337" s="61"/>
      <c r="T337" s="61"/>
      <c r="U337" s="61"/>
      <c r="V337" s="167" t="str">
        <f t="shared" si="17"/>
        <v/>
      </c>
    </row>
    <row r="338" spans="1:22">
      <c r="A338" s="58"/>
      <c r="B338" s="58"/>
      <c r="C338" s="58"/>
      <c r="D338" s="58"/>
      <c r="E338" s="58"/>
      <c r="F338" s="62"/>
      <c r="G338" s="63"/>
      <c r="H338" s="84"/>
      <c r="I338" s="61"/>
      <c r="J338" s="61"/>
      <c r="K338" s="71" t="str">
        <f t="shared" si="15"/>
        <v/>
      </c>
      <c r="L338" s="84"/>
      <c r="M338" s="61"/>
      <c r="N338" s="61"/>
      <c r="O338" s="61"/>
      <c r="P338" s="61"/>
      <c r="Q338" s="166" t="str">
        <f t="shared" si="16"/>
        <v/>
      </c>
      <c r="R338" s="84"/>
      <c r="S338" s="61"/>
      <c r="T338" s="61"/>
      <c r="U338" s="61"/>
      <c r="V338" s="167" t="str">
        <f t="shared" si="17"/>
        <v/>
      </c>
    </row>
    <row r="339" spans="1:22">
      <c r="A339" s="58"/>
      <c r="B339" s="58"/>
      <c r="C339" s="58"/>
      <c r="D339" s="58"/>
      <c r="E339" s="58"/>
      <c r="F339" s="62"/>
      <c r="G339" s="63"/>
      <c r="H339" s="84"/>
      <c r="I339" s="61"/>
      <c r="J339" s="61"/>
      <c r="K339" s="71" t="str">
        <f t="shared" si="15"/>
        <v/>
      </c>
      <c r="L339" s="84"/>
      <c r="M339" s="61"/>
      <c r="N339" s="61"/>
      <c r="O339" s="61"/>
      <c r="P339" s="61"/>
      <c r="Q339" s="166" t="str">
        <f t="shared" si="16"/>
        <v/>
      </c>
      <c r="R339" s="84"/>
      <c r="S339" s="61"/>
      <c r="T339" s="61"/>
      <c r="U339" s="61"/>
      <c r="V339" s="167" t="str">
        <f t="shared" si="17"/>
        <v/>
      </c>
    </row>
    <row r="340" spans="1:22">
      <c r="A340" s="58"/>
      <c r="B340" s="58"/>
      <c r="C340" s="58"/>
      <c r="D340" s="58"/>
      <c r="E340" s="58"/>
      <c r="F340" s="62"/>
      <c r="G340" s="63"/>
      <c r="H340" s="84"/>
      <c r="I340" s="61"/>
      <c r="J340" s="61"/>
      <c r="K340" s="71" t="str">
        <f t="shared" si="15"/>
        <v/>
      </c>
      <c r="L340" s="84"/>
      <c r="M340" s="61"/>
      <c r="N340" s="61"/>
      <c r="O340" s="61"/>
      <c r="P340" s="61"/>
      <c r="Q340" s="166" t="str">
        <f t="shared" si="16"/>
        <v/>
      </c>
      <c r="R340" s="84"/>
      <c r="S340" s="61"/>
      <c r="T340" s="61"/>
      <c r="U340" s="61"/>
      <c r="V340" s="167" t="str">
        <f t="shared" si="17"/>
        <v/>
      </c>
    </row>
    <row r="341" spans="1:22">
      <c r="A341" s="58"/>
      <c r="B341" s="58"/>
      <c r="C341" s="58"/>
      <c r="D341" s="58"/>
      <c r="E341" s="58"/>
      <c r="F341" s="62"/>
      <c r="G341" s="63"/>
      <c r="H341" s="84"/>
      <c r="I341" s="61"/>
      <c r="J341" s="61"/>
      <c r="K341" s="71" t="str">
        <f t="shared" si="15"/>
        <v/>
      </c>
      <c r="L341" s="84"/>
      <c r="M341" s="61"/>
      <c r="N341" s="61"/>
      <c r="O341" s="61"/>
      <c r="P341" s="61"/>
      <c r="Q341" s="166" t="str">
        <f t="shared" si="16"/>
        <v/>
      </c>
      <c r="R341" s="84"/>
      <c r="S341" s="61"/>
      <c r="T341" s="61"/>
      <c r="U341" s="61"/>
      <c r="V341" s="167" t="str">
        <f t="shared" si="17"/>
        <v/>
      </c>
    </row>
    <row r="342" spans="1:22">
      <c r="A342" s="58"/>
      <c r="B342" s="58"/>
      <c r="C342" s="58"/>
      <c r="D342" s="58"/>
      <c r="E342" s="58"/>
      <c r="F342" s="62"/>
      <c r="G342" s="63"/>
      <c r="H342" s="84"/>
      <c r="I342" s="61"/>
      <c r="J342" s="61"/>
      <c r="K342" s="71" t="str">
        <f t="shared" si="15"/>
        <v/>
      </c>
      <c r="L342" s="84"/>
      <c r="M342" s="61"/>
      <c r="N342" s="61"/>
      <c r="O342" s="61"/>
      <c r="P342" s="61"/>
      <c r="Q342" s="166" t="str">
        <f t="shared" si="16"/>
        <v/>
      </c>
      <c r="R342" s="84"/>
      <c r="S342" s="61"/>
      <c r="T342" s="61"/>
      <c r="U342" s="61"/>
      <c r="V342" s="167" t="str">
        <f t="shared" si="17"/>
        <v/>
      </c>
    </row>
    <row r="343" spans="1:22">
      <c r="A343" s="58"/>
      <c r="B343" s="58"/>
      <c r="C343" s="58"/>
      <c r="D343" s="58"/>
      <c r="E343" s="58"/>
      <c r="F343" s="62"/>
      <c r="G343" s="63"/>
      <c r="H343" s="84"/>
      <c r="I343" s="61"/>
      <c r="J343" s="61"/>
      <c r="K343" s="71" t="str">
        <f t="shared" si="15"/>
        <v/>
      </c>
      <c r="L343" s="84"/>
      <c r="M343" s="61"/>
      <c r="N343" s="61"/>
      <c r="O343" s="61"/>
      <c r="P343" s="61"/>
      <c r="Q343" s="166" t="str">
        <f t="shared" si="16"/>
        <v/>
      </c>
      <c r="R343" s="84"/>
      <c r="S343" s="61"/>
      <c r="T343" s="61"/>
      <c r="U343" s="61"/>
      <c r="V343" s="167" t="str">
        <f t="shared" si="17"/>
        <v/>
      </c>
    </row>
    <row r="344" spans="1:22">
      <c r="A344" s="58"/>
      <c r="B344" s="58"/>
      <c r="C344" s="58"/>
      <c r="D344" s="58"/>
      <c r="E344" s="58"/>
      <c r="F344" s="62"/>
      <c r="G344" s="63"/>
      <c r="H344" s="84"/>
      <c r="I344" s="61"/>
      <c r="J344" s="61"/>
      <c r="K344" s="71" t="str">
        <f t="shared" si="15"/>
        <v/>
      </c>
      <c r="L344" s="84"/>
      <c r="M344" s="61"/>
      <c r="N344" s="61"/>
      <c r="O344" s="61"/>
      <c r="P344" s="61"/>
      <c r="Q344" s="166" t="str">
        <f t="shared" si="16"/>
        <v/>
      </c>
      <c r="R344" s="84"/>
      <c r="S344" s="61"/>
      <c r="T344" s="61"/>
      <c r="U344" s="61"/>
      <c r="V344" s="167" t="str">
        <f t="shared" si="17"/>
        <v/>
      </c>
    </row>
    <row r="345" spans="1:22">
      <c r="A345" s="58"/>
      <c r="B345" s="58"/>
      <c r="C345" s="58"/>
      <c r="D345" s="58"/>
      <c r="E345" s="58"/>
      <c r="F345" s="62"/>
      <c r="G345" s="63"/>
      <c r="H345" s="84"/>
      <c r="I345" s="61"/>
      <c r="J345" s="61"/>
      <c r="K345" s="71" t="str">
        <f t="shared" si="15"/>
        <v/>
      </c>
      <c r="L345" s="84"/>
      <c r="M345" s="61"/>
      <c r="N345" s="61"/>
      <c r="O345" s="61"/>
      <c r="P345" s="61"/>
      <c r="Q345" s="166" t="str">
        <f t="shared" si="16"/>
        <v/>
      </c>
      <c r="R345" s="84"/>
      <c r="S345" s="61"/>
      <c r="T345" s="61"/>
      <c r="U345" s="61"/>
      <c r="V345" s="167" t="str">
        <f t="shared" si="17"/>
        <v/>
      </c>
    </row>
    <row r="346" spans="1:22">
      <c r="A346" s="58"/>
      <c r="B346" s="58"/>
      <c r="C346" s="58"/>
      <c r="D346" s="58"/>
      <c r="E346" s="58"/>
      <c r="F346" s="62"/>
      <c r="G346" s="63"/>
      <c r="H346" s="84"/>
      <c r="I346" s="61"/>
      <c r="J346" s="61"/>
      <c r="K346" s="71" t="str">
        <f t="shared" si="15"/>
        <v/>
      </c>
      <c r="L346" s="84"/>
      <c r="M346" s="61"/>
      <c r="N346" s="61"/>
      <c r="O346" s="61"/>
      <c r="P346" s="61"/>
      <c r="Q346" s="166" t="str">
        <f t="shared" si="16"/>
        <v/>
      </c>
      <c r="R346" s="84"/>
      <c r="S346" s="61"/>
      <c r="T346" s="61"/>
      <c r="U346" s="61"/>
      <c r="V346" s="167" t="str">
        <f t="shared" si="17"/>
        <v/>
      </c>
    </row>
    <row r="347" spans="1:22">
      <c r="A347" s="58"/>
      <c r="B347" s="58"/>
      <c r="C347" s="58"/>
      <c r="D347" s="58"/>
      <c r="E347" s="58"/>
      <c r="F347" s="62"/>
      <c r="G347" s="63"/>
      <c r="H347" s="84"/>
      <c r="I347" s="61"/>
      <c r="J347" s="61"/>
      <c r="K347" s="71" t="str">
        <f t="shared" si="15"/>
        <v/>
      </c>
      <c r="L347" s="84"/>
      <c r="M347" s="61"/>
      <c r="N347" s="61"/>
      <c r="O347" s="61"/>
      <c r="P347" s="61"/>
      <c r="Q347" s="166" t="str">
        <f t="shared" si="16"/>
        <v/>
      </c>
      <c r="R347" s="84"/>
      <c r="S347" s="61"/>
      <c r="T347" s="61"/>
      <c r="U347" s="61"/>
      <c r="V347" s="167" t="str">
        <f t="shared" si="17"/>
        <v/>
      </c>
    </row>
    <row r="348" spans="1:22">
      <c r="A348" s="58"/>
      <c r="B348" s="58"/>
      <c r="C348" s="58"/>
      <c r="D348" s="58"/>
      <c r="E348" s="58"/>
      <c r="F348" s="62"/>
      <c r="G348" s="63"/>
      <c r="H348" s="84"/>
      <c r="I348" s="61"/>
      <c r="J348" s="61"/>
      <c r="K348" s="71" t="str">
        <f t="shared" si="15"/>
        <v/>
      </c>
      <c r="L348" s="84"/>
      <c r="M348" s="61"/>
      <c r="N348" s="61"/>
      <c r="O348" s="61"/>
      <c r="P348" s="61"/>
      <c r="Q348" s="166" t="str">
        <f t="shared" si="16"/>
        <v/>
      </c>
      <c r="R348" s="84"/>
      <c r="S348" s="61"/>
      <c r="T348" s="61"/>
      <c r="U348" s="61"/>
      <c r="V348" s="167" t="str">
        <f t="shared" si="17"/>
        <v/>
      </c>
    </row>
    <row r="349" spans="1:22">
      <c r="A349" s="58"/>
      <c r="B349" s="58"/>
      <c r="C349" s="58"/>
      <c r="D349" s="58"/>
      <c r="E349" s="58"/>
      <c r="F349" s="62"/>
      <c r="G349" s="63"/>
      <c r="H349" s="84"/>
      <c r="I349" s="61"/>
      <c r="J349" s="61"/>
      <c r="K349" s="71" t="str">
        <f t="shared" si="15"/>
        <v/>
      </c>
      <c r="L349" s="84"/>
      <c r="M349" s="61"/>
      <c r="N349" s="61"/>
      <c r="O349" s="61"/>
      <c r="P349" s="61"/>
      <c r="Q349" s="166" t="str">
        <f t="shared" si="16"/>
        <v/>
      </c>
      <c r="R349" s="84"/>
      <c r="S349" s="61"/>
      <c r="T349" s="61"/>
      <c r="U349" s="61"/>
      <c r="V349" s="167" t="str">
        <f t="shared" si="17"/>
        <v/>
      </c>
    </row>
    <row r="350" spans="1:22">
      <c r="A350" s="58"/>
      <c r="B350" s="58"/>
      <c r="C350" s="58"/>
      <c r="D350" s="58"/>
      <c r="E350" s="58"/>
      <c r="F350" s="62"/>
      <c r="G350" s="63"/>
      <c r="H350" s="84"/>
      <c r="I350" s="61"/>
      <c r="J350" s="61"/>
      <c r="K350" s="71" t="str">
        <f t="shared" si="15"/>
        <v/>
      </c>
      <c r="L350" s="84"/>
      <c r="M350" s="61"/>
      <c r="N350" s="61"/>
      <c r="O350" s="61"/>
      <c r="P350" s="61"/>
      <c r="Q350" s="166" t="str">
        <f t="shared" si="16"/>
        <v/>
      </c>
      <c r="R350" s="84"/>
      <c r="S350" s="61"/>
      <c r="T350" s="61"/>
      <c r="U350" s="61"/>
      <c r="V350" s="167" t="str">
        <f t="shared" si="17"/>
        <v/>
      </c>
    </row>
    <row r="351" spans="1:22">
      <c r="A351" s="58"/>
      <c r="B351" s="58"/>
      <c r="C351" s="58"/>
      <c r="D351" s="58"/>
      <c r="E351" s="58"/>
      <c r="F351" s="62"/>
      <c r="G351" s="63"/>
      <c r="H351" s="84"/>
      <c r="I351" s="61"/>
      <c r="J351" s="61"/>
      <c r="K351" s="71" t="str">
        <f t="shared" si="15"/>
        <v/>
      </c>
      <c r="L351" s="84"/>
      <c r="M351" s="61"/>
      <c r="N351" s="61"/>
      <c r="O351" s="61"/>
      <c r="P351" s="61"/>
      <c r="Q351" s="166" t="str">
        <f t="shared" si="16"/>
        <v/>
      </c>
      <c r="R351" s="84"/>
      <c r="S351" s="61"/>
      <c r="T351" s="61"/>
      <c r="U351" s="61"/>
      <c r="V351" s="167" t="str">
        <f t="shared" si="17"/>
        <v/>
      </c>
    </row>
    <row r="352" spans="1:22">
      <c r="A352" s="58"/>
      <c r="B352" s="58"/>
      <c r="C352" s="58"/>
      <c r="D352" s="58"/>
      <c r="E352" s="58"/>
      <c r="F352" s="62"/>
      <c r="G352" s="63"/>
      <c r="H352" s="84"/>
      <c r="I352" s="61"/>
      <c r="J352" s="61"/>
      <c r="K352" s="71" t="str">
        <f t="shared" si="15"/>
        <v/>
      </c>
      <c r="L352" s="84"/>
      <c r="M352" s="61"/>
      <c r="N352" s="61"/>
      <c r="O352" s="61"/>
      <c r="P352" s="61"/>
      <c r="Q352" s="166" t="str">
        <f t="shared" si="16"/>
        <v/>
      </c>
      <c r="R352" s="84"/>
      <c r="S352" s="61"/>
      <c r="T352" s="61"/>
      <c r="U352" s="61"/>
      <c r="V352" s="167" t="str">
        <f t="shared" si="17"/>
        <v/>
      </c>
    </row>
    <row r="353" spans="1:22">
      <c r="A353" s="58"/>
      <c r="B353" s="58"/>
      <c r="C353" s="58"/>
      <c r="D353" s="58"/>
      <c r="E353" s="58"/>
      <c r="F353" s="62"/>
      <c r="G353" s="63"/>
      <c r="H353" s="84"/>
      <c r="I353" s="61"/>
      <c r="J353" s="61"/>
      <c r="K353" s="71" t="str">
        <f t="shared" si="15"/>
        <v/>
      </c>
      <c r="L353" s="84"/>
      <c r="M353" s="61"/>
      <c r="N353" s="61"/>
      <c r="O353" s="61"/>
      <c r="P353" s="61"/>
      <c r="Q353" s="166" t="str">
        <f t="shared" si="16"/>
        <v/>
      </c>
      <c r="R353" s="84"/>
      <c r="S353" s="61"/>
      <c r="T353" s="61"/>
      <c r="U353" s="61"/>
      <c r="V353" s="167" t="str">
        <f t="shared" si="17"/>
        <v/>
      </c>
    </row>
    <row r="354" spans="1:22">
      <c r="A354" s="58"/>
      <c r="B354" s="58"/>
      <c r="C354" s="58"/>
      <c r="D354" s="58"/>
      <c r="E354" s="58"/>
      <c r="F354" s="62"/>
      <c r="G354" s="63"/>
      <c r="H354" s="84"/>
      <c r="I354" s="61"/>
      <c r="J354" s="61"/>
      <c r="K354" s="71" t="str">
        <f t="shared" si="15"/>
        <v/>
      </c>
      <c r="L354" s="84"/>
      <c r="M354" s="61"/>
      <c r="N354" s="61"/>
      <c r="O354" s="61"/>
      <c r="P354" s="61"/>
      <c r="Q354" s="166" t="str">
        <f t="shared" si="16"/>
        <v/>
      </c>
      <c r="R354" s="84"/>
      <c r="S354" s="61"/>
      <c r="T354" s="61"/>
      <c r="U354" s="61"/>
      <c r="V354" s="167" t="str">
        <f t="shared" si="17"/>
        <v/>
      </c>
    </row>
    <row r="355" spans="1:22">
      <c r="A355" s="58"/>
      <c r="B355" s="58"/>
      <c r="C355" s="58"/>
      <c r="D355" s="58"/>
      <c r="E355" s="58"/>
      <c r="F355" s="62"/>
      <c r="G355" s="63"/>
      <c r="H355" s="84"/>
      <c r="I355" s="61"/>
      <c r="J355" s="61"/>
      <c r="K355" s="71" t="str">
        <f t="shared" si="15"/>
        <v/>
      </c>
      <c r="L355" s="84"/>
      <c r="M355" s="61"/>
      <c r="N355" s="61"/>
      <c r="O355" s="61"/>
      <c r="P355" s="61"/>
      <c r="Q355" s="166" t="str">
        <f t="shared" si="16"/>
        <v/>
      </c>
      <c r="R355" s="84"/>
      <c r="S355" s="61"/>
      <c r="T355" s="61"/>
      <c r="U355" s="61"/>
      <c r="V355" s="167" t="str">
        <f t="shared" si="17"/>
        <v/>
      </c>
    </row>
    <row r="356" spans="1:22">
      <c r="A356" s="58"/>
      <c r="B356" s="58"/>
      <c r="C356" s="58"/>
      <c r="D356" s="58"/>
      <c r="E356" s="58"/>
      <c r="F356" s="62"/>
      <c r="G356" s="63"/>
      <c r="H356" s="84"/>
      <c r="I356" s="61"/>
      <c r="J356" s="61"/>
      <c r="K356" s="71" t="str">
        <f t="shared" si="15"/>
        <v/>
      </c>
      <c r="L356" s="84"/>
      <c r="M356" s="61"/>
      <c r="N356" s="61"/>
      <c r="O356" s="61"/>
      <c r="P356" s="61"/>
      <c r="Q356" s="166" t="str">
        <f t="shared" si="16"/>
        <v/>
      </c>
      <c r="R356" s="84"/>
      <c r="S356" s="61"/>
      <c r="T356" s="61"/>
      <c r="U356" s="61"/>
      <c r="V356" s="167" t="str">
        <f t="shared" si="17"/>
        <v/>
      </c>
    </row>
    <row r="357" spans="1:22">
      <c r="A357" s="58"/>
      <c r="B357" s="58"/>
      <c r="C357" s="58"/>
      <c r="D357" s="58"/>
      <c r="E357" s="58"/>
      <c r="F357" s="62"/>
      <c r="G357" s="63"/>
      <c r="H357" s="84"/>
      <c r="I357" s="61"/>
      <c r="J357" s="61"/>
      <c r="K357" s="71" t="str">
        <f t="shared" si="15"/>
        <v/>
      </c>
      <c r="L357" s="84"/>
      <c r="M357" s="61"/>
      <c r="N357" s="61"/>
      <c r="O357" s="61"/>
      <c r="P357" s="61"/>
      <c r="Q357" s="166" t="str">
        <f t="shared" si="16"/>
        <v/>
      </c>
      <c r="R357" s="84"/>
      <c r="S357" s="61"/>
      <c r="T357" s="61"/>
      <c r="U357" s="61"/>
      <c r="V357" s="167" t="str">
        <f t="shared" si="17"/>
        <v/>
      </c>
    </row>
    <row r="358" spans="1:22">
      <c r="A358" s="58"/>
      <c r="B358" s="58"/>
      <c r="C358" s="58"/>
      <c r="D358" s="58"/>
      <c r="E358" s="58"/>
      <c r="F358" s="62"/>
      <c r="G358" s="63"/>
      <c r="H358" s="84"/>
      <c r="I358" s="61"/>
      <c r="J358" s="61"/>
      <c r="K358" s="71" t="str">
        <f t="shared" si="15"/>
        <v/>
      </c>
      <c r="L358" s="84"/>
      <c r="M358" s="61"/>
      <c r="N358" s="61"/>
      <c r="O358" s="61"/>
      <c r="P358" s="61"/>
      <c r="Q358" s="166" t="str">
        <f t="shared" si="16"/>
        <v/>
      </c>
      <c r="R358" s="84"/>
      <c r="S358" s="61"/>
      <c r="T358" s="61"/>
      <c r="U358" s="61"/>
      <c r="V358" s="167" t="str">
        <f t="shared" si="17"/>
        <v/>
      </c>
    </row>
    <row r="359" spans="1:22">
      <c r="A359" s="58"/>
      <c r="B359" s="58"/>
      <c r="C359" s="58"/>
      <c r="D359" s="58"/>
      <c r="E359" s="58"/>
      <c r="F359" s="62"/>
      <c r="G359" s="63"/>
      <c r="H359" s="84"/>
      <c r="I359" s="61"/>
      <c r="J359" s="61"/>
      <c r="K359" s="71" t="str">
        <f t="shared" si="15"/>
        <v/>
      </c>
      <c r="L359" s="84"/>
      <c r="M359" s="61"/>
      <c r="N359" s="61"/>
      <c r="O359" s="61"/>
      <c r="P359" s="61"/>
      <c r="Q359" s="166" t="str">
        <f t="shared" si="16"/>
        <v/>
      </c>
      <c r="R359" s="84"/>
      <c r="S359" s="61"/>
      <c r="T359" s="61"/>
      <c r="U359" s="61"/>
      <c r="V359" s="167" t="str">
        <f t="shared" si="17"/>
        <v/>
      </c>
    </row>
    <row r="360" spans="1:22">
      <c r="A360" s="58"/>
      <c r="B360" s="58"/>
      <c r="C360" s="58"/>
      <c r="D360" s="58"/>
      <c r="E360" s="58"/>
      <c r="F360" s="62"/>
      <c r="G360" s="63"/>
      <c r="H360" s="84"/>
      <c r="I360" s="61"/>
      <c r="J360" s="61"/>
      <c r="K360" s="71" t="str">
        <f t="shared" si="15"/>
        <v/>
      </c>
      <c r="L360" s="84"/>
      <c r="M360" s="61"/>
      <c r="N360" s="61"/>
      <c r="O360" s="61"/>
      <c r="P360" s="61"/>
      <c r="Q360" s="166" t="str">
        <f t="shared" si="16"/>
        <v/>
      </c>
      <c r="R360" s="84"/>
      <c r="S360" s="61"/>
      <c r="T360" s="61"/>
      <c r="U360" s="61"/>
      <c r="V360" s="167" t="str">
        <f t="shared" si="17"/>
        <v/>
      </c>
    </row>
    <row r="361" spans="1:22">
      <c r="A361" s="58"/>
      <c r="B361" s="58"/>
      <c r="C361" s="58"/>
      <c r="D361" s="58"/>
      <c r="E361" s="58"/>
      <c r="F361" s="62"/>
      <c r="G361" s="63"/>
      <c r="H361" s="84"/>
      <c r="I361" s="61"/>
      <c r="J361" s="61"/>
      <c r="K361" s="71" t="str">
        <f t="shared" si="15"/>
        <v/>
      </c>
      <c r="L361" s="84"/>
      <c r="M361" s="61"/>
      <c r="N361" s="61"/>
      <c r="O361" s="61"/>
      <c r="P361" s="61"/>
      <c r="Q361" s="166" t="str">
        <f t="shared" si="16"/>
        <v/>
      </c>
      <c r="R361" s="84"/>
      <c r="S361" s="61"/>
      <c r="T361" s="61"/>
      <c r="U361" s="61"/>
      <c r="V361" s="167" t="str">
        <f t="shared" si="17"/>
        <v/>
      </c>
    </row>
    <row r="362" spans="1:22">
      <c r="A362" s="58"/>
      <c r="B362" s="58"/>
      <c r="C362" s="58"/>
      <c r="D362" s="58"/>
      <c r="E362" s="58"/>
      <c r="F362" s="62"/>
      <c r="G362" s="63"/>
      <c r="H362" s="84"/>
      <c r="I362" s="61"/>
      <c r="J362" s="61"/>
      <c r="K362" s="71" t="str">
        <f t="shared" si="15"/>
        <v/>
      </c>
      <c r="L362" s="84"/>
      <c r="M362" s="61"/>
      <c r="N362" s="61"/>
      <c r="O362" s="61"/>
      <c r="P362" s="61"/>
      <c r="Q362" s="166" t="str">
        <f t="shared" si="16"/>
        <v/>
      </c>
      <c r="R362" s="84"/>
      <c r="S362" s="61"/>
      <c r="T362" s="61"/>
      <c r="U362" s="61"/>
      <c r="V362" s="167" t="str">
        <f t="shared" si="17"/>
        <v/>
      </c>
    </row>
    <row r="363" spans="1:22">
      <c r="A363" s="58"/>
      <c r="B363" s="58"/>
      <c r="C363" s="58"/>
      <c r="D363" s="58"/>
      <c r="E363" s="58"/>
      <c r="F363" s="62"/>
      <c r="G363" s="63"/>
      <c r="H363" s="84"/>
      <c r="I363" s="61"/>
      <c r="J363" s="61"/>
      <c r="K363" s="71" t="str">
        <f t="shared" si="15"/>
        <v/>
      </c>
      <c r="L363" s="84"/>
      <c r="M363" s="61"/>
      <c r="N363" s="61"/>
      <c r="O363" s="61"/>
      <c r="P363" s="61"/>
      <c r="Q363" s="166" t="str">
        <f t="shared" si="16"/>
        <v/>
      </c>
      <c r="R363" s="84"/>
      <c r="S363" s="61"/>
      <c r="T363" s="61"/>
      <c r="U363" s="61"/>
      <c r="V363" s="167" t="str">
        <f t="shared" si="17"/>
        <v/>
      </c>
    </row>
    <row r="364" spans="1:22">
      <c r="A364" s="58"/>
      <c r="B364" s="58"/>
      <c r="C364" s="58"/>
      <c r="D364" s="58"/>
      <c r="E364" s="58"/>
      <c r="F364" s="62"/>
      <c r="G364" s="63"/>
      <c r="H364" s="84"/>
      <c r="I364" s="61"/>
      <c r="J364" s="61"/>
      <c r="K364" s="71" t="str">
        <f t="shared" si="15"/>
        <v/>
      </c>
      <c r="L364" s="84"/>
      <c r="M364" s="61"/>
      <c r="N364" s="61"/>
      <c r="O364" s="61"/>
      <c r="P364" s="61"/>
      <c r="Q364" s="166" t="str">
        <f t="shared" si="16"/>
        <v/>
      </c>
      <c r="R364" s="84"/>
      <c r="S364" s="61"/>
      <c r="T364" s="61"/>
      <c r="U364" s="61"/>
      <c r="V364" s="167" t="str">
        <f t="shared" si="17"/>
        <v/>
      </c>
    </row>
    <row r="365" spans="1:22">
      <c r="A365" s="58"/>
      <c r="B365" s="58"/>
      <c r="C365" s="58"/>
      <c r="D365" s="58"/>
      <c r="E365" s="58"/>
      <c r="F365" s="62"/>
      <c r="G365" s="63"/>
      <c r="H365" s="84"/>
      <c r="I365" s="61"/>
      <c r="J365" s="61"/>
      <c r="K365" s="71" t="str">
        <f t="shared" si="15"/>
        <v/>
      </c>
      <c r="L365" s="84"/>
      <c r="M365" s="61"/>
      <c r="N365" s="61"/>
      <c r="O365" s="61"/>
      <c r="P365" s="61"/>
      <c r="Q365" s="166" t="str">
        <f t="shared" si="16"/>
        <v/>
      </c>
      <c r="R365" s="84"/>
      <c r="S365" s="61"/>
      <c r="T365" s="61"/>
      <c r="U365" s="61"/>
      <c r="V365" s="167" t="str">
        <f t="shared" si="17"/>
        <v/>
      </c>
    </row>
    <row r="366" spans="1:22">
      <c r="A366" s="58"/>
      <c r="B366" s="58"/>
      <c r="C366" s="58"/>
      <c r="D366" s="58"/>
      <c r="E366" s="58"/>
      <c r="F366" s="62"/>
      <c r="G366" s="63"/>
      <c r="H366" s="84"/>
      <c r="I366" s="61"/>
      <c r="J366" s="61"/>
      <c r="K366" s="71" t="str">
        <f t="shared" si="15"/>
        <v/>
      </c>
      <c r="L366" s="84"/>
      <c r="M366" s="61"/>
      <c r="N366" s="61"/>
      <c r="O366" s="61"/>
      <c r="P366" s="61"/>
      <c r="Q366" s="166" t="str">
        <f t="shared" si="16"/>
        <v/>
      </c>
      <c r="R366" s="84"/>
      <c r="S366" s="61"/>
      <c r="T366" s="61"/>
      <c r="U366" s="61"/>
      <c r="V366" s="167" t="str">
        <f t="shared" si="17"/>
        <v/>
      </c>
    </row>
    <row r="367" spans="1:22">
      <c r="A367" s="58"/>
      <c r="B367" s="58"/>
      <c r="C367" s="58"/>
      <c r="D367" s="58"/>
      <c r="E367" s="58"/>
      <c r="F367" s="62"/>
      <c r="G367" s="63"/>
      <c r="H367" s="84"/>
      <c r="I367" s="61"/>
      <c r="J367" s="61"/>
      <c r="K367" s="71" t="str">
        <f t="shared" si="15"/>
        <v/>
      </c>
      <c r="L367" s="84"/>
      <c r="M367" s="61"/>
      <c r="N367" s="61"/>
      <c r="O367" s="61"/>
      <c r="P367" s="61"/>
      <c r="Q367" s="166" t="str">
        <f t="shared" si="16"/>
        <v/>
      </c>
      <c r="R367" s="84"/>
      <c r="S367" s="61"/>
      <c r="T367" s="61"/>
      <c r="U367" s="61"/>
      <c r="V367" s="167" t="str">
        <f t="shared" si="17"/>
        <v/>
      </c>
    </row>
    <row r="368" spans="1:22">
      <c r="A368" s="58"/>
      <c r="B368" s="58"/>
      <c r="C368" s="58"/>
      <c r="D368" s="58"/>
      <c r="E368" s="58"/>
      <c r="F368" s="62"/>
      <c r="G368" s="63"/>
      <c r="H368" s="84"/>
      <c r="I368" s="61"/>
      <c r="J368" s="61"/>
      <c r="K368" s="71" t="str">
        <f t="shared" si="15"/>
        <v/>
      </c>
      <c r="L368" s="84"/>
      <c r="M368" s="61"/>
      <c r="N368" s="61"/>
      <c r="O368" s="61"/>
      <c r="P368" s="61"/>
      <c r="Q368" s="166" t="str">
        <f t="shared" si="16"/>
        <v/>
      </c>
      <c r="R368" s="84"/>
      <c r="S368" s="61"/>
      <c r="T368" s="61"/>
      <c r="U368" s="61"/>
      <c r="V368" s="167" t="str">
        <f t="shared" si="17"/>
        <v/>
      </c>
    </row>
    <row r="369" spans="1:22">
      <c r="A369" s="58"/>
      <c r="B369" s="58"/>
      <c r="C369" s="58"/>
      <c r="D369" s="58"/>
      <c r="E369" s="58"/>
      <c r="F369" s="62"/>
      <c r="G369" s="63"/>
      <c r="H369" s="84"/>
      <c r="I369" s="61"/>
      <c r="J369" s="61"/>
      <c r="K369" s="71" t="str">
        <f t="shared" si="15"/>
        <v/>
      </c>
      <c r="L369" s="84"/>
      <c r="M369" s="61"/>
      <c r="N369" s="61"/>
      <c r="O369" s="61"/>
      <c r="P369" s="61"/>
      <c r="Q369" s="166" t="str">
        <f t="shared" si="16"/>
        <v/>
      </c>
      <c r="R369" s="84"/>
      <c r="S369" s="61"/>
      <c r="T369" s="61"/>
      <c r="U369" s="61"/>
      <c r="V369" s="167" t="str">
        <f t="shared" si="17"/>
        <v/>
      </c>
    </row>
    <row r="370" spans="1:22">
      <c r="A370" s="58"/>
      <c r="B370" s="58"/>
      <c r="C370" s="58"/>
      <c r="D370" s="58"/>
      <c r="E370" s="58"/>
      <c r="F370" s="62"/>
      <c r="G370" s="63"/>
      <c r="H370" s="84"/>
      <c r="I370" s="61"/>
      <c r="J370" s="61"/>
      <c r="K370" s="71" t="str">
        <f t="shared" si="15"/>
        <v/>
      </c>
      <c r="L370" s="84"/>
      <c r="M370" s="61"/>
      <c r="N370" s="61"/>
      <c r="O370" s="61"/>
      <c r="P370" s="61"/>
      <c r="Q370" s="166" t="str">
        <f t="shared" si="16"/>
        <v/>
      </c>
      <c r="R370" s="84"/>
      <c r="S370" s="61"/>
      <c r="T370" s="61"/>
      <c r="U370" s="61"/>
      <c r="V370" s="167" t="str">
        <f t="shared" si="17"/>
        <v/>
      </c>
    </row>
    <row r="371" spans="1:22">
      <c r="A371" s="58"/>
      <c r="B371" s="58"/>
      <c r="C371" s="58"/>
      <c r="D371" s="58"/>
      <c r="E371" s="58"/>
      <c r="F371" s="62"/>
      <c r="G371" s="63"/>
      <c r="H371" s="84"/>
      <c r="I371" s="61"/>
      <c r="J371" s="61"/>
      <c r="K371" s="71" t="str">
        <f t="shared" si="15"/>
        <v/>
      </c>
      <c r="L371" s="84"/>
      <c r="M371" s="61"/>
      <c r="N371" s="61"/>
      <c r="O371" s="61"/>
      <c r="P371" s="61"/>
      <c r="Q371" s="166" t="str">
        <f t="shared" si="16"/>
        <v/>
      </c>
      <c r="R371" s="84"/>
      <c r="S371" s="61"/>
      <c r="T371" s="61"/>
      <c r="U371" s="61"/>
      <c r="V371" s="167" t="str">
        <f t="shared" si="17"/>
        <v/>
      </c>
    </row>
    <row r="372" spans="1:22">
      <c r="A372" s="58"/>
      <c r="B372" s="58"/>
      <c r="C372" s="58"/>
      <c r="D372" s="58"/>
      <c r="E372" s="58"/>
      <c r="F372" s="62"/>
      <c r="G372" s="63"/>
      <c r="H372" s="84"/>
      <c r="I372" s="61"/>
      <c r="J372" s="61"/>
      <c r="K372" s="71" t="str">
        <f t="shared" si="15"/>
        <v/>
      </c>
      <c r="L372" s="84"/>
      <c r="M372" s="61"/>
      <c r="N372" s="61"/>
      <c r="O372" s="61"/>
      <c r="P372" s="61"/>
      <c r="Q372" s="166" t="str">
        <f t="shared" si="16"/>
        <v/>
      </c>
      <c r="R372" s="84"/>
      <c r="S372" s="61"/>
      <c r="T372" s="61"/>
      <c r="U372" s="61"/>
      <c r="V372" s="167" t="str">
        <f t="shared" si="17"/>
        <v/>
      </c>
    </row>
    <row r="373" spans="1:22">
      <c r="A373" s="58"/>
      <c r="B373" s="58"/>
      <c r="C373" s="58"/>
      <c r="D373" s="58"/>
      <c r="E373" s="58"/>
      <c r="F373" s="62"/>
      <c r="G373" s="63"/>
      <c r="H373" s="84"/>
      <c r="I373" s="61"/>
      <c r="J373" s="61"/>
      <c r="K373" s="71" t="str">
        <f t="shared" si="15"/>
        <v/>
      </c>
      <c r="L373" s="84"/>
      <c r="M373" s="61"/>
      <c r="N373" s="61"/>
      <c r="O373" s="61"/>
      <c r="P373" s="61"/>
      <c r="Q373" s="166" t="str">
        <f t="shared" si="16"/>
        <v/>
      </c>
      <c r="R373" s="84"/>
      <c r="S373" s="61"/>
      <c r="T373" s="61"/>
      <c r="U373" s="61"/>
      <c r="V373" s="167" t="str">
        <f t="shared" si="17"/>
        <v/>
      </c>
    </row>
    <row r="374" spans="1:22">
      <c r="A374" s="58"/>
      <c r="B374" s="58"/>
      <c r="C374" s="58"/>
      <c r="D374" s="58"/>
      <c r="E374" s="58"/>
      <c r="F374" s="62"/>
      <c r="G374" s="63"/>
      <c r="H374" s="84"/>
      <c r="I374" s="61"/>
      <c r="J374" s="61"/>
      <c r="K374" s="71" t="str">
        <f t="shared" si="15"/>
        <v/>
      </c>
      <c r="L374" s="84"/>
      <c r="M374" s="61"/>
      <c r="N374" s="61"/>
      <c r="O374" s="61"/>
      <c r="P374" s="61"/>
      <c r="Q374" s="166" t="str">
        <f t="shared" si="16"/>
        <v/>
      </c>
      <c r="R374" s="84"/>
      <c r="S374" s="61"/>
      <c r="T374" s="61"/>
      <c r="U374" s="61"/>
      <c r="V374" s="167" t="str">
        <f t="shared" si="17"/>
        <v/>
      </c>
    </row>
    <row r="375" spans="1:22">
      <c r="A375" s="58"/>
      <c r="B375" s="58"/>
      <c r="C375" s="58"/>
      <c r="D375" s="58"/>
      <c r="E375" s="58"/>
      <c r="F375" s="62"/>
      <c r="G375" s="63"/>
      <c r="H375" s="84"/>
      <c r="I375" s="61"/>
      <c r="J375" s="61"/>
      <c r="K375" s="71" t="str">
        <f t="shared" si="15"/>
        <v/>
      </c>
      <c r="L375" s="84"/>
      <c r="M375" s="61"/>
      <c r="N375" s="61"/>
      <c r="O375" s="61"/>
      <c r="P375" s="61"/>
      <c r="Q375" s="166" t="str">
        <f t="shared" si="16"/>
        <v/>
      </c>
      <c r="R375" s="84"/>
      <c r="S375" s="61"/>
      <c r="T375" s="61"/>
      <c r="U375" s="61"/>
      <c r="V375" s="167" t="str">
        <f t="shared" si="17"/>
        <v/>
      </c>
    </row>
    <row r="376" spans="1:22">
      <c r="A376" s="58"/>
      <c r="B376" s="58"/>
      <c r="C376" s="58"/>
      <c r="D376" s="58"/>
      <c r="E376" s="58"/>
      <c r="F376" s="62"/>
      <c r="G376" s="63"/>
      <c r="H376" s="84"/>
      <c r="I376" s="61"/>
      <c r="J376" s="61"/>
      <c r="K376" s="71" t="str">
        <f t="shared" si="15"/>
        <v/>
      </c>
      <c r="L376" s="84"/>
      <c r="M376" s="61"/>
      <c r="N376" s="61"/>
      <c r="O376" s="61"/>
      <c r="P376" s="61"/>
      <c r="Q376" s="166" t="str">
        <f t="shared" si="16"/>
        <v/>
      </c>
      <c r="R376" s="84"/>
      <c r="S376" s="61"/>
      <c r="T376" s="61"/>
      <c r="U376" s="61"/>
      <c r="V376" s="167" t="str">
        <f t="shared" si="17"/>
        <v/>
      </c>
    </row>
    <row r="377" spans="1:22">
      <c r="A377" s="58"/>
      <c r="B377" s="58"/>
      <c r="C377" s="58"/>
      <c r="D377" s="58"/>
      <c r="E377" s="58"/>
      <c r="F377" s="62"/>
      <c r="G377" s="63"/>
      <c r="H377" s="84"/>
      <c r="I377" s="61"/>
      <c r="J377" s="61"/>
      <c r="K377" s="71" t="str">
        <f t="shared" si="15"/>
        <v/>
      </c>
      <c r="L377" s="84"/>
      <c r="M377" s="61"/>
      <c r="N377" s="61"/>
      <c r="O377" s="61"/>
      <c r="P377" s="61"/>
      <c r="Q377" s="166" t="str">
        <f t="shared" si="16"/>
        <v/>
      </c>
      <c r="R377" s="84"/>
      <c r="S377" s="61"/>
      <c r="T377" s="61"/>
      <c r="U377" s="61"/>
      <c r="V377" s="167" t="str">
        <f t="shared" si="17"/>
        <v/>
      </c>
    </row>
    <row r="378" spans="1:22">
      <c r="A378" s="58"/>
      <c r="B378" s="58"/>
      <c r="C378" s="58"/>
      <c r="D378" s="58"/>
      <c r="E378" s="58"/>
      <c r="F378" s="62"/>
      <c r="G378" s="63"/>
      <c r="H378" s="84"/>
      <c r="I378" s="61"/>
      <c r="J378" s="61"/>
      <c r="K378" s="71" t="str">
        <f t="shared" si="15"/>
        <v/>
      </c>
      <c r="L378" s="84"/>
      <c r="M378" s="61"/>
      <c r="N378" s="61"/>
      <c r="O378" s="61"/>
      <c r="P378" s="61"/>
      <c r="Q378" s="166" t="str">
        <f t="shared" si="16"/>
        <v/>
      </c>
      <c r="R378" s="84"/>
      <c r="S378" s="61"/>
      <c r="T378" s="61"/>
      <c r="U378" s="61"/>
      <c r="V378" s="167" t="str">
        <f t="shared" si="17"/>
        <v/>
      </c>
    </row>
    <row r="379" spans="1:22">
      <c r="A379" s="58"/>
      <c r="B379" s="58"/>
      <c r="C379" s="58"/>
      <c r="D379" s="58"/>
      <c r="E379" s="58"/>
      <c r="F379" s="62"/>
      <c r="G379" s="63"/>
      <c r="H379" s="84"/>
      <c r="I379" s="61"/>
      <c r="J379" s="61"/>
      <c r="K379" s="71" t="str">
        <f t="shared" si="15"/>
        <v/>
      </c>
      <c r="L379" s="84"/>
      <c r="M379" s="61"/>
      <c r="N379" s="61"/>
      <c r="O379" s="61"/>
      <c r="P379" s="61"/>
      <c r="Q379" s="166" t="str">
        <f t="shared" si="16"/>
        <v/>
      </c>
      <c r="R379" s="84"/>
      <c r="S379" s="61"/>
      <c r="T379" s="61"/>
      <c r="U379" s="61"/>
      <c r="V379" s="167" t="str">
        <f t="shared" si="17"/>
        <v/>
      </c>
    </row>
    <row r="380" spans="1:22">
      <c r="A380" s="58"/>
      <c r="B380" s="58"/>
      <c r="C380" s="58"/>
      <c r="D380" s="58"/>
      <c r="E380" s="58"/>
      <c r="F380" s="62"/>
      <c r="G380" s="63"/>
      <c r="H380" s="84"/>
      <c r="I380" s="61"/>
      <c r="J380" s="61"/>
      <c r="K380" s="71" t="str">
        <f t="shared" si="15"/>
        <v/>
      </c>
      <c r="L380" s="84"/>
      <c r="M380" s="61"/>
      <c r="N380" s="61"/>
      <c r="O380" s="61"/>
      <c r="P380" s="61"/>
      <c r="Q380" s="166" t="str">
        <f t="shared" si="16"/>
        <v/>
      </c>
      <c r="R380" s="84"/>
      <c r="S380" s="61"/>
      <c r="T380" s="61"/>
      <c r="U380" s="61"/>
      <c r="V380" s="167" t="str">
        <f t="shared" si="17"/>
        <v/>
      </c>
    </row>
    <row r="381" spans="1:22">
      <c r="A381" s="58"/>
      <c r="B381" s="58"/>
      <c r="C381" s="58"/>
      <c r="D381" s="58"/>
      <c r="E381" s="58"/>
      <c r="F381" s="62"/>
      <c r="G381" s="63"/>
      <c r="H381" s="84"/>
      <c r="I381" s="61"/>
      <c r="J381" s="61"/>
      <c r="K381" s="71" t="str">
        <f t="shared" si="15"/>
        <v/>
      </c>
      <c r="L381" s="84"/>
      <c r="M381" s="61"/>
      <c r="N381" s="61"/>
      <c r="O381" s="61"/>
      <c r="P381" s="61"/>
      <c r="Q381" s="166" t="str">
        <f t="shared" si="16"/>
        <v/>
      </c>
      <c r="R381" s="84"/>
      <c r="S381" s="61"/>
      <c r="T381" s="61"/>
      <c r="U381" s="61"/>
      <c r="V381" s="167" t="str">
        <f t="shared" si="17"/>
        <v/>
      </c>
    </row>
    <row r="382" spans="1:22">
      <c r="A382" s="58"/>
      <c r="B382" s="58"/>
      <c r="C382" s="58"/>
      <c r="D382" s="58"/>
      <c r="E382" s="58"/>
      <c r="F382" s="62"/>
      <c r="G382" s="63"/>
      <c r="H382" s="84"/>
      <c r="I382" s="61"/>
      <c r="J382" s="61"/>
      <c r="K382" s="71" t="str">
        <f t="shared" si="15"/>
        <v/>
      </c>
      <c r="L382" s="84"/>
      <c r="M382" s="61"/>
      <c r="N382" s="61"/>
      <c r="O382" s="61"/>
      <c r="P382" s="61"/>
      <c r="Q382" s="166" t="str">
        <f t="shared" si="16"/>
        <v/>
      </c>
      <c r="R382" s="84"/>
      <c r="S382" s="61"/>
      <c r="T382" s="61"/>
      <c r="U382" s="61"/>
      <c r="V382" s="167" t="str">
        <f t="shared" si="17"/>
        <v/>
      </c>
    </row>
    <row r="383" spans="1:22">
      <c r="A383" s="58"/>
      <c r="B383" s="58"/>
      <c r="C383" s="58"/>
      <c r="D383" s="58"/>
      <c r="E383" s="58"/>
      <c r="F383" s="62"/>
      <c r="G383" s="63"/>
      <c r="H383" s="84"/>
      <c r="I383" s="61"/>
      <c r="J383" s="61"/>
      <c r="K383" s="71" t="str">
        <f t="shared" si="15"/>
        <v/>
      </c>
      <c r="L383" s="84"/>
      <c r="M383" s="61"/>
      <c r="N383" s="61"/>
      <c r="O383" s="61"/>
      <c r="P383" s="61"/>
      <c r="Q383" s="166" t="str">
        <f t="shared" si="16"/>
        <v/>
      </c>
      <c r="R383" s="84"/>
      <c r="S383" s="61"/>
      <c r="T383" s="61"/>
      <c r="U383" s="61"/>
      <c r="V383" s="167" t="str">
        <f t="shared" si="17"/>
        <v/>
      </c>
    </row>
    <row r="384" spans="1:22">
      <c r="A384" s="58"/>
      <c r="B384" s="58"/>
      <c r="C384" s="58"/>
      <c r="D384" s="58"/>
      <c r="E384" s="58"/>
      <c r="F384" s="62"/>
      <c r="G384" s="63"/>
      <c r="H384" s="84"/>
      <c r="I384" s="61"/>
      <c r="J384" s="61"/>
      <c r="K384" s="71" t="str">
        <f t="shared" si="15"/>
        <v/>
      </c>
      <c r="L384" s="84"/>
      <c r="M384" s="61"/>
      <c r="N384" s="61"/>
      <c r="O384" s="61"/>
      <c r="P384" s="61"/>
      <c r="Q384" s="166" t="str">
        <f t="shared" si="16"/>
        <v/>
      </c>
      <c r="R384" s="84"/>
      <c r="S384" s="61"/>
      <c r="T384" s="61"/>
      <c r="U384" s="61"/>
      <c r="V384" s="167" t="str">
        <f t="shared" si="17"/>
        <v/>
      </c>
    </row>
    <row r="385" spans="1:22">
      <c r="A385" s="58"/>
      <c r="B385" s="58"/>
      <c r="C385" s="58"/>
      <c r="D385" s="58"/>
      <c r="E385" s="58"/>
      <c r="F385" s="62"/>
      <c r="G385" s="63"/>
      <c r="H385" s="84"/>
      <c r="I385" s="61"/>
      <c r="J385" s="61"/>
      <c r="K385" s="71" t="str">
        <f t="shared" si="15"/>
        <v/>
      </c>
      <c r="L385" s="84"/>
      <c r="M385" s="61"/>
      <c r="N385" s="61"/>
      <c r="O385" s="61"/>
      <c r="P385" s="61"/>
      <c r="Q385" s="166" t="str">
        <f t="shared" si="16"/>
        <v/>
      </c>
      <c r="R385" s="84"/>
      <c r="S385" s="61"/>
      <c r="T385" s="61"/>
      <c r="U385" s="61"/>
      <c r="V385" s="167" t="str">
        <f t="shared" si="17"/>
        <v/>
      </c>
    </row>
    <row r="386" spans="1:22">
      <c r="A386" s="58"/>
      <c r="B386" s="58"/>
      <c r="C386" s="58"/>
      <c r="D386" s="58"/>
      <c r="E386" s="58"/>
      <c r="F386" s="62"/>
      <c r="G386" s="63"/>
      <c r="H386" s="84"/>
      <c r="I386" s="61"/>
      <c r="J386" s="61"/>
      <c r="K386" s="71" t="str">
        <f t="shared" si="15"/>
        <v/>
      </c>
      <c r="L386" s="84"/>
      <c r="M386" s="61"/>
      <c r="N386" s="61"/>
      <c r="O386" s="61"/>
      <c r="P386" s="61"/>
      <c r="Q386" s="166" t="str">
        <f t="shared" si="16"/>
        <v/>
      </c>
      <c r="R386" s="84"/>
      <c r="S386" s="61"/>
      <c r="T386" s="61"/>
      <c r="U386" s="61"/>
      <c r="V386" s="167" t="str">
        <f t="shared" si="17"/>
        <v/>
      </c>
    </row>
    <row r="387" spans="1:22">
      <c r="A387" s="58"/>
      <c r="B387" s="58"/>
      <c r="C387" s="58"/>
      <c r="D387" s="58"/>
      <c r="E387" s="58"/>
      <c r="F387" s="62"/>
      <c r="G387" s="63"/>
      <c r="H387" s="84"/>
      <c r="I387" s="61"/>
      <c r="J387" s="61"/>
      <c r="K387" s="71" t="str">
        <f t="shared" si="15"/>
        <v/>
      </c>
      <c r="L387" s="84"/>
      <c r="M387" s="61"/>
      <c r="N387" s="61"/>
      <c r="O387" s="61"/>
      <c r="P387" s="61"/>
      <c r="Q387" s="166" t="str">
        <f t="shared" si="16"/>
        <v/>
      </c>
      <c r="R387" s="84"/>
      <c r="S387" s="61"/>
      <c r="T387" s="61"/>
      <c r="U387" s="61"/>
      <c r="V387" s="167" t="str">
        <f t="shared" si="17"/>
        <v/>
      </c>
    </row>
    <row r="388" spans="1:22">
      <c r="A388" s="58"/>
      <c r="B388" s="58"/>
      <c r="C388" s="58"/>
      <c r="D388" s="58"/>
      <c r="E388" s="58"/>
      <c r="F388" s="62"/>
      <c r="G388" s="63"/>
      <c r="H388" s="84"/>
      <c r="I388" s="61"/>
      <c r="J388" s="61"/>
      <c r="K388" s="71" t="str">
        <f t="shared" si="15"/>
        <v/>
      </c>
      <c r="L388" s="84"/>
      <c r="M388" s="61"/>
      <c r="N388" s="61"/>
      <c r="O388" s="61"/>
      <c r="P388" s="61"/>
      <c r="Q388" s="166" t="str">
        <f t="shared" si="16"/>
        <v/>
      </c>
      <c r="R388" s="84"/>
      <c r="S388" s="61"/>
      <c r="T388" s="61"/>
      <c r="U388" s="61"/>
      <c r="V388" s="167" t="str">
        <f t="shared" si="17"/>
        <v/>
      </c>
    </row>
    <row r="389" spans="1:22">
      <c r="A389" s="58"/>
      <c r="B389" s="58"/>
      <c r="C389" s="58"/>
      <c r="D389" s="58"/>
      <c r="E389" s="58"/>
      <c r="F389" s="62"/>
      <c r="G389" s="63"/>
      <c r="H389" s="84"/>
      <c r="I389" s="61"/>
      <c r="J389" s="61"/>
      <c r="K389" s="71" t="str">
        <f t="shared" ref="K389:K397" si="18">IF($B389="","",SUM($I389:$J389))</f>
        <v/>
      </c>
      <c r="L389" s="84"/>
      <c r="M389" s="61"/>
      <c r="N389" s="61"/>
      <c r="O389" s="61"/>
      <c r="P389" s="61"/>
      <c r="Q389" s="166" t="str">
        <f t="shared" si="16"/>
        <v/>
      </c>
      <c r="R389" s="84"/>
      <c r="S389" s="61"/>
      <c r="T389" s="61"/>
      <c r="U389" s="61"/>
      <c r="V389" s="167" t="str">
        <f t="shared" si="17"/>
        <v/>
      </c>
    </row>
    <row r="390" spans="1:22">
      <c r="A390" s="58"/>
      <c r="B390" s="58"/>
      <c r="C390" s="58"/>
      <c r="D390" s="58"/>
      <c r="E390" s="58"/>
      <c r="F390" s="62"/>
      <c r="G390" s="63"/>
      <c r="H390" s="84"/>
      <c r="I390" s="61"/>
      <c r="J390" s="61"/>
      <c r="K390" s="71" t="str">
        <f t="shared" si="18"/>
        <v/>
      </c>
      <c r="L390" s="84"/>
      <c r="M390" s="61"/>
      <c r="N390" s="61"/>
      <c r="O390" s="61"/>
      <c r="P390" s="61"/>
      <c r="Q390" s="166" t="str">
        <f t="shared" ref="Q390:Q397" si="19">IF($L390="","",SUM($M390:$P390))</f>
        <v/>
      </c>
      <c r="R390" s="84"/>
      <c r="S390" s="61"/>
      <c r="T390" s="61"/>
      <c r="U390" s="61"/>
      <c r="V390" s="167" t="str">
        <f t="shared" ref="V390:V397" si="20">IF($R390="","",SUM($S390:$U390))</f>
        <v/>
      </c>
    </row>
    <row r="391" spans="1:22">
      <c r="A391" s="58"/>
      <c r="B391" s="58"/>
      <c r="C391" s="58"/>
      <c r="D391" s="58"/>
      <c r="E391" s="58"/>
      <c r="F391" s="62"/>
      <c r="G391" s="63"/>
      <c r="H391" s="84"/>
      <c r="I391" s="61"/>
      <c r="J391" s="61"/>
      <c r="K391" s="71" t="str">
        <f t="shared" si="18"/>
        <v/>
      </c>
      <c r="L391" s="84"/>
      <c r="M391" s="61"/>
      <c r="N391" s="61"/>
      <c r="O391" s="61"/>
      <c r="P391" s="61"/>
      <c r="Q391" s="166" t="str">
        <f t="shared" si="19"/>
        <v/>
      </c>
      <c r="R391" s="84"/>
      <c r="S391" s="61"/>
      <c r="T391" s="61"/>
      <c r="U391" s="61"/>
      <c r="V391" s="167" t="str">
        <f t="shared" si="20"/>
        <v/>
      </c>
    </row>
    <row r="392" spans="1:22">
      <c r="A392" s="58"/>
      <c r="B392" s="58"/>
      <c r="C392" s="58"/>
      <c r="D392" s="58"/>
      <c r="E392" s="58"/>
      <c r="F392" s="62"/>
      <c r="G392" s="63"/>
      <c r="H392" s="84"/>
      <c r="I392" s="61"/>
      <c r="J392" s="61"/>
      <c r="K392" s="71" t="str">
        <f t="shared" si="18"/>
        <v/>
      </c>
      <c r="L392" s="84"/>
      <c r="M392" s="61"/>
      <c r="N392" s="61"/>
      <c r="O392" s="61"/>
      <c r="P392" s="61"/>
      <c r="Q392" s="166" t="str">
        <f t="shared" si="19"/>
        <v/>
      </c>
      <c r="R392" s="84"/>
      <c r="S392" s="61"/>
      <c r="T392" s="61"/>
      <c r="U392" s="61"/>
      <c r="V392" s="167" t="str">
        <f t="shared" si="20"/>
        <v/>
      </c>
    </row>
    <row r="393" spans="1:22">
      <c r="A393" s="58"/>
      <c r="B393" s="58"/>
      <c r="C393" s="58"/>
      <c r="D393" s="58"/>
      <c r="E393" s="58"/>
      <c r="F393" s="62"/>
      <c r="G393" s="63"/>
      <c r="H393" s="84"/>
      <c r="I393" s="61"/>
      <c r="J393" s="61"/>
      <c r="K393" s="71" t="str">
        <f t="shared" si="18"/>
        <v/>
      </c>
      <c r="L393" s="84"/>
      <c r="M393" s="61"/>
      <c r="N393" s="61"/>
      <c r="O393" s="61"/>
      <c r="P393" s="61"/>
      <c r="Q393" s="166" t="str">
        <f t="shared" si="19"/>
        <v/>
      </c>
      <c r="R393" s="84"/>
      <c r="S393" s="61"/>
      <c r="T393" s="61"/>
      <c r="U393" s="61"/>
      <c r="V393" s="167" t="str">
        <f t="shared" si="20"/>
        <v/>
      </c>
    </row>
    <row r="394" spans="1:22">
      <c r="A394" s="58"/>
      <c r="B394" s="58"/>
      <c r="C394" s="58"/>
      <c r="D394" s="58"/>
      <c r="E394" s="58"/>
      <c r="F394" s="62"/>
      <c r="G394" s="63"/>
      <c r="H394" s="84"/>
      <c r="I394" s="61"/>
      <c r="J394" s="61"/>
      <c r="K394" s="71" t="str">
        <f t="shared" si="18"/>
        <v/>
      </c>
      <c r="L394" s="84"/>
      <c r="M394" s="61"/>
      <c r="N394" s="61"/>
      <c r="O394" s="61"/>
      <c r="P394" s="61"/>
      <c r="Q394" s="166" t="str">
        <f t="shared" si="19"/>
        <v/>
      </c>
      <c r="R394" s="84"/>
      <c r="S394" s="61"/>
      <c r="T394" s="61"/>
      <c r="U394" s="61"/>
      <c r="V394" s="167" t="str">
        <f t="shared" si="20"/>
        <v/>
      </c>
    </row>
    <row r="395" spans="1:22">
      <c r="A395" s="58"/>
      <c r="B395" s="58"/>
      <c r="C395" s="58"/>
      <c r="D395" s="58"/>
      <c r="E395" s="58"/>
      <c r="F395" s="62"/>
      <c r="G395" s="63"/>
      <c r="H395" s="84"/>
      <c r="I395" s="61"/>
      <c r="J395" s="61"/>
      <c r="K395" s="71" t="str">
        <f t="shared" si="18"/>
        <v/>
      </c>
      <c r="L395" s="84"/>
      <c r="M395" s="61"/>
      <c r="N395" s="61"/>
      <c r="O395" s="61"/>
      <c r="P395" s="61"/>
      <c r="Q395" s="166" t="str">
        <f t="shared" si="19"/>
        <v/>
      </c>
      <c r="R395" s="84"/>
      <c r="S395" s="61"/>
      <c r="T395" s="61"/>
      <c r="U395" s="61"/>
      <c r="V395" s="167" t="str">
        <f t="shared" si="20"/>
        <v/>
      </c>
    </row>
    <row r="396" spans="1:22">
      <c r="A396" s="58"/>
      <c r="B396" s="58"/>
      <c r="C396" s="58"/>
      <c r="D396" s="58"/>
      <c r="E396" s="58"/>
      <c r="F396" s="62"/>
      <c r="G396" s="63"/>
      <c r="H396" s="84"/>
      <c r="I396" s="61"/>
      <c r="J396" s="61"/>
      <c r="K396" s="71" t="str">
        <f t="shared" si="18"/>
        <v/>
      </c>
      <c r="L396" s="84"/>
      <c r="M396" s="61"/>
      <c r="N396" s="61"/>
      <c r="O396" s="61"/>
      <c r="P396" s="61"/>
      <c r="Q396" s="166" t="str">
        <f t="shared" si="19"/>
        <v/>
      </c>
      <c r="R396" s="84"/>
      <c r="S396" s="61"/>
      <c r="T396" s="61"/>
      <c r="U396" s="61"/>
      <c r="V396" s="167" t="str">
        <f t="shared" si="20"/>
        <v/>
      </c>
    </row>
    <row r="397" spans="1:22" ht="15.75" thickBot="1">
      <c r="A397" s="58"/>
      <c r="B397" s="58"/>
      <c r="C397" s="58"/>
      <c r="D397" s="58"/>
      <c r="E397" s="58"/>
      <c r="F397" s="62"/>
      <c r="G397" s="63"/>
      <c r="H397" s="85"/>
      <c r="I397" s="66"/>
      <c r="J397" s="66"/>
      <c r="K397" s="72" t="str">
        <f t="shared" si="18"/>
        <v/>
      </c>
      <c r="L397" s="85"/>
      <c r="M397" s="66"/>
      <c r="N397" s="66"/>
      <c r="O397" s="66"/>
      <c r="P397" s="66"/>
      <c r="Q397" s="166" t="str">
        <f t="shared" si="19"/>
        <v/>
      </c>
      <c r="R397" s="85"/>
      <c r="S397" s="66"/>
      <c r="T397" s="66"/>
      <c r="U397" s="66"/>
      <c r="V397" s="167" t="str">
        <f t="shared" si="20"/>
        <v/>
      </c>
    </row>
    <row r="398" spans="1:22">
      <c r="F398" s="69"/>
    </row>
    <row r="399" spans="1:22">
      <c r="F399" s="69"/>
    </row>
    <row r="400" spans="1:22">
      <c r="F400" s="69"/>
    </row>
    <row r="401" spans="6:6">
      <c r="F401" s="69"/>
    </row>
    <row r="402" spans="6:6">
      <c r="F402" s="69"/>
    </row>
    <row r="403" spans="6:6">
      <c r="F403" s="69"/>
    </row>
    <row r="404" spans="6:6">
      <c r="F404" s="69"/>
    </row>
    <row r="405" spans="6:6">
      <c r="F405" s="69"/>
    </row>
    <row r="406" spans="6:6">
      <c r="F406" s="69"/>
    </row>
  </sheetData>
  <mergeCells count="7">
    <mergeCell ref="L5:Q5"/>
    <mergeCell ref="A1:G2"/>
    <mergeCell ref="H5:K5"/>
    <mergeCell ref="R5:V5"/>
    <mergeCell ref="H4:K4"/>
    <mergeCell ref="L4:Q4"/>
    <mergeCell ref="R4:V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1FA8-99C8-3F42-9ABC-D47996CBF3AB}">
  <dimension ref="A1:AF403"/>
  <sheetViews>
    <sheetView topLeftCell="A6" zoomScaleNormal="100" workbookViewId="0">
      <pane xSplit="7" topLeftCell="H1" activePane="topRight" state="frozen"/>
      <selection pane="topRight" activeCell="A19" sqref="A19:XFD23"/>
    </sheetView>
  </sheetViews>
  <sheetFormatPr defaultColWidth="8.85546875" defaultRowHeight="15"/>
  <cols>
    <col min="1" max="3" width="8.7109375" style="20" bestFit="1" customWidth="1"/>
    <col min="4" max="4" width="9.28515625" style="20" bestFit="1" customWidth="1"/>
    <col min="5" max="5" width="7.42578125" style="20" bestFit="1" customWidth="1"/>
    <col min="6" max="6" width="12.140625" style="20" customWidth="1"/>
    <col min="7" max="7" width="7.42578125" style="20" bestFit="1" customWidth="1"/>
    <col min="8" max="8" width="12.28515625" style="20" customWidth="1"/>
    <col min="9" max="9" width="11.85546875" style="20" customWidth="1"/>
    <col min="10" max="10" width="13.7109375" style="20" customWidth="1"/>
    <col min="11" max="11" width="10.42578125" style="20" customWidth="1"/>
    <col min="12" max="12" width="13.28515625" style="20" customWidth="1"/>
    <col min="13" max="13" width="11.42578125" style="20" customWidth="1"/>
    <col min="14" max="14" width="12" style="54" customWidth="1"/>
    <col min="15" max="15" width="10.42578125" style="20" customWidth="1"/>
    <col min="16" max="16" width="12.85546875" style="20" customWidth="1"/>
    <col min="17" max="17" width="11.140625" style="20" customWidth="1"/>
    <col min="18" max="18" width="7.42578125" style="20" bestFit="1" customWidth="1"/>
    <col min="19" max="19" width="9.42578125" style="56" customWidth="1"/>
    <col min="20" max="20" width="10.42578125" style="54" customWidth="1"/>
    <col min="21" max="21" width="12.28515625" style="20" customWidth="1"/>
    <col min="22" max="22" width="10.85546875" style="20" customWidth="1"/>
    <col min="23" max="23" width="12.7109375" style="20" customWidth="1"/>
    <col min="24" max="24" width="11.28515625" style="20" customWidth="1"/>
    <col min="25" max="25" width="7.42578125" style="20" bestFit="1" customWidth="1"/>
    <col min="26" max="26" width="9.7109375" style="20" customWidth="1"/>
    <col min="27" max="27" width="7.42578125" style="20" bestFit="1" customWidth="1"/>
    <col min="28" max="28" width="10.42578125" style="54" customWidth="1"/>
    <col min="29" max="30" width="8.85546875" style="20"/>
    <col min="31" max="31" width="9.7109375" style="20" customWidth="1"/>
    <col min="32" max="32" width="10.140625" style="20" customWidth="1"/>
    <col min="33" max="16384" width="8.85546875" style="20"/>
  </cols>
  <sheetData>
    <row r="1" spans="1:32" ht="54.95" customHeight="1">
      <c r="A1" s="244" t="s">
        <v>27</v>
      </c>
      <c r="B1" s="244"/>
      <c r="C1" s="244"/>
      <c r="D1" s="244"/>
      <c r="E1" s="244"/>
      <c r="F1" s="244"/>
      <c r="G1" s="244"/>
      <c r="H1" s="27"/>
      <c r="I1" s="260" t="s">
        <v>47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B1" s="20"/>
      <c r="AE1" s="18"/>
    </row>
    <row r="2" spans="1:32" ht="60.95" customHeight="1">
      <c r="A2" s="244"/>
      <c r="B2" s="244"/>
      <c r="C2" s="244"/>
      <c r="D2" s="244"/>
      <c r="E2" s="244"/>
      <c r="F2" s="244"/>
      <c r="G2" s="244"/>
      <c r="H2" s="27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B2" s="20"/>
      <c r="AE2" s="18"/>
    </row>
    <row r="3" spans="1:32" ht="15" customHeight="1" thickBot="1">
      <c r="C3" s="55"/>
      <c r="H3" s="271" t="s">
        <v>48</v>
      </c>
      <c r="I3" s="272"/>
      <c r="J3" s="272"/>
      <c r="K3" s="272"/>
      <c r="L3" s="272"/>
      <c r="M3" s="273"/>
      <c r="N3" s="271" t="s">
        <v>48</v>
      </c>
      <c r="O3" s="272"/>
      <c r="P3" s="272"/>
      <c r="Q3" s="272"/>
      <c r="R3" s="272"/>
      <c r="S3" s="272"/>
      <c r="T3" s="273"/>
      <c r="U3" s="271" t="s">
        <v>48</v>
      </c>
      <c r="V3" s="272"/>
      <c r="W3" s="272"/>
      <c r="X3" s="272"/>
      <c r="Y3" s="272"/>
      <c r="Z3" s="272"/>
      <c r="AA3" s="219"/>
      <c r="AB3" s="220"/>
    </row>
    <row r="4" spans="1:32" ht="15" customHeight="1" thickBot="1">
      <c r="A4" s="53" t="s">
        <v>4</v>
      </c>
      <c r="B4" s="53" t="s">
        <v>4</v>
      </c>
      <c r="C4" s="53" t="s">
        <v>4</v>
      </c>
      <c r="D4" s="53" t="s">
        <v>4</v>
      </c>
      <c r="E4" s="51" t="s">
        <v>3</v>
      </c>
      <c r="F4" s="53" t="s">
        <v>4</v>
      </c>
      <c r="G4" s="52" t="s">
        <v>3</v>
      </c>
      <c r="H4" s="215" t="s">
        <v>4</v>
      </c>
      <c r="I4" s="218" t="s">
        <v>4</v>
      </c>
      <c r="J4" s="217" t="s">
        <v>4</v>
      </c>
      <c r="K4" s="217" t="s">
        <v>4</v>
      </c>
      <c r="L4" s="221" t="s">
        <v>3</v>
      </c>
      <c r="M4" s="217"/>
      <c r="N4" s="215" t="s">
        <v>4</v>
      </c>
      <c r="O4" s="217" t="s">
        <v>4</v>
      </c>
      <c r="P4" s="217" t="s">
        <v>4</v>
      </c>
      <c r="Q4" s="217" t="s">
        <v>4</v>
      </c>
      <c r="R4" s="221" t="s">
        <v>3</v>
      </c>
      <c r="S4" s="222" t="s">
        <v>4</v>
      </c>
      <c r="T4" s="217"/>
      <c r="U4" s="215" t="s">
        <v>4</v>
      </c>
      <c r="V4" s="216" t="s">
        <v>3</v>
      </c>
      <c r="W4" s="217" t="s">
        <v>4</v>
      </c>
      <c r="X4" s="218" t="s">
        <v>4</v>
      </c>
      <c r="Y4" s="216" t="s">
        <v>3</v>
      </c>
      <c r="Z4" s="217" t="s">
        <v>4</v>
      </c>
      <c r="AA4" s="216" t="s">
        <v>3</v>
      </c>
      <c r="AB4" s="217"/>
      <c r="AE4" s="120"/>
      <c r="AF4" s="121"/>
    </row>
    <row r="5" spans="1:32" s="57" customFormat="1" ht="30.95" customHeight="1" thickBot="1">
      <c r="A5" s="157"/>
      <c r="B5" s="157"/>
      <c r="C5" s="157"/>
      <c r="D5" s="157"/>
      <c r="E5" s="158"/>
      <c r="F5" s="157"/>
      <c r="G5" s="158"/>
      <c r="H5" s="257" t="s">
        <v>23</v>
      </c>
      <c r="I5" s="258"/>
      <c r="J5" s="258"/>
      <c r="K5" s="259"/>
      <c r="L5" s="259"/>
      <c r="M5" s="245"/>
      <c r="N5" s="266" t="s">
        <v>24</v>
      </c>
      <c r="O5" s="267"/>
      <c r="P5" s="267"/>
      <c r="Q5" s="267"/>
      <c r="R5" s="267"/>
      <c r="S5" s="267"/>
      <c r="T5" s="268"/>
      <c r="U5" s="261" t="s">
        <v>25</v>
      </c>
      <c r="V5" s="262"/>
      <c r="W5" s="262"/>
      <c r="X5" s="262"/>
      <c r="Y5" s="262"/>
      <c r="Z5" s="262"/>
      <c r="AA5" s="262"/>
      <c r="AB5" s="263"/>
      <c r="AE5" s="119"/>
      <c r="AF5" s="119"/>
    </row>
    <row r="6" spans="1:32" s="57" customFormat="1" ht="33" customHeight="1" thickBot="1">
      <c r="A6" s="154"/>
      <c r="B6" s="155"/>
      <c r="C6" s="154"/>
      <c r="D6" s="155"/>
      <c r="E6" s="156"/>
      <c r="F6" s="155"/>
      <c r="G6" s="161"/>
      <c r="H6" s="164"/>
      <c r="I6" s="164"/>
      <c r="J6" s="164"/>
      <c r="K6" s="252" t="s">
        <v>9</v>
      </c>
      <c r="L6" s="252"/>
      <c r="M6" s="173"/>
      <c r="N6" s="165"/>
      <c r="O6" s="253" t="s">
        <v>9</v>
      </c>
      <c r="P6" s="254"/>
      <c r="Q6" s="264" t="s">
        <v>10</v>
      </c>
      <c r="R6" s="265"/>
      <c r="S6" s="265"/>
      <c r="T6" s="174"/>
      <c r="U6" s="168"/>
      <c r="V6" s="255" t="s">
        <v>9</v>
      </c>
      <c r="W6" s="256"/>
      <c r="X6" s="269" t="s">
        <v>10</v>
      </c>
      <c r="Y6" s="270"/>
      <c r="Z6" s="270"/>
      <c r="AA6" s="270"/>
      <c r="AB6" s="168"/>
      <c r="AE6" s="29" t="s">
        <v>24</v>
      </c>
      <c r="AF6" s="100" t="s">
        <v>25</v>
      </c>
    </row>
    <row r="7" spans="1:32" ht="75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69" t="s">
        <v>5</v>
      </c>
      <c r="I7" s="170" t="s">
        <v>44</v>
      </c>
      <c r="J7" s="169" t="s">
        <v>7</v>
      </c>
      <c r="K7" s="189" t="s">
        <v>11</v>
      </c>
      <c r="L7" s="190" t="s">
        <v>12</v>
      </c>
      <c r="M7" s="187" t="s">
        <v>8</v>
      </c>
      <c r="N7" s="171" t="s">
        <v>5</v>
      </c>
      <c r="O7" s="191" t="s">
        <v>11</v>
      </c>
      <c r="P7" s="192" t="s">
        <v>12</v>
      </c>
      <c r="Q7" s="192" t="s">
        <v>14</v>
      </c>
      <c r="R7" s="193" t="s">
        <v>15</v>
      </c>
      <c r="S7" s="194" t="s">
        <v>36</v>
      </c>
      <c r="T7" s="188" t="s">
        <v>8</v>
      </c>
      <c r="U7" s="172" t="s">
        <v>5</v>
      </c>
      <c r="V7" s="195" t="s">
        <v>11</v>
      </c>
      <c r="W7" s="30" t="s">
        <v>12</v>
      </c>
      <c r="X7" s="30" t="s">
        <v>14</v>
      </c>
      <c r="Y7" s="193" t="s">
        <v>15</v>
      </c>
      <c r="Z7" s="30" t="s">
        <v>36</v>
      </c>
      <c r="AA7" s="196" t="s">
        <v>28</v>
      </c>
      <c r="AB7" s="186" t="s">
        <v>8</v>
      </c>
      <c r="AE7" s="29" t="s">
        <v>26</v>
      </c>
      <c r="AF7" s="30" t="s">
        <v>26</v>
      </c>
    </row>
    <row r="8" spans="1:32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86">
        <v>45376</v>
      </c>
      <c r="I8" s="70">
        <v>2</v>
      </c>
      <c r="J8" s="70">
        <v>0</v>
      </c>
      <c r="K8" s="70">
        <v>0</v>
      </c>
      <c r="L8" s="70">
        <v>0</v>
      </c>
      <c r="M8" s="122">
        <v>2</v>
      </c>
      <c r="N8" s="86">
        <v>45441</v>
      </c>
      <c r="O8" s="70">
        <v>3</v>
      </c>
      <c r="P8" s="70">
        <v>0</v>
      </c>
      <c r="Q8" s="212">
        <v>1</v>
      </c>
      <c r="R8" s="124">
        <v>1</v>
      </c>
      <c r="S8" s="125">
        <v>0.5</v>
      </c>
      <c r="T8" s="104">
        <v>30</v>
      </c>
      <c r="U8" s="123">
        <v>45580</v>
      </c>
      <c r="V8" s="70">
        <v>6</v>
      </c>
      <c r="W8" s="70">
        <v>0</v>
      </c>
      <c r="X8" s="70">
        <v>1</v>
      </c>
      <c r="Y8" s="70">
        <v>1</v>
      </c>
      <c r="Z8" s="73">
        <v>0.5</v>
      </c>
      <c r="AA8" s="70">
        <v>0</v>
      </c>
      <c r="AB8" s="106">
        <v>1</v>
      </c>
      <c r="AE8" s="107">
        <f>IF($S8="","",VLOOKUP($S8,'ORF Accuracy Value LookUp'!$A$4:$B$104,2,TRUE))</f>
        <v>2</v>
      </c>
      <c r="AF8" s="108">
        <f>IF($Z8="","",VLOOKUP($Z8,'ORF Accuracy Value LookUp'!$D$4:$E$104,2,TRUE))</f>
        <v>0</v>
      </c>
    </row>
    <row r="9" spans="1:32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3">
        <v>45376</v>
      </c>
      <c r="I9" s="61">
        <v>16</v>
      </c>
      <c r="J9" s="61">
        <v>8</v>
      </c>
      <c r="K9" s="61">
        <v>6</v>
      </c>
      <c r="L9" s="61">
        <v>0</v>
      </c>
      <c r="M9" s="103">
        <v>30</v>
      </c>
      <c r="N9" s="83">
        <v>45441</v>
      </c>
      <c r="O9" s="61">
        <v>19</v>
      </c>
      <c r="P9" s="61">
        <v>0</v>
      </c>
      <c r="Q9" s="213">
        <v>5</v>
      </c>
      <c r="R9" s="64">
        <v>3</v>
      </c>
      <c r="S9" s="65">
        <v>0.625</v>
      </c>
      <c r="T9" s="104">
        <v>68</v>
      </c>
      <c r="U9" s="84">
        <v>45580</v>
      </c>
      <c r="V9" s="61">
        <v>25</v>
      </c>
      <c r="W9" s="61">
        <v>1</v>
      </c>
      <c r="X9" s="61">
        <v>8</v>
      </c>
      <c r="Y9" s="61">
        <v>3</v>
      </c>
      <c r="Z9" s="73">
        <v>0.72727272727272729</v>
      </c>
      <c r="AA9" s="61">
        <v>1</v>
      </c>
      <c r="AB9" s="106">
        <v>31</v>
      </c>
      <c r="AE9" s="107">
        <f>IF($S9="","",VLOOKUP($S9,'ORF Accuracy Value LookUp'!$A$4:$B$104,2,TRUE))</f>
        <v>26</v>
      </c>
      <c r="AF9" s="108">
        <f>IF($Z9="","",VLOOKUP($Z9,'ORF Accuracy Value LookUp'!$D$4:$E$104,2,TRUE))</f>
        <v>21</v>
      </c>
    </row>
    <row r="10" spans="1:32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3">
        <v>45376</v>
      </c>
      <c r="I10" s="61">
        <v>23</v>
      </c>
      <c r="J10" s="61">
        <v>20</v>
      </c>
      <c r="K10" s="61">
        <v>13</v>
      </c>
      <c r="L10" s="61">
        <v>0</v>
      </c>
      <c r="M10" s="103">
        <v>56</v>
      </c>
      <c r="N10" s="83">
        <v>45441</v>
      </c>
      <c r="O10" s="61">
        <v>25</v>
      </c>
      <c r="P10" s="61">
        <v>1</v>
      </c>
      <c r="Q10" s="213">
        <v>8</v>
      </c>
      <c r="R10" s="64">
        <v>3</v>
      </c>
      <c r="S10" s="65">
        <v>0.72727272727272729</v>
      </c>
      <c r="T10" s="104">
        <v>78</v>
      </c>
      <c r="U10" s="84">
        <v>45580</v>
      </c>
      <c r="V10" s="61">
        <v>33</v>
      </c>
      <c r="W10" s="61">
        <v>4</v>
      </c>
      <c r="X10" s="61">
        <v>14</v>
      </c>
      <c r="Y10" s="61">
        <v>3</v>
      </c>
      <c r="Z10" s="73">
        <v>0.82352941176470584</v>
      </c>
      <c r="AA10" s="61">
        <v>5</v>
      </c>
      <c r="AB10" s="106">
        <v>73</v>
      </c>
      <c r="AE10" s="107">
        <f>IF($S10="","",VLOOKUP($S10,'ORF Accuracy Value LookUp'!$A$4:$B$104,2,TRUE))</f>
        <v>44</v>
      </c>
      <c r="AF10" s="108">
        <f>IF($Z10="","",VLOOKUP($Z10,'ORF Accuracy Value LookUp'!$D$4:$E$104,2,TRUE))</f>
        <v>51</v>
      </c>
    </row>
    <row r="11" spans="1:32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3">
        <v>45376</v>
      </c>
      <c r="I11" s="61">
        <v>27</v>
      </c>
      <c r="J11" s="61">
        <v>28</v>
      </c>
      <c r="K11" s="61">
        <v>16</v>
      </c>
      <c r="L11" s="61">
        <v>0</v>
      </c>
      <c r="M11" s="103">
        <v>71</v>
      </c>
      <c r="N11" s="83">
        <v>45441</v>
      </c>
      <c r="O11" s="61">
        <v>30</v>
      </c>
      <c r="P11" s="61">
        <v>2</v>
      </c>
      <c r="Q11" s="213">
        <v>11</v>
      </c>
      <c r="R11" s="64">
        <v>4</v>
      </c>
      <c r="S11" s="65">
        <v>0.73333333333333328</v>
      </c>
      <c r="T11" s="104">
        <v>105</v>
      </c>
      <c r="U11" s="84">
        <v>45580</v>
      </c>
      <c r="V11" s="61">
        <v>39</v>
      </c>
      <c r="W11" s="61">
        <v>7</v>
      </c>
      <c r="X11" s="61">
        <v>20</v>
      </c>
      <c r="Y11" s="61">
        <v>4</v>
      </c>
      <c r="Z11" s="73">
        <v>0.83333333333333337</v>
      </c>
      <c r="AA11" s="61">
        <v>9</v>
      </c>
      <c r="AB11" s="106">
        <v>91</v>
      </c>
      <c r="AE11" s="107">
        <f>IF($S11="","",VLOOKUP($S11,'ORF Accuracy Value LookUp'!$A$4:$B$104,2,TRUE))</f>
        <v>44</v>
      </c>
      <c r="AF11" s="108">
        <f>IF($Z11="","",VLOOKUP($Z11,'ORF Accuracy Value LookUp'!$D$4:$E$104,2,TRUE))</f>
        <v>57</v>
      </c>
    </row>
    <row r="12" spans="1:32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3">
        <v>45376</v>
      </c>
      <c r="I12" s="61">
        <v>31</v>
      </c>
      <c r="J12" s="61">
        <v>32</v>
      </c>
      <c r="K12" s="61">
        <v>19</v>
      </c>
      <c r="L12" s="61">
        <v>1</v>
      </c>
      <c r="M12" s="103">
        <v>82</v>
      </c>
      <c r="N12" s="83">
        <v>45441</v>
      </c>
      <c r="O12" s="61">
        <v>34</v>
      </c>
      <c r="P12" s="61">
        <v>4</v>
      </c>
      <c r="Q12" s="213">
        <v>13</v>
      </c>
      <c r="R12" s="64">
        <v>3</v>
      </c>
      <c r="S12" s="65">
        <v>0.8125</v>
      </c>
      <c r="T12" s="104">
        <v>113</v>
      </c>
      <c r="U12" s="84">
        <v>45580</v>
      </c>
      <c r="V12" s="61">
        <v>44</v>
      </c>
      <c r="W12" s="61">
        <v>10</v>
      </c>
      <c r="X12" s="61">
        <v>26</v>
      </c>
      <c r="Y12" s="61">
        <v>3</v>
      </c>
      <c r="Z12" s="73">
        <v>0.89655172413793105</v>
      </c>
      <c r="AA12" s="61">
        <v>11</v>
      </c>
      <c r="AB12" s="106">
        <v>121</v>
      </c>
      <c r="AE12" s="107">
        <f>IF($S12="","",VLOOKUP($S12,'ORF Accuracy Value LookUp'!$A$4:$B$104,2,TRUE))</f>
        <v>62</v>
      </c>
      <c r="AF12" s="108">
        <f>IF($Z12="","",VLOOKUP($Z12,'ORF Accuracy Value LookUp'!$D$4:$E$104,2,TRUE))</f>
        <v>75</v>
      </c>
    </row>
    <row r="13" spans="1:32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3">
        <v>45376</v>
      </c>
      <c r="I13" s="61">
        <v>34</v>
      </c>
      <c r="J13" s="61">
        <v>35</v>
      </c>
      <c r="K13" s="61">
        <v>21</v>
      </c>
      <c r="L13" s="61">
        <v>1</v>
      </c>
      <c r="M13" s="103">
        <v>90</v>
      </c>
      <c r="N13" s="83">
        <v>45441</v>
      </c>
      <c r="O13" s="61">
        <v>38</v>
      </c>
      <c r="P13" s="61">
        <v>6</v>
      </c>
      <c r="Q13" s="213">
        <v>16</v>
      </c>
      <c r="R13" s="64">
        <v>4</v>
      </c>
      <c r="S13" s="65">
        <v>0.8</v>
      </c>
      <c r="T13" s="104">
        <v>146</v>
      </c>
      <c r="U13" s="84">
        <v>45580</v>
      </c>
      <c r="V13" s="61">
        <v>49</v>
      </c>
      <c r="W13" s="61">
        <v>12</v>
      </c>
      <c r="X13" s="61">
        <v>31</v>
      </c>
      <c r="Y13" s="61">
        <v>4</v>
      </c>
      <c r="Z13" s="73">
        <v>0.88571428571428568</v>
      </c>
      <c r="AA13" s="61">
        <v>13</v>
      </c>
      <c r="AB13" s="106">
        <v>124</v>
      </c>
      <c r="AE13" s="107">
        <f>IF($S13="","",VLOOKUP($S13,'ORF Accuracy Value LookUp'!$A$4:$B$104,2,TRUE))</f>
        <v>62</v>
      </c>
      <c r="AF13" s="108">
        <f>IF($Z13="","",VLOOKUP($Z13,'ORF Accuracy Value LookUp'!$D$4:$E$104,2,TRUE))</f>
        <v>69</v>
      </c>
    </row>
    <row r="14" spans="1:32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3">
        <v>45376</v>
      </c>
      <c r="I14" s="61">
        <v>36</v>
      </c>
      <c r="J14" s="61">
        <v>38</v>
      </c>
      <c r="K14" s="61">
        <v>23</v>
      </c>
      <c r="L14" s="61">
        <v>1</v>
      </c>
      <c r="M14" s="103">
        <v>97</v>
      </c>
      <c r="N14" s="83">
        <v>45441</v>
      </c>
      <c r="O14" s="61">
        <v>41</v>
      </c>
      <c r="P14" s="61">
        <v>8</v>
      </c>
      <c r="Q14" s="213">
        <v>18</v>
      </c>
      <c r="R14" s="64">
        <v>1</v>
      </c>
      <c r="S14" s="65">
        <v>0.94736842105263153</v>
      </c>
      <c r="T14" s="104">
        <v>147</v>
      </c>
      <c r="U14" s="84">
        <v>45580</v>
      </c>
      <c r="V14" s="61">
        <v>53</v>
      </c>
      <c r="W14" s="61">
        <v>14</v>
      </c>
      <c r="X14" s="61">
        <v>36</v>
      </c>
      <c r="Y14" s="61">
        <v>1</v>
      </c>
      <c r="Z14" s="73">
        <v>0.97297297297297303</v>
      </c>
      <c r="AA14" s="61">
        <v>15</v>
      </c>
      <c r="AB14" s="106">
        <v>163</v>
      </c>
      <c r="AE14" s="107">
        <f>IF($S14="","",VLOOKUP($S14,'ORF Accuracy Value LookUp'!$A$4:$B$104,2,TRUE))</f>
        <v>86</v>
      </c>
      <c r="AF14" s="108">
        <f>IF($Z14="","",VLOOKUP($Z14,'ORF Accuracy Value LookUp'!$D$4:$E$104,2,TRUE))</f>
        <v>99</v>
      </c>
    </row>
    <row r="15" spans="1:32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3">
        <v>45376</v>
      </c>
      <c r="I15" s="61">
        <v>39</v>
      </c>
      <c r="J15" s="61">
        <v>40</v>
      </c>
      <c r="K15" s="61">
        <v>25</v>
      </c>
      <c r="L15" s="61">
        <v>1</v>
      </c>
      <c r="M15" s="103">
        <v>104</v>
      </c>
      <c r="N15" s="83">
        <v>45441</v>
      </c>
      <c r="O15" s="61">
        <v>44</v>
      </c>
      <c r="P15" s="61">
        <v>10</v>
      </c>
      <c r="Q15" s="213">
        <v>20</v>
      </c>
      <c r="R15" s="64">
        <v>2</v>
      </c>
      <c r="S15" s="65">
        <v>0.90909090909090906</v>
      </c>
      <c r="T15" s="104">
        <v>136</v>
      </c>
      <c r="U15" s="84">
        <v>45580</v>
      </c>
      <c r="V15" s="61">
        <v>58</v>
      </c>
      <c r="W15" s="61">
        <v>16</v>
      </c>
      <c r="X15" s="61">
        <v>42</v>
      </c>
      <c r="Y15" s="61">
        <v>2</v>
      </c>
      <c r="Z15" s="73">
        <v>0.95454545454545459</v>
      </c>
      <c r="AA15" s="61">
        <v>17</v>
      </c>
      <c r="AB15" s="106">
        <v>167</v>
      </c>
      <c r="AE15" s="107">
        <f>IF($S15="","",VLOOKUP($S15,'ORF Accuracy Value LookUp'!$A$4:$B$104,2,TRUE))</f>
        <v>80</v>
      </c>
      <c r="AF15" s="108">
        <f>IF($Z15="","",VLOOKUP($Z15,'ORF Accuracy Value LookUp'!$D$4:$E$104,2,TRUE))</f>
        <v>93</v>
      </c>
    </row>
    <row r="16" spans="1:32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3">
        <v>45376</v>
      </c>
      <c r="I16" s="61">
        <v>41</v>
      </c>
      <c r="J16" s="61">
        <v>42</v>
      </c>
      <c r="K16" s="61">
        <v>27</v>
      </c>
      <c r="L16" s="61">
        <v>1</v>
      </c>
      <c r="M16" s="103">
        <v>110</v>
      </c>
      <c r="N16" s="83">
        <v>45441</v>
      </c>
      <c r="O16" s="61">
        <v>47</v>
      </c>
      <c r="P16" s="61">
        <v>12</v>
      </c>
      <c r="Q16" s="213">
        <v>23</v>
      </c>
      <c r="R16" s="64">
        <v>5</v>
      </c>
      <c r="S16" s="65">
        <v>0.8214285714285714</v>
      </c>
      <c r="T16" s="104">
        <v>138</v>
      </c>
      <c r="U16" s="84">
        <v>45580</v>
      </c>
      <c r="V16" s="61">
        <v>63</v>
      </c>
      <c r="W16" s="61">
        <v>18</v>
      </c>
      <c r="X16" s="61">
        <v>48</v>
      </c>
      <c r="Y16" s="61">
        <v>5</v>
      </c>
      <c r="Z16" s="73">
        <v>0.90566037735849059</v>
      </c>
      <c r="AA16" s="61">
        <v>18</v>
      </c>
      <c r="AB16" s="106">
        <v>159</v>
      </c>
      <c r="AE16" s="107">
        <f>IF($S16="","",VLOOKUP($S16,'ORF Accuracy Value LookUp'!$A$4:$B$104,2,TRUE))</f>
        <v>62</v>
      </c>
      <c r="AF16" s="108">
        <f>IF($Z16="","",VLOOKUP($Z16,'ORF Accuracy Value LookUp'!$D$4:$E$104,2,TRUE))</f>
        <v>75</v>
      </c>
    </row>
    <row r="17" spans="1:32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3">
        <v>45376</v>
      </c>
      <c r="I17" s="61">
        <v>43</v>
      </c>
      <c r="J17" s="61">
        <v>44</v>
      </c>
      <c r="K17" s="61">
        <v>29</v>
      </c>
      <c r="L17" s="61">
        <v>2</v>
      </c>
      <c r="M17" s="103">
        <v>116</v>
      </c>
      <c r="N17" s="83">
        <v>45441</v>
      </c>
      <c r="O17" s="61">
        <v>51</v>
      </c>
      <c r="P17" s="61">
        <v>13</v>
      </c>
      <c r="Q17" s="213">
        <v>25</v>
      </c>
      <c r="R17" s="64">
        <v>7</v>
      </c>
      <c r="S17" s="65">
        <v>0.78125</v>
      </c>
      <c r="T17" s="104">
        <v>139</v>
      </c>
      <c r="U17" s="84">
        <v>45580</v>
      </c>
      <c r="V17" s="61">
        <v>68</v>
      </c>
      <c r="W17" s="61">
        <v>20</v>
      </c>
      <c r="X17" s="61">
        <v>54</v>
      </c>
      <c r="Y17" s="61">
        <v>7</v>
      </c>
      <c r="Z17" s="73">
        <v>0.88524590163934425</v>
      </c>
      <c r="AA17" s="61">
        <v>20</v>
      </c>
      <c r="AB17" s="106">
        <v>163</v>
      </c>
      <c r="AE17" s="107">
        <f>IF($S17="","",VLOOKUP($S17,'ORF Accuracy Value LookUp'!$A$4:$B$104,2,TRUE))</f>
        <v>56</v>
      </c>
      <c r="AF17" s="108">
        <f>IF($Z17="","",VLOOKUP($Z17,'ORF Accuracy Value LookUp'!$D$4:$E$104,2,TRUE))</f>
        <v>69</v>
      </c>
    </row>
    <row r="18" spans="1:32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3">
        <v>45376</v>
      </c>
      <c r="I18" s="61">
        <v>44</v>
      </c>
      <c r="J18" s="61">
        <v>46</v>
      </c>
      <c r="K18" s="61">
        <v>32</v>
      </c>
      <c r="L18" s="61">
        <v>2</v>
      </c>
      <c r="M18" s="103">
        <v>122</v>
      </c>
      <c r="N18" s="83">
        <v>45441</v>
      </c>
      <c r="O18" s="61">
        <v>55</v>
      </c>
      <c r="P18" s="61">
        <v>15</v>
      </c>
      <c r="Q18" s="213">
        <v>28</v>
      </c>
      <c r="R18" s="64">
        <v>9</v>
      </c>
      <c r="S18" s="65">
        <v>0.7567567567567568</v>
      </c>
      <c r="T18" s="104">
        <v>190</v>
      </c>
      <c r="U18" s="84">
        <v>45580</v>
      </c>
      <c r="V18" s="61">
        <v>73</v>
      </c>
      <c r="W18" s="61">
        <v>22</v>
      </c>
      <c r="X18" s="61">
        <v>59</v>
      </c>
      <c r="Y18" s="61">
        <v>9</v>
      </c>
      <c r="Z18" s="73">
        <v>0.86764705882352944</v>
      </c>
      <c r="AA18" s="61">
        <v>21</v>
      </c>
      <c r="AB18" s="106">
        <v>166</v>
      </c>
      <c r="AE18" s="107">
        <f>IF($S18="","",VLOOKUP($S18,'ORF Accuracy Value LookUp'!$A$4:$B$104,2,TRUE))</f>
        <v>50</v>
      </c>
      <c r="AF18" s="108">
        <f>IF($Z18="","",VLOOKUP($Z18,'ORF Accuracy Value LookUp'!$D$4:$E$104,2,TRUE))</f>
        <v>63</v>
      </c>
    </row>
    <row r="19" spans="1:32">
      <c r="A19" s="58"/>
      <c r="B19" s="59"/>
      <c r="C19" s="60"/>
      <c r="D19" s="61"/>
      <c r="E19" s="58"/>
      <c r="F19" s="62"/>
      <c r="G19" s="63"/>
      <c r="H19" s="83"/>
      <c r="I19" s="61"/>
      <c r="J19" s="61"/>
      <c r="K19" s="61"/>
      <c r="L19" s="61"/>
      <c r="M19" s="103" t="str">
        <f t="shared" ref="M19:M66" si="0">IF($B19="","",SUM($I19:$K19))</f>
        <v/>
      </c>
      <c r="N19" s="84"/>
      <c r="O19" s="61"/>
      <c r="P19" s="61"/>
      <c r="Q19" s="213"/>
      <c r="R19" s="64"/>
      <c r="S19" s="65" t="str">
        <f t="shared" ref="S19:S66" si="1">IF($Q19="","",SUM($Q19/($Q19+$R19)))</f>
        <v/>
      </c>
      <c r="T19" s="104" t="str">
        <f t="shared" ref="T19:T67" si="2">IF($N19="","",SUM($O19:$Q19,$AE20))</f>
        <v/>
      </c>
      <c r="U19" s="84"/>
      <c r="V19" s="61"/>
      <c r="W19" s="61"/>
      <c r="X19" s="61"/>
      <c r="Y19" s="61"/>
      <c r="Z19" s="73" t="str">
        <f t="shared" ref="Z19:Z67" si="3">IF($X19="","",SUM($X19/($X19+$Y19)))</f>
        <v/>
      </c>
      <c r="AA19" s="61"/>
      <c r="AB19" s="106" t="str">
        <f t="shared" ref="AB19:AB67" si="4">IF($U19="","",SUM(($W19*2)+$X19+$AF19))</f>
        <v/>
      </c>
      <c r="AE19" s="107" t="str">
        <f>IF($S19="","",VLOOKUP($S19,'ORF Accuracy Value LookUp'!$A$4:$B$104,2,TRUE))</f>
        <v/>
      </c>
      <c r="AF19" s="108" t="str">
        <f>IF($Z19="","",VLOOKUP($Z19,'ORF Accuracy Value LookUp'!$D$4:$E$104,2,TRUE))</f>
        <v/>
      </c>
    </row>
    <row r="20" spans="1:32">
      <c r="A20" s="58"/>
      <c r="B20" s="59"/>
      <c r="C20" s="60"/>
      <c r="D20" s="61"/>
      <c r="E20" s="58"/>
      <c r="F20" s="62"/>
      <c r="G20" s="63"/>
      <c r="H20" s="83"/>
      <c r="I20" s="61"/>
      <c r="J20" s="61"/>
      <c r="K20" s="61"/>
      <c r="L20" s="61"/>
      <c r="M20" s="103" t="str">
        <f t="shared" si="0"/>
        <v/>
      </c>
      <c r="N20" s="84"/>
      <c r="O20" s="61"/>
      <c r="P20" s="61"/>
      <c r="Q20" s="213"/>
      <c r="R20" s="64"/>
      <c r="S20" s="65" t="str">
        <f t="shared" si="1"/>
        <v/>
      </c>
      <c r="T20" s="104" t="str">
        <f t="shared" si="2"/>
        <v/>
      </c>
      <c r="U20" s="84"/>
      <c r="V20" s="61"/>
      <c r="W20" s="61"/>
      <c r="X20" s="61"/>
      <c r="Y20" s="61"/>
      <c r="Z20" s="73" t="str">
        <f t="shared" si="3"/>
        <v/>
      </c>
      <c r="AA20" s="61"/>
      <c r="AB20" s="106" t="str">
        <f t="shared" si="4"/>
        <v/>
      </c>
      <c r="AE20" s="107" t="str">
        <f>IF($S20="","",VLOOKUP($S20,'ORF Accuracy Value LookUp'!$A$4:$B$104,2,TRUE))</f>
        <v/>
      </c>
      <c r="AF20" s="108" t="str">
        <f>IF($Z20="","",VLOOKUP($Z20,'ORF Accuracy Value LookUp'!$D$4:$E$104,2,TRUE))</f>
        <v/>
      </c>
    </row>
    <row r="21" spans="1:32">
      <c r="A21" s="58"/>
      <c r="B21" s="59"/>
      <c r="C21" s="60"/>
      <c r="D21" s="61"/>
      <c r="E21" s="58"/>
      <c r="F21" s="62"/>
      <c r="G21" s="63"/>
      <c r="H21" s="83"/>
      <c r="I21" s="61"/>
      <c r="J21" s="61"/>
      <c r="K21" s="61"/>
      <c r="L21" s="61"/>
      <c r="M21" s="103" t="str">
        <f t="shared" si="0"/>
        <v/>
      </c>
      <c r="N21" s="84"/>
      <c r="O21" s="61"/>
      <c r="P21" s="61"/>
      <c r="Q21" s="213"/>
      <c r="R21" s="64"/>
      <c r="S21" s="65" t="str">
        <f t="shared" si="1"/>
        <v/>
      </c>
      <c r="T21" s="104" t="str">
        <f t="shared" si="2"/>
        <v/>
      </c>
      <c r="U21" s="84"/>
      <c r="V21" s="61"/>
      <c r="W21" s="61"/>
      <c r="X21" s="61"/>
      <c r="Y21" s="61"/>
      <c r="Z21" s="73" t="str">
        <f t="shared" si="3"/>
        <v/>
      </c>
      <c r="AA21" s="61"/>
      <c r="AB21" s="106" t="str">
        <f t="shared" si="4"/>
        <v/>
      </c>
      <c r="AE21" s="107" t="str">
        <f>IF($S21="","",VLOOKUP($S21,'ORF Accuracy Value LookUp'!$A$4:$B$104,2,TRUE))</f>
        <v/>
      </c>
      <c r="AF21" s="108" t="str">
        <f>IF($Z21="","",VLOOKUP($Z21,'ORF Accuracy Value LookUp'!$D$4:$E$104,2,TRUE))</f>
        <v/>
      </c>
    </row>
    <row r="22" spans="1:32">
      <c r="A22" s="58"/>
      <c r="B22" s="59"/>
      <c r="C22" s="60"/>
      <c r="D22" s="61"/>
      <c r="E22" s="58"/>
      <c r="F22" s="62"/>
      <c r="G22" s="63"/>
      <c r="H22" s="83"/>
      <c r="I22" s="61"/>
      <c r="J22" s="61"/>
      <c r="K22" s="61"/>
      <c r="L22" s="61"/>
      <c r="M22" s="103" t="str">
        <f t="shared" si="0"/>
        <v/>
      </c>
      <c r="N22" s="84"/>
      <c r="O22" s="61"/>
      <c r="P22" s="61"/>
      <c r="Q22" s="213"/>
      <c r="R22" s="64"/>
      <c r="S22" s="65" t="str">
        <f t="shared" si="1"/>
        <v/>
      </c>
      <c r="T22" s="104" t="str">
        <f t="shared" si="2"/>
        <v/>
      </c>
      <c r="U22" s="84"/>
      <c r="V22" s="61"/>
      <c r="W22" s="61"/>
      <c r="X22" s="61"/>
      <c r="Y22" s="61"/>
      <c r="Z22" s="73" t="str">
        <f t="shared" si="3"/>
        <v/>
      </c>
      <c r="AA22" s="61"/>
      <c r="AB22" s="106" t="str">
        <f t="shared" si="4"/>
        <v/>
      </c>
      <c r="AE22" s="107" t="str">
        <f>IF($S22="","",VLOOKUP($S22,'ORF Accuracy Value LookUp'!$A$4:$B$104,2,TRUE))</f>
        <v/>
      </c>
      <c r="AF22" s="108" t="str">
        <f>IF($Z22="","",VLOOKUP($Z22,'ORF Accuracy Value LookUp'!$D$4:$E$104,2,TRUE))</f>
        <v/>
      </c>
    </row>
    <row r="23" spans="1:32">
      <c r="A23" s="58"/>
      <c r="B23" s="59"/>
      <c r="C23" s="60"/>
      <c r="D23" s="61"/>
      <c r="E23" s="58"/>
      <c r="F23" s="62"/>
      <c r="G23" s="63"/>
      <c r="H23" s="83"/>
      <c r="I23" s="61"/>
      <c r="J23" s="61"/>
      <c r="K23" s="61"/>
      <c r="L23" s="61"/>
      <c r="M23" s="103" t="str">
        <f t="shared" si="0"/>
        <v/>
      </c>
      <c r="N23" s="84"/>
      <c r="O23" s="61"/>
      <c r="P23" s="61"/>
      <c r="Q23" s="213"/>
      <c r="R23" s="64"/>
      <c r="S23" s="65" t="str">
        <f t="shared" si="1"/>
        <v/>
      </c>
      <c r="T23" s="104" t="str">
        <f t="shared" si="2"/>
        <v/>
      </c>
      <c r="U23" s="84"/>
      <c r="V23" s="61"/>
      <c r="W23" s="61"/>
      <c r="X23" s="61"/>
      <c r="Y23" s="61"/>
      <c r="Z23" s="73" t="str">
        <f t="shared" si="3"/>
        <v/>
      </c>
      <c r="AA23" s="61"/>
      <c r="AB23" s="106" t="str">
        <f t="shared" si="4"/>
        <v/>
      </c>
      <c r="AE23" s="107" t="str">
        <f>IF($S23="","",VLOOKUP($S23,'ORF Accuracy Value LookUp'!$A$4:$B$104,2,TRUE))</f>
        <v/>
      </c>
      <c r="AF23" s="108" t="str">
        <f>IF($Z23="","",VLOOKUP($Z23,'ORF Accuracy Value LookUp'!$D$4:$E$104,2,TRUE))</f>
        <v/>
      </c>
    </row>
    <row r="24" spans="1:32">
      <c r="A24" s="58"/>
      <c r="B24" s="59"/>
      <c r="C24" s="60"/>
      <c r="D24" s="61"/>
      <c r="E24" s="58"/>
      <c r="F24" s="62"/>
      <c r="G24" s="63"/>
      <c r="H24" s="83"/>
      <c r="I24" s="61"/>
      <c r="J24" s="61"/>
      <c r="K24" s="61"/>
      <c r="L24" s="61"/>
      <c r="M24" s="103" t="str">
        <f t="shared" si="0"/>
        <v/>
      </c>
      <c r="N24" s="84"/>
      <c r="O24" s="61"/>
      <c r="P24" s="61"/>
      <c r="Q24" s="213"/>
      <c r="R24" s="64"/>
      <c r="S24" s="65" t="str">
        <f t="shared" si="1"/>
        <v/>
      </c>
      <c r="T24" s="104" t="str">
        <f t="shared" si="2"/>
        <v/>
      </c>
      <c r="U24" s="84"/>
      <c r="V24" s="61"/>
      <c r="W24" s="61"/>
      <c r="X24" s="61"/>
      <c r="Y24" s="61"/>
      <c r="Z24" s="73" t="str">
        <f t="shared" si="3"/>
        <v/>
      </c>
      <c r="AA24" s="61"/>
      <c r="AB24" s="106" t="str">
        <f t="shared" si="4"/>
        <v/>
      </c>
      <c r="AE24" s="107" t="str">
        <f>IF($S24="","",VLOOKUP($S24,'ORF Accuracy Value LookUp'!$A$4:$B$104,2,TRUE))</f>
        <v/>
      </c>
      <c r="AF24" s="108" t="str">
        <f>IF($Z24="","",VLOOKUP($Z24,'ORF Accuracy Value LookUp'!$D$4:$E$104,2,TRUE))</f>
        <v/>
      </c>
    </row>
    <row r="25" spans="1:32">
      <c r="A25" s="58"/>
      <c r="B25" s="59"/>
      <c r="C25" s="60"/>
      <c r="D25" s="61"/>
      <c r="E25" s="58"/>
      <c r="F25" s="62"/>
      <c r="G25" s="63"/>
      <c r="H25" s="83"/>
      <c r="I25" s="61"/>
      <c r="J25" s="61"/>
      <c r="K25" s="61"/>
      <c r="L25" s="61"/>
      <c r="M25" s="103" t="str">
        <f t="shared" si="0"/>
        <v/>
      </c>
      <c r="N25" s="84"/>
      <c r="O25" s="61"/>
      <c r="P25" s="61"/>
      <c r="Q25" s="213"/>
      <c r="R25" s="64"/>
      <c r="S25" s="65" t="str">
        <f t="shared" si="1"/>
        <v/>
      </c>
      <c r="T25" s="104" t="str">
        <f t="shared" si="2"/>
        <v/>
      </c>
      <c r="U25" s="84"/>
      <c r="V25" s="61"/>
      <c r="W25" s="61"/>
      <c r="X25" s="61"/>
      <c r="Y25" s="61"/>
      <c r="Z25" s="73" t="str">
        <f t="shared" si="3"/>
        <v/>
      </c>
      <c r="AA25" s="61"/>
      <c r="AB25" s="106" t="str">
        <f t="shared" si="4"/>
        <v/>
      </c>
      <c r="AE25" s="107" t="str">
        <f>IF($S25="","",VLOOKUP($S25,'ORF Accuracy Value LookUp'!$A$4:$B$104,2,TRUE))</f>
        <v/>
      </c>
      <c r="AF25" s="108" t="str">
        <f>IF($Z25="","",VLOOKUP($Z25,'ORF Accuracy Value LookUp'!$D$4:$E$104,2,TRUE))</f>
        <v/>
      </c>
    </row>
    <row r="26" spans="1:32">
      <c r="A26" s="58"/>
      <c r="B26" s="59"/>
      <c r="C26" s="60"/>
      <c r="D26" s="61"/>
      <c r="E26" s="58"/>
      <c r="F26" s="62"/>
      <c r="G26" s="63"/>
      <c r="H26" s="83"/>
      <c r="I26" s="61"/>
      <c r="J26" s="61"/>
      <c r="K26" s="61"/>
      <c r="L26" s="61"/>
      <c r="M26" s="103" t="str">
        <f t="shared" si="0"/>
        <v/>
      </c>
      <c r="N26" s="84"/>
      <c r="O26" s="61"/>
      <c r="P26" s="61"/>
      <c r="Q26" s="213"/>
      <c r="R26" s="64"/>
      <c r="S26" s="65" t="str">
        <f t="shared" si="1"/>
        <v/>
      </c>
      <c r="T26" s="104" t="str">
        <f t="shared" si="2"/>
        <v/>
      </c>
      <c r="U26" s="84"/>
      <c r="V26" s="61"/>
      <c r="W26" s="61"/>
      <c r="X26" s="61"/>
      <c r="Y26" s="61"/>
      <c r="Z26" s="73" t="str">
        <f t="shared" si="3"/>
        <v/>
      </c>
      <c r="AA26" s="61"/>
      <c r="AB26" s="106" t="str">
        <f t="shared" si="4"/>
        <v/>
      </c>
      <c r="AE26" s="107" t="str">
        <f>IF($S26="","",VLOOKUP($S26,'ORF Accuracy Value LookUp'!$A$4:$B$104,2,TRUE))</f>
        <v/>
      </c>
      <c r="AF26" s="108" t="str">
        <f>IF($Z26="","",VLOOKUP($Z26,'ORF Accuracy Value LookUp'!$D$4:$E$104,2,TRUE))</f>
        <v/>
      </c>
    </row>
    <row r="27" spans="1:32">
      <c r="A27" s="58"/>
      <c r="B27" s="59"/>
      <c r="C27" s="60"/>
      <c r="D27" s="61"/>
      <c r="E27" s="58"/>
      <c r="F27" s="62"/>
      <c r="G27" s="63"/>
      <c r="H27" s="83"/>
      <c r="I27" s="61"/>
      <c r="J27" s="61"/>
      <c r="K27" s="61"/>
      <c r="L27" s="61"/>
      <c r="M27" s="103" t="str">
        <f t="shared" si="0"/>
        <v/>
      </c>
      <c r="N27" s="84"/>
      <c r="O27" s="61"/>
      <c r="P27" s="61"/>
      <c r="Q27" s="213"/>
      <c r="R27" s="64"/>
      <c r="S27" s="65" t="str">
        <f t="shared" si="1"/>
        <v/>
      </c>
      <c r="T27" s="104" t="str">
        <f t="shared" si="2"/>
        <v/>
      </c>
      <c r="U27" s="84"/>
      <c r="V27" s="61"/>
      <c r="W27" s="61"/>
      <c r="X27" s="61"/>
      <c r="Y27" s="61"/>
      <c r="Z27" s="73" t="str">
        <f t="shared" si="3"/>
        <v/>
      </c>
      <c r="AA27" s="61"/>
      <c r="AB27" s="106" t="str">
        <f t="shared" si="4"/>
        <v/>
      </c>
      <c r="AE27" s="107" t="str">
        <f>IF($S27="","",VLOOKUP($S27,'ORF Accuracy Value LookUp'!$A$4:$B$104,2,TRUE))</f>
        <v/>
      </c>
      <c r="AF27" s="108" t="str">
        <f>IF($Z27="","",VLOOKUP($Z27,'ORF Accuracy Value LookUp'!$D$4:$E$104,2,TRUE))</f>
        <v/>
      </c>
    </row>
    <row r="28" spans="1:32">
      <c r="A28" s="58"/>
      <c r="B28" s="59"/>
      <c r="C28" s="60"/>
      <c r="D28" s="61"/>
      <c r="E28" s="58"/>
      <c r="F28" s="62"/>
      <c r="G28" s="63"/>
      <c r="H28" s="83"/>
      <c r="I28" s="61"/>
      <c r="J28" s="61"/>
      <c r="K28" s="61"/>
      <c r="L28" s="61"/>
      <c r="M28" s="103" t="str">
        <f t="shared" si="0"/>
        <v/>
      </c>
      <c r="N28" s="84"/>
      <c r="O28" s="61"/>
      <c r="P28" s="61"/>
      <c r="Q28" s="213"/>
      <c r="R28" s="64"/>
      <c r="S28" s="65" t="str">
        <f t="shared" si="1"/>
        <v/>
      </c>
      <c r="T28" s="104" t="str">
        <f t="shared" si="2"/>
        <v/>
      </c>
      <c r="U28" s="84"/>
      <c r="V28" s="61"/>
      <c r="W28" s="61"/>
      <c r="X28" s="61"/>
      <c r="Y28" s="61"/>
      <c r="Z28" s="73" t="str">
        <f t="shared" si="3"/>
        <v/>
      </c>
      <c r="AA28" s="61"/>
      <c r="AB28" s="106" t="str">
        <f t="shared" si="4"/>
        <v/>
      </c>
      <c r="AE28" s="107" t="str">
        <f>IF($S28="","",VLOOKUP($S28,'ORF Accuracy Value LookUp'!$A$4:$B$104,2,TRUE))</f>
        <v/>
      </c>
      <c r="AF28" s="108" t="str">
        <f>IF($Z28="","",VLOOKUP($Z28,'ORF Accuracy Value LookUp'!$D$4:$E$104,2,TRUE))</f>
        <v/>
      </c>
    </row>
    <row r="29" spans="1:32">
      <c r="A29" s="58"/>
      <c r="B29" s="59"/>
      <c r="C29" s="60"/>
      <c r="D29" s="61"/>
      <c r="E29" s="58"/>
      <c r="F29" s="62"/>
      <c r="G29" s="63"/>
      <c r="H29" s="83"/>
      <c r="I29" s="61"/>
      <c r="J29" s="61"/>
      <c r="K29" s="61"/>
      <c r="L29" s="61"/>
      <c r="M29" s="103" t="str">
        <f t="shared" si="0"/>
        <v/>
      </c>
      <c r="N29" s="84"/>
      <c r="O29" s="61"/>
      <c r="P29" s="61"/>
      <c r="Q29" s="213"/>
      <c r="R29" s="64"/>
      <c r="S29" s="65" t="str">
        <f t="shared" si="1"/>
        <v/>
      </c>
      <c r="T29" s="104" t="str">
        <f t="shared" si="2"/>
        <v/>
      </c>
      <c r="U29" s="84"/>
      <c r="V29" s="61"/>
      <c r="W29" s="61"/>
      <c r="X29" s="61"/>
      <c r="Y29" s="61"/>
      <c r="Z29" s="73" t="str">
        <f t="shared" si="3"/>
        <v/>
      </c>
      <c r="AA29" s="61"/>
      <c r="AB29" s="106" t="str">
        <f t="shared" si="4"/>
        <v/>
      </c>
      <c r="AE29" s="107" t="str">
        <f>IF($S29="","",VLOOKUP($S29,'ORF Accuracy Value LookUp'!$A$4:$B$104,2,TRUE))</f>
        <v/>
      </c>
      <c r="AF29" s="108" t="str">
        <f>IF($Z29="","",VLOOKUP($Z29,'ORF Accuracy Value LookUp'!$D$4:$E$104,2,TRUE))</f>
        <v/>
      </c>
    </row>
    <row r="30" spans="1:32">
      <c r="A30" s="58"/>
      <c r="B30" s="59"/>
      <c r="C30" s="60"/>
      <c r="D30" s="61"/>
      <c r="E30" s="58"/>
      <c r="F30" s="62"/>
      <c r="G30" s="63"/>
      <c r="H30" s="83"/>
      <c r="I30" s="61"/>
      <c r="J30" s="61"/>
      <c r="K30" s="61"/>
      <c r="L30" s="61"/>
      <c r="M30" s="103" t="str">
        <f t="shared" si="0"/>
        <v/>
      </c>
      <c r="N30" s="84"/>
      <c r="O30" s="61"/>
      <c r="P30" s="61"/>
      <c r="Q30" s="213"/>
      <c r="R30" s="64"/>
      <c r="S30" s="65" t="str">
        <f t="shared" si="1"/>
        <v/>
      </c>
      <c r="T30" s="104" t="str">
        <f t="shared" si="2"/>
        <v/>
      </c>
      <c r="U30" s="84"/>
      <c r="V30" s="61"/>
      <c r="W30" s="61"/>
      <c r="X30" s="61"/>
      <c r="Y30" s="61"/>
      <c r="Z30" s="73" t="str">
        <f t="shared" si="3"/>
        <v/>
      </c>
      <c r="AA30" s="61"/>
      <c r="AB30" s="106" t="str">
        <f t="shared" si="4"/>
        <v/>
      </c>
      <c r="AE30" s="107" t="str">
        <f>IF($S30="","",VLOOKUP($S30,'ORF Accuracy Value LookUp'!$A$4:$B$104,2,TRUE))</f>
        <v/>
      </c>
      <c r="AF30" s="108" t="str">
        <f>IF($Z30="","",VLOOKUP($Z30,'ORF Accuracy Value LookUp'!$D$4:$E$104,2,TRUE))</f>
        <v/>
      </c>
    </row>
    <row r="31" spans="1:32">
      <c r="A31" s="58"/>
      <c r="B31" s="59"/>
      <c r="C31" s="60"/>
      <c r="D31" s="61"/>
      <c r="E31" s="58"/>
      <c r="F31" s="62"/>
      <c r="G31" s="63"/>
      <c r="H31" s="83"/>
      <c r="I31" s="61"/>
      <c r="J31" s="61"/>
      <c r="K31" s="61"/>
      <c r="L31" s="61"/>
      <c r="M31" s="103" t="str">
        <f t="shared" si="0"/>
        <v/>
      </c>
      <c r="N31" s="84"/>
      <c r="O31" s="61"/>
      <c r="P31" s="61"/>
      <c r="Q31" s="213"/>
      <c r="R31" s="64"/>
      <c r="S31" s="65" t="str">
        <f t="shared" si="1"/>
        <v/>
      </c>
      <c r="T31" s="104" t="str">
        <f t="shared" si="2"/>
        <v/>
      </c>
      <c r="U31" s="84"/>
      <c r="V31" s="61"/>
      <c r="W31" s="61"/>
      <c r="X31" s="61"/>
      <c r="Y31" s="61"/>
      <c r="Z31" s="73" t="str">
        <f t="shared" si="3"/>
        <v/>
      </c>
      <c r="AA31" s="61"/>
      <c r="AB31" s="106" t="str">
        <f t="shared" si="4"/>
        <v/>
      </c>
      <c r="AE31" s="107" t="str">
        <f>IF($S31="","",VLOOKUP($S31,'ORF Accuracy Value LookUp'!$A$4:$B$104,2,TRUE))</f>
        <v/>
      </c>
      <c r="AF31" s="108" t="str">
        <f>IF($Z31="","",VLOOKUP($Z31,'ORF Accuracy Value LookUp'!$D$4:$E$104,2,TRUE))</f>
        <v/>
      </c>
    </row>
    <row r="32" spans="1:32">
      <c r="A32" s="58"/>
      <c r="B32" s="59"/>
      <c r="C32" s="60"/>
      <c r="D32" s="61"/>
      <c r="E32" s="58"/>
      <c r="F32" s="62"/>
      <c r="G32" s="63"/>
      <c r="H32" s="83"/>
      <c r="I32" s="61"/>
      <c r="J32" s="61"/>
      <c r="K32" s="61"/>
      <c r="L32" s="61"/>
      <c r="M32" s="103" t="str">
        <f t="shared" si="0"/>
        <v/>
      </c>
      <c r="N32" s="84"/>
      <c r="O32" s="61"/>
      <c r="P32" s="61"/>
      <c r="Q32" s="213"/>
      <c r="R32" s="64"/>
      <c r="S32" s="65" t="str">
        <f t="shared" si="1"/>
        <v/>
      </c>
      <c r="T32" s="104" t="str">
        <f t="shared" si="2"/>
        <v/>
      </c>
      <c r="U32" s="84"/>
      <c r="V32" s="61"/>
      <c r="W32" s="61"/>
      <c r="X32" s="61"/>
      <c r="Y32" s="61"/>
      <c r="Z32" s="73" t="str">
        <f t="shared" si="3"/>
        <v/>
      </c>
      <c r="AA32" s="61"/>
      <c r="AB32" s="106" t="str">
        <f t="shared" si="4"/>
        <v/>
      </c>
      <c r="AE32" s="107" t="str">
        <f>IF($S32="","",VLOOKUP($S32,'ORF Accuracy Value LookUp'!$A$4:$B$104,2,TRUE))</f>
        <v/>
      </c>
      <c r="AF32" s="108" t="str">
        <f>IF($Z32="","",VLOOKUP($Z32,'ORF Accuracy Value LookUp'!$D$4:$E$104,2,TRUE))</f>
        <v/>
      </c>
    </row>
    <row r="33" spans="1:32">
      <c r="A33" s="58"/>
      <c r="B33" s="59"/>
      <c r="C33" s="60"/>
      <c r="D33" s="61"/>
      <c r="E33" s="58"/>
      <c r="F33" s="62"/>
      <c r="G33" s="63"/>
      <c r="H33" s="83"/>
      <c r="I33" s="61"/>
      <c r="J33" s="61"/>
      <c r="K33" s="61"/>
      <c r="L33" s="61"/>
      <c r="M33" s="103" t="str">
        <f t="shared" si="0"/>
        <v/>
      </c>
      <c r="N33" s="84"/>
      <c r="O33" s="61"/>
      <c r="P33" s="61"/>
      <c r="Q33" s="213"/>
      <c r="R33" s="64"/>
      <c r="S33" s="65" t="str">
        <f t="shared" si="1"/>
        <v/>
      </c>
      <c r="T33" s="104" t="str">
        <f t="shared" si="2"/>
        <v/>
      </c>
      <c r="U33" s="84"/>
      <c r="V33" s="61"/>
      <c r="W33" s="61"/>
      <c r="X33" s="61"/>
      <c r="Y33" s="61"/>
      <c r="Z33" s="73" t="str">
        <f t="shared" si="3"/>
        <v/>
      </c>
      <c r="AA33" s="61"/>
      <c r="AB33" s="106" t="str">
        <f t="shared" si="4"/>
        <v/>
      </c>
      <c r="AE33" s="107" t="str">
        <f>IF($S33="","",VLOOKUP($S33,'ORF Accuracy Value LookUp'!$A$4:$B$104,2,TRUE))</f>
        <v/>
      </c>
      <c r="AF33" s="108" t="str">
        <f>IF($Z33="","",VLOOKUP($Z33,'ORF Accuracy Value LookUp'!$D$4:$E$104,2,TRUE))</f>
        <v/>
      </c>
    </row>
    <row r="34" spans="1:32">
      <c r="A34" s="58"/>
      <c r="B34" s="59"/>
      <c r="C34" s="60"/>
      <c r="D34" s="61"/>
      <c r="E34" s="58"/>
      <c r="F34" s="62"/>
      <c r="G34" s="63"/>
      <c r="H34" s="83"/>
      <c r="I34" s="61"/>
      <c r="J34" s="61"/>
      <c r="K34" s="61"/>
      <c r="L34" s="61"/>
      <c r="M34" s="103" t="str">
        <f t="shared" si="0"/>
        <v/>
      </c>
      <c r="N34" s="84"/>
      <c r="O34" s="61"/>
      <c r="P34" s="61"/>
      <c r="Q34" s="213"/>
      <c r="R34" s="64"/>
      <c r="S34" s="65" t="str">
        <f t="shared" si="1"/>
        <v/>
      </c>
      <c r="T34" s="104" t="str">
        <f t="shared" si="2"/>
        <v/>
      </c>
      <c r="U34" s="84"/>
      <c r="V34" s="61"/>
      <c r="W34" s="61"/>
      <c r="X34" s="61"/>
      <c r="Y34" s="61"/>
      <c r="Z34" s="73" t="str">
        <f t="shared" si="3"/>
        <v/>
      </c>
      <c r="AA34" s="61"/>
      <c r="AB34" s="106" t="str">
        <f t="shared" si="4"/>
        <v/>
      </c>
      <c r="AE34" s="107" t="str">
        <f>IF($S34="","",VLOOKUP($S34,'ORF Accuracy Value LookUp'!$A$4:$B$104,2,TRUE))</f>
        <v/>
      </c>
      <c r="AF34" s="108" t="str">
        <f>IF($Z34="","",VLOOKUP($Z34,'ORF Accuracy Value LookUp'!$D$4:$E$104,2,TRUE))</f>
        <v/>
      </c>
    </row>
    <row r="35" spans="1:32">
      <c r="A35" s="58"/>
      <c r="B35" s="59"/>
      <c r="C35" s="60"/>
      <c r="D35" s="61"/>
      <c r="E35" s="58"/>
      <c r="F35" s="62"/>
      <c r="G35" s="63"/>
      <c r="H35" s="83"/>
      <c r="I35" s="61"/>
      <c r="J35" s="61"/>
      <c r="K35" s="61"/>
      <c r="L35" s="61"/>
      <c r="M35" s="103" t="str">
        <f t="shared" si="0"/>
        <v/>
      </c>
      <c r="N35" s="84"/>
      <c r="O35" s="61"/>
      <c r="P35" s="61"/>
      <c r="Q35" s="213"/>
      <c r="R35" s="64"/>
      <c r="S35" s="65" t="str">
        <f t="shared" si="1"/>
        <v/>
      </c>
      <c r="T35" s="104" t="str">
        <f t="shared" si="2"/>
        <v/>
      </c>
      <c r="U35" s="84"/>
      <c r="V35" s="61"/>
      <c r="W35" s="61"/>
      <c r="X35" s="61"/>
      <c r="Y35" s="61"/>
      <c r="Z35" s="73" t="str">
        <f t="shared" si="3"/>
        <v/>
      </c>
      <c r="AA35" s="61"/>
      <c r="AB35" s="106" t="str">
        <f t="shared" si="4"/>
        <v/>
      </c>
      <c r="AE35" s="107" t="str">
        <f>IF($S35="","",VLOOKUP($S35,'ORF Accuracy Value LookUp'!$A$4:$B$104,2,TRUE))</f>
        <v/>
      </c>
      <c r="AF35" s="108" t="str">
        <f>IF($Z35="","",VLOOKUP($Z35,'ORF Accuracy Value LookUp'!$D$4:$E$104,2,TRUE))</f>
        <v/>
      </c>
    </row>
    <row r="36" spans="1:32">
      <c r="A36" s="58"/>
      <c r="B36" s="59"/>
      <c r="C36" s="60"/>
      <c r="D36" s="61"/>
      <c r="E36" s="58"/>
      <c r="F36" s="62"/>
      <c r="G36" s="63"/>
      <c r="H36" s="83"/>
      <c r="I36" s="61"/>
      <c r="J36" s="61"/>
      <c r="K36" s="61"/>
      <c r="L36" s="61"/>
      <c r="M36" s="103" t="str">
        <f t="shared" si="0"/>
        <v/>
      </c>
      <c r="N36" s="84"/>
      <c r="O36" s="61"/>
      <c r="P36" s="61"/>
      <c r="Q36" s="213"/>
      <c r="R36" s="64"/>
      <c r="S36" s="65" t="str">
        <f t="shared" si="1"/>
        <v/>
      </c>
      <c r="T36" s="104" t="str">
        <f t="shared" si="2"/>
        <v/>
      </c>
      <c r="U36" s="84"/>
      <c r="V36" s="61"/>
      <c r="W36" s="61"/>
      <c r="X36" s="61"/>
      <c r="Y36" s="61"/>
      <c r="Z36" s="73" t="str">
        <f t="shared" si="3"/>
        <v/>
      </c>
      <c r="AA36" s="61"/>
      <c r="AB36" s="106" t="str">
        <f t="shared" si="4"/>
        <v/>
      </c>
      <c r="AE36" s="107" t="str">
        <f>IF($S36="","",VLOOKUP($S36,'ORF Accuracy Value LookUp'!$A$4:$B$104,2,TRUE))</f>
        <v/>
      </c>
      <c r="AF36" s="108" t="str">
        <f>IF($Z36="","",VLOOKUP($Z36,'ORF Accuracy Value LookUp'!$D$4:$E$104,2,TRUE))</f>
        <v/>
      </c>
    </row>
    <row r="37" spans="1:32">
      <c r="A37" s="58"/>
      <c r="B37" s="59"/>
      <c r="C37" s="60"/>
      <c r="D37" s="61"/>
      <c r="E37" s="58"/>
      <c r="F37" s="62"/>
      <c r="G37" s="63"/>
      <c r="H37" s="83"/>
      <c r="I37" s="61"/>
      <c r="J37" s="61"/>
      <c r="K37" s="61"/>
      <c r="L37" s="61"/>
      <c r="M37" s="103" t="str">
        <f t="shared" si="0"/>
        <v/>
      </c>
      <c r="N37" s="84"/>
      <c r="O37" s="61"/>
      <c r="P37" s="61"/>
      <c r="Q37" s="213"/>
      <c r="R37" s="64"/>
      <c r="S37" s="65" t="str">
        <f t="shared" si="1"/>
        <v/>
      </c>
      <c r="T37" s="104" t="str">
        <f t="shared" si="2"/>
        <v/>
      </c>
      <c r="U37" s="84"/>
      <c r="V37" s="61"/>
      <c r="W37" s="61"/>
      <c r="X37" s="61"/>
      <c r="Y37" s="61"/>
      <c r="Z37" s="73" t="str">
        <f t="shared" si="3"/>
        <v/>
      </c>
      <c r="AA37" s="61"/>
      <c r="AB37" s="106" t="str">
        <f t="shared" si="4"/>
        <v/>
      </c>
      <c r="AE37" s="107" t="str">
        <f>IF($S37="","",VLOOKUP($S37,'ORF Accuracy Value LookUp'!$A$4:$B$104,2,TRUE))</f>
        <v/>
      </c>
      <c r="AF37" s="108" t="str">
        <f>IF($Z37="","",VLOOKUP($Z37,'ORF Accuracy Value LookUp'!$D$4:$E$104,2,TRUE))</f>
        <v/>
      </c>
    </row>
    <row r="38" spans="1:32">
      <c r="A38" s="58"/>
      <c r="B38" s="59"/>
      <c r="C38" s="60"/>
      <c r="D38" s="61"/>
      <c r="E38" s="58"/>
      <c r="F38" s="62"/>
      <c r="G38" s="63"/>
      <c r="H38" s="83"/>
      <c r="I38" s="61"/>
      <c r="J38" s="61"/>
      <c r="K38" s="61"/>
      <c r="L38" s="61"/>
      <c r="M38" s="103" t="str">
        <f t="shared" si="0"/>
        <v/>
      </c>
      <c r="N38" s="84"/>
      <c r="O38" s="61"/>
      <c r="P38" s="61"/>
      <c r="Q38" s="213"/>
      <c r="R38" s="64"/>
      <c r="S38" s="65" t="str">
        <f t="shared" si="1"/>
        <v/>
      </c>
      <c r="T38" s="104" t="str">
        <f t="shared" si="2"/>
        <v/>
      </c>
      <c r="U38" s="84"/>
      <c r="V38" s="61"/>
      <c r="W38" s="61"/>
      <c r="X38" s="61"/>
      <c r="Y38" s="61"/>
      <c r="Z38" s="73" t="str">
        <f t="shared" si="3"/>
        <v/>
      </c>
      <c r="AA38" s="61"/>
      <c r="AB38" s="106" t="str">
        <f t="shared" si="4"/>
        <v/>
      </c>
      <c r="AE38" s="107" t="str">
        <f>IF($S38="","",VLOOKUP($S38,'ORF Accuracy Value LookUp'!$A$4:$B$104,2,TRUE))</f>
        <v/>
      </c>
      <c r="AF38" s="108" t="str">
        <f>IF($Z38="","",VLOOKUP($Z38,'ORF Accuracy Value LookUp'!$D$4:$E$104,2,TRUE))</f>
        <v/>
      </c>
    </row>
    <row r="39" spans="1:32">
      <c r="A39" s="58"/>
      <c r="B39" s="59"/>
      <c r="C39" s="60"/>
      <c r="D39" s="61"/>
      <c r="E39" s="58"/>
      <c r="F39" s="62"/>
      <c r="G39" s="63"/>
      <c r="H39" s="83"/>
      <c r="I39" s="61"/>
      <c r="J39" s="61"/>
      <c r="K39" s="61"/>
      <c r="L39" s="61"/>
      <c r="M39" s="103" t="str">
        <f t="shared" si="0"/>
        <v/>
      </c>
      <c r="N39" s="84"/>
      <c r="O39" s="61"/>
      <c r="P39" s="61"/>
      <c r="Q39" s="213"/>
      <c r="R39" s="64"/>
      <c r="S39" s="65" t="str">
        <f t="shared" si="1"/>
        <v/>
      </c>
      <c r="T39" s="104" t="str">
        <f t="shared" si="2"/>
        <v/>
      </c>
      <c r="U39" s="84"/>
      <c r="V39" s="61"/>
      <c r="W39" s="61"/>
      <c r="X39" s="61"/>
      <c r="Y39" s="61"/>
      <c r="Z39" s="73" t="str">
        <f t="shared" si="3"/>
        <v/>
      </c>
      <c r="AA39" s="61"/>
      <c r="AB39" s="106" t="str">
        <f t="shared" si="4"/>
        <v/>
      </c>
      <c r="AE39" s="107" t="str">
        <f>IF($S39="","",VLOOKUP($S39,'ORF Accuracy Value LookUp'!$A$4:$B$104,2,TRUE))</f>
        <v/>
      </c>
      <c r="AF39" s="108" t="str">
        <f>IF($Z39="","",VLOOKUP($Z39,'ORF Accuracy Value LookUp'!$D$4:$E$104,2,TRUE))</f>
        <v/>
      </c>
    </row>
    <row r="40" spans="1:32">
      <c r="A40" s="58"/>
      <c r="B40" s="59"/>
      <c r="C40" s="60"/>
      <c r="D40" s="61"/>
      <c r="E40" s="58"/>
      <c r="F40" s="62"/>
      <c r="G40" s="63"/>
      <c r="H40" s="83"/>
      <c r="I40" s="61"/>
      <c r="J40" s="61"/>
      <c r="K40" s="61"/>
      <c r="L40" s="61"/>
      <c r="M40" s="103" t="str">
        <f t="shared" si="0"/>
        <v/>
      </c>
      <c r="N40" s="84"/>
      <c r="O40" s="61"/>
      <c r="P40" s="61"/>
      <c r="Q40" s="213"/>
      <c r="R40" s="64"/>
      <c r="S40" s="65" t="str">
        <f t="shared" si="1"/>
        <v/>
      </c>
      <c r="T40" s="104" t="str">
        <f t="shared" si="2"/>
        <v/>
      </c>
      <c r="U40" s="84"/>
      <c r="V40" s="61"/>
      <c r="W40" s="61"/>
      <c r="X40" s="61"/>
      <c r="Y40" s="61"/>
      <c r="Z40" s="73" t="str">
        <f t="shared" si="3"/>
        <v/>
      </c>
      <c r="AA40" s="61"/>
      <c r="AB40" s="106" t="str">
        <f t="shared" si="4"/>
        <v/>
      </c>
      <c r="AE40" s="107" t="str">
        <f>IF($S40="","",VLOOKUP($S40,'ORF Accuracy Value LookUp'!$A$4:$B$104,2,TRUE))</f>
        <v/>
      </c>
      <c r="AF40" s="108" t="str">
        <f>IF($Z40="","",VLOOKUP($Z40,'ORF Accuracy Value LookUp'!$D$4:$E$104,2,TRUE))</f>
        <v/>
      </c>
    </row>
    <row r="41" spans="1:32">
      <c r="A41" s="58"/>
      <c r="B41" s="59"/>
      <c r="C41" s="60"/>
      <c r="D41" s="61"/>
      <c r="E41" s="58"/>
      <c r="F41" s="62"/>
      <c r="G41" s="63"/>
      <c r="H41" s="83"/>
      <c r="I41" s="61"/>
      <c r="J41" s="61"/>
      <c r="K41" s="61"/>
      <c r="L41" s="61"/>
      <c r="M41" s="103" t="str">
        <f t="shared" si="0"/>
        <v/>
      </c>
      <c r="N41" s="84"/>
      <c r="O41" s="61"/>
      <c r="P41" s="61"/>
      <c r="Q41" s="213"/>
      <c r="R41" s="64"/>
      <c r="S41" s="65" t="str">
        <f t="shared" si="1"/>
        <v/>
      </c>
      <c r="T41" s="104" t="str">
        <f t="shared" si="2"/>
        <v/>
      </c>
      <c r="U41" s="84"/>
      <c r="V41" s="61"/>
      <c r="W41" s="61"/>
      <c r="X41" s="61"/>
      <c r="Y41" s="61"/>
      <c r="Z41" s="73" t="str">
        <f t="shared" si="3"/>
        <v/>
      </c>
      <c r="AA41" s="61"/>
      <c r="AB41" s="106" t="str">
        <f t="shared" si="4"/>
        <v/>
      </c>
      <c r="AE41" s="107" t="str">
        <f>IF($S41="","",VLOOKUP($S41,'ORF Accuracy Value LookUp'!$A$4:$B$104,2,TRUE))</f>
        <v/>
      </c>
      <c r="AF41" s="108" t="str">
        <f>IF($Z41="","",VLOOKUP($Z41,'ORF Accuracy Value LookUp'!$D$4:$E$104,2,TRUE))</f>
        <v/>
      </c>
    </row>
    <row r="42" spans="1:32">
      <c r="A42" s="58"/>
      <c r="B42" s="59"/>
      <c r="C42" s="60"/>
      <c r="D42" s="61"/>
      <c r="E42" s="58"/>
      <c r="F42" s="62"/>
      <c r="G42" s="63"/>
      <c r="H42" s="83"/>
      <c r="I42" s="61"/>
      <c r="J42" s="61"/>
      <c r="K42" s="61"/>
      <c r="L42" s="61"/>
      <c r="M42" s="103" t="str">
        <f t="shared" si="0"/>
        <v/>
      </c>
      <c r="N42" s="84"/>
      <c r="O42" s="61"/>
      <c r="P42" s="61"/>
      <c r="Q42" s="213"/>
      <c r="R42" s="64"/>
      <c r="S42" s="65" t="str">
        <f t="shared" si="1"/>
        <v/>
      </c>
      <c r="T42" s="104" t="str">
        <f t="shared" si="2"/>
        <v/>
      </c>
      <c r="U42" s="84"/>
      <c r="V42" s="61"/>
      <c r="W42" s="61"/>
      <c r="X42" s="61"/>
      <c r="Y42" s="61"/>
      <c r="Z42" s="73" t="str">
        <f t="shared" si="3"/>
        <v/>
      </c>
      <c r="AA42" s="61"/>
      <c r="AB42" s="106" t="str">
        <f t="shared" si="4"/>
        <v/>
      </c>
      <c r="AE42" s="107" t="str">
        <f>IF($S42="","",VLOOKUP($S42,'ORF Accuracy Value LookUp'!$A$4:$B$104,2,TRUE))</f>
        <v/>
      </c>
      <c r="AF42" s="108" t="str">
        <f>IF($Z42="","",VLOOKUP($Z42,'ORF Accuracy Value LookUp'!$D$4:$E$104,2,TRUE))</f>
        <v/>
      </c>
    </row>
    <row r="43" spans="1:32">
      <c r="A43" s="58"/>
      <c r="B43" s="59"/>
      <c r="C43" s="60"/>
      <c r="D43" s="61"/>
      <c r="E43" s="58"/>
      <c r="F43" s="62"/>
      <c r="G43" s="63"/>
      <c r="H43" s="83"/>
      <c r="I43" s="61"/>
      <c r="J43" s="61"/>
      <c r="K43" s="61"/>
      <c r="L43" s="61"/>
      <c r="M43" s="103" t="str">
        <f t="shared" si="0"/>
        <v/>
      </c>
      <c r="N43" s="84"/>
      <c r="O43" s="61"/>
      <c r="P43" s="61"/>
      <c r="Q43" s="213"/>
      <c r="R43" s="64"/>
      <c r="S43" s="65" t="str">
        <f t="shared" si="1"/>
        <v/>
      </c>
      <c r="T43" s="104" t="str">
        <f t="shared" si="2"/>
        <v/>
      </c>
      <c r="U43" s="84"/>
      <c r="V43" s="61"/>
      <c r="W43" s="61"/>
      <c r="X43" s="61"/>
      <c r="Y43" s="61"/>
      <c r="Z43" s="73" t="str">
        <f t="shared" si="3"/>
        <v/>
      </c>
      <c r="AA43" s="61"/>
      <c r="AB43" s="106" t="str">
        <f t="shared" si="4"/>
        <v/>
      </c>
      <c r="AE43" s="107" t="str">
        <f>IF($S43="","",VLOOKUP($S43,'ORF Accuracy Value LookUp'!$A$4:$B$104,2,TRUE))</f>
        <v/>
      </c>
      <c r="AF43" s="108" t="str">
        <f>IF($Z43="","",VLOOKUP($Z43,'ORF Accuracy Value LookUp'!$D$4:$E$104,2,TRUE))</f>
        <v/>
      </c>
    </row>
    <row r="44" spans="1:32">
      <c r="A44" s="58"/>
      <c r="B44" s="59"/>
      <c r="C44" s="60"/>
      <c r="D44" s="61"/>
      <c r="E44" s="58"/>
      <c r="F44" s="62"/>
      <c r="G44" s="63"/>
      <c r="H44" s="83"/>
      <c r="I44" s="61"/>
      <c r="J44" s="61"/>
      <c r="K44" s="61"/>
      <c r="L44" s="61"/>
      <c r="M44" s="103" t="str">
        <f t="shared" si="0"/>
        <v/>
      </c>
      <c r="N44" s="84"/>
      <c r="O44" s="61"/>
      <c r="P44" s="61"/>
      <c r="Q44" s="213"/>
      <c r="R44" s="64"/>
      <c r="S44" s="65" t="str">
        <f t="shared" si="1"/>
        <v/>
      </c>
      <c r="T44" s="104" t="str">
        <f t="shared" si="2"/>
        <v/>
      </c>
      <c r="U44" s="84"/>
      <c r="V44" s="61"/>
      <c r="W44" s="61"/>
      <c r="X44" s="61"/>
      <c r="Y44" s="61"/>
      <c r="Z44" s="73" t="str">
        <f t="shared" si="3"/>
        <v/>
      </c>
      <c r="AA44" s="61"/>
      <c r="AB44" s="106" t="str">
        <f t="shared" si="4"/>
        <v/>
      </c>
      <c r="AE44" s="107" t="str">
        <f>IF($S44="","",VLOOKUP($S44,'ORF Accuracy Value LookUp'!$A$4:$B$104,2,TRUE))</f>
        <v/>
      </c>
      <c r="AF44" s="108" t="str">
        <f>IF($Z44="","",VLOOKUP($Z44,'ORF Accuracy Value LookUp'!$D$4:$E$104,2,TRUE))</f>
        <v/>
      </c>
    </row>
    <row r="45" spans="1:32">
      <c r="A45" s="58"/>
      <c r="B45" s="59"/>
      <c r="C45" s="60"/>
      <c r="D45" s="61"/>
      <c r="E45" s="58"/>
      <c r="F45" s="62"/>
      <c r="G45" s="63"/>
      <c r="H45" s="83"/>
      <c r="I45" s="61"/>
      <c r="J45" s="61"/>
      <c r="K45" s="61"/>
      <c r="L45" s="61"/>
      <c r="M45" s="103" t="str">
        <f t="shared" si="0"/>
        <v/>
      </c>
      <c r="N45" s="84"/>
      <c r="O45" s="61"/>
      <c r="P45" s="61"/>
      <c r="Q45" s="213"/>
      <c r="R45" s="64"/>
      <c r="S45" s="65" t="str">
        <f t="shared" si="1"/>
        <v/>
      </c>
      <c r="T45" s="104" t="str">
        <f t="shared" si="2"/>
        <v/>
      </c>
      <c r="U45" s="84"/>
      <c r="V45" s="61"/>
      <c r="W45" s="61"/>
      <c r="X45" s="61"/>
      <c r="Y45" s="61"/>
      <c r="Z45" s="73" t="str">
        <f t="shared" si="3"/>
        <v/>
      </c>
      <c r="AA45" s="61"/>
      <c r="AB45" s="106" t="str">
        <f t="shared" si="4"/>
        <v/>
      </c>
      <c r="AE45" s="107" t="str">
        <f>IF($S45="","",VLOOKUP($S45,'ORF Accuracy Value LookUp'!$A$4:$B$104,2,TRUE))</f>
        <v/>
      </c>
      <c r="AF45" s="108" t="str">
        <f>IF($Z45="","",VLOOKUP($Z45,'ORF Accuracy Value LookUp'!$D$4:$E$104,2,TRUE))</f>
        <v/>
      </c>
    </row>
    <row r="46" spans="1:32">
      <c r="A46" s="58"/>
      <c r="B46" s="59"/>
      <c r="C46" s="60"/>
      <c r="D46" s="61"/>
      <c r="E46" s="58"/>
      <c r="F46" s="62"/>
      <c r="G46" s="63"/>
      <c r="H46" s="83"/>
      <c r="I46" s="61"/>
      <c r="J46" s="61"/>
      <c r="K46" s="61"/>
      <c r="L46" s="61"/>
      <c r="M46" s="103" t="str">
        <f t="shared" si="0"/>
        <v/>
      </c>
      <c r="N46" s="84"/>
      <c r="O46" s="61"/>
      <c r="P46" s="61"/>
      <c r="Q46" s="213"/>
      <c r="R46" s="64"/>
      <c r="S46" s="65" t="str">
        <f t="shared" si="1"/>
        <v/>
      </c>
      <c r="T46" s="104" t="str">
        <f t="shared" si="2"/>
        <v/>
      </c>
      <c r="U46" s="84"/>
      <c r="V46" s="61"/>
      <c r="W46" s="61"/>
      <c r="X46" s="61"/>
      <c r="Y46" s="61"/>
      <c r="Z46" s="73" t="str">
        <f t="shared" si="3"/>
        <v/>
      </c>
      <c r="AA46" s="61"/>
      <c r="AB46" s="106" t="str">
        <f t="shared" si="4"/>
        <v/>
      </c>
      <c r="AE46" s="107" t="str">
        <f>IF($S46="","",VLOOKUP($S46,'ORF Accuracy Value LookUp'!$A$4:$B$104,2,TRUE))</f>
        <v/>
      </c>
      <c r="AF46" s="108" t="str">
        <f>IF($Z46="","",VLOOKUP($Z46,'ORF Accuracy Value LookUp'!$D$4:$E$104,2,TRUE))</f>
        <v/>
      </c>
    </row>
    <row r="47" spans="1:32">
      <c r="A47" s="58"/>
      <c r="B47" s="59"/>
      <c r="C47" s="60"/>
      <c r="D47" s="61"/>
      <c r="E47" s="58"/>
      <c r="F47" s="62"/>
      <c r="G47" s="63"/>
      <c r="H47" s="83"/>
      <c r="I47" s="61"/>
      <c r="J47" s="61"/>
      <c r="K47" s="61"/>
      <c r="L47" s="61"/>
      <c r="M47" s="103" t="str">
        <f t="shared" si="0"/>
        <v/>
      </c>
      <c r="N47" s="84"/>
      <c r="O47" s="61"/>
      <c r="P47" s="61"/>
      <c r="Q47" s="213"/>
      <c r="R47" s="64"/>
      <c r="S47" s="65" t="str">
        <f t="shared" si="1"/>
        <v/>
      </c>
      <c r="T47" s="104" t="str">
        <f t="shared" si="2"/>
        <v/>
      </c>
      <c r="U47" s="84"/>
      <c r="V47" s="61"/>
      <c r="W47" s="61"/>
      <c r="X47" s="61"/>
      <c r="Y47" s="61"/>
      <c r="Z47" s="73" t="str">
        <f t="shared" si="3"/>
        <v/>
      </c>
      <c r="AA47" s="61"/>
      <c r="AB47" s="106" t="str">
        <f t="shared" si="4"/>
        <v/>
      </c>
      <c r="AE47" s="107" t="str">
        <f>IF($S47="","",VLOOKUP($S47,'ORF Accuracy Value LookUp'!$A$4:$B$104,2,TRUE))</f>
        <v/>
      </c>
      <c r="AF47" s="108" t="str">
        <f>IF($Z47="","",VLOOKUP($Z47,'ORF Accuracy Value LookUp'!$D$4:$E$104,2,TRUE))</f>
        <v/>
      </c>
    </row>
    <row r="48" spans="1:32">
      <c r="A48" s="58"/>
      <c r="B48" s="59"/>
      <c r="C48" s="60"/>
      <c r="D48" s="61"/>
      <c r="E48" s="58"/>
      <c r="F48" s="62"/>
      <c r="G48" s="63"/>
      <c r="H48" s="83"/>
      <c r="I48" s="61"/>
      <c r="J48" s="61"/>
      <c r="K48" s="61"/>
      <c r="L48" s="61"/>
      <c r="M48" s="103" t="str">
        <f t="shared" si="0"/>
        <v/>
      </c>
      <c r="N48" s="84"/>
      <c r="O48" s="61"/>
      <c r="P48" s="61"/>
      <c r="Q48" s="213"/>
      <c r="R48" s="64"/>
      <c r="S48" s="65" t="str">
        <f t="shared" si="1"/>
        <v/>
      </c>
      <c r="T48" s="104" t="str">
        <f t="shared" si="2"/>
        <v/>
      </c>
      <c r="U48" s="84"/>
      <c r="V48" s="61"/>
      <c r="W48" s="61"/>
      <c r="X48" s="61"/>
      <c r="Y48" s="61"/>
      <c r="Z48" s="73" t="str">
        <f t="shared" si="3"/>
        <v/>
      </c>
      <c r="AA48" s="61"/>
      <c r="AB48" s="106" t="str">
        <f t="shared" si="4"/>
        <v/>
      </c>
      <c r="AE48" s="107" t="str">
        <f>IF($S48="","",VLOOKUP($S48,'ORF Accuracy Value LookUp'!$A$4:$B$104,2,TRUE))</f>
        <v/>
      </c>
      <c r="AF48" s="108" t="str">
        <f>IF($Z48="","",VLOOKUP($Z48,'ORF Accuracy Value LookUp'!$D$4:$E$104,2,TRUE))</f>
        <v/>
      </c>
    </row>
    <row r="49" spans="1:32">
      <c r="A49" s="58"/>
      <c r="B49" s="59"/>
      <c r="C49" s="60"/>
      <c r="D49" s="61"/>
      <c r="E49" s="58"/>
      <c r="F49" s="62"/>
      <c r="G49" s="63"/>
      <c r="H49" s="83"/>
      <c r="I49" s="61"/>
      <c r="J49" s="61"/>
      <c r="K49" s="61"/>
      <c r="L49" s="61"/>
      <c r="M49" s="103" t="str">
        <f t="shared" si="0"/>
        <v/>
      </c>
      <c r="N49" s="84"/>
      <c r="O49" s="61"/>
      <c r="P49" s="61"/>
      <c r="Q49" s="213"/>
      <c r="R49" s="64"/>
      <c r="S49" s="65" t="str">
        <f t="shared" si="1"/>
        <v/>
      </c>
      <c r="T49" s="104" t="str">
        <f t="shared" si="2"/>
        <v/>
      </c>
      <c r="U49" s="84"/>
      <c r="V49" s="61"/>
      <c r="W49" s="61"/>
      <c r="X49" s="61"/>
      <c r="Y49" s="61"/>
      <c r="Z49" s="73" t="str">
        <f t="shared" si="3"/>
        <v/>
      </c>
      <c r="AA49" s="61"/>
      <c r="AB49" s="106" t="str">
        <f t="shared" si="4"/>
        <v/>
      </c>
      <c r="AE49" s="107" t="str">
        <f>IF($S49="","",VLOOKUP($S49,'ORF Accuracy Value LookUp'!$A$4:$B$104,2,TRUE))</f>
        <v/>
      </c>
      <c r="AF49" s="108" t="str">
        <f>IF($Z49="","",VLOOKUP($Z49,'ORF Accuracy Value LookUp'!$D$4:$E$104,2,TRUE))</f>
        <v/>
      </c>
    </row>
    <row r="50" spans="1:32">
      <c r="A50" s="58"/>
      <c r="B50" s="59"/>
      <c r="C50" s="60"/>
      <c r="D50" s="61"/>
      <c r="E50" s="58"/>
      <c r="F50" s="62"/>
      <c r="G50" s="63"/>
      <c r="H50" s="83"/>
      <c r="I50" s="61"/>
      <c r="J50" s="61"/>
      <c r="K50" s="61"/>
      <c r="L50" s="61"/>
      <c r="M50" s="103" t="str">
        <f t="shared" si="0"/>
        <v/>
      </c>
      <c r="N50" s="84"/>
      <c r="O50" s="61"/>
      <c r="P50" s="61"/>
      <c r="Q50" s="213"/>
      <c r="R50" s="64"/>
      <c r="S50" s="65" t="str">
        <f t="shared" si="1"/>
        <v/>
      </c>
      <c r="T50" s="104" t="str">
        <f t="shared" si="2"/>
        <v/>
      </c>
      <c r="U50" s="84"/>
      <c r="V50" s="61"/>
      <c r="W50" s="61"/>
      <c r="X50" s="61"/>
      <c r="Y50" s="61"/>
      <c r="Z50" s="73" t="str">
        <f t="shared" si="3"/>
        <v/>
      </c>
      <c r="AA50" s="61"/>
      <c r="AB50" s="106" t="str">
        <f t="shared" si="4"/>
        <v/>
      </c>
      <c r="AE50" s="107" t="str">
        <f>IF($S50="","",VLOOKUP($S50,'ORF Accuracy Value LookUp'!$A$4:$B$104,2,TRUE))</f>
        <v/>
      </c>
      <c r="AF50" s="108" t="str">
        <f>IF($Z50="","",VLOOKUP($Z50,'ORF Accuracy Value LookUp'!$D$4:$E$104,2,TRUE))</f>
        <v/>
      </c>
    </row>
    <row r="51" spans="1:32">
      <c r="A51" s="58"/>
      <c r="B51" s="59"/>
      <c r="C51" s="60"/>
      <c r="D51" s="61"/>
      <c r="E51" s="58"/>
      <c r="F51" s="62"/>
      <c r="G51" s="63"/>
      <c r="H51" s="83"/>
      <c r="I51" s="61"/>
      <c r="J51" s="61"/>
      <c r="K51" s="61"/>
      <c r="L51" s="61"/>
      <c r="M51" s="103" t="str">
        <f t="shared" si="0"/>
        <v/>
      </c>
      <c r="N51" s="84"/>
      <c r="O51" s="61"/>
      <c r="P51" s="61"/>
      <c r="Q51" s="213"/>
      <c r="R51" s="64"/>
      <c r="S51" s="65" t="str">
        <f t="shared" si="1"/>
        <v/>
      </c>
      <c r="T51" s="104" t="str">
        <f t="shared" si="2"/>
        <v/>
      </c>
      <c r="U51" s="84"/>
      <c r="V51" s="61"/>
      <c r="W51" s="61"/>
      <c r="X51" s="61"/>
      <c r="Y51" s="61"/>
      <c r="Z51" s="73" t="str">
        <f t="shared" si="3"/>
        <v/>
      </c>
      <c r="AA51" s="61"/>
      <c r="AB51" s="106" t="str">
        <f t="shared" si="4"/>
        <v/>
      </c>
      <c r="AE51" s="107" t="str">
        <f>IF($S51="","",VLOOKUP($S51,'ORF Accuracy Value LookUp'!$A$4:$B$104,2,TRUE))</f>
        <v/>
      </c>
      <c r="AF51" s="108" t="str">
        <f>IF($Z51="","",VLOOKUP($Z51,'ORF Accuracy Value LookUp'!$D$4:$E$104,2,TRUE))</f>
        <v/>
      </c>
    </row>
    <row r="52" spans="1:32">
      <c r="A52" s="58"/>
      <c r="B52" s="59"/>
      <c r="C52" s="60"/>
      <c r="D52" s="61"/>
      <c r="E52" s="58"/>
      <c r="F52" s="62"/>
      <c r="G52" s="63"/>
      <c r="H52" s="83"/>
      <c r="I52" s="61"/>
      <c r="J52" s="61"/>
      <c r="K52" s="61"/>
      <c r="L52" s="61"/>
      <c r="M52" s="103" t="str">
        <f t="shared" si="0"/>
        <v/>
      </c>
      <c r="N52" s="84"/>
      <c r="O52" s="61"/>
      <c r="P52" s="61"/>
      <c r="Q52" s="213"/>
      <c r="R52" s="64"/>
      <c r="S52" s="65" t="str">
        <f t="shared" si="1"/>
        <v/>
      </c>
      <c r="T52" s="104" t="str">
        <f t="shared" si="2"/>
        <v/>
      </c>
      <c r="U52" s="84"/>
      <c r="V52" s="61"/>
      <c r="W52" s="61"/>
      <c r="X52" s="61"/>
      <c r="Y52" s="61"/>
      <c r="Z52" s="73" t="str">
        <f t="shared" si="3"/>
        <v/>
      </c>
      <c r="AA52" s="61"/>
      <c r="AB52" s="106" t="str">
        <f t="shared" si="4"/>
        <v/>
      </c>
      <c r="AE52" s="107" t="str">
        <f>IF($S52="","",VLOOKUP($S52,'ORF Accuracy Value LookUp'!$A$4:$B$104,2,TRUE))</f>
        <v/>
      </c>
      <c r="AF52" s="108" t="str">
        <f>IF($Z52="","",VLOOKUP($Z52,'ORF Accuracy Value LookUp'!$D$4:$E$104,2,TRUE))</f>
        <v/>
      </c>
    </row>
    <row r="53" spans="1:32">
      <c r="A53" s="58"/>
      <c r="B53" s="59"/>
      <c r="C53" s="60"/>
      <c r="D53" s="61"/>
      <c r="E53" s="58"/>
      <c r="F53" s="62"/>
      <c r="G53" s="63"/>
      <c r="H53" s="83"/>
      <c r="I53" s="61"/>
      <c r="J53" s="61"/>
      <c r="K53" s="61"/>
      <c r="L53" s="61"/>
      <c r="M53" s="103" t="str">
        <f t="shared" si="0"/>
        <v/>
      </c>
      <c r="N53" s="84"/>
      <c r="O53" s="61"/>
      <c r="P53" s="61"/>
      <c r="Q53" s="213"/>
      <c r="R53" s="64"/>
      <c r="S53" s="65" t="str">
        <f t="shared" si="1"/>
        <v/>
      </c>
      <c r="T53" s="104" t="str">
        <f t="shared" si="2"/>
        <v/>
      </c>
      <c r="U53" s="84"/>
      <c r="V53" s="61"/>
      <c r="W53" s="61"/>
      <c r="X53" s="61"/>
      <c r="Y53" s="61"/>
      <c r="Z53" s="73" t="str">
        <f t="shared" si="3"/>
        <v/>
      </c>
      <c r="AA53" s="61"/>
      <c r="AB53" s="106" t="str">
        <f t="shared" si="4"/>
        <v/>
      </c>
      <c r="AE53" s="107" t="str">
        <f>IF($S53="","",VLOOKUP($S53,'ORF Accuracy Value LookUp'!$A$4:$B$104,2,TRUE))</f>
        <v/>
      </c>
      <c r="AF53" s="108" t="str">
        <f>IF($Z53="","",VLOOKUP($Z53,'ORF Accuracy Value LookUp'!$D$4:$E$104,2,TRUE))</f>
        <v/>
      </c>
    </row>
    <row r="54" spans="1:32">
      <c r="A54" s="58"/>
      <c r="B54" s="59"/>
      <c r="C54" s="60"/>
      <c r="D54" s="61"/>
      <c r="E54" s="58"/>
      <c r="F54" s="62"/>
      <c r="G54" s="63"/>
      <c r="H54" s="83"/>
      <c r="I54" s="61"/>
      <c r="J54" s="61"/>
      <c r="K54" s="61"/>
      <c r="L54" s="61"/>
      <c r="M54" s="103" t="str">
        <f t="shared" si="0"/>
        <v/>
      </c>
      <c r="N54" s="84"/>
      <c r="O54" s="61"/>
      <c r="P54" s="61"/>
      <c r="Q54" s="213"/>
      <c r="R54" s="64"/>
      <c r="S54" s="65" t="str">
        <f t="shared" si="1"/>
        <v/>
      </c>
      <c r="T54" s="104" t="str">
        <f t="shared" si="2"/>
        <v/>
      </c>
      <c r="U54" s="84"/>
      <c r="V54" s="61"/>
      <c r="W54" s="61"/>
      <c r="X54" s="61"/>
      <c r="Y54" s="61"/>
      <c r="Z54" s="73" t="str">
        <f t="shared" si="3"/>
        <v/>
      </c>
      <c r="AA54" s="61"/>
      <c r="AB54" s="106" t="str">
        <f t="shared" si="4"/>
        <v/>
      </c>
      <c r="AE54" s="107" t="str">
        <f>IF($S54="","",VLOOKUP($S54,'ORF Accuracy Value LookUp'!$A$4:$B$104,2,TRUE))</f>
        <v/>
      </c>
      <c r="AF54" s="108" t="str">
        <f>IF($Z54="","",VLOOKUP($Z54,'ORF Accuracy Value LookUp'!$D$4:$E$104,2,TRUE))</f>
        <v/>
      </c>
    </row>
    <row r="55" spans="1:32">
      <c r="A55" s="58"/>
      <c r="B55" s="59"/>
      <c r="C55" s="60"/>
      <c r="D55" s="61"/>
      <c r="E55" s="58"/>
      <c r="F55" s="62"/>
      <c r="G55" s="63"/>
      <c r="H55" s="83"/>
      <c r="I55" s="61"/>
      <c r="J55" s="61"/>
      <c r="K55" s="61"/>
      <c r="L55" s="61"/>
      <c r="M55" s="103" t="str">
        <f t="shared" si="0"/>
        <v/>
      </c>
      <c r="N55" s="84"/>
      <c r="O55" s="61"/>
      <c r="P55" s="61"/>
      <c r="Q55" s="213"/>
      <c r="R55" s="64"/>
      <c r="S55" s="65" t="str">
        <f t="shared" si="1"/>
        <v/>
      </c>
      <c r="T55" s="104" t="str">
        <f t="shared" si="2"/>
        <v/>
      </c>
      <c r="U55" s="84"/>
      <c r="V55" s="61"/>
      <c r="W55" s="61"/>
      <c r="X55" s="61"/>
      <c r="Y55" s="61"/>
      <c r="Z55" s="73" t="str">
        <f t="shared" si="3"/>
        <v/>
      </c>
      <c r="AA55" s="61"/>
      <c r="AB55" s="106" t="str">
        <f t="shared" si="4"/>
        <v/>
      </c>
      <c r="AE55" s="107" t="str">
        <f>IF($S55="","",VLOOKUP($S55,'ORF Accuracy Value LookUp'!$A$4:$B$104,2,TRUE))</f>
        <v/>
      </c>
      <c r="AF55" s="108" t="str">
        <f>IF($Z55="","",VLOOKUP($Z55,'ORF Accuracy Value LookUp'!$D$4:$E$104,2,TRUE))</f>
        <v/>
      </c>
    </row>
    <row r="56" spans="1:32">
      <c r="A56" s="58"/>
      <c r="B56" s="59"/>
      <c r="C56" s="60"/>
      <c r="D56" s="61"/>
      <c r="E56" s="58"/>
      <c r="F56" s="62"/>
      <c r="G56" s="63"/>
      <c r="H56" s="83"/>
      <c r="I56" s="61"/>
      <c r="J56" s="61"/>
      <c r="K56" s="61"/>
      <c r="L56" s="61"/>
      <c r="M56" s="103" t="str">
        <f t="shared" si="0"/>
        <v/>
      </c>
      <c r="N56" s="84"/>
      <c r="O56" s="61"/>
      <c r="P56" s="61"/>
      <c r="Q56" s="213"/>
      <c r="R56" s="64"/>
      <c r="S56" s="65" t="str">
        <f t="shared" si="1"/>
        <v/>
      </c>
      <c r="T56" s="104" t="str">
        <f t="shared" si="2"/>
        <v/>
      </c>
      <c r="U56" s="84"/>
      <c r="V56" s="61"/>
      <c r="W56" s="61"/>
      <c r="X56" s="61"/>
      <c r="Y56" s="61"/>
      <c r="Z56" s="73" t="str">
        <f t="shared" si="3"/>
        <v/>
      </c>
      <c r="AA56" s="61"/>
      <c r="AB56" s="106" t="str">
        <f t="shared" si="4"/>
        <v/>
      </c>
      <c r="AE56" s="107" t="str">
        <f>IF($S56="","",VLOOKUP($S56,'ORF Accuracy Value LookUp'!$A$4:$B$104,2,TRUE))</f>
        <v/>
      </c>
      <c r="AF56" s="108" t="str">
        <f>IF($Z56="","",VLOOKUP($Z56,'ORF Accuracy Value LookUp'!$D$4:$E$104,2,TRUE))</f>
        <v/>
      </c>
    </row>
    <row r="57" spans="1:32">
      <c r="A57" s="58"/>
      <c r="B57" s="59"/>
      <c r="C57" s="60"/>
      <c r="D57" s="61"/>
      <c r="E57" s="58"/>
      <c r="F57" s="62"/>
      <c r="G57" s="63"/>
      <c r="H57" s="83"/>
      <c r="I57" s="61"/>
      <c r="J57" s="61"/>
      <c r="K57" s="61"/>
      <c r="L57" s="61"/>
      <c r="M57" s="103" t="str">
        <f t="shared" si="0"/>
        <v/>
      </c>
      <c r="N57" s="84"/>
      <c r="O57" s="61"/>
      <c r="P57" s="61"/>
      <c r="Q57" s="213"/>
      <c r="R57" s="64"/>
      <c r="S57" s="65" t="str">
        <f t="shared" si="1"/>
        <v/>
      </c>
      <c r="T57" s="104" t="str">
        <f t="shared" si="2"/>
        <v/>
      </c>
      <c r="U57" s="84"/>
      <c r="V57" s="61"/>
      <c r="W57" s="61"/>
      <c r="X57" s="61"/>
      <c r="Y57" s="61"/>
      <c r="Z57" s="73" t="str">
        <f t="shared" si="3"/>
        <v/>
      </c>
      <c r="AA57" s="61"/>
      <c r="AB57" s="106" t="str">
        <f t="shared" si="4"/>
        <v/>
      </c>
      <c r="AE57" s="107" t="str">
        <f>IF($S57="","",VLOOKUP($S57,'ORF Accuracy Value LookUp'!$A$4:$B$104,2,TRUE))</f>
        <v/>
      </c>
      <c r="AF57" s="108" t="str">
        <f>IF($Z57="","",VLOOKUP($Z57,'ORF Accuracy Value LookUp'!$D$4:$E$104,2,TRUE))</f>
        <v/>
      </c>
    </row>
    <row r="58" spans="1:32">
      <c r="A58" s="58"/>
      <c r="B58" s="59"/>
      <c r="C58" s="60"/>
      <c r="D58" s="61"/>
      <c r="E58" s="58"/>
      <c r="F58" s="62"/>
      <c r="G58" s="63"/>
      <c r="H58" s="83"/>
      <c r="I58" s="61"/>
      <c r="J58" s="61"/>
      <c r="K58" s="61"/>
      <c r="L58" s="61"/>
      <c r="M58" s="103" t="str">
        <f t="shared" si="0"/>
        <v/>
      </c>
      <c r="N58" s="84"/>
      <c r="O58" s="61"/>
      <c r="P58" s="61"/>
      <c r="Q58" s="213"/>
      <c r="R58" s="64"/>
      <c r="S58" s="65" t="str">
        <f t="shared" si="1"/>
        <v/>
      </c>
      <c r="T58" s="104" t="str">
        <f t="shared" si="2"/>
        <v/>
      </c>
      <c r="U58" s="84"/>
      <c r="V58" s="61"/>
      <c r="W58" s="61"/>
      <c r="X58" s="61"/>
      <c r="Y58" s="61"/>
      <c r="Z58" s="73" t="str">
        <f t="shared" si="3"/>
        <v/>
      </c>
      <c r="AA58" s="61"/>
      <c r="AB58" s="106" t="str">
        <f t="shared" si="4"/>
        <v/>
      </c>
      <c r="AE58" s="107" t="str">
        <f>IF($S58="","",VLOOKUP($S58,'ORF Accuracy Value LookUp'!$A$4:$B$104,2,TRUE))</f>
        <v/>
      </c>
      <c r="AF58" s="108" t="str">
        <f>IF($Z58="","",VLOOKUP($Z58,'ORF Accuracy Value LookUp'!$D$4:$E$104,2,TRUE))</f>
        <v/>
      </c>
    </row>
    <row r="59" spans="1:32">
      <c r="A59" s="58"/>
      <c r="B59" s="59"/>
      <c r="C59" s="60"/>
      <c r="D59" s="61"/>
      <c r="E59" s="58"/>
      <c r="F59" s="62"/>
      <c r="G59" s="63"/>
      <c r="H59" s="83"/>
      <c r="I59" s="61"/>
      <c r="J59" s="61"/>
      <c r="K59" s="61"/>
      <c r="L59" s="61"/>
      <c r="M59" s="103" t="str">
        <f t="shared" si="0"/>
        <v/>
      </c>
      <c r="N59" s="84"/>
      <c r="O59" s="61"/>
      <c r="P59" s="61"/>
      <c r="Q59" s="213"/>
      <c r="R59" s="64"/>
      <c r="S59" s="65" t="str">
        <f t="shared" si="1"/>
        <v/>
      </c>
      <c r="T59" s="104" t="str">
        <f t="shared" si="2"/>
        <v/>
      </c>
      <c r="U59" s="84"/>
      <c r="V59" s="61"/>
      <c r="W59" s="61"/>
      <c r="X59" s="61"/>
      <c r="Y59" s="61"/>
      <c r="Z59" s="73" t="str">
        <f t="shared" si="3"/>
        <v/>
      </c>
      <c r="AA59" s="61"/>
      <c r="AB59" s="106" t="str">
        <f t="shared" si="4"/>
        <v/>
      </c>
      <c r="AE59" s="107" t="str">
        <f>IF($S59="","",VLOOKUP($S59,'ORF Accuracy Value LookUp'!$A$4:$B$104,2,TRUE))</f>
        <v/>
      </c>
      <c r="AF59" s="108" t="str">
        <f>IF($Z59="","",VLOOKUP($Z59,'ORF Accuracy Value LookUp'!$D$4:$E$104,2,TRUE))</f>
        <v/>
      </c>
    </row>
    <row r="60" spans="1:32">
      <c r="A60" s="58"/>
      <c r="B60" s="59"/>
      <c r="C60" s="60"/>
      <c r="D60" s="61"/>
      <c r="E60" s="58"/>
      <c r="F60" s="62"/>
      <c r="G60" s="63"/>
      <c r="H60" s="83"/>
      <c r="I60" s="61"/>
      <c r="J60" s="61"/>
      <c r="K60" s="61"/>
      <c r="L60" s="61"/>
      <c r="M60" s="103" t="str">
        <f t="shared" si="0"/>
        <v/>
      </c>
      <c r="N60" s="84"/>
      <c r="O60" s="61"/>
      <c r="P60" s="61"/>
      <c r="Q60" s="213"/>
      <c r="R60" s="64"/>
      <c r="S60" s="65" t="str">
        <f t="shared" si="1"/>
        <v/>
      </c>
      <c r="T60" s="104" t="str">
        <f t="shared" si="2"/>
        <v/>
      </c>
      <c r="U60" s="84"/>
      <c r="V60" s="61"/>
      <c r="W60" s="61"/>
      <c r="X60" s="61"/>
      <c r="Y60" s="61"/>
      <c r="Z60" s="73" t="str">
        <f t="shared" si="3"/>
        <v/>
      </c>
      <c r="AA60" s="61"/>
      <c r="AB60" s="106" t="str">
        <f t="shared" si="4"/>
        <v/>
      </c>
      <c r="AE60" s="107" t="str">
        <f>IF($S60="","",VLOOKUP($S60,'ORF Accuracy Value LookUp'!$A$4:$B$104,2,TRUE))</f>
        <v/>
      </c>
      <c r="AF60" s="108" t="str">
        <f>IF($Z60="","",VLOOKUP($Z60,'ORF Accuracy Value LookUp'!$D$4:$E$104,2,TRUE))</f>
        <v/>
      </c>
    </row>
    <row r="61" spans="1:32">
      <c r="A61" s="58"/>
      <c r="B61" s="59"/>
      <c r="C61" s="60"/>
      <c r="D61" s="61"/>
      <c r="E61" s="58"/>
      <c r="F61" s="62"/>
      <c r="G61" s="63"/>
      <c r="H61" s="83"/>
      <c r="I61" s="61"/>
      <c r="J61" s="61"/>
      <c r="K61" s="61"/>
      <c r="L61" s="61"/>
      <c r="M61" s="103" t="str">
        <f t="shared" si="0"/>
        <v/>
      </c>
      <c r="N61" s="84"/>
      <c r="O61" s="61"/>
      <c r="P61" s="61"/>
      <c r="Q61" s="213"/>
      <c r="R61" s="64"/>
      <c r="S61" s="65" t="str">
        <f t="shared" si="1"/>
        <v/>
      </c>
      <c r="T61" s="104" t="str">
        <f t="shared" si="2"/>
        <v/>
      </c>
      <c r="U61" s="84"/>
      <c r="V61" s="61"/>
      <c r="W61" s="61"/>
      <c r="X61" s="61"/>
      <c r="Y61" s="61"/>
      <c r="Z61" s="73" t="str">
        <f t="shared" si="3"/>
        <v/>
      </c>
      <c r="AA61" s="61"/>
      <c r="AB61" s="106" t="str">
        <f t="shared" si="4"/>
        <v/>
      </c>
      <c r="AE61" s="107" t="str">
        <f>IF($S61="","",VLOOKUP($S61,'ORF Accuracy Value LookUp'!$A$4:$B$104,2,TRUE))</f>
        <v/>
      </c>
      <c r="AF61" s="108" t="str">
        <f>IF($Z61="","",VLOOKUP($Z61,'ORF Accuracy Value LookUp'!$D$4:$E$104,2,TRUE))</f>
        <v/>
      </c>
    </row>
    <row r="62" spans="1:32">
      <c r="A62" s="58"/>
      <c r="B62" s="59"/>
      <c r="C62" s="60"/>
      <c r="D62" s="61"/>
      <c r="E62" s="58"/>
      <c r="F62" s="62"/>
      <c r="G62" s="63"/>
      <c r="H62" s="83"/>
      <c r="I62" s="61"/>
      <c r="J62" s="61"/>
      <c r="K62" s="61"/>
      <c r="L62" s="61"/>
      <c r="M62" s="103" t="str">
        <f t="shared" si="0"/>
        <v/>
      </c>
      <c r="N62" s="84"/>
      <c r="O62" s="61"/>
      <c r="P62" s="61"/>
      <c r="Q62" s="213"/>
      <c r="R62" s="64"/>
      <c r="S62" s="65" t="str">
        <f t="shared" si="1"/>
        <v/>
      </c>
      <c r="T62" s="104" t="str">
        <f t="shared" si="2"/>
        <v/>
      </c>
      <c r="U62" s="84"/>
      <c r="V62" s="61"/>
      <c r="W62" s="61"/>
      <c r="X62" s="61"/>
      <c r="Y62" s="61"/>
      <c r="Z62" s="73" t="str">
        <f t="shared" si="3"/>
        <v/>
      </c>
      <c r="AA62" s="61"/>
      <c r="AB62" s="106" t="str">
        <f t="shared" si="4"/>
        <v/>
      </c>
      <c r="AE62" s="107" t="str">
        <f>IF($S62="","",VLOOKUP($S62,'ORF Accuracy Value LookUp'!$A$4:$B$104,2,TRUE))</f>
        <v/>
      </c>
      <c r="AF62" s="108" t="str">
        <f>IF($Z62="","",VLOOKUP($Z62,'ORF Accuracy Value LookUp'!$D$4:$E$104,2,TRUE))</f>
        <v/>
      </c>
    </row>
    <row r="63" spans="1:32">
      <c r="A63" s="58"/>
      <c r="B63" s="59"/>
      <c r="C63" s="60"/>
      <c r="D63" s="61"/>
      <c r="E63" s="58"/>
      <c r="F63" s="62"/>
      <c r="G63" s="63"/>
      <c r="H63" s="83"/>
      <c r="I63" s="61"/>
      <c r="J63" s="61"/>
      <c r="K63" s="61"/>
      <c r="L63" s="61"/>
      <c r="M63" s="103" t="str">
        <f t="shared" si="0"/>
        <v/>
      </c>
      <c r="N63" s="84"/>
      <c r="O63" s="61"/>
      <c r="P63" s="61"/>
      <c r="Q63" s="213"/>
      <c r="R63" s="64"/>
      <c r="S63" s="65" t="str">
        <f t="shared" si="1"/>
        <v/>
      </c>
      <c r="T63" s="104" t="str">
        <f t="shared" si="2"/>
        <v/>
      </c>
      <c r="U63" s="84"/>
      <c r="V63" s="61"/>
      <c r="W63" s="61"/>
      <c r="X63" s="61"/>
      <c r="Y63" s="61"/>
      <c r="Z63" s="73" t="str">
        <f t="shared" si="3"/>
        <v/>
      </c>
      <c r="AA63" s="61"/>
      <c r="AB63" s="106" t="str">
        <f t="shared" si="4"/>
        <v/>
      </c>
      <c r="AE63" s="107" t="str">
        <f>IF($S63="","",VLOOKUP($S63,'ORF Accuracy Value LookUp'!$A$4:$B$104,2,TRUE))</f>
        <v/>
      </c>
      <c r="AF63" s="108" t="str">
        <f>IF($Z63="","",VLOOKUP($Z63,'ORF Accuracy Value LookUp'!$D$4:$E$104,2,TRUE))</f>
        <v/>
      </c>
    </row>
    <row r="64" spans="1:32">
      <c r="A64" s="58"/>
      <c r="B64" s="59"/>
      <c r="C64" s="60"/>
      <c r="D64" s="61"/>
      <c r="E64" s="58"/>
      <c r="F64" s="62"/>
      <c r="G64" s="63"/>
      <c r="H64" s="83"/>
      <c r="I64" s="61"/>
      <c r="J64" s="61"/>
      <c r="K64" s="61"/>
      <c r="L64" s="61"/>
      <c r="M64" s="103" t="str">
        <f t="shared" si="0"/>
        <v/>
      </c>
      <c r="N64" s="84"/>
      <c r="O64" s="61"/>
      <c r="P64" s="61"/>
      <c r="Q64" s="213"/>
      <c r="R64" s="64"/>
      <c r="S64" s="65" t="str">
        <f t="shared" si="1"/>
        <v/>
      </c>
      <c r="T64" s="104" t="str">
        <f t="shared" si="2"/>
        <v/>
      </c>
      <c r="U64" s="84"/>
      <c r="V64" s="61"/>
      <c r="W64" s="61"/>
      <c r="X64" s="61"/>
      <c r="Y64" s="61"/>
      <c r="Z64" s="73" t="str">
        <f t="shared" si="3"/>
        <v/>
      </c>
      <c r="AA64" s="61"/>
      <c r="AB64" s="106" t="str">
        <f t="shared" si="4"/>
        <v/>
      </c>
      <c r="AE64" s="107" t="str">
        <f>IF($S64="","",VLOOKUP($S64,'ORF Accuracy Value LookUp'!$A$4:$B$104,2,TRUE))</f>
        <v/>
      </c>
      <c r="AF64" s="108" t="str">
        <f>IF($Z64="","",VLOOKUP($Z64,'ORF Accuracy Value LookUp'!$D$4:$E$104,2,TRUE))</f>
        <v/>
      </c>
    </row>
    <row r="65" spans="1:32">
      <c r="A65" s="58"/>
      <c r="B65" s="59"/>
      <c r="C65" s="60"/>
      <c r="D65" s="61"/>
      <c r="E65" s="58"/>
      <c r="F65" s="62"/>
      <c r="G65" s="63"/>
      <c r="H65" s="83"/>
      <c r="I65" s="61"/>
      <c r="J65" s="61"/>
      <c r="K65" s="61"/>
      <c r="L65" s="61"/>
      <c r="M65" s="103" t="str">
        <f t="shared" si="0"/>
        <v/>
      </c>
      <c r="N65" s="84"/>
      <c r="O65" s="61"/>
      <c r="P65" s="61"/>
      <c r="Q65" s="213"/>
      <c r="R65" s="64"/>
      <c r="S65" s="65" t="str">
        <f t="shared" si="1"/>
        <v/>
      </c>
      <c r="T65" s="104" t="str">
        <f t="shared" si="2"/>
        <v/>
      </c>
      <c r="U65" s="84"/>
      <c r="V65" s="61"/>
      <c r="W65" s="61"/>
      <c r="X65" s="61"/>
      <c r="Y65" s="61"/>
      <c r="Z65" s="73" t="str">
        <f t="shared" si="3"/>
        <v/>
      </c>
      <c r="AA65" s="61"/>
      <c r="AB65" s="106" t="str">
        <f t="shared" si="4"/>
        <v/>
      </c>
      <c r="AE65" s="107" t="str">
        <f>IF($S65="","",VLOOKUP($S65,'ORF Accuracy Value LookUp'!$A$4:$B$104,2,TRUE))</f>
        <v/>
      </c>
      <c r="AF65" s="108" t="str">
        <f>IF($Z65="","",VLOOKUP($Z65,'ORF Accuracy Value LookUp'!$D$4:$E$104,2,TRUE))</f>
        <v/>
      </c>
    </row>
    <row r="66" spans="1:32">
      <c r="A66" s="58"/>
      <c r="B66" s="59"/>
      <c r="C66" s="60"/>
      <c r="D66" s="61"/>
      <c r="E66" s="58"/>
      <c r="F66" s="62"/>
      <c r="G66" s="63"/>
      <c r="H66" s="83"/>
      <c r="I66" s="61"/>
      <c r="J66" s="61"/>
      <c r="K66" s="61"/>
      <c r="L66" s="61"/>
      <c r="M66" s="103" t="str">
        <f t="shared" si="0"/>
        <v/>
      </c>
      <c r="N66" s="84"/>
      <c r="O66" s="61"/>
      <c r="P66" s="61"/>
      <c r="Q66" s="213"/>
      <c r="R66" s="64"/>
      <c r="S66" s="65" t="str">
        <f t="shared" si="1"/>
        <v/>
      </c>
      <c r="T66" s="104" t="str">
        <f t="shared" si="2"/>
        <v/>
      </c>
      <c r="U66" s="84"/>
      <c r="V66" s="61"/>
      <c r="W66" s="61"/>
      <c r="X66" s="61"/>
      <c r="Y66" s="61"/>
      <c r="Z66" s="73" t="str">
        <f t="shared" si="3"/>
        <v/>
      </c>
      <c r="AA66" s="61"/>
      <c r="AB66" s="106" t="str">
        <f t="shared" si="4"/>
        <v/>
      </c>
      <c r="AE66" s="107" t="str">
        <f>IF($S66="","",VLOOKUP($S66,'ORF Accuracy Value LookUp'!$A$4:$B$104,2,TRUE))</f>
        <v/>
      </c>
      <c r="AF66" s="108" t="str">
        <f>IF($Z66="","",VLOOKUP($Z66,'ORF Accuracy Value LookUp'!$D$4:$E$104,2,TRUE))</f>
        <v/>
      </c>
    </row>
    <row r="67" spans="1:32">
      <c r="A67" s="58"/>
      <c r="B67" s="59"/>
      <c r="C67" s="60"/>
      <c r="D67" s="61"/>
      <c r="E67" s="58"/>
      <c r="F67" s="62"/>
      <c r="G67" s="63"/>
      <c r="H67" s="83"/>
      <c r="I67" s="61"/>
      <c r="J67" s="61"/>
      <c r="K67" s="61"/>
      <c r="L67" s="61"/>
      <c r="M67" s="103" t="str">
        <f t="shared" ref="M67:M130" si="5">IF($B67="","",SUM($I67:$K67))</f>
        <v/>
      </c>
      <c r="N67" s="84"/>
      <c r="O67" s="61"/>
      <c r="P67" s="61"/>
      <c r="Q67" s="213"/>
      <c r="R67" s="64"/>
      <c r="S67" s="65" t="str">
        <f t="shared" ref="S67:S130" si="6">IF($Q67="","",SUM($Q67/($Q67+$R67)))</f>
        <v/>
      </c>
      <c r="T67" s="104" t="str">
        <f t="shared" si="2"/>
        <v/>
      </c>
      <c r="U67" s="84"/>
      <c r="V67" s="61"/>
      <c r="W67" s="61"/>
      <c r="X67" s="61"/>
      <c r="Y67" s="61"/>
      <c r="Z67" s="73" t="str">
        <f t="shared" si="3"/>
        <v/>
      </c>
      <c r="AA67" s="61"/>
      <c r="AB67" s="106" t="str">
        <f t="shared" si="4"/>
        <v/>
      </c>
      <c r="AE67" s="107" t="str">
        <f>IF($S67="","",VLOOKUP($S67,'ORF Accuracy Value LookUp'!$A$4:$B$104,2,TRUE))</f>
        <v/>
      </c>
      <c r="AF67" s="108" t="str">
        <f>IF($Z67="","",VLOOKUP($Z67,'ORF Accuracy Value LookUp'!$D$4:$E$104,2,TRUE))</f>
        <v/>
      </c>
    </row>
    <row r="68" spans="1:32">
      <c r="A68" s="58"/>
      <c r="B68" s="59"/>
      <c r="C68" s="60"/>
      <c r="D68" s="61"/>
      <c r="E68" s="58"/>
      <c r="F68" s="62"/>
      <c r="G68" s="63"/>
      <c r="H68" s="83"/>
      <c r="I68" s="61"/>
      <c r="J68" s="61"/>
      <c r="K68" s="61"/>
      <c r="L68" s="61"/>
      <c r="M68" s="103" t="str">
        <f t="shared" si="5"/>
        <v/>
      </c>
      <c r="N68" s="84"/>
      <c r="O68" s="61"/>
      <c r="P68" s="61"/>
      <c r="Q68" s="213"/>
      <c r="R68" s="64"/>
      <c r="S68" s="65" t="str">
        <f t="shared" si="6"/>
        <v/>
      </c>
      <c r="T68" s="104" t="str">
        <f t="shared" ref="T68:T131" si="7">IF($N68="","",SUM($O68:$Q68,$AE69))</f>
        <v/>
      </c>
      <c r="U68" s="84"/>
      <c r="V68" s="61"/>
      <c r="W68" s="61"/>
      <c r="X68" s="61"/>
      <c r="Y68" s="61"/>
      <c r="Z68" s="73" t="str">
        <f t="shared" ref="Z68:Z131" si="8">IF($X68="","",SUM($X68/($X68+$Y68)))</f>
        <v/>
      </c>
      <c r="AA68" s="61"/>
      <c r="AB68" s="106" t="str">
        <f t="shared" ref="AB68:AB131" si="9">IF($U68="","",SUM(($W68*2)+$X68+$AF68))</f>
        <v/>
      </c>
      <c r="AE68" s="107" t="str">
        <f>IF($S68="","",VLOOKUP($S68,'ORF Accuracy Value LookUp'!$A$4:$B$104,2,TRUE))</f>
        <v/>
      </c>
      <c r="AF68" s="108" t="str">
        <f>IF($Z68="","",VLOOKUP($Z68,'ORF Accuracy Value LookUp'!$D$4:$E$104,2,TRUE))</f>
        <v/>
      </c>
    </row>
    <row r="69" spans="1:32">
      <c r="A69" s="58"/>
      <c r="B69" s="59"/>
      <c r="C69" s="60"/>
      <c r="D69" s="61"/>
      <c r="E69" s="58"/>
      <c r="F69" s="62"/>
      <c r="G69" s="63"/>
      <c r="H69" s="83"/>
      <c r="I69" s="61"/>
      <c r="J69" s="61"/>
      <c r="K69" s="61"/>
      <c r="L69" s="61"/>
      <c r="M69" s="103" t="str">
        <f t="shared" si="5"/>
        <v/>
      </c>
      <c r="N69" s="84"/>
      <c r="O69" s="61"/>
      <c r="P69" s="61"/>
      <c r="Q69" s="213"/>
      <c r="R69" s="64"/>
      <c r="S69" s="65" t="str">
        <f t="shared" si="6"/>
        <v/>
      </c>
      <c r="T69" s="104" t="str">
        <f t="shared" si="7"/>
        <v/>
      </c>
      <c r="U69" s="84"/>
      <c r="V69" s="61"/>
      <c r="W69" s="61"/>
      <c r="X69" s="61"/>
      <c r="Y69" s="61"/>
      <c r="Z69" s="73" t="str">
        <f t="shared" si="8"/>
        <v/>
      </c>
      <c r="AA69" s="61"/>
      <c r="AB69" s="106" t="str">
        <f t="shared" si="9"/>
        <v/>
      </c>
      <c r="AE69" s="107" t="str">
        <f>IF($S69="","",VLOOKUP($S69,'ORF Accuracy Value LookUp'!$A$4:$B$104,2,TRUE))</f>
        <v/>
      </c>
      <c r="AF69" s="108" t="str">
        <f>IF($Z69="","",VLOOKUP($Z69,'ORF Accuracy Value LookUp'!$D$4:$E$104,2,TRUE))</f>
        <v/>
      </c>
    </row>
    <row r="70" spans="1:32">
      <c r="A70" s="58"/>
      <c r="B70" s="59"/>
      <c r="C70" s="60"/>
      <c r="D70" s="61"/>
      <c r="E70" s="58"/>
      <c r="F70" s="62"/>
      <c r="G70" s="63"/>
      <c r="H70" s="83"/>
      <c r="I70" s="61"/>
      <c r="J70" s="61"/>
      <c r="K70" s="61"/>
      <c r="L70" s="61"/>
      <c r="M70" s="103" t="str">
        <f t="shared" si="5"/>
        <v/>
      </c>
      <c r="N70" s="84"/>
      <c r="O70" s="61"/>
      <c r="P70" s="61"/>
      <c r="Q70" s="213"/>
      <c r="R70" s="64"/>
      <c r="S70" s="65" t="str">
        <f t="shared" si="6"/>
        <v/>
      </c>
      <c r="T70" s="104" t="str">
        <f t="shared" si="7"/>
        <v/>
      </c>
      <c r="U70" s="84"/>
      <c r="V70" s="61"/>
      <c r="W70" s="61"/>
      <c r="X70" s="61"/>
      <c r="Y70" s="61"/>
      <c r="Z70" s="73" t="str">
        <f t="shared" si="8"/>
        <v/>
      </c>
      <c r="AA70" s="61"/>
      <c r="AB70" s="106" t="str">
        <f t="shared" si="9"/>
        <v/>
      </c>
      <c r="AE70" s="107" t="str">
        <f>IF($S70="","",VLOOKUP($S70,'ORF Accuracy Value LookUp'!$A$4:$B$104,2,TRUE))</f>
        <v/>
      </c>
      <c r="AF70" s="108" t="str">
        <f>IF($Z70="","",VLOOKUP($Z70,'ORF Accuracy Value LookUp'!$D$4:$E$104,2,TRUE))</f>
        <v/>
      </c>
    </row>
    <row r="71" spans="1:32">
      <c r="A71" s="58"/>
      <c r="B71" s="59"/>
      <c r="C71" s="60"/>
      <c r="D71" s="61"/>
      <c r="E71" s="58"/>
      <c r="F71" s="62"/>
      <c r="G71" s="63"/>
      <c r="H71" s="83"/>
      <c r="I71" s="61"/>
      <c r="J71" s="61"/>
      <c r="K71" s="61"/>
      <c r="L71" s="61"/>
      <c r="M71" s="103" t="str">
        <f t="shared" si="5"/>
        <v/>
      </c>
      <c r="N71" s="84"/>
      <c r="O71" s="61"/>
      <c r="P71" s="61"/>
      <c r="Q71" s="213"/>
      <c r="R71" s="64"/>
      <c r="S71" s="65" t="str">
        <f t="shared" si="6"/>
        <v/>
      </c>
      <c r="T71" s="104" t="str">
        <f t="shared" si="7"/>
        <v/>
      </c>
      <c r="U71" s="84"/>
      <c r="V71" s="61"/>
      <c r="W71" s="61"/>
      <c r="X71" s="61"/>
      <c r="Y71" s="61"/>
      <c r="Z71" s="73" t="str">
        <f t="shared" si="8"/>
        <v/>
      </c>
      <c r="AA71" s="61"/>
      <c r="AB71" s="106" t="str">
        <f t="shared" si="9"/>
        <v/>
      </c>
      <c r="AE71" s="107" t="str">
        <f>IF($S71="","",VLOOKUP($S71,'ORF Accuracy Value LookUp'!$A$4:$B$104,2,TRUE))</f>
        <v/>
      </c>
      <c r="AF71" s="108" t="str">
        <f>IF($Z71="","",VLOOKUP($Z71,'ORF Accuracy Value LookUp'!$D$4:$E$104,2,TRUE))</f>
        <v/>
      </c>
    </row>
    <row r="72" spans="1:32">
      <c r="A72" s="58"/>
      <c r="B72" s="59"/>
      <c r="C72" s="60"/>
      <c r="D72" s="61"/>
      <c r="E72" s="58"/>
      <c r="F72" s="62"/>
      <c r="G72" s="63"/>
      <c r="H72" s="83"/>
      <c r="I72" s="61"/>
      <c r="J72" s="61"/>
      <c r="K72" s="61"/>
      <c r="L72" s="61"/>
      <c r="M72" s="103" t="str">
        <f t="shared" si="5"/>
        <v/>
      </c>
      <c r="N72" s="84"/>
      <c r="O72" s="61"/>
      <c r="P72" s="61"/>
      <c r="Q72" s="213"/>
      <c r="R72" s="64"/>
      <c r="S72" s="65" t="str">
        <f t="shared" si="6"/>
        <v/>
      </c>
      <c r="T72" s="104" t="str">
        <f t="shared" si="7"/>
        <v/>
      </c>
      <c r="U72" s="84"/>
      <c r="V72" s="61"/>
      <c r="W72" s="61"/>
      <c r="X72" s="61"/>
      <c r="Y72" s="61"/>
      <c r="Z72" s="73" t="str">
        <f t="shared" si="8"/>
        <v/>
      </c>
      <c r="AA72" s="61"/>
      <c r="AB72" s="106" t="str">
        <f t="shared" si="9"/>
        <v/>
      </c>
      <c r="AE72" s="107" t="str">
        <f>IF($S72="","",VLOOKUP($S72,'ORF Accuracy Value LookUp'!$A$4:$B$104,2,TRUE))</f>
        <v/>
      </c>
      <c r="AF72" s="108" t="str">
        <f>IF($Z72="","",VLOOKUP($Z72,'ORF Accuracy Value LookUp'!$D$4:$E$104,2,TRUE))</f>
        <v/>
      </c>
    </row>
    <row r="73" spans="1:32">
      <c r="A73" s="58"/>
      <c r="B73" s="59"/>
      <c r="C73" s="60"/>
      <c r="D73" s="61"/>
      <c r="E73" s="58"/>
      <c r="F73" s="62"/>
      <c r="G73" s="63"/>
      <c r="H73" s="83"/>
      <c r="I73" s="61"/>
      <c r="J73" s="61"/>
      <c r="K73" s="61"/>
      <c r="L73" s="61"/>
      <c r="M73" s="103" t="str">
        <f t="shared" si="5"/>
        <v/>
      </c>
      <c r="N73" s="84"/>
      <c r="O73" s="61"/>
      <c r="P73" s="61"/>
      <c r="Q73" s="213"/>
      <c r="R73" s="64"/>
      <c r="S73" s="65" t="str">
        <f t="shared" si="6"/>
        <v/>
      </c>
      <c r="T73" s="104" t="str">
        <f t="shared" si="7"/>
        <v/>
      </c>
      <c r="U73" s="84"/>
      <c r="V73" s="61"/>
      <c r="W73" s="61"/>
      <c r="X73" s="61"/>
      <c r="Y73" s="61"/>
      <c r="Z73" s="73" t="str">
        <f t="shared" si="8"/>
        <v/>
      </c>
      <c r="AA73" s="61"/>
      <c r="AB73" s="106" t="str">
        <f t="shared" si="9"/>
        <v/>
      </c>
      <c r="AE73" s="107" t="str">
        <f>IF($S73="","",VLOOKUP($S73,'ORF Accuracy Value LookUp'!$A$4:$B$104,2,TRUE))</f>
        <v/>
      </c>
      <c r="AF73" s="108" t="str">
        <f>IF($Z73="","",VLOOKUP($Z73,'ORF Accuracy Value LookUp'!$D$4:$E$104,2,TRUE))</f>
        <v/>
      </c>
    </row>
    <row r="74" spans="1:32">
      <c r="A74" s="58"/>
      <c r="B74" s="59"/>
      <c r="C74" s="60"/>
      <c r="D74" s="61"/>
      <c r="E74" s="58"/>
      <c r="F74" s="62"/>
      <c r="G74" s="63"/>
      <c r="H74" s="83"/>
      <c r="I74" s="61"/>
      <c r="J74" s="61"/>
      <c r="K74" s="61"/>
      <c r="L74" s="61"/>
      <c r="M74" s="103" t="str">
        <f t="shared" si="5"/>
        <v/>
      </c>
      <c r="N74" s="84"/>
      <c r="O74" s="61"/>
      <c r="P74" s="61"/>
      <c r="Q74" s="213"/>
      <c r="R74" s="64"/>
      <c r="S74" s="65" t="str">
        <f t="shared" si="6"/>
        <v/>
      </c>
      <c r="T74" s="104" t="str">
        <f t="shared" si="7"/>
        <v/>
      </c>
      <c r="U74" s="84"/>
      <c r="V74" s="61"/>
      <c r="W74" s="61"/>
      <c r="X74" s="61"/>
      <c r="Y74" s="61"/>
      <c r="Z74" s="73" t="str">
        <f t="shared" si="8"/>
        <v/>
      </c>
      <c r="AA74" s="61"/>
      <c r="AB74" s="106" t="str">
        <f t="shared" si="9"/>
        <v/>
      </c>
      <c r="AE74" s="107" t="str">
        <f>IF($S74="","",VLOOKUP($S74,'ORF Accuracy Value LookUp'!$A$4:$B$104,2,TRUE))</f>
        <v/>
      </c>
      <c r="AF74" s="108" t="str">
        <f>IF($Z74="","",VLOOKUP($Z74,'ORF Accuracy Value LookUp'!$D$4:$E$104,2,TRUE))</f>
        <v/>
      </c>
    </row>
    <row r="75" spans="1:32">
      <c r="A75" s="58"/>
      <c r="B75" s="59"/>
      <c r="C75" s="60"/>
      <c r="D75" s="61"/>
      <c r="E75" s="58"/>
      <c r="F75" s="62"/>
      <c r="G75" s="63"/>
      <c r="H75" s="83"/>
      <c r="I75" s="61"/>
      <c r="J75" s="61"/>
      <c r="K75" s="61"/>
      <c r="L75" s="61"/>
      <c r="M75" s="103" t="str">
        <f t="shared" si="5"/>
        <v/>
      </c>
      <c r="N75" s="84"/>
      <c r="O75" s="61"/>
      <c r="P75" s="61"/>
      <c r="Q75" s="213"/>
      <c r="R75" s="64"/>
      <c r="S75" s="65" t="str">
        <f t="shared" si="6"/>
        <v/>
      </c>
      <c r="T75" s="104" t="str">
        <f t="shared" si="7"/>
        <v/>
      </c>
      <c r="U75" s="84"/>
      <c r="V75" s="61"/>
      <c r="W75" s="61"/>
      <c r="X75" s="61"/>
      <c r="Y75" s="61"/>
      <c r="Z75" s="73" t="str">
        <f t="shared" si="8"/>
        <v/>
      </c>
      <c r="AA75" s="61"/>
      <c r="AB75" s="106" t="str">
        <f t="shared" si="9"/>
        <v/>
      </c>
      <c r="AE75" s="107" t="str">
        <f>IF($S75="","",VLOOKUP($S75,'ORF Accuracy Value LookUp'!$A$4:$B$104,2,TRUE))</f>
        <v/>
      </c>
      <c r="AF75" s="108" t="str">
        <f>IF($Z75="","",VLOOKUP($Z75,'ORF Accuracy Value LookUp'!$D$4:$E$104,2,TRUE))</f>
        <v/>
      </c>
    </row>
    <row r="76" spans="1:32">
      <c r="A76" s="58"/>
      <c r="B76" s="59"/>
      <c r="C76" s="60"/>
      <c r="D76" s="61"/>
      <c r="E76" s="58"/>
      <c r="F76" s="62"/>
      <c r="G76" s="63"/>
      <c r="H76" s="83"/>
      <c r="I76" s="61"/>
      <c r="J76" s="61"/>
      <c r="K76" s="61"/>
      <c r="L76" s="61"/>
      <c r="M76" s="103" t="str">
        <f t="shared" si="5"/>
        <v/>
      </c>
      <c r="N76" s="84"/>
      <c r="O76" s="61"/>
      <c r="P76" s="61"/>
      <c r="Q76" s="213"/>
      <c r="R76" s="64"/>
      <c r="S76" s="65" t="str">
        <f t="shared" si="6"/>
        <v/>
      </c>
      <c r="T76" s="104" t="str">
        <f t="shared" si="7"/>
        <v/>
      </c>
      <c r="U76" s="84"/>
      <c r="V76" s="61"/>
      <c r="W76" s="61"/>
      <c r="X76" s="61"/>
      <c r="Y76" s="61"/>
      <c r="Z76" s="73" t="str">
        <f t="shared" si="8"/>
        <v/>
      </c>
      <c r="AA76" s="61"/>
      <c r="AB76" s="106" t="str">
        <f t="shared" si="9"/>
        <v/>
      </c>
      <c r="AE76" s="107" t="str">
        <f>IF($S76="","",VLOOKUP($S76,'ORF Accuracy Value LookUp'!$A$4:$B$104,2,TRUE))</f>
        <v/>
      </c>
      <c r="AF76" s="108" t="str">
        <f>IF($Z76="","",VLOOKUP($Z76,'ORF Accuracy Value LookUp'!$D$4:$E$104,2,TRUE))</f>
        <v/>
      </c>
    </row>
    <row r="77" spans="1:32">
      <c r="A77" s="58"/>
      <c r="B77" s="59"/>
      <c r="C77" s="60"/>
      <c r="D77" s="61"/>
      <c r="E77" s="58"/>
      <c r="F77" s="62"/>
      <c r="G77" s="63"/>
      <c r="H77" s="83"/>
      <c r="I77" s="61"/>
      <c r="J77" s="61"/>
      <c r="K77" s="61"/>
      <c r="L77" s="61"/>
      <c r="M77" s="103" t="str">
        <f t="shared" si="5"/>
        <v/>
      </c>
      <c r="N77" s="84"/>
      <c r="O77" s="61"/>
      <c r="P77" s="61"/>
      <c r="Q77" s="213"/>
      <c r="R77" s="64"/>
      <c r="S77" s="65" t="str">
        <f t="shared" si="6"/>
        <v/>
      </c>
      <c r="T77" s="104" t="str">
        <f t="shared" si="7"/>
        <v/>
      </c>
      <c r="U77" s="84"/>
      <c r="V77" s="61"/>
      <c r="W77" s="61"/>
      <c r="X77" s="61"/>
      <c r="Y77" s="61"/>
      <c r="Z77" s="73" t="str">
        <f t="shared" si="8"/>
        <v/>
      </c>
      <c r="AA77" s="61"/>
      <c r="AB77" s="106" t="str">
        <f t="shared" si="9"/>
        <v/>
      </c>
      <c r="AE77" s="107" t="str">
        <f>IF($S77="","",VLOOKUP($S77,'ORF Accuracy Value LookUp'!$A$4:$B$104,2,TRUE))</f>
        <v/>
      </c>
      <c r="AF77" s="108" t="str">
        <f>IF($Z77="","",VLOOKUP($Z77,'ORF Accuracy Value LookUp'!$D$4:$E$104,2,TRUE))</f>
        <v/>
      </c>
    </row>
    <row r="78" spans="1:32">
      <c r="A78" s="58"/>
      <c r="B78" s="59"/>
      <c r="C78" s="60"/>
      <c r="D78" s="61"/>
      <c r="E78" s="58"/>
      <c r="F78" s="62"/>
      <c r="G78" s="63"/>
      <c r="H78" s="83"/>
      <c r="I78" s="61"/>
      <c r="J78" s="61"/>
      <c r="K78" s="61"/>
      <c r="L78" s="61"/>
      <c r="M78" s="103" t="str">
        <f t="shared" si="5"/>
        <v/>
      </c>
      <c r="N78" s="84"/>
      <c r="O78" s="61"/>
      <c r="P78" s="61"/>
      <c r="Q78" s="213"/>
      <c r="R78" s="64"/>
      <c r="S78" s="65" t="str">
        <f t="shared" si="6"/>
        <v/>
      </c>
      <c r="T78" s="104" t="str">
        <f t="shared" si="7"/>
        <v/>
      </c>
      <c r="U78" s="84"/>
      <c r="V78" s="61"/>
      <c r="W78" s="61"/>
      <c r="X78" s="61"/>
      <c r="Y78" s="61"/>
      <c r="Z78" s="73" t="str">
        <f t="shared" si="8"/>
        <v/>
      </c>
      <c r="AA78" s="61"/>
      <c r="AB78" s="106" t="str">
        <f t="shared" si="9"/>
        <v/>
      </c>
      <c r="AE78" s="107" t="str">
        <f>IF($S78="","",VLOOKUP($S78,'ORF Accuracy Value LookUp'!$A$4:$B$104,2,TRUE))</f>
        <v/>
      </c>
      <c r="AF78" s="108" t="str">
        <f>IF($Z78="","",VLOOKUP($Z78,'ORF Accuracy Value LookUp'!$D$4:$E$104,2,TRUE))</f>
        <v/>
      </c>
    </row>
    <row r="79" spans="1:32">
      <c r="A79" s="58"/>
      <c r="B79" s="59"/>
      <c r="C79" s="60"/>
      <c r="D79" s="61"/>
      <c r="E79" s="58"/>
      <c r="F79" s="62"/>
      <c r="G79" s="63"/>
      <c r="H79" s="83"/>
      <c r="I79" s="61"/>
      <c r="J79" s="61"/>
      <c r="K79" s="61"/>
      <c r="L79" s="61"/>
      <c r="M79" s="103" t="str">
        <f t="shared" si="5"/>
        <v/>
      </c>
      <c r="N79" s="84"/>
      <c r="O79" s="61"/>
      <c r="P79" s="61"/>
      <c r="Q79" s="213"/>
      <c r="R79" s="64"/>
      <c r="S79" s="65" t="str">
        <f t="shared" si="6"/>
        <v/>
      </c>
      <c r="T79" s="104" t="str">
        <f t="shared" si="7"/>
        <v/>
      </c>
      <c r="U79" s="84"/>
      <c r="V79" s="61"/>
      <c r="W79" s="61"/>
      <c r="X79" s="61"/>
      <c r="Y79" s="61"/>
      <c r="Z79" s="73" t="str">
        <f t="shared" si="8"/>
        <v/>
      </c>
      <c r="AA79" s="61"/>
      <c r="AB79" s="106" t="str">
        <f t="shared" si="9"/>
        <v/>
      </c>
      <c r="AE79" s="107" t="str">
        <f>IF($S79="","",VLOOKUP($S79,'ORF Accuracy Value LookUp'!$A$4:$B$104,2,TRUE))</f>
        <v/>
      </c>
      <c r="AF79" s="108" t="str">
        <f>IF($Z79="","",VLOOKUP($Z79,'ORF Accuracy Value LookUp'!$D$4:$E$104,2,TRUE))</f>
        <v/>
      </c>
    </row>
    <row r="80" spans="1:32">
      <c r="A80" s="58"/>
      <c r="B80" s="59"/>
      <c r="C80" s="60"/>
      <c r="D80" s="61"/>
      <c r="E80" s="58"/>
      <c r="F80" s="62"/>
      <c r="G80" s="63"/>
      <c r="H80" s="83"/>
      <c r="I80" s="61"/>
      <c r="J80" s="61"/>
      <c r="K80" s="61"/>
      <c r="L80" s="61"/>
      <c r="M80" s="103" t="str">
        <f t="shared" si="5"/>
        <v/>
      </c>
      <c r="N80" s="84"/>
      <c r="O80" s="61"/>
      <c r="P80" s="61"/>
      <c r="Q80" s="213"/>
      <c r="R80" s="64"/>
      <c r="S80" s="65" t="str">
        <f t="shared" si="6"/>
        <v/>
      </c>
      <c r="T80" s="104" t="str">
        <f t="shared" si="7"/>
        <v/>
      </c>
      <c r="U80" s="84"/>
      <c r="V80" s="61"/>
      <c r="W80" s="61"/>
      <c r="X80" s="61"/>
      <c r="Y80" s="61"/>
      <c r="Z80" s="73" t="str">
        <f t="shared" si="8"/>
        <v/>
      </c>
      <c r="AA80" s="61"/>
      <c r="AB80" s="106" t="str">
        <f t="shared" si="9"/>
        <v/>
      </c>
      <c r="AE80" s="107" t="str">
        <f>IF($S80="","",VLOOKUP($S80,'ORF Accuracy Value LookUp'!$A$4:$B$104,2,TRUE))</f>
        <v/>
      </c>
      <c r="AF80" s="108" t="str">
        <f>IF($Z80="","",VLOOKUP($Z80,'ORF Accuracy Value LookUp'!$D$4:$E$104,2,TRUE))</f>
        <v/>
      </c>
    </row>
    <row r="81" spans="1:32">
      <c r="A81" s="58"/>
      <c r="B81" s="59"/>
      <c r="C81" s="60"/>
      <c r="D81" s="61"/>
      <c r="E81" s="58"/>
      <c r="F81" s="62"/>
      <c r="G81" s="63"/>
      <c r="H81" s="83"/>
      <c r="I81" s="61"/>
      <c r="J81" s="61"/>
      <c r="K81" s="61"/>
      <c r="L81" s="61"/>
      <c r="M81" s="103" t="str">
        <f t="shared" si="5"/>
        <v/>
      </c>
      <c r="N81" s="84"/>
      <c r="O81" s="61"/>
      <c r="P81" s="61"/>
      <c r="Q81" s="213"/>
      <c r="R81" s="64"/>
      <c r="S81" s="65" t="str">
        <f t="shared" si="6"/>
        <v/>
      </c>
      <c r="T81" s="104" t="str">
        <f t="shared" si="7"/>
        <v/>
      </c>
      <c r="U81" s="84"/>
      <c r="V81" s="61"/>
      <c r="W81" s="61"/>
      <c r="X81" s="61"/>
      <c r="Y81" s="61"/>
      <c r="Z81" s="73" t="str">
        <f t="shared" si="8"/>
        <v/>
      </c>
      <c r="AA81" s="61"/>
      <c r="AB81" s="106" t="str">
        <f t="shared" si="9"/>
        <v/>
      </c>
      <c r="AE81" s="107" t="str">
        <f>IF($S81="","",VLOOKUP($S81,'ORF Accuracy Value LookUp'!$A$4:$B$104,2,TRUE))</f>
        <v/>
      </c>
      <c r="AF81" s="108" t="str">
        <f>IF($Z81="","",VLOOKUP($Z81,'ORF Accuracy Value LookUp'!$D$4:$E$104,2,TRUE))</f>
        <v/>
      </c>
    </row>
    <row r="82" spans="1:32">
      <c r="A82" s="58"/>
      <c r="B82" s="59"/>
      <c r="C82" s="60"/>
      <c r="D82" s="61"/>
      <c r="E82" s="58"/>
      <c r="F82" s="62"/>
      <c r="G82" s="63"/>
      <c r="H82" s="83"/>
      <c r="I82" s="61"/>
      <c r="J82" s="61"/>
      <c r="K82" s="61"/>
      <c r="L82" s="61"/>
      <c r="M82" s="103" t="str">
        <f t="shared" si="5"/>
        <v/>
      </c>
      <c r="N82" s="84"/>
      <c r="O82" s="61"/>
      <c r="P82" s="61"/>
      <c r="Q82" s="213"/>
      <c r="R82" s="64"/>
      <c r="S82" s="65" t="str">
        <f t="shared" si="6"/>
        <v/>
      </c>
      <c r="T82" s="104" t="str">
        <f t="shared" si="7"/>
        <v/>
      </c>
      <c r="U82" s="84"/>
      <c r="V82" s="61"/>
      <c r="W82" s="61"/>
      <c r="X82" s="61"/>
      <c r="Y82" s="61"/>
      <c r="Z82" s="73" t="str">
        <f t="shared" si="8"/>
        <v/>
      </c>
      <c r="AA82" s="61"/>
      <c r="AB82" s="106" t="str">
        <f t="shared" si="9"/>
        <v/>
      </c>
      <c r="AE82" s="107" t="str">
        <f>IF($S82="","",VLOOKUP($S82,'ORF Accuracy Value LookUp'!$A$4:$B$104,2,TRUE))</f>
        <v/>
      </c>
      <c r="AF82" s="108" t="str">
        <f>IF($Z82="","",VLOOKUP($Z82,'ORF Accuracy Value LookUp'!$D$4:$E$104,2,TRUE))</f>
        <v/>
      </c>
    </row>
    <row r="83" spans="1:32">
      <c r="A83" s="58"/>
      <c r="B83" s="59"/>
      <c r="C83" s="60"/>
      <c r="D83" s="61"/>
      <c r="E83" s="58"/>
      <c r="F83" s="62"/>
      <c r="G83" s="63"/>
      <c r="H83" s="83"/>
      <c r="I83" s="61"/>
      <c r="J83" s="61"/>
      <c r="K83" s="61"/>
      <c r="L83" s="61"/>
      <c r="M83" s="103" t="str">
        <f t="shared" si="5"/>
        <v/>
      </c>
      <c r="N83" s="84"/>
      <c r="O83" s="61"/>
      <c r="P83" s="61"/>
      <c r="Q83" s="213"/>
      <c r="R83" s="64"/>
      <c r="S83" s="65" t="str">
        <f t="shared" si="6"/>
        <v/>
      </c>
      <c r="T83" s="104" t="str">
        <f t="shared" si="7"/>
        <v/>
      </c>
      <c r="U83" s="84"/>
      <c r="V83" s="61"/>
      <c r="W83" s="61"/>
      <c r="X83" s="61"/>
      <c r="Y83" s="61"/>
      <c r="Z83" s="73" t="str">
        <f t="shared" si="8"/>
        <v/>
      </c>
      <c r="AA83" s="61"/>
      <c r="AB83" s="106" t="str">
        <f t="shared" si="9"/>
        <v/>
      </c>
      <c r="AE83" s="107" t="str">
        <f>IF($S83="","",VLOOKUP($S83,'ORF Accuracy Value LookUp'!$A$4:$B$104,2,TRUE))</f>
        <v/>
      </c>
      <c r="AF83" s="108" t="str">
        <f>IF($Z83="","",VLOOKUP($Z83,'ORF Accuracy Value LookUp'!$D$4:$E$104,2,TRUE))</f>
        <v/>
      </c>
    </row>
    <row r="84" spans="1:32">
      <c r="A84" s="58"/>
      <c r="B84" s="59"/>
      <c r="C84" s="60"/>
      <c r="D84" s="61"/>
      <c r="E84" s="58"/>
      <c r="F84" s="62"/>
      <c r="G84" s="63"/>
      <c r="H84" s="83"/>
      <c r="I84" s="61"/>
      <c r="J84" s="61"/>
      <c r="K84" s="61"/>
      <c r="L84" s="61"/>
      <c r="M84" s="103" t="str">
        <f t="shared" si="5"/>
        <v/>
      </c>
      <c r="N84" s="84"/>
      <c r="O84" s="61"/>
      <c r="P84" s="61"/>
      <c r="Q84" s="213"/>
      <c r="R84" s="64"/>
      <c r="S84" s="65" t="str">
        <f t="shared" si="6"/>
        <v/>
      </c>
      <c r="T84" s="104" t="str">
        <f t="shared" si="7"/>
        <v/>
      </c>
      <c r="U84" s="84"/>
      <c r="V84" s="61"/>
      <c r="W84" s="61"/>
      <c r="X84" s="61"/>
      <c r="Y84" s="61"/>
      <c r="Z84" s="73" t="str">
        <f t="shared" si="8"/>
        <v/>
      </c>
      <c r="AA84" s="61"/>
      <c r="AB84" s="106" t="str">
        <f t="shared" si="9"/>
        <v/>
      </c>
      <c r="AE84" s="107" t="str">
        <f>IF($S84="","",VLOOKUP($S84,'ORF Accuracy Value LookUp'!$A$4:$B$104,2,TRUE))</f>
        <v/>
      </c>
      <c r="AF84" s="108" t="str">
        <f>IF($Z84="","",VLOOKUP($Z84,'ORF Accuracy Value LookUp'!$D$4:$E$104,2,TRUE))</f>
        <v/>
      </c>
    </row>
    <row r="85" spans="1:32">
      <c r="A85" s="58"/>
      <c r="B85" s="59"/>
      <c r="C85" s="60"/>
      <c r="D85" s="61"/>
      <c r="E85" s="58"/>
      <c r="F85" s="62"/>
      <c r="G85" s="63"/>
      <c r="H85" s="83"/>
      <c r="I85" s="61"/>
      <c r="J85" s="61"/>
      <c r="K85" s="61"/>
      <c r="L85" s="61"/>
      <c r="M85" s="103" t="str">
        <f t="shared" si="5"/>
        <v/>
      </c>
      <c r="N85" s="84"/>
      <c r="O85" s="61"/>
      <c r="P85" s="61"/>
      <c r="Q85" s="213"/>
      <c r="R85" s="64"/>
      <c r="S85" s="65" t="str">
        <f t="shared" si="6"/>
        <v/>
      </c>
      <c r="T85" s="104" t="str">
        <f t="shared" si="7"/>
        <v/>
      </c>
      <c r="U85" s="84"/>
      <c r="V85" s="61"/>
      <c r="W85" s="61"/>
      <c r="X85" s="61"/>
      <c r="Y85" s="61"/>
      <c r="Z85" s="73" t="str">
        <f t="shared" si="8"/>
        <v/>
      </c>
      <c r="AA85" s="61"/>
      <c r="AB85" s="106" t="str">
        <f t="shared" si="9"/>
        <v/>
      </c>
      <c r="AE85" s="107" t="str">
        <f>IF($S85="","",VLOOKUP($S85,'ORF Accuracy Value LookUp'!$A$4:$B$104,2,TRUE))</f>
        <v/>
      </c>
      <c r="AF85" s="108" t="str">
        <f>IF($Z85="","",VLOOKUP($Z85,'ORF Accuracy Value LookUp'!$D$4:$E$104,2,TRUE))</f>
        <v/>
      </c>
    </row>
    <row r="86" spans="1:32">
      <c r="A86" s="58"/>
      <c r="B86" s="59"/>
      <c r="C86" s="60"/>
      <c r="D86" s="61"/>
      <c r="E86" s="58"/>
      <c r="F86" s="62"/>
      <c r="G86" s="63"/>
      <c r="H86" s="83"/>
      <c r="I86" s="61"/>
      <c r="J86" s="61"/>
      <c r="K86" s="61"/>
      <c r="L86" s="61"/>
      <c r="M86" s="103" t="str">
        <f t="shared" si="5"/>
        <v/>
      </c>
      <c r="N86" s="84"/>
      <c r="O86" s="61"/>
      <c r="P86" s="61"/>
      <c r="Q86" s="213"/>
      <c r="R86" s="64"/>
      <c r="S86" s="65" t="str">
        <f t="shared" si="6"/>
        <v/>
      </c>
      <c r="T86" s="104" t="str">
        <f t="shared" si="7"/>
        <v/>
      </c>
      <c r="U86" s="84"/>
      <c r="V86" s="61"/>
      <c r="W86" s="61"/>
      <c r="X86" s="61"/>
      <c r="Y86" s="61"/>
      <c r="Z86" s="73" t="str">
        <f t="shared" si="8"/>
        <v/>
      </c>
      <c r="AA86" s="61"/>
      <c r="AB86" s="106" t="str">
        <f t="shared" si="9"/>
        <v/>
      </c>
      <c r="AE86" s="107" t="str">
        <f>IF($S86="","",VLOOKUP($S86,'ORF Accuracy Value LookUp'!$A$4:$B$104,2,TRUE))</f>
        <v/>
      </c>
      <c r="AF86" s="108" t="str">
        <f>IF($Z86="","",VLOOKUP($Z86,'ORF Accuracy Value LookUp'!$D$4:$E$104,2,TRUE))</f>
        <v/>
      </c>
    </row>
    <row r="87" spans="1:32">
      <c r="A87" s="58"/>
      <c r="B87" s="59"/>
      <c r="C87" s="60"/>
      <c r="D87" s="61"/>
      <c r="E87" s="58"/>
      <c r="F87" s="62"/>
      <c r="G87" s="63"/>
      <c r="H87" s="83"/>
      <c r="I87" s="61"/>
      <c r="J87" s="61"/>
      <c r="K87" s="61"/>
      <c r="L87" s="61"/>
      <c r="M87" s="103" t="str">
        <f t="shared" si="5"/>
        <v/>
      </c>
      <c r="N87" s="84"/>
      <c r="O87" s="61"/>
      <c r="P87" s="61"/>
      <c r="Q87" s="213"/>
      <c r="R87" s="64"/>
      <c r="S87" s="65" t="str">
        <f t="shared" si="6"/>
        <v/>
      </c>
      <c r="T87" s="104" t="str">
        <f t="shared" si="7"/>
        <v/>
      </c>
      <c r="U87" s="84"/>
      <c r="V87" s="61"/>
      <c r="W87" s="61"/>
      <c r="X87" s="61"/>
      <c r="Y87" s="61"/>
      <c r="Z87" s="73" t="str">
        <f t="shared" si="8"/>
        <v/>
      </c>
      <c r="AA87" s="61"/>
      <c r="AB87" s="106" t="str">
        <f t="shared" si="9"/>
        <v/>
      </c>
      <c r="AE87" s="107" t="str">
        <f>IF($S87="","",VLOOKUP($S87,'ORF Accuracy Value LookUp'!$A$4:$B$104,2,TRUE))</f>
        <v/>
      </c>
      <c r="AF87" s="108" t="str">
        <f>IF($Z87="","",VLOOKUP($Z87,'ORF Accuracy Value LookUp'!$D$4:$E$104,2,TRUE))</f>
        <v/>
      </c>
    </row>
    <row r="88" spans="1:32">
      <c r="A88" s="58"/>
      <c r="B88" s="59"/>
      <c r="C88" s="60"/>
      <c r="D88" s="61"/>
      <c r="E88" s="58"/>
      <c r="F88" s="62"/>
      <c r="G88" s="63"/>
      <c r="H88" s="83"/>
      <c r="I88" s="61"/>
      <c r="J88" s="61"/>
      <c r="K88" s="61"/>
      <c r="L88" s="61"/>
      <c r="M88" s="103" t="str">
        <f t="shared" si="5"/>
        <v/>
      </c>
      <c r="N88" s="84"/>
      <c r="O88" s="61"/>
      <c r="P88" s="61"/>
      <c r="Q88" s="213"/>
      <c r="R88" s="64"/>
      <c r="S88" s="65" t="str">
        <f t="shared" si="6"/>
        <v/>
      </c>
      <c r="T88" s="104" t="str">
        <f t="shared" si="7"/>
        <v/>
      </c>
      <c r="U88" s="84"/>
      <c r="V88" s="61"/>
      <c r="W88" s="61"/>
      <c r="X88" s="61"/>
      <c r="Y88" s="61"/>
      <c r="Z88" s="73" t="str">
        <f t="shared" si="8"/>
        <v/>
      </c>
      <c r="AA88" s="61"/>
      <c r="AB88" s="106" t="str">
        <f t="shared" si="9"/>
        <v/>
      </c>
      <c r="AE88" s="107" t="str">
        <f>IF($S88="","",VLOOKUP($S88,'ORF Accuracy Value LookUp'!$A$4:$B$104,2,TRUE))</f>
        <v/>
      </c>
      <c r="AF88" s="108" t="str">
        <f>IF($Z88="","",VLOOKUP($Z88,'ORF Accuracy Value LookUp'!$D$4:$E$104,2,TRUE))</f>
        <v/>
      </c>
    </row>
    <row r="89" spans="1:32">
      <c r="A89" s="58"/>
      <c r="B89" s="59"/>
      <c r="C89" s="60"/>
      <c r="D89" s="61"/>
      <c r="E89" s="58"/>
      <c r="F89" s="62"/>
      <c r="G89" s="63"/>
      <c r="H89" s="83"/>
      <c r="I89" s="61"/>
      <c r="J89" s="61"/>
      <c r="K89" s="61"/>
      <c r="L89" s="61"/>
      <c r="M89" s="103" t="str">
        <f t="shared" si="5"/>
        <v/>
      </c>
      <c r="N89" s="84"/>
      <c r="O89" s="61"/>
      <c r="P89" s="61"/>
      <c r="Q89" s="213"/>
      <c r="R89" s="64"/>
      <c r="S89" s="65" t="str">
        <f t="shared" si="6"/>
        <v/>
      </c>
      <c r="T89" s="104" t="str">
        <f t="shared" si="7"/>
        <v/>
      </c>
      <c r="U89" s="84"/>
      <c r="V89" s="61"/>
      <c r="W89" s="61"/>
      <c r="X89" s="61"/>
      <c r="Y89" s="61"/>
      <c r="Z89" s="73" t="str">
        <f t="shared" si="8"/>
        <v/>
      </c>
      <c r="AA89" s="61"/>
      <c r="AB89" s="106" t="str">
        <f t="shared" si="9"/>
        <v/>
      </c>
      <c r="AE89" s="107" t="str">
        <f>IF($S89="","",VLOOKUP($S89,'ORF Accuracy Value LookUp'!$A$4:$B$104,2,TRUE))</f>
        <v/>
      </c>
      <c r="AF89" s="108" t="str">
        <f>IF($Z89="","",VLOOKUP($Z89,'ORF Accuracy Value LookUp'!$D$4:$E$104,2,TRUE))</f>
        <v/>
      </c>
    </row>
    <row r="90" spans="1:32">
      <c r="A90" s="58"/>
      <c r="B90" s="59"/>
      <c r="C90" s="60"/>
      <c r="D90" s="61"/>
      <c r="E90" s="58"/>
      <c r="F90" s="62"/>
      <c r="G90" s="63"/>
      <c r="H90" s="83"/>
      <c r="I90" s="61"/>
      <c r="J90" s="61"/>
      <c r="K90" s="61"/>
      <c r="L90" s="61"/>
      <c r="M90" s="103" t="str">
        <f t="shared" si="5"/>
        <v/>
      </c>
      <c r="N90" s="84"/>
      <c r="O90" s="61"/>
      <c r="P90" s="61"/>
      <c r="Q90" s="213"/>
      <c r="R90" s="64"/>
      <c r="S90" s="65" t="str">
        <f t="shared" si="6"/>
        <v/>
      </c>
      <c r="T90" s="104" t="str">
        <f t="shared" si="7"/>
        <v/>
      </c>
      <c r="U90" s="84"/>
      <c r="V90" s="61"/>
      <c r="W90" s="61"/>
      <c r="X90" s="61"/>
      <c r="Y90" s="61"/>
      <c r="Z90" s="73" t="str">
        <f t="shared" si="8"/>
        <v/>
      </c>
      <c r="AA90" s="61"/>
      <c r="AB90" s="106" t="str">
        <f t="shared" si="9"/>
        <v/>
      </c>
      <c r="AE90" s="107" t="str">
        <f>IF($S90="","",VLOOKUP($S90,'ORF Accuracy Value LookUp'!$A$4:$B$104,2,TRUE))</f>
        <v/>
      </c>
      <c r="AF90" s="108" t="str">
        <f>IF($Z90="","",VLOOKUP($Z90,'ORF Accuracy Value LookUp'!$D$4:$E$104,2,TRUE))</f>
        <v/>
      </c>
    </row>
    <row r="91" spans="1:32">
      <c r="A91" s="58"/>
      <c r="B91" s="59"/>
      <c r="C91" s="60"/>
      <c r="D91" s="61"/>
      <c r="E91" s="58"/>
      <c r="F91" s="62"/>
      <c r="G91" s="63"/>
      <c r="H91" s="83"/>
      <c r="I91" s="61"/>
      <c r="J91" s="61"/>
      <c r="K91" s="61"/>
      <c r="L91" s="61"/>
      <c r="M91" s="103" t="str">
        <f t="shared" si="5"/>
        <v/>
      </c>
      <c r="N91" s="84"/>
      <c r="O91" s="61"/>
      <c r="P91" s="61"/>
      <c r="Q91" s="213"/>
      <c r="R91" s="64"/>
      <c r="S91" s="65" t="str">
        <f t="shared" si="6"/>
        <v/>
      </c>
      <c r="T91" s="104" t="str">
        <f t="shared" si="7"/>
        <v/>
      </c>
      <c r="U91" s="84"/>
      <c r="V91" s="61"/>
      <c r="W91" s="61"/>
      <c r="X91" s="61"/>
      <c r="Y91" s="61"/>
      <c r="Z91" s="73" t="str">
        <f t="shared" si="8"/>
        <v/>
      </c>
      <c r="AA91" s="61"/>
      <c r="AB91" s="106" t="str">
        <f t="shared" si="9"/>
        <v/>
      </c>
      <c r="AE91" s="107" t="str">
        <f>IF($S91="","",VLOOKUP($S91,'ORF Accuracy Value LookUp'!$A$4:$B$104,2,TRUE))</f>
        <v/>
      </c>
      <c r="AF91" s="108" t="str">
        <f>IF($Z91="","",VLOOKUP($Z91,'ORF Accuracy Value LookUp'!$D$4:$E$104,2,TRUE))</f>
        <v/>
      </c>
    </row>
    <row r="92" spans="1:32">
      <c r="A92" s="58"/>
      <c r="B92" s="59"/>
      <c r="C92" s="60"/>
      <c r="D92" s="61"/>
      <c r="E92" s="58"/>
      <c r="F92" s="62"/>
      <c r="G92" s="63"/>
      <c r="H92" s="83"/>
      <c r="I92" s="61"/>
      <c r="J92" s="61"/>
      <c r="K92" s="61"/>
      <c r="L92" s="61"/>
      <c r="M92" s="103" t="str">
        <f t="shared" si="5"/>
        <v/>
      </c>
      <c r="N92" s="84"/>
      <c r="O92" s="61"/>
      <c r="P92" s="61"/>
      <c r="Q92" s="213"/>
      <c r="R92" s="64"/>
      <c r="S92" s="65" t="str">
        <f t="shared" si="6"/>
        <v/>
      </c>
      <c r="T92" s="104" t="str">
        <f t="shared" si="7"/>
        <v/>
      </c>
      <c r="U92" s="84"/>
      <c r="V92" s="61"/>
      <c r="W92" s="61"/>
      <c r="X92" s="61"/>
      <c r="Y92" s="61"/>
      <c r="Z92" s="73" t="str">
        <f t="shared" si="8"/>
        <v/>
      </c>
      <c r="AA92" s="61"/>
      <c r="AB92" s="106" t="str">
        <f t="shared" si="9"/>
        <v/>
      </c>
      <c r="AE92" s="107" t="str">
        <f>IF($S92="","",VLOOKUP($S92,'ORF Accuracy Value LookUp'!$A$4:$B$104,2,TRUE))</f>
        <v/>
      </c>
      <c r="AF92" s="108" t="str">
        <f>IF($Z92="","",VLOOKUP($Z92,'ORF Accuracy Value LookUp'!$D$4:$E$104,2,TRUE))</f>
        <v/>
      </c>
    </row>
    <row r="93" spans="1:32">
      <c r="A93" s="58"/>
      <c r="B93" s="59"/>
      <c r="C93" s="60"/>
      <c r="D93" s="61"/>
      <c r="E93" s="58"/>
      <c r="F93" s="62"/>
      <c r="G93" s="63"/>
      <c r="H93" s="83"/>
      <c r="I93" s="61"/>
      <c r="J93" s="61"/>
      <c r="K93" s="61"/>
      <c r="L93" s="61"/>
      <c r="M93" s="103" t="str">
        <f t="shared" si="5"/>
        <v/>
      </c>
      <c r="N93" s="84"/>
      <c r="O93" s="61"/>
      <c r="P93" s="61"/>
      <c r="Q93" s="213"/>
      <c r="R93" s="64"/>
      <c r="S93" s="65" t="str">
        <f t="shared" si="6"/>
        <v/>
      </c>
      <c r="T93" s="104" t="str">
        <f t="shared" si="7"/>
        <v/>
      </c>
      <c r="U93" s="84"/>
      <c r="V93" s="61"/>
      <c r="W93" s="61"/>
      <c r="X93" s="61"/>
      <c r="Y93" s="61"/>
      <c r="Z93" s="73" t="str">
        <f t="shared" si="8"/>
        <v/>
      </c>
      <c r="AA93" s="61"/>
      <c r="AB93" s="106" t="str">
        <f t="shared" si="9"/>
        <v/>
      </c>
      <c r="AE93" s="107" t="str">
        <f>IF($S93="","",VLOOKUP($S93,'ORF Accuracy Value LookUp'!$A$4:$B$104,2,TRUE))</f>
        <v/>
      </c>
      <c r="AF93" s="108" t="str">
        <f>IF($Z93="","",VLOOKUP($Z93,'ORF Accuracy Value LookUp'!$D$4:$E$104,2,TRUE))</f>
        <v/>
      </c>
    </row>
    <row r="94" spans="1:32">
      <c r="A94" s="58"/>
      <c r="B94" s="59"/>
      <c r="C94" s="60"/>
      <c r="D94" s="61"/>
      <c r="E94" s="58"/>
      <c r="F94" s="62"/>
      <c r="G94" s="63"/>
      <c r="H94" s="83"/>
      <c r="I94" s="61"/>
      <c r="J94" s="61"/>
      <c r="K94" s="61"/>
      <c r="L94" s="61"/>
      <c r="M94" s="103" t="str">
        <f t="shared" si="5"/>
        <v/>
      </c>
      <c r="N94" s="84"/>
      <c r="O94" s="61"/>
      <c r="P94" s="61"/>
      <c r="Q94" s="213"/>
      <c r="R94" s="64"/>
      <c r="S94" s="65" t="str">
        <f t="shared" si="6"/>
        <v/>
      </c>
      <c r="T94" s="104" t="str">
        <f t="shared" si="7"/>
        <v/>
      </c>
      <c r="U94" s="84"/>
      <c r="V94" s="61"/>
      <c r="W94" s="61"/>
      <c r="X94" s="61"/>
      <c r="Y94" s="61"/>
      <c r="Z94" s="73" t="str">
        <f t="shared" si="8"/>
        <v/>
      </c>
      <c r="AA94" s="61"/>
      <c r="AB94" s="106" t="str">
        <f t="shared" si="9"/>
        <v/>
      </c>
      <c r="AE94" s="107" t="str">
        <f>IF($S94="","",VLOOKUP($S94,'ORF Accuracy Value LookUp'!$A$4:$B$104,2,TRUE))</f>
        <v/>
      </c>
      <c r="AF94" s="108" t="str">
        <f>IF($Z94="","",VLOOKUP($Z94,'ORF Accuracy Value LookUp'!$D$4:$E$104,2,TRUE))</f>
        <v/>
      </c>
    </row>
    <row r="95" spans="1:32">
      <c r="A95" s="58"/>
      <c r="B95" s="59"/>
      <c r="C95" s="60"/>
      <c r="D95" s="61"/>
      <c r="E95" s="58"/>
      <c r="F95" s="62"/>
      <c r="G95" s="63"/>
      <c r="H95" s="83"/>
      <c r="I95" s="61"/>
      <c r="J95" s="61"/>
      <c r="K95" s="61"/>
      <c r="L95" s="61"/>
      <c r="M95" s="103" t="str">
        <f t="shared" si="5"/>
        <v/>
      </c>
      <c r="N95" s="84"/>
      <c r="O95" s="61"/>
      <c r="P95" s="61"/>
      <c r="Q95" s="213"/>
      <c r="R95" s="64"/>
      <c r="S95" s="65" t="str">
        <f t="shared" si="6"/>
        <v/>
      </c>
      <c r="T95" s="104" t="str">
        <f t="shared" si="7"/>
        <v/>
      </c>
      <c r="U95" s="84"/>
      <c r="V95" s="61"/>
      <c r="W95" s="61"/>
      <c r="X95" s="61"/>
      <c r="Y95" s="61"/>
      <c r="Z95" s="73" t="str">
        <f t="shared" si="8"/>
        <v/>
      </c>
      <c r="AA95" s="61"/>
      <c r="AB95" s="106" t="str">
        <f t="shared" si="9"/>
        <v/>
      </c>
      <c r="AE95" s="107" t="str">
        <f>IF($S95="","",VLOOKUP($S95,'ORF Accuracy Value LookUp'!$A$4:$B$104,2,TRUE))</f>
        <v/>
      </c>
      <c r="AF95" s="108" t="str">
        <f>IF($Z95="","",VLOOKUP($Z95,'ORF Accuracy Value LookUp'!$D$4:$E$104,2,TRUE))</f>
        <v/>
      </c>
    </row>
    <row r="96" spans="1:32">
      <c r="A96" s="58"/>
      <c r="B96" s="59"/>
      <c r="C96" s="60"/>
      <c r="D96" s="61"/>
      <c r="E96" s="58"/>
      <c r="F96" s="62"/>
      <c r="G96" s="63"/>
      <c r="H96" s="83"/>
      <c r="I96" s="61"/>
      <c r="J96" s="61"/>
      <c r="K96" s="61"/>
      <c r="L96" s="61"/>
      <c r="M96" s="103" t="str">
        <f t="shared" si="5"/>
        <v/>
      </c>
      <c r="N96" s="84"/>
      <c r="O96" s="61"/>
      <c r="P96" s="61"/>
      <c r="Q96" s="213"/>
      <c r="R96" s="64"/>
      <c r="S96" s="65" t="str">
        <f t="shared" si="6"/>
        <v/>
      </c>
      <c r="T96" s="104" t="str">
        <f t="shared" si="7"/>
        <v/>
      </c>
      <c r="U96" s="84"/>
      <c r="V96" s="61"/>
      <c r="W96" s="61"/>
      <c r="X96" s="61"/>
      <c r="Y96" s="61"/>
      <c r="Z96" s="73" t="str">
        <f t="shared" si="8"/>
        <v/>
      </c>
      <c r="AA96" s="61"/>
      <c r="AB96" s="106" t="str">
        <f t="shared" si="9"/>
        <v/>
      </c>
      <c r="AE96" s="107" t="str">
        <f>IF($S96="","",VLOOKUP($S96,'ORF Accuracy Value LookUp'!$A$4:$B$104,2,TRUE))</f>
        <v/>
      </c>
      <c r="AF96" s="108" t="str">
        <f>IF($Z96="","",VLOOKUP($Z96,'ORF Accuracy Value LookUp'!$D$4:$E$104,2,TRUE))</f>
        <v/>
      </c>
    </row>
    <row r="97" spans="1:32">
      <c r="A97" s="58"/>
      <c r="B97" s="59"/>
      <c r="C97" s="60"/>
      <c r="D97" s="61"/>
      <c r="E97" s="58"/>
      <c r="F97" s="62"/>
      <c r="G97" s="63"/>
      <c r="H97" s="83"/>
      <c r="I97" s="61"/>
      <c r="J97" s="61"/>
      <c r="K97" s="61"/>
      <c r="L97" s="61"/>
      <c r="M97" s="103" t="str">
        <f t="shared" si="5"/>
        <v/>
      </c>
      <c r="N97" s="84"/>
      <c r="O97" s="61"/>
      <c r="P97" s="61"/>
      <c r="Q97" s="213"/>
      <c r="R97" s="64"/>
      <c r="S97" s="65" t="str">
        <f t="shared" si="6"/>
        <v/>
      </c>
      <c r="T97" s="104" t="str">
        <f t="shared" si="7"/>
        <v/>
      </c>
      <c r="U97" s="84"/>
      <c r="V97" s="61"/>
      <c r="W97" s="61"/>
      <c r="X97" s="61"/>
      <c r="Y97" s="61"/>
      <c r="Z97" s="73" t="str">
        <f t="shared" si="8"/>
        <v/>
      </c>
      <c r="AA97" s="61"/>
      <c r="AB97" s="106" t="str">
        <f t="shared" si="9"/>
        <v/>
      </c>
      <c r="AE97" s="107" t="str">
        <f>IF($S97="","",VLOOKUP($S97,'ORF Accuracy Value LookUp'!$A$4:$B$104,2,TRUE))</f>
        <v/>
      </c>
      <c r="AF97" s="108" t="str">
        <f>IF($Z97="","",VLOOKUP($Z97,'ORF Accuracy Value LookUp'!$D$4:$E$104,2,TRUE))</f>
        <v/>
      </c>
    </row>
    <row r="98" spans="1:32">
      <c r="A98" s="58"/>
      <c r="B98" s="59"/>
      <c r="C98" s="60"/>
      <c r="D98" s="61"/>
      <c r="E98" s="58"/>
      <c r="F98" s="62"/>
      <c r="G98" s="63"/>
      <c r="H98" s="83"/>
      <c r="I98" s="61"/>
      <c r="J98" s="61"/>
      <c r="K98" s="61"/>
      <c r="L98" s="61"/>
      <c r="M98" s="103" t="str">
        <f t="shared" si="5"/>
        <v/>
      </c>
      <c r="N98" s="84"/>
      <c r="O98" s="61"/>
      <c r="P98" s="61"/>
      <c r="Q98" s="213"/>
      <c r="R98" s="64"/>
      <c r="S98" s="65" t="str">
        <f t="shared" si="6"/>
        <v/>
      </c>
      <c r="T98" s="104" t="str">
        <f t="shared" si="7"/>
        <v/>
      </c>
      <c r="U98" s="84"/>
      <c r="V98" s="61"/>
      <c r="W98" s="61"/>
      <c r="X98" s="61"/>
      <c r="Y98" s="61"/>
      <c r="Z98" s="73" t="str">
        <f t="shared" si="8"/>
        <v/>
      </c>
      <c r="AA98" s="61"/>
      <c r="AB98" s="106" t="str">
        <f t="shared" si="9"/>
        <v/>
      </c>
      <c r="AE98" s="107" t="str">
        <f>IF($S98="","",VLOOKUP($S98,'ORF Accuracy Value LookUp'!$A$4:$B$104,2,TRUE))</f>
        <v/>
      </c>
      <c r="AF98" s="108" t="str">
        <f>IF($Z98="","",VLOOKUP($Z98,'ORF Accuracy Value LookUp'!$D$4:$E$104,2,TRUE))</f>
        <v/>
      </c>
    </row>
    <row r="99" spans="1:32">
      <c r="A99" s="58"/>
      <c r="B99" s="59"/>
      <c r="C99" s="60"/>
      <c r="D99" s="61"/>
      <c r="E99" s="58"/>
      <c r="F99" s="62"/>
      <c r="G99" s="63"/>
      <c r="H99" s="83"/>
      <c r="I99" s="61"/>
      <c r="J99" s="61"/>
      <c r="K99" s="61"/>
      <c r="L99" s="61"/>
      <c r="M99" s="103" t="str">
        <f t="shared" si="5"/>
        <v/>
      </c>
      <c r="N99" s="84"/>
      <c r="O99" s="61"/>
      <c r="P99" s="61"/>
      <c r="Q99" s="213"/>
      <c r="R99" s="64"/>
      <c r="S99" s="65" t="str">
        <f t="shared" si="6"/>
        <v/>
      </c>
      <c r="T99" s="104" t="str">
        <f t="shared" si="7"/>
        <v/>
      </c>
      <c r="U99" s="84"/>
      <c r="V99" s="61"/>
      <c r="W99" s="61"/>
      <c r="X99" s="61"/>
      <c r="Y99" s="61"/>
      <c r="Z99" s="73" t="str">
        <f t="shared" si="8"/>
        <v/>
      </c>
      <c r="AA99" s="61"/>
      <c r="AB99" s="106" t="str">
        <f t="shared" si="9"/>
        <v/>
      </c>
      <c r="AE99" s="107" t="str">
        <f>IF($S99="","",VLOOKUP($S99,'ORF Accuracy Value LookUp'!$A$4:$B$104,2,TRUE))</f>
        <v/>
      </c>
      <c r="AF99" s="108" t="str">
        <f>IF($Z99="","",VLOOKUP($Z99,'ORF Accuracy Value LookUp'!$D$4:$E$104,2,TRUE))</f>
        <v/>
      </c>
    </row>
    <row r="100" spans="1:32">
      <c r="A100" s="58"/>
      <c r="B100" s="59"/>
      <c r="C100" s="60"/>
      <c r="D100" s="61"/>
      <c r="E100" s="58"/>
      <c r="F100" s="62"/>
      <c r="G100" s="63"/>
      <c r="H100" s="83"/>
      <c r="I100" s="61"/>
      <c r="J100" s="61"/>
      <c r="K100" s="61"/>
      <c r="L100" s="61"/>
      <c r="M100" s="103" t="str">
        <f t="shared" si="5"/>
        <v/>
      </c>
      <c r="N100" s="84"/>
      <c r="O100" s="61"/>
      <c r="P100" s="61"/>
      <c r="Q100" s="213"/>
      <c r="R100" s="64"/>
      <c r="S100" s="65" t="str">
        <f t="shared" si="6"/>
        <v/>
      </c>
      <c r="T100" s="104" t="str">
        <f t="shared" si="7"/>
        <v/>
      </c>
      <c r="U100" s="84"/>
      <c r="V100" s="61"/>
      <c r="W100" s="61"/>
      <c r="X100" s="61"/>
      <c r="Y100" s="61"/>
      <c r="Z100" s="73" t="str">
        <f t="shared" si="8"/>
        <v/>
      </c>
      <c r="AA100" s="61"/>
      <c r="AB100" s="106" t="str">
        <f t="shared" si="9"/>
        <v/>
      </c>
      <c r="AE100" s="107" t="str">
        <f>IF($S100="","",VLOOKUP($S100,'ORF Accuracy Value LookUp'!$A$4:$B$104,2,TRUE))</f>
        <v/>
      </c>
      <c r="AF100" s="108" t="str">
        <f>IF($Z100="","",VLOOKUP($Z100,'ORF Accuracy Value LookUp'!$D$4:$E$104,2,TRUE))</f>
        <v/>
      </c>
    </row>
    <row r="101" spans="1:32">
      <c r="A101" s="58"/>
      <c r="B101" s="59"/>
      <c r="C101" s="60"/>
      <c r="D101" s="61"/>
      <c r="E101" s="58"/>
      <c r="F101" s="62"/>
      <c r="G101" s="63"/>
      <c r="H101" s="83"/>
      <c r="I101" s="61"/>
      <c r="J101" s="61"/>
      <c r="K101" s="61"/>
      <c r="L101" s="61"/>
      <c r="M101" s="103" t="str">
        <f t="shared" si="5"/>
        <v/>
      </c>
      <c r="N101" s="84"/>
      <c r="O101" s="61"/>
      <c r="P101" s="61"/>
      <c r="Q101" s="213"/>
      <c r="R101" s="64"/>
      <c r="S101" s="65" t="str">
        <f t="shared" si="6"/>
        <v/>
      </c>
      <c r="T101" s="104" t="str">
        <f t="shared" si="7"/>
        <v/>
      </c>
      <c r="U101" s="84"/>
      <c r="V101" s="61"/>
      <c r="W101" s="61"/>
      <c r="X101" s="61"/>
      <c r="Y101" s="61"/>
      <c r="Z101" s="73" t="str">
        <f t="shared" si="8"/>
        <v/>
      </c>
      <c r="AA101" s="61"/>
      <c r="AB101" s="106" t="str">
        <f t="shared" si="9"/>
        <v/>
      </c>
      <c r="AE101" s="107" t="str">
        <f>IF($S101="","",VLOOKUP($S101,'ORF Accuracy Value LookUp'!$A$4:$B$104,2,TRUE))</f>
        <v/>
      </c>
      <c r="AF101" s="108" t="str">
        <f>IF($Z101="","",VLOOKUP($Z101,'ORF Accuracy Value LookUp'!$D$4:$E$104,2,TRUE))</f>
        <v/>
      </c>
    </row>
    <row r="102" spans="1:32">
      <c r="A102" s="58"/>
      <c r="B102" s="59"/>
      <c r="C102" s="60"/>
      <c r="D102" s="61"/>
      <c r="E102" s="58"/>
      <c r="F102" s="62"/>
      <c r="G102" s="63"/>
      <c r="H102" s="83"/>
      <c r="I102" s="61"/>
      <c r="J102" s="61"/>
      <c r="K102" s="61"/>
      <c r="L102" s="61"/>
      <c r="M102" s="103" t="str">
        <f t="shared" si="5"/>
        <v/>
      </c>
      <c r="N102" s="84"/>
      <c r="O102" s="61"/>
      <c r="P102" s="61"/>
      <c r="Q102" s="213"/>
      <c r="R102" s="64"/>
      <c r="S102" s="65" t="str">
        <f t="shared" si="6"/>
        <v/>
      </c>
      <c r="T102" s="104" t="str">
        <f t="shared" si="7"/>
        <v/>
      </c>
      <c r="U102" s="84"/>
      <c r="V102" s="61"/>
      <c r="W102" s="61"/>
      <c r="X102" s="61"/>
      <c r="Y102" s="61"/>
      <c r="Z102" s="73" t="str">
        <f t="shared" si="8"/>
        <v/>
      </c>
      <c r="AA102" s="61"/>
      <c r="AB102" s="106" t="str">
        <f t="shared" si="9"/>
        <v/>
      </c>
      <c r="AE102" s="107" t="str">
        <f>IF($S102="","",VLOOKUP($S102,'ORF Accuracy Value LookUp'!$A$4:$B$104,2,TRUE))</f>
        <v/>
      </c>
      <c r="AF102" s="108" t="str">
        <f>IF($Z102="","",VLOOKUP($Z102,'ORF Accuracy Value LookUp'!$D$4:$E$104,2,TRUE))</f>
        <v/>
      </c>
    </row>
    <row r="103" spans="1:32">
      <c r="A103" s="58"/>
      <c r="B103" s="59"/>
      <c r="C103" s="60"/>
      <c r="D103" s="61"/>
      <c r="E103" s="58"/>
      <c r="F103" s="62"/>
      <c r="G103" s="63"/>
      <c r="H103" s="83"/>
      <c r="I103" s="61"/>
      <c r="J103" s="61"/>
      <c r="K103" s="61"/>
      <c r="L103" s="61"/>
      <c r="M103" s="103" t="str">
        <f t="shared" si="5"/>
        <v/>
      </c>
      <c r="N103" s="84"/>
      <c r="O103" s="61"/>
      <c r="P103" s="61"/>
      <c r="Q103" s="213"/>
      <c r="R103" s="64"/>
      <c r="S103" s="65" t="str">
        <f t="shared" si="6"/>
        <v/>
      </c>
      <c r="T103" s="104" t="str">
        <f t="shared" si="7"/>
        <v/>
      </c>
      <c r="U103" s="84"/>
      <c r="V103" s="61"/>
      <c r="W103" s="61"/>
      <c r="X103" s="61"/>
      <c r="Y103" s="61"/>
      <c r="Z103" s="73" t="str">
        <f t="shared" si="8"/>
        <v/>
      </c>
      <c r="AA103" s="61"/>
      <c r="AB103" s="106" t="str">
        <f t="shared" si="9"/>
        <v/>
      </c>
      <c r="AE103" s="107" t="str">
        <f>IF($S103="","",VLOOKUP($S103,'ORF Accuracy Value LookUp'!$A$4:$B$104,2,TRUE))</f>
        <v/>
      </c>
      <c r="AF103" s="108" t="str">
        <f>IF($Z103="","",VLOOKUP($Z103,'ORF Accuracy Value LookUp'!$D$4:$E$104,2,TRUE))</f>
        <v/>
      </c>
    </row>
    <row r="104" spans="1:32">
      <c r="A104" s="58"/>
      <c r="B104" s="59"/>
      <c r="C104" s="60"/>
      <c r="D104" s="61"/>
      <c r="E104" s="58"/>
      <c r="F104" s="62"/>
      <c r="G104" s="63"/>
      <c r="H104" s="83"/>
      <c r="I104" s="61"/>
      <c r="J104" s="61"/>
      <c r="K104" s="61"/>
      <c r="L104" s="61"/>
      <c r="M104" s="103" t="str">
        <f t="shared" si="5"/>
        <v/>
      </c>
      <c r="N104" s="84"/>
      <c r="O104" s="61"/>
      <c r="P104" s="61"/>
      <c r="Q104" s="213"/>
      <c r="R104" s="64"/>
      <c r="S104" s="65" t="str">
        <f t="shared" si="6"/>
        <v/>
      </c>
      <c r="T104" s="104" t="str">
        <f t="shared" si="7"/>
        <v/>
      </c>
      <c r="U104" s="84"/>
      <c r="V104" s="61"/>
      <c r="W104" s="61"/>
      <c r="X104" s="61"/>
      <c r="Y104" s="61"/>
      <c r="Z104" s="73" t="str">
        <f t="shared" si="8"/>
        <v/>
      </c>
      <c r="AA104" s="61"/>
      <c r="AB104" s="106" t="str">
        <f t="shared" si="9"/>
        <v/>
      </c>
      <c r="AE104" s="107" t="str">
        <f>IF($S104="","",VLOOKUP($S104,'ORF Accuracy Value LookUp'!$A$4:$B$104,2,TRUE))</f>
        <v/>
      </c>
      <c r="AF104" s="108" t="str">
        <f>IF($Z104="","",VLOOKUP($Z104,'ORF Accuracy Value LookUp'!$D$4:$E$104,2,TRUE))</f>
        <v/>
      </c>
    </row>
    <row r="105" spans="1:32">
      <c r="A105" s="58"/>
      <c r="B105" s="59"/>
      <c r="C105" s="60"/>
      <c r="D105" s="61"/>
      <c r="E105" s="58"/>
      <c r="F105" s="62"/>
      <c r="G105" s="63"/>
      <c r="H105" s="83"/>
      <c r="I105" s="61"/>
      <c r="J105" s="61"/>
      <c r="K105" s="61"/>
      <c r="L105" s="61"/>
      <c r="M105" s="103" t="str">
        <f t="shared" si="5"/>
        <v/>
      </c>
      <c r="N105" s="84"/>
      <c r="O105" s="61"/>
      <c r="P105" s="61"/>
      <c r="Q105" s="213"/>
      <c r="R105" s="64"/>
      <c r="S105" s="65" t="str">
        <f t="shared" si="6"/>
        <v/>
      </c>
      <c r="T105" s="104" t="str">
        <f t="shared" si="7"/>
        <v/>
      </c>
      <c r="U105" s="84"/>
      <c r="V105" s="61"/>
      <c r="W105" s="61"/>
      <c r="X105" s="61"/>
      <c r="Y105" s="61"/>
      <c r="Z105" s="73" t="str">
        <f t="shared" si="8"/>
        <v/>
      </c>
      <c r="AA105" s="61"/>
      <c r="AB105" s="106" t="str">
        <f t="shared" si="9"/>
        <v/>
      </c>
      <c r="AE105" s="107" t="str">
        <f>IF($S105="","",VLOOKUP($S105,'ORF Accuracy Value LookUp'!$A$4:$B$104,2,TRUE))</f>
        <v/>
      </c>
      <c r="AF105" s="108" t="str">
        <f>IF($Z105="","",VLOOKUP($Z105,'ORF Accuracy Value LookUp'!$D$4:$E$104,2,TRUE))</f>
        <v/>
      </c>
    </row>
    <row r="106" spans="1:32">
      <c r="A106" s="58"/>
      <c r="B106" s="58"/>
      <c r="C106" s="58"/>
      <c r="D106" s="58"/>
      <c r="E106" s="58"/>
      <c r="F106" s="62"/>
      <c r="G106" s="63"/>
      <c r="H106" s="84"/>
      <c r="I106" s="61"/>
      <c r="J106" s="61"/>
      <c r="K106" s="61"/>
      <c r="L106" s="61"/>
      <c r="M106" s="103" t="str">
        <f t="shared" si="5"/>
        <v/>
      </c>
      <c r="N106" s="84"/>
      <c r="O106" s="61"/>
      <c r="P106" s="61"/>
      <c r="Q106" s="213"/>
      <c r="R106" s="64"/>
      <c r="S106" s="65" t="str">
        <f t="shared" si="6"/>
        <v/>
      </c>
      <c r="T106" s="104" t="str">
        <f t="shared" si="7"/>
        <v/>
      </c>
      <c r="U106" s="84"/>
      <c r="V106" s="61"/>
      <c r="W106" s="61"/>
      <c r="X106" s="61"/>
      <c r="Y106" s="61"/>
      <c r="Z106" s="73" t="str">
        <f t="shared" si="8"/>
        <v/>
      </c>
      <c r="AA106" s="61"/>
      <c r="AB106" s="106" t="str">
        <f t="shared" si="9"/>
        <v/>
      </c>
      <c r="AE106" s="107" t="str">
        <f>IF($S106="","",VLOOKUP($S106,'ORF Accuracy Value LookUp'!$A$4:$B$104,2,TRUE))</f>
        <v/>
      </c>
      <c r="AF106" s="108" t="str">
        <f>IF($Z106="","",VLOOKUP($Z106,'ORF Accuracy Value LookUp'!$D$4:$E$104,2,TRUE))</f>
        <v/>
      </c>
    </row>
    <row r="107" spans="1:32">
      <c r="A107" s="58"/>
      <c r="B107" s="58"/>
      <c r="C107" s="58"/>
      <c r="D107" s="58"/>
      <c r="E107" s="58"/>
      <c r="F107" s="62"/>
      <c r="G107" s="63"/>
      <c r="H107" s="84"/>
      <c r="I107" s="61"/>
      <c r="J107" s="61"/>
      <c r="K107" s="61"/>
      <c r="L107" s="61"/>
      <c r="M107" s="103" t="str">
        <f t="shared" si="5"/>
        <v/>
      </c>
      <c r="N107" s="84"/>
      <c r="O107" s="61"/>
      <c r="P107" s="61"/>
      <c r="Q107" s="213"/>
      <c r="R107" s="64"/>
      <c r="S107" s="65" t="str">
        <f t="shared" si="6"/>
        <v/>
      </c>
      <c r="T107" s="104" t="str">
        <f t="shared" si="7"/>
        <v/>
      </c>
      <c r="U107" s="84"/>
      <c r="V107" s="61"/>
      <c r="W107" s="61"/>
      <c r="X107" s="61"/>
      <c r="Y107" s="61"/>
      <c r="Z107" s="73" t="str">
        <f t="shared" si="8"/>
        <v/>
      </c>
      <c r="AA107" s="61"/>
      <c r="AB107" s="106" t="str">
        <f t="shared" si="9"/>
        <v/>
      </c>
      <c r="AE107" s="107" t="str">
        <f>IF($S107="","",VLOOKUP($S107,'ORF Accuracy Value LookUp'!$A$4:$B$104,2,TRUE))</f>
        <v/>
      </c>
      <c r="AF107" s="108" t="str">
        <f>IF($Z107="","",VLOOKUP($Z107,'ORF Accuracy Value LookUp'!$D$4:$E$104,2,TRUE))</f>
        <v/>
      </c>
    </row>
    <row r="108" spans="1:32">
      <c r="A108" s="58"/>
      <c r="B108" s="58"/>
      <c r="C108" s="58"/>
      <c r="D108" s="58"/>
      <c r="E108" s="58"/>
      <c r="F108" s="62"/>
      <c r="G108" s="63"/>
      <c r="H108" s="84"/>
      <c r="I108" s="61"/>
      <c r="J108" s="61"/>
      <c r="K108" s="61"/>
      <c r="L108" s="61"/>
      <c r="M108" s="103" t="str">
        <f t="shared" si="5"/>
        <v/>
      </c>
      <c r="N108" s="84"/>
      <c r="O108" s="61"/>
      <c r="P108" s="61"/>
      <c r="Q108" s="213"/>
      <c r="R108" s="64"/>
      <c r="S108" s="65" t="str">
        <f t="shared" si="6"/>
        <v/>
      </c>
      <c r="T108" s="104" t="str">
        <f t="shared" si="7"/>
        <v/>
      </c>
      <c r="U108" s="84"/>
      <c r="V108" s="61"/>
      <c r="W108" s="61"/>
      <c r="X108" s="61"/>
      <c r="Y108" s="61"/>
      <c r="Z108" s="73" t="str">
        <f t="shared" si="8"/>
        <v/>
      </c>
      <c r="AA108" s="61"/>
      <c r="AB108" s="106" t="str">
        <f t="shared" si="9"/>
        <v/>
      </c>
      <c r="AE108" s="107" t="str">
        <f>IF($S108="","",VLOOKUP($S108,'ORF Accuracy Value LookUp'!$A$4:$B$104,2,TRUE))</f>
        <v/>
      </c>
      <c r="AF108" s="108" t="str">
        <f>IF($Z108="","",VLOOKUP($Z108,'ORF Accuracy Value LookUp'!$D$4:$E$104,2,TRUE))</f>
        <v/>
      </c>
    </row>
    <row r="109" spans="1:32">
      <c r="A109" s="58"/>
      <c r="B109" s="58"/>
      <c r="C109" s="58"/>
      <c r="D109" s="58"/>
      <c r="E109" s="58"/>
      <c r="F109" s="62"/>
      <c r="G109" s="63"/>
      <c r="H109" s="84"/>
      <c r="I109" s="61"/>
      <c r="J109" s="61"/>
      <c r="K109" s="61"/>
      <c r="L109" s="61"/>
      <c r="M109" s="103" t="str">
        <f t="shared" si="5"/>
        <v/>
      </c>
      <c r="N109" s="84"/>
      <c r="O109" s="61"/>
      <c r="P109" s="61"/>
      <c r="Q109" s="213"/>
      <c r="R109" s="64"/>
      <c r="S109" s="65" t="str">
        <f t="shared" si="6"/>
        <v/>
      </c>
      <c r="T109" s="104" t="str">
        <f t="shared" si="7"/>
        <v/>
      </c>
      <c r="U109" s="84"/>
      <c r="V109" s="61"/>
      <c r="W109" s="61"/>
      <c r="X109" s="61"/>
      <c r="Y109" s="61"/>
      <c r="Z109" s="73" t="str">
        <f t="shared" si="8"/>
        <v/>
      </c>
      <c r="AA109" s="61"/>
      <c r="AB109" s="106" t="str">
        <f t="shared" si="9"/>
        <v/>
      </c>
      <c r="AE109" s="107" t="str">
        <f>IF($S109="","",VLOOKUP($S109,'ORF Accuracy Value LookUp'!$A$4:$B$104,2,TRUE))</f>
        <v/>
      </c>
      <c r="AF109" s="108" t="str">
        <f>IF($Z109="","",VLOOKUP($Z109,'ORF Accuracy Value LookUp'!$D$4:$E$104,2,TRUE))</f>
        <v/>
      </c>
    </row>
    <row r="110" spans="1:32">
      <c r="A110" s="58"/>
      <c r="B110" s="58"/>
      <c r="C110" s="58"/>
      <c r="D110" s="58"/>
      <c r="E110" s="58"/>
      <c r="F110" s="62"/>
      <c r="G110" s="63"/>
      <c r="H110" s="84"/>
      <c r="I110" s="61"/>
      <c r="J110" s="61"/>
      <c r="K110" s="61"/>
      <c r="L110" s="61"/>
      <c r="M110" s="103" t="str">
        <f t="shared" si="5"/>
        <v/>
      </c>
      <c r="N110" s="84"/>
      <c r="O110" s="61"/>
      <c r="P110" s="61"/>
      <c r="Q110" s="213"/>
      <c r="R110" s="64"/>
      <c r="S110" s="65" t="str">
        <f t="shared" si="6"/>
        <v/>
      </c>
      <c r="T110" s="104" t="str">
        <f t="shared" si="7"/>
        <v/>
      </c>
      <c r="U110" s="84"/>
      <c r="V110" s="61"/>
      <c r="W110" s="61"/>
      <c r="X110" s="61"/>
      <c r="Y110" s="61"/>
      <c r="Z110" s="73" t="str">
        <f t="shared" si="8"/>
        <v/>
      </c>
      <c r="AA110" s="61"/>
      <c r="AB110" s="106" t="str">
        <f t="shared" si="9"/>
        <v/>
      </c>
      <c r="AE110" s="107" t="str">
        <f>IF($S110="","",VLOOKUP($S110,'ORF Accuracy Value LookUp'!$A$4:$B$104,2,TRUE))</f>
        <v/>
      </c>
      <c r="AF110" s="108" t="str">
        <f>IF($Z110="","",VLOOKUP($Z110,'ORF Accuracy Value LookUp'!$D$4:$E$104,2,TRUE))</f>
        <v/>
      </c>
    </row>
    <row r="111" spans="1:32">
      <c r="A111" s="58"/>
      <c r="B111" s="58"/>
      <c r="C111" s="58"/>
      <c r="D111" s="58"/>
      <c r="E111" s="58"/>
      <c r="F111" s="62"/>
      <c r="G111" s="63"/>
      <c r="H111" s="84"/>
      <c r="I111" s="61"/>
      <c r="J111" s="61"/>
      <c r="K111" s="61"/>
      <c r="L111" s="61"/>
      <c r="M111" s="103" t="str">
        <f t="shared" si="5"/>
        <v/>
      </c>
      <c r="N111" s="84"/>
      <c r="O111" s="61"/>
      <c r="P111" s="61"/>
      <c r="Q111" s="213"/>
      <c r="R111" s="64"/>
      <c r="S111" s="65" t="str">
        <f t="shared" si="6"/>
        <v/>
      </c>
      <c r="T111" s="104" t="str">
        <f t="shared" si="7"/>
        <v/>
      </c>
      <c r="U111" s="84"/>
      <c r="V111" s="61"/>
      <c r="W111" s="61"/>
      <c r="X111" s="61"/>
      <c r="Y111" s="61"/>
      <c r="Z111" s="73" t="str">
        <f t="shared" si="8"/>
        <v/>
      </c>
      <c r="AA111" s="61"/>
      <c r="AB111" s="106" t="str">
        <f t="shared" si="9"/>
        <v/>
      </c>
      <c r="AE111" s="107" t="str">
        <f>IF($S111="","",VLOOKUP($S111,'ORF Accuracy Value LookUp'!$A$4:$B$104,2,TRUE))</f>
        <v/>
      </c>
      <c r="AF111" s="108" t="str">
        <f>IF($Z111="","",VLOOKUP($Z111,'ORF Accuracy Value LookUp'!$D$4:$E$104,2,TRUE))</f>
        <v/>
      </c>
    </row>
    <row r="112" spans="1:32">
      <c r="A112" s="58"/>
      <c r="B112" s="58"/>
      <c r="C112" s="58"/>
      <c r="D112" s="58"/>
      <c r="E112" s="58"/>
      <c r="F112" s="62"/>
      <c r="G112" s="63"/>
      <c r="H112" s="84"/>
      <c r="I112" s="61"/>
      <c r="J112" s="61"/>
      <c r="K112" s="61"/>
      <c r="L112" s="61"/>
      <c r="M112" s="103" t="str">
        <f t="shared" si="5"/>
        <v/>
      </c>
      <c r="N112" s="84"/>
      <c r="O112" s="61"/>
      <c r="P112" s="61"/>
      <c r="Q112" s="213"/>
      <c r="R112" s="64"/>
      <c r="S112" s="65" t="str">
        <f t="shared" si="6"/>
        <v/>
      </c>
      <c r="T112" s="104" t="str">
        <f t="shared" si="7"/>
        <v/>
      </c>
      <c r="U112" s="84"/>
      <c r="V112" s="61"/>
      <c r="W112" s="61"/>
      <c r="X112" s="61"/>
      <c r="Y112" s="61"/>
      <c r="Z112" s="73" t="str">
        <f t="shared" si="8"/>
        <v/>
      </c>
      <c r="AA112" s="61"/>
      <c r="AB112" s="106" t="str">
        <f t="shared" si="9"/>
        <v/>
      </c>
      <c r="AE112" s="107" t="str">
        <f>IF($S112="","",VLOOKUP($S112,'ORF Accuracy Value LookUp'!$A$4:$B$104,2,TRUE))</f>
        <v/>
      </c>
      <c r="AF112" s="108" t="str">
        <f>IF($Z112="","",VLOOKUP($Z112,'ORF Accuracy Value LookUp'!$D$4:$E$104,2,TRUE))</f>
        <v/>
      </c>
    </row>
    <row r="113" spans="1:32">
      <c r="A113" s="58"/>
      <c r="B113" s="58"/>
      <c r="C113" s="58"/>
      <c r="D113" s="58"/>
      <c r="E113" s="58"/>
      <c r="F113" s="62"/>
      <c r="G113" s="63"/>
      <c r="H113" s="84"/>
      <c r="I113" s="61"/>
      <c r="J113" s="61"/>
      <c r="K113" s="61"/>
      <c r="L113" s="61"/>
      <c r="M113" s="103" t="str">
        <f t="shared" si="5"/>
        <v/>
      </c>
      <c r="N113" s="84"/>
      <c r="O113" s="61"/>
      <c r="P113" s="61"/>
      <c r="Q113" s="213"/>
      <c r="R113" s="64"/>
      <c r="S113" s="65" t="str">
        <f t="shared" si="6"/>
        <v/>
      </c>
      <c r="T113" s="104" t="str">
        <f t="shared" si="7"/>
        <v/>
      </c>
      <c r="U113" s="84"/>
      <c r="V113" s="61"/>
      <c r="W113" s="61"/>
      <c r="X113" s="61"/>
      <c r="Y113" s="61"/>
      <c r="Z113" s="73" t="str">
        <f t="shared" si="8"/>
        <v/>
      </c>
      <c r="AA113" s="61"/>
      <c r="AB113" s="106" t="str">
        <f t="shared" si="9"/>
        <v/>
      </c>
      <c r="AE113" s="107" t="str">
        <f>IF($S113="","",VLOOKUP($S113,'ORF Accuracy Value LookUp'!$A$4:$B$104,2,TRUE))</f>
        <v/>
      </c>
      <c r="AF113" s="108" t="str">
        <f>IF($Z113="","",VLOOKUP($Z113,'ORF Accuracy Value LookUp'!$D$4:$E$104,2,TRUE))</f>
        <v/>
      </c>
    </row>
    <row r="114" spans="1:32">
      <c r="A114" s="58"/>
      <c r="B114" s="58"/>
      <c r="C114" s="58"/>
      <c r="D114" s="58"/>
      <c r="E114" s="58"/>
      <c r="F114" s="62"/>
      <c r="G114" s="63"/>
      <c r="H114" s="84"/>
      <c r="I114" s="61"/>
      <c r="J114" s="61"/>
      <c r="K114" s="61"/>
      <c r="L114" s="61"/>
      <c r="M114" s="103" t="str">
        <f t="shared" si="5"/>
        <v/>
      </c>
      <c r="N114" s="84"/>
      <c r="O114" s="61"/>
      <c r="P114" s="61"/>
      <c r="Q114" s="213"/>
      <c r="R114" s="64"/>
      <c r="S114" s="65" t="str">
        <f t="shared" si="6"/>
        <v/>
      </c>
      <c r="T114" s="104" t="str">
        <f t="shared" si="7"/>
        <v/>
      </c>
      <c r="U114" s="84"/>
      <c r="V114" s="61"/>
      <c r="W114" s="61"/>
      <c r="X114" s="61"/>
      <c r="Y114" s="61"/>
      <c r="Z114" s="73" t="str">
        <f t="shared" si="8"/>
        <v/>
      </c>
      <c r="AA114" s="61"/>
      <c r="AB114" s="106" t="str">
        <f t="shared" si="9"/>
        <v/>
      </c>
      <c r="AE114" s="107" t="str">
        <f>IF($S114="","",VLOOKUP($S114,'ORF Accuracy Value LookUp'!$A$4:$B$104,2,TRUE))</f>
        <v/>
      </c>
      <c r="AF114" s="108" t="str">
        <f>IF($Z114="","",VLOOKUP($Z114,'ORF Accuracy Value LookUp'!$D$4:$E$104,2,TRUE))</f>
        <v/>
      </c>
    </row>
    <row r="115" spans="1:32">
      <c r="A115" s="58"/>
      <c r="B115" s="58"/>
      <c r="C115" s="58"/>
      <c r="D115" s="58"/>
      <c r="E115" s="58"/>
      <c r="F115" s="62"/>
      <c r="G115" s="63"/>
      <c r="H115" s="84"/>
      <c r="I115" s="61"/>
      <c r="J115" s="61"/>
      <c r="K115" s="61"/>
      <c r="L115" s="61"/>
      <c r="M115" s="103" t="str">
        <f t="shared" si="5"/>
        <v/>
      </c>
      <c r="N115" s="84"/>
      <c r="O115" s="61"/>
      <c r="P115" s="61"/>
      <c r="Q115" s="213"/>
      <c r="R115" s="64"/>
      <c r="S115" s="65" t="str">
        <f t="shared" si="6"/>
        <v/>
      </c>
      <c r="T115" s="104" t="str">
        <f t="shared" si="7"/>
        <v/>
      </c>
      <c r="U115" s="84"/>
      <c r="V115" s="61"/>
      <c r="W115" s="61"/>
      <c r="X115" s="61"/>
      <c r="Y115" s="61"/>
      <c r="Z115" s="73" t="str">
        <f t="shared" si="8"/>
        <v/>
      </c>
      <c r="AA115" s="61"/>
      <c r="AB115" s="106" t="str">
        <f t="shared" si="9"/>
        <v/>
      </c>
      <c r="AE115" s="107" t="str">
        <f>IF($S115="","",VLOOKUP($S115,'ORF Accuracy Value LookUp'!$A$4:$B$104,2,TRUE))</f>
        <v/>
      </c>
      <c r="AF115" s="108" t="str">
        <f>IF($Z115="","",VLOOKUP($Z115,'ORF Accuracy Value LookUp'!$D$4:$E$104,2,TRUE))</f>
        <v/>
      </c>
    </row>
    <row r="116" spans="1:32">
      <c r="A116" s="58"/>
      <c r="B116" s="58"/>
      <c r="C116" s="58"/>
      <c r="D116" s="58"/>
      <c r="E116" s="58"/>
      <c r="F116" s="62"/>
      <c r="G116" s="63"/>
      <c r="H116" s="84"/>
      <c r="I116" s="61"/>
      <c r="J116" s="61"/>
      <c r="K116" s="61"/>
      <c r="L116" s="61"/>
      <c r="M116" s="103" t="str">
        <f t="shared" si="5"/>
        <v/>
      </c>
      <c r="N116" s="84"/>
      <c r="O116" s="61"/>
      <c r="P116" s="61"/>
      <c r="Q116" s="213"/>
      <c r="R116" s="64"/>
      <c r="S116" s="65" t="str">
        <f t="shared" si="6"/>
        <v/>
      </c>
      <c r="T116" s="104" t="str">
        <f t="shared" si="7"/>
        <v/>
      </c>
      <c r="U116" s="84"/>
      <c r="V116" s="61"/>
      <c r="W116" s="61"/>
      <c r="X116" s="61"/>
      <c r="Y116" s="61"/>
      <c r="Z116" s="73" t="str">
        <f t="shared" si="8"/>
        <v/>
      </c>
      <c r="AA116" s="61"/>
      <c r="AB116" s="106" t="str">
        <f t="shared" si="9"/>
        <v/>
      </c>
      <c r="AE116" s="107" t="str">
        <f>IF($S116="","",VLOOKUP($S116,'ORF Accuracy Value LookUp'!$A$4:$B$104,2,TRUE))</f>
        <v/>
      </c>
      <c r="AF116" s="108" t="str">
        <f>IF($Z116="","",VLOOKUP($Z116,'ORF Accuracy Value LookUp'!$D$4:$E$104,2,TRUE))</f>
        <v/>
      </c>
    </row>
    <row r="117" spans="1:32">
      <c r="A117" s="58"/>
      <c r="B117" s="58"/>
      <c r="C117" s="58"/>
      <c r="D117" s="58"/>
      <c r="E117" s="58"/>
      <c r="F117" s="62"/>
      <c r="G117" s="63"/>
      <c r="H117" s="84"/>
      <c r="I117" s="61"/>
      <c r="J117" s="61"/>
      <c r="K117" s="61"/>
      <c r="L117" s="61"/>
      <c r="M117" s="103" t="str">
        <f t="shared" si="5"/>
        <v/>
      </c>
      <c r="N117" s="84"/>
      <c r="O117" s="61"/>
      <c r="P117" s="61"/>
      <c r="Q117" s="213"/>
      <c r="R117" s="64"/>
      <c r="S117" s="65" t="str">
        <f t="shared" si="6"/>
        <v/>
      </c>
      <c r="T117" s="104" t="str">
        <f t="shared" si="7"/>
        <v/>
      </c>
      <c r="U117" s="84"/>
      <c r="V117" s="61"/>
      <c r="W117" s="61"/>
      <c r="X117" s="61"/>
      <c r="Y117" s="61"/>
      <c r="Z117" s="73" t="str">
        <f t="shared" si="8"/>
        <v/>
      </c>
      <c r="AA117" s="61"/>
      <c r="AB117" s="106" t="str">
        <f t="shared" si="9"/>
        <v/>
      </c>
      <c r="AE117" s="107" t="str">
        <f>IF($S117="","",VLOOKUP($S117,'ORF Accuracy Value LookUp'!$A$4:$B$104,2,TRUE))</f>
        <v/>
      </c>
      <c r="AF117" s="108" t="str">
        <f>IF($Z117="","",VLOOKUP($Z117,'ORF Accuracy Value LookUp'!$D$4:$E$104,2,TRUE))</f>
        <v/>
      </c>
    </row>
    <row r="118" spans="1:32">
      <c r="A118" s="58"/>
      <c r="B118" s="58"/>
      <c r="C118" s="58"/>
      <c r="D118" s="58"/>
      <c r="E118" s="58"/>
      <c r="F118" s="62"/>
      <c r="G118" s="63"/>
      <c r="H118" s="84"/>
      <c r="I118" s="61"/>
      <c r="J118" s="61"/>
      <c r="K118" s="61"/>
      <c r="L118" s="61"/>
      <c r="M118" s="103" t="str">
        <f t="shared" si="5"/>
        <v/>
      </c>
      <c r="N118" s="84"/>
      <c r="O118" s="61"/>
      <c r="P118" s="61"/>
      <c r="Q118" s="213"/>
      <c r="R118" s="64"/>
      <c r="S118" s="65" t="str">
        <f t="shared" si="6"/>
        <v/>
      </c>
      <c r="T118" s="104" t="str">
        <f t="shared" si="7"/>
        <v/>
      </c>
      <c r="U118" s="84"/>
      <c r="V118" s="61"/>
      <c r="W118" s="61"/>
      <c r="X118" s="61"/>
      <c r="Y118" s="61"/>
      <c r="Z118" s="73" t="str">
        <f t="shared" si="8"/>
        <v/>
      </c>
      <c r="AA118" s="61"/>
      <c r="AB118" s="106" t="str">
        <f t="shared" si="9"/>
        <v/>
      </c>
      <c r="AE118" s="107" t="str">
        <f>IF($S118="","",VLOOKUP($S118,'ORF Accuracy Value LookUp'!$A$4:$B$104,2,TRUE))</f>
        <v/>
      </c>
      <c r="AF118" s="108" t="str">
        <f>IF($Z118="","",VLOOKUP($Z118,'ORF Accuracy Value LookUp'!$D$4:$E$104,2,TRUE))</f>
        <v/>
      </c>
    </row>
    <row r="119" spans="1:32">
      <c r="A119" s="58"/>
      <c r="B119" s="58"/>
      <c r="C119" s="58"/>
      <c r="D119" s="58"/>
      <c r="E119" s="58"/>
      <c r="F119" s="62"/>
      <c r="G119" s="63"/>
      <c r="H119" s="84"/>
      <c r="I119" s="61"/>
      <c r="J119" s="61"/>
      <c r="K119" s="61"/>
      <c r="L119" s="61"/>
      <c r="M119" s="103" t="str">
        <f t="shared" si="5"/>
        <v/>
      </c>
      <c r="N119" s="84"/>
      <c r="O119" s="61"/>
      <c r="P119" s="61"/>
      <c r="Q119" s="213"/>
      <c r="R119" s="64"/>
      <c r="S119" s="65" t="str">
        <f t="shared" si="6"/>
        <v/>
      </c>
      <c r="T119" s="104" t="str">
        <f t="shared" si="7"/>
        <v/>
      </c>
      <c r="U119" s="84"/>
      <c r="V119" s="61"/>
      <c r="W119" s="61"/>
      <c r="X119" s="61"/>
      <c r="Y119" s="61"/>
      <c r="Z119" s="73" t="str">
        <f t="shared" si="8"/>
        <v/>
      </c>
      <c r="AA119" s="61"/>
      <c r="AB119" s="106" t="str">
        <f t="shared" si="9"/>
        <v/>
      </c>
      <c r="AE119" s="107" t="str">
        <f>IF($S119="","",VLOOKUP($S119,'ORF Accuracy Value LookUp'!$A$4:$B$104,2,TRUE))</f>
        <v/>
      </c>
      <c r="AF119" s="108" t="str">
        <f>IF($Z119="","",VLOOKUP($Z119,'ORF Accuracy Value LookUp'!$D$4:$E$104,2,TRUE))</f>
        <v/>
      </c>
    </row>
    <row r="120" spans="1:32">
      <c r="A120" s="58"/>
      <c r="B120" s="58"/>
      <c r="C120" s="58"/>
      <c r="D120" s="58"/>
      <c r="E120" s="58"/>
      <c r="F120" s="62"/>
      <c r="G120" s="63"/>
      <c r="H120" s="84"/>
      <c r="I120" s="61"/>
      <c r="J120" s="61"/>
      <c r="K120" s="61"/>
      <c r="L120" s="61"/>
      <c r="M120" s="103" t="str">
        <f t="shared" si="5"/>
        <v/>
      </c>
      <c r="N120" s="84"/>
      <c r="O120" s="61"/>
      <c r="P120" s="61"/>
      <c r="Q120" s="213"/>
      <c r="R120" s="64"/>
      <c r="S120" s="65" t="str">
        <f t="shared" si="6"/>
        <v/>
      </c>
      <c r="T120" s="104" t="str">
        <f t="shared" si="7"/>
        <v/>
      </c>
      <c r="U120" s="84"/>
      <c r="V120" s="61"/>
      <c r="W120" s="61"/>
      <c r="X120" s="61"/>
      <c r="Y120" s="61"/>
      <c r="Z120" s="73" t="str">
        <f t="shared" si="8"/>
        <v/>
      </c>
      <c r="AA120" s="61"/>
      <c r="AB120" s="106" t="str">
        <f t="shared" si="9"/>
        <v/>
      </c>
      <c r="AE120" s="107" t="str">
        <f>IF($S120="","",VLOOKUP($S120,'ORF Accuracy Value LookUp'!$A$4:$B$104,2,TRUE))</f>
        <v/>
      </c>
      <c r="AF120" s="108" t="str">
        <f>IF($Z120="","",VLOOKUP($Z120,'ORF Accuracy Value LookUp'!$D$4:$E$104,2,TRUE))</f>
        <v/>
      </c>
    </row>
    <row r="121" spans="1:32">
      <c r="A121" s="58"/>
      <c r="B121" s="58"/>
      <c r="C121" s="58"/>
      <c r="D121" s="58"/>
      <c r="E121" s="58"/>
      <c r="F121" s="62"/>
      <c r="G121" s="63"/>
      <c r="H121" s="84"/>
      <c r="I121" s="61"/>
      <c r="J121" s="61"/>
      <c r="K121" s="61"/>
      <c r="L121" s="61"/>
      <c r="M121" s="103" t="str">
        <f t="shared" si="5"/>
        <v/>
      </c>
      <c r="N121" s="84"/>
      <c r="O121" s="61"/>
      <c r="P121" s="61"/>
      <c r="Q121" s="213"/>
      <c r="R121" s="64"/>
      <c r="S121" s="65" t="str">
        <f t="shared" si="6"/>
        <v/>
      </c>
      <c r="T121" s="104" t="str">
        <f t="shared" si="7"/>
        <v/>
      </c>
      <c r="U121" s="84"/>
      <c r="V121" s="61"/>
      <c r="W121" s="61"/>
      <c r="X121" s="61"/>
      <c r="Y121" s="61"/>
      <c r="Z121" s="73" t="str">
        <f t="shared" si="8"/>
        <v/>
      </c>
      <c r="AA121" s="61"/>
      <c r="AB121" s="106" t="str">
        <f t="shared" si="9"/>
        <v/>
      </c>
      <c r="AE121" s="107" t="str">
        <f>IF($S121="","",VLOOKUP($S121,'ORF Accuracy Value LookUp'!$A$4:$B$104,2,TRUE))</f>
        <v/>
      </c>
      <c r="AF121" s="108" t="str">
        <f>IF($Z121="","",VLOOKUP($Z121,'ORF Accuracy Value LookUp'!$D$4:$E$104,2,TRUE))</f>
        <v/>
      </c>
    </row>
    <row r="122" spans="1:32">
      <c r="A122" s="58"/>
      <c r="B122" s="58"/>
      <c r="C122" s="58"/>
      <c r="D122" s="58"/>
      <c r="E122" s="58"/>
      <c r="F122" s="62"/>
      <c r="G122" s="63"/>
      <c r="H122" s="84"/>
      <c r="I122" s="61"/>
      <c r="J122" s="61"/>
      <c r="K122" s="61"/>
      <c r="L122" s="61"/>
      <c r="M122" s="103" t="str">
        <f t="shared" si="5"/>
        <v/>
      </c>
      <c r="N122" s="84"/>
      <c r="O122" s="61"/>
      <c r="P122" s="61"/>
      <c r="Q122" s="213"/>
      <c r="R122" s="64"/>
      <c r="S122" s="65" t="str">
        <f t="shared" si="6"/>
        <v/>
      </c>
      <c r="T122" s="104" t="str">
        <f t="shared" si="7"/>
        <v/>
      </c>
      <c r="U122" s="84"/>
      <c r="V122" s="61"/>
      <c r="W122" s="61"/>
      <c r="X122" s="61"/>
      <c r="Y122" s="61"/>
      <c r="Z122" s="73" t="str">
        <f t="shared" si="8"/>
        <v/>
      </c>
      <c r="AA122" s="61"/>
      <c r="AB122" s="106" t="str">
        <f t="shared" si="9"/>
        <v/>
      </c>
      <c r="AE122" s="107" t="str">
        <f>IF($S122="","",VLOOKUP($S122,'ORF Accuracy Value LookUp'!$A$4:$B$104,2,TRUE))</f>
        <v/>
      </c>
      <c r="AF122" s="108" t="str">
        <f>IF($Z122="","",VLOOKUP($Z122,'ORF Accuracy Value LookUp'!$D$4:$E$104,2,TRUE))</f>
        <v/>
      </c>
    </row>
    <row r="123" spans="1:32">
      <c r="A123" s="58"/>
      <c r="B123" s="58"/>
      <c r="C123" s="58"/>
      <c r="D123" s="58"/>
      <c r="E123" s="58"/>
      <c r="F123" s="62"/>
      <c r="G123" s="63"/>
      <c r="H123" s="84"/>
      <c r="I123" s="61"/>
      <c r="J123" s="61"/>
      <c r="K123" s="61"/>
      <c r="L123" s="61"/>
      <c r="M123" s="103" t="str">
        <f t="shared" si="5"/>
        <v/>
      </c>
      <c r="N123" s="84"/>
      <c r="O123" s="61"/>
      <c r="P123" s="61"/>
      <c r="Q123" s="213"/>
      <c r="R123" s="64"/>
      <c r="S123" s="65" t="str">
        <f t="shared" si="6"/>
        <v/>
      </c>
      <c r="T123" s="104" t="str">
        <f t="shared" si="7"/>
        <v/>
      </c>
      <c r="U123" s="84"/>
      <c r="V123" s="61"/>
      <c r="W123" s="61"/>
      <c r="X123" s="61"/>
      <c r="Y123" s="61"/>
      <c r="Z123" s="73" t="str">
        <f t="shared" si="8"/>
        <v/>
      </c>
      <c r="AA123" s="61"/>
      <c r="AB123" s="106" t="str">
        <f t="shared" si="9"/>
        <v/>
      </c>
      <c r="AE123" s="107" t="str">
        <f>IF($S123="","",VLOOKUP($S123,'ORF Accuracy Value LookUp'!$A$4:$B$104,2,TRUE))</f>
        <v/>
      </c>
      <c r="AF123" s="108" t="str">
        <f>IF($Z123="","",VLOOKUP($Z123,'ORF Accuracy Value LookUp'!$D$4:$E$104,2,TRUE))</f>
        <v/>
      </c>
    </row>
    <row r="124" spans="1:32">
      <c r="A124" s="58"/>
      <c r="B124" s="58"/>
      <c r="C124" s="58"/>
      <c r="D124" s="58"/>
      <c r="E124" s="58"/>
      <c r="F124" s="62"/>
      <c r="G124" s="63"/>
      <c r="H124" s="84"/>
      <c r="I124" s="61"/>
      <c r="J124" s="61"/>
      <c r="K124" s="61"/>
      <c r="L124" s="61"/>
      <c r="M124" s="103" t="str">
        <f t="shared" si="5"/>
        <v/>
      </c>
      <c r="N124" s="84"/>
      <c r="O124" s="61"/>
      <c r="P124" s="61"/>
      <c r="Q124" s="213"/>
      <c r="R124" s="64"/>
      <c r="S124" s="65" t="str">
        <f t="shared" si="6"/>
        <v/>
      </c>
      <c r="T124" s="104" t="str">
        <f t="shared" si="7"/>
        <v/>
      </c>
      <c r="U124" s="84"/>
      <c r="V124" s="61"/>
      <c r="W124" s="61"/>
      <c r="X124" s="61"/>
      <c r="Y124" s="61"/>
      <c r="Z124" s="73" t="str">
        <f t="shared" si="8"/>
        <v/>
      </c>
      <c r="AA124" s="61"/>
      <c r="AB124" s="106" t="str">
        <f t="shared" si="9"/>
        <v/>
      </c>
      <c r="AE124" s="107" t="str">
        <f>IF($S124="","",VLOOKUP($S124,'ORF Accuracy Value LookUp'!$A$4:$B$104,2,TRUE))</f>
        <v/>
      </c>
      <c r="AF124" s="108" t="str">
        <f>IF($Z124="","",VLOOKUP($Z124,'ORF Accuracy Value LookUp'!$D$4:$E$104,2,TRUE))</f>
        <v/>
      </c>
    </row>
    <row r="125" spans="1:32">
      <c r="A125" s="58"/>
      <c r="B125" s="58"/>
      <c r="C125" s="58"/>
      <c r="D125" s="58"/>
      <c r="E125" s="58"/>
      <c r="F125" s="62"/>
      <c r="G125" s="63"/>
      <c r="H125" s="84"/>
      <c r="I125" s="61"/>
      <c r="J125" s="61"/>
      <c r="K125" s="61"/>
      <c r="L125" s="61"/>
      <c r="M125" s="103" t="str">
        <f t="shared" si="5"/>
        <v/>
      </c>
      <c r="N125" s="84"/>
      <c r="O125" s="61"/>
      <c r="P125" s="61"/>
      <c r="Q125" s="213"/>
      <c r="R125" s="64"/>
      <c r="S125" s="65" t="str">
        <f t="shared" si="6"/>
        <v/>
      </c>
      <c r="T125" s="104" t="str">
        <f t="shared" si="7"/>
        <v/>
      </c>
      <c r="U125" s="84"/>
      <c r="V125" s="61"/>
      <c r="W125" s="61"/>
      <c r="X125" s="61"/>
      <c r="Y125" s="61"/>
      <c r="Z125" s="73" t="str">
        <f t="shared" si="8"/>
        <v/>
      </c>
      <c r="AA125" s="61"/>
      <c r="AB125" s="106" t="str">
        <f t="shared" si="9"/>
        <v/>
      </c>
      <c r="AE125" s="107" t="str">
        <f>IF($S125="","",VLOOKUP($S125,'ORF Accuracy Value LookUp'!$A$4:$B$104,2,TRUE))</f>
        <v/>
      </c>
      <c r="AF125" s="108" t="str">
        <f>IF($Z125="","",VLOOKUP($Z125,'ORF Accuracy Value LookUp'!$D$4:$E$104,2,TRUE))</f>
        <v/>
      </c>
    </row>
    <row r="126" spans="1:32">
      <c r="A126" s="58"/>
      <c r="B126" s="58"/>
      <c r="C126" s="58"/>
      <c r="D126" s="58"/>
      <c r="E126" s="58"/>
      <c r="F126" s="62"/>
      <c r="G126" s="63"/>
      <c r="H126" s="84"/>
      <c r="I126" s="61"/>
      <c r="J126" s="61"/>
      <c r="K126" s="61"/>
      <c r="L126" s="61"/>
      <c r="M126" s="103" t="str">
        <f t="shared" si="5"/>
        <v/>
      </c>
      <c r="N126" s="84"/>
      <c r="O126" s="61"/>
      <c r="P126" s="61"/>
      <c r="Q126" s="213"/>
      <c r="R126" s="64"/>
      <c r="S126" s="65" t="str">
        <f t="shared" si="6"/>
        <v/>
      </c>
      <c r="T126" s="104" t="str">
        <f t="shared" si="7"/>
        <v/>
      </c>
      <c r="U126" s="84"/>
      <c r="V126" s="61"/>
      <c r="W126" s="61"/>
      <c r="X126" s="61"/>
      <c r="Y126" s="61"/>
      <c r="Z126" s="73" t="str">
        <f t="shared" si="8"/>
        <v/>
      </c>
      <c r="AA126" s="61"/>
      <c r="AB126" s="106" t="str">
        <f t="shared" si="9"/>
        <v/>
      </c>
      <c r="AE126" s="107" t="str">
        <f>IF($S126="","",VLOOKUP($S126,'ORF Accuracy Value LookUp'!$A$4:$B$104,2,TRUE))</f>
        <v/>
      </c>
      <c r="AF126" s="108" t="str">
        <f>IF($Z126="","",VLOOKUP($Z126,'ORF Accuracy Value LookUp'!$D$4:$E$104,2,TRUE))</f>
        <v/>
      </c>
    </row>
    <row r="127" spans="1:32">
      <c r="A127" s="58"/>
      <c r="B127" s="58"/>
      <c r="C127" s="58"/>
      <c r="D127" s="58"/>
      <c r="E127" s="58"/>
      <c r="F127" s="62"/>
      <c r="G127" s="63"/>
      <c r="H127" s="84"/>
      <c r="I127" s="61"/>
      <c r="J127" s="61"/>
      <c r="K127" s="61"/>
      <c r="L127" s="61"/>
      <c r="M127" s="103" t="str">
        <f t="shared" si="5"/>
        <v/>
      </c>
      <c r="N127" s="84"/>
      <c r="O127" s="61"/>
      <c r="P127" s="61"/>
      <c r="Q127" s="213"/>
      <c r="R127" s="64"/>
      <c r="S127" s="65" t="str">
        <f t="shared" si="6"/>
        <v/>
      </c>
      <c r="T127" s="104" t="str">
        <f t="shared" si="7"/>
        <v/>
      </c>
      <c r="U127" s="84"/>
      <c r="V127" s="61"/>
      <c r="W127" s="61"/>
      <c r="X127" s="61"/>
      <c r="Y127" s="61"/>
      <c r="Z127" s="73" t="str">
        <f t="shared" si="8"/>
        <v/>
      </c>
      <c r="AA127" s="61"/>
      <c r="AB127" s="106" t="str">
        <f t="shared" si="9"/>
        <v/>
      </c>
      <c r="AE127" s="107" t="str">
        <f>IF($S127="","",VLOOKUP($S127,'ORF Accuracy Value LookUp'!$A$4:$B$104,2,TRUE))</f>
        <v/>
      </c>
      <c r="AF127" s="108" t="str">
        <f>IF($Z127="","",VLOOKUP($Z127,'ORF Accuracy Value LookUp'!$D$4:$E$104,2,TRUE))</f>
        <v/>
      </c>
    </row>
    <row r="128" spans="1:32">
      <c r="A128" s="58"/>
      <c r="B128" s="58"/>
      <c r="C128" s="58"/>
      <c r="D128" s="58"/>
      <c r="E128" s="58"/>
      <c r="F128" s="62"/>
      <c r="G128" s="63"/>
      <c r="H128" s="84"/>
      <c r="I128" s="61"/>
      <c r="J128" s="61"/>
      <c r="K128" s="61"/>
      <c r="L128" s="61"/>
      <c r="M128" s="103" t="str">
        <f t="shared" si="5"/>
        <v/>
      </c>
      <c r="N128" s="84"/>
      <c r="O128" s="61"/>
      <c r="P128" s="61"/>
      <c r="Q128" s="213"/>
      <c r="R128" s="64"/>
      <c r="S128" s="65" t="str">
        <f t="shared" si="6"/>
        <v/>
      </c>
      <c r="T128" s="104" t="str">
        <f t="shared" si="7"/>
        <v/>
      </c>
      <c r="U128" s="84"/>
      <c r="V128" s="61"/>
      <c r="W128" s="61"/>
      <c r="X128" s="61"/>
      <c r="Y128" s="61"/>
      <c r="Z128" s="73" t="str">
        <f t="shared" si="8"/>
        <v/>
      </c>
      <c r="AA128" s="61"/>
      <c r="AB128" s="106" t="str">
        <f t="shared" si="9"/>
        <v/>
      </c>
      <c r="AE128" s="107" t="str">
        <f>IF($S128="","",VLOOKUP($S128,'ORF Accuracy Value LookUp'!$A$4:$B$104,2,TRUE))</f>
        <v/>
      </c>
      <c r="AF128" s="108" t="str">
        <f>IF($Z128="","",VLOOKUP($Z128,'ORF Accuracy Value LookUp'!$D$4:$E$104,2,TRUE))</f>
        <v/>
      </c>
    </row>
    <row r="129" spans="1:32">
      <c r="A129" s="58"/>
      <c r="B129" s="58"/>
      <c r="C129" s="58"/>
      <c r="D129" s="58"/>
      <c r="E129" s="58"/>
      <c r="F129" s="62"/>
      <c r="G129" s="63"/>
      <c r="H129" s="84"/>
      <c r="I129" s="61"/>
      <c r="J129" s="61"/>
      <c r="K129" s="61"/>
      <c r="L129" s="61"/>
      <c r="M129" s="103" t="str">
        <f t="shared" si="5"/>
        <v/>
      </c>
      <c r="N129" s="84"/>
      <c r="O129" s="61"/>
      <c r="P129" s="61"/>
      <c r="Q129" s="213"/>
      <c r="R129" s="64"/>
      <c r="S129" s="65" t="str">
        <f t="shared" si="6"/>
        <v/>
      </c>
      <c r="T129" s="104" t="str">
        <f t="shared" si="7"/>
        <v/>
      </c>
      <c r="U129" s="84"/>
      <c r="V129" s="61"/>
      <c r="W129" s="61"/>
      <c r="X129" s="61"/>
      <c r="Y129" s="61"/>
      <c r="Z129" s="73" t="str">
        <f t="shared" si="8"/>
        <v/>
      </c>
      <c r="AA129" s="61"/>
      <c r="AB129" s="106" t="str">
        <f t="shared" si="9"/>
        <v/>
      </c>
      <c r="AE129" s="107" t="str">
        <f>IF($S129="","",VLOOKUP($S129,'ORF Accuracy Value LookUp'!$A$4:$B$104,2,TRUE))</f>
        <v/>
      </c>
      <c r="AF129" s="108" t="str">
        <f>IF($Z129="","",VLOOKUP($Z129,'ORF Accuracy Value LookUp'!$D$4:$E$104,2,TRUE))</f>
        <v/>
      </c>
    </row>
    <row r="130" spans="1:32">
      <c r="A130" s="58"/>
      <c r="B130" s="58"/>
      <c r="C130" s="58"/>
      <c r="D130" s="58"/>
      <c r="E130" s="58"/>
      <c r="F130" s="62"/>
      <c r="G130" s="63"/>
      <c r="H130" s="84"/>
      <c r="I130" s="61"/>
      <c r="J130" s="61"/>
      <c r="K130" s="61"/>
      <c r="L130" s="61"/>
      <c r="M130" s="103" t="str">
        <f t="shared" si="5"/>
        <v/>
      </c>
      <c r="N130" s="84"/>
      <c r="O130" s="61"/>
      <c r="P130" s="61"/>
      <c r="Q130" s="213"/>
      <c r="R130" s="64"/>
      <c r="S130" s="65" t="str">
        <f t="shared" si="6"/>
        <v/>
      </c>
      <c r="T130" s="104" t="str">
        <f t="shared" si="7"/>
        <v/>
      </c>
      <c r="U130" s="84"/>
      <c r="V130" s="61"/>
      <c r="W130" s="61"/>
      <c r="X130" s="61"/>
      <c r="Y130" s="61"/>
      <c r="Z130" s="73" t="str">
        <f t="shared" si="8"/>
        <v/>
      </c>
      <c r="AA130" s="61"/>
      <c r="AB130" s="106" t="str">
        <f t="shared" si="9"/>
        <v/>
      </c>
      <c r="AE130" s="107" t="str">
        <f>IF($S130="","",VLOOKUP($S130,'ORF Accuracy Value LookUp'!$A$4:$B$104,2,TRUE))</f>
        <v/>
      </c>
      <c r="AF130" s="108" t="str">
        <f>IF($Z130="","",VLOOKUP($Z130,'ORF Accuracy Value LookUp'!$D$4:$E$104,2,TRUE))</f>
        <v/>
      </c>
    </row>
    <row r="131" spans="1:32">
      <c r="A131" s="58"/>
      <c r="B131" s="58"/>
      <c r="C131" s="58"/>
      <c r="D131" s="58"/>
      <c r="E131" s="58"/>
      <c r="F131" s="62"/>
      <c r="G131" s="63"/>
      <c r="H131" s="84"/>
      <c r="I131" s="61"/>
      <c r="J131" s="61"/>
      <c r="K131" s="61"/>
      <c r="L131" s="61"/>
      <c r="M131" s="103" t="str">
        <f t="shared" ref="M131:M194" si="10">IF($B131="","",SUM($I131:$K131))</f>
        <v/>
      </c>
      <c r="N131" s="84"/>
      <c r="O131" s="61"/>
      <c r="P131" s="61"/>
      <c r="Q131" s="213"/>
      <c r="R131" s="64"/>
      <c r="S131" s="65" t="str">
        <f t="shared" ref="S131:S194" si="11">IF($Q131="","",SUM($Q131/($Q131+$R131)))</f>
        <v/>
      </c>
      <c r="T131" s="104" t="str">
        <f t="shared" si="7"/>
        <v/>
      </c>
      <c r="U131" s="84"/>
      <c r="V131" s="61"/>
      <c r="W131" s="61"/>
      <c r="X131" s="61"/>
      <c r="Y131" s="61"/>
      <c r="Z131" s="73" t="str">
        <f t="shared" si="8"/>
        <v/>
      </c>
      <c r="AA131" s="61"/>
      <c r="AB131" s="106" t="str">
        <f t="shared" si="9"/>
        <v/>
      </c>
      <c r="AE131" s="107" t="str">
        <f>IF($S131="","",VLOOKUP($S131,'ORF Accuracy Value LookUp'!$A$4:$B$104,2,TRUE))</f>
        <v/>
      </c>
      <c r="AF131" s="108" t="str">
        <f>IF($Z131="","",VLOOKUP($Z131,'ORF Accuracy Value LookUp'!$D$4:$E$104,2,TRUE))</f>
        <v/>
      </c>
    </row>
    <row r="132" spans="1:32">
      <c r="A132" s="58"/>
      <c r="B132" s="58"/>
      <c r="C132" s="58"/>
      <c r="D132" s="58"/>
      <c r="E132" s="58"/>
      <c r="F132" s="62"/>
      <c r="G132" s="63"/>
      <c r="H132" s="84"/>
      <c r="I132" s="61"/>
      <c r="J132" s="61"/>
      <c r="K132" s="61"/>
      <c r="L132" s="61"/>
      <c r="M132" s="103" t="str">
        <f t="shared" si="10"/>
        <v/>
      </c>
      <c r="N132" s="84"/>
      <c r="O132" s="61"/>
      <c r="P132" s="61"/>
      <c r="Q132" s="213"/>
      <c r="R132" s="64"/>
      <c r="S132" s="65" t="str">
        <f t="shared" si="11"/>
        <v/>
      </c>
      <c r="T132" s="104" t="str">
        <f t="shared" ref="T132:T195" si="12">IF($N132="","",SUM($O132:$Q132,$AE133))</f>
        <v/>
      </c>
      <c r="U132" s="84"/>
      <c r="V132" s="61"/>
      <c r="W132" s="61"/>
      <c r="X132" s="61"/>
      <c r="Y132" s="61"/>
      <c r="Z132" s="73" t="str">
        <f t="shared" ref="Z132:Z195" si="13">IF($X132="","",SUM($X132/($X132+$Y132)))</f>
        <v/>
      </c>
      <c r="AA132" s="61"/>
      <c r="AB132" s="106" t="str">
        <f t="shared" ref="AB132:AB195" si="14">IF($U132="","",SUM(($W132*2)+$X132+$AF132))</f>
        <v/>
      </c>
      <c r="AE132" s="107" t="str">
        <f>IF($S132="","",VLOOKUP($S132,'ORF Accuracy Value LookUp'!$A$4:$B$104,2,TRUE))</f>
        <v/>
      </c>
      <c r="AF132" s="108" t="str">
        <f>IF($Z132="","",VLOOKUP($Z132,'ORF Accuracy Value LookUp'!$D$4:$E$104,2,TRUE))</f>
        <v/>
      </c>
    </row>
    <row r="133" spans="1:32">
      <c r="A133" s="58"/>
      <c r="B133" s="58"/>
      <c r="C133" s="58"/>
      <c r="D133" s="58"/>
      <c r="E133" s="58"/>
      <c r="F133" s="62"/>
      <c r="G133" s="63"/>
      <c r="H133" s="84"/>
      <c r="I133" s="61"/>
      <c r="J133" s="61"/>
      <c r="K133" s="61"/>
      <c r="L133" s="61"/>
      <c r="M133" s="103" t="str">
        <f t="shared" si="10"/>
        <v/>
      </c>
      <c r="N133" s="84"/>
      <c r="O133" s="61"/>
      <c r="P133" s="61"/>
      <c r="Q133" s="213"/>
      <c r="R133" s="64"/>
      <c r="S133" s="65" t="str">
        <f t="shared" si="11"/>
        <v/>
      </c>
      <c r="T133" s="104" t="str">
        <f t="shared" si="12"/>
        <v/>
      </c>
      <c r="U133" s="84"/>
      <c r="V133" s="61"/>
      <c r="W133" s="61"/>
      <c r="X133" s="61"/>
      <c r="Y133" s="61"/>
      <c r="Z133" s="73" t="str">
        <f t="shared" si="13"/>
        <v/>
      </c>
      <c r="AA133" s="61"/>
      <c r="AB133" s="106" t="str">
        <f t="shared" si="14"/>
        <v/>
      </c>
      <c r="AE133" s="107" t="str">
        <f>IF($S133="","",VLOOKUP($S133,'ORF Accuracy Value LookUp'!$A$4:$B$104,2,TRUE))</f>
        <v/>
      </c>
      <c r="AF133" s="108" t="str">
        <f>IF($Z133="","",VLOOKUP($Z133,'ORF Accuracy Value LookUp'!$D$4:$E$104,2,TRUE))</f>
        <v/>
      </c>
    </row>
    <row r="134" spans="1:32">
      <c r="A134" s="58"/>
      <c r="B134" s="58"/>
      <c r="C134" s="58"/>
      <c r="D134" s="58"/>
      <c r="E134" s="58"/>
      <c r="F134" s="62"/>
      <c r="G134" s="63"/>
      <c r="H134" s="84"/>
      <c r="I134" s="61"/>
      <c r="J134" s="61"/>
      <c r="K134" s="61"/>
      <c r="L134" s="61"/>
      <c r="M134" s="103" t="str">
        <f t="shared" si="10"/>
        <v/>
      </c>
      <c r="N134" s="84"/>
      <c r="O134" s="61"/>
      <c r="P134" s="61"/>
      <c r="Q134" s="213"/>
      <c r="R134" s="64"/>
      <c r="S134" s="65" t="str">
        <f t="shared" si="11"/>
        <v/>
      </c>
      <c r="T134" s="104" t="str">
        <f t="shared" si="12"/>
        <v/>
      </c>
      <c r="U134" s="84"/>
      <c r="V134" s="61"/>
      <c r="W134" s="61"/>
      <c r="X134" s="61"/>
      <c r="Y134" s="61"/>
      <c r="Z134" s="73" t="str">
        <f t="shared" si="13"/>
        <v/>
      </c>
      <c r="AA134" s="61"/>
      <c r="AB134" s="106" t="str">
        <f t="shared" si="14"/>
        <v/>
      </c>
      <c r="AE134" s="107" t="str">
        <f>IF($S134="","",VLOOKUP($S134,'ORF Accuracy Value LookUp'!$A$4:$B$104,2,TRUE))</f>
        <v/>
      </c>
      <c r="AF134" s="108" t="str">
        <f>IF($Z134="","",VLOOKUP($Z134,'ORF Accuracy Value LookUp'!$D$4:$E$104,2,TRUE))</f>
        <v/>
      </c>
    </row>
    <row r="135" spans="1:32">
      <c r="A135" s="58"/>
      <c r="B135" s="58"/>
      <c r="C135" s="58"/>
      <c r="D135" s="58"/>
      <c r="E135" s="58"/>
      <c r="F135" s="62"/>
      <c r="G135" s="63"/>
      <c r="H135" s="84"/>
      <c r="I135" s="61"/>
      <c r="J135" s="61"/>
      <c r="K135" s="61"/>
      <c r="L135" s="61"/>
      <c r="M135" s="103" t="str">
        <f t="shared" si="10"/>
        <v/>
      </c>
      <c r="N135" s="84"/>
      <c r="O135" s="61"/>
      <c r="P135" s="61"/>
      <c r="Q135" s="213"/>
      <c r="R135" s="64"/>
      <c r="S135" s="65" t="str">
        <f t="shared" si="11"/>
        <v/>
      </c>
      <c r="T135" s="104" t="str">
        <f t="shared" si="12"/>
        <v/>
      </c>
      <c r="U135" s="84"/>
      <c r="V135" s="61"/>
      <c r="W135" s="61"/>
      <c r="X135" s="61"/>
      <c r="Y135" s="61"/>
      <c r="Z135" s="73" t="str">
        <f t="shared" si="13"/>
        <v/>
      </c>
      <c r="AA135" s="61"/>
      <c r="AB135" s="106" t="str">
        <f t="shared" si="14"/>
        <v/>
      </c>
      <c r="AE135" s="107" t="str">
        <f>IF($S135="","",VLOOKUP($S135,'ORF Accuracy Value LookUp'!$A$4:$B$104,2,TRUE))</f>
        <v/>
      </c>
      <c r="AF135" s="108" t="str">
        <f>IF($Z135="","",VLOOKUP($Z135,'ORF Accuracy Value LookUp'!$D$4:$E$104,2,TRUE))</f>
        <v/>
      </c>
    </row>
    <row r="136" spans="1:32">
      <c r="A136" s="58"/>
      <c r="B136" s="58"/>
      <c r="C136" s="58"/>
      <c r="D136" s="58"/>
      <c r="E136" s="58"/>
      <c r="F136" s="62"/>
      <c r="G136" s="63"/>
      <c r="H136" s="84"/>
      <c r="I136" s="61"/>
      <c r="J136" s="61"/>
      <c r="K136" s="61"/>
      <c r="L136" s="61"/>
      <c r="M136" s="103" t="str">
        <f t="shared" si="10"/>
        <v/>
      </c>
      <c r="N136" s="84"/>
      <c r="O136" s="61"/>
      <c r="P136" s="61"/>
      <c r="Q136" s="213"/>
      <c r="R136" s="64"/>
      <c r="S136" s="65" t="str">
        <f t="shared" si="11"/>
        <v/>
      </c>
      <c r="T136" s="104" t="str">
        <f t="shared" si="12"/>
        <v/>
      </c>
      <c r="U136" s="84"/>
      <c r="V136" s="61"/>
      <c r="W136" s="61"/>
      <c r="X136" s="61"/>
      <c r="Y136" s="61"/>
      <c r="Z136" s="73" t="str">
        <f t="shared" si="13"/>
        <v/>
      </c>
      <c r="AA136" s="61"/>
      <c r="AB136" s="106" t="str">
        <f t="shared" si="14"/>
        <v/>
      </c>
      <c r="AE136" s="107" t="str">
        <f>IF($S136="","",VLOOKUP($S136,'ORF Accuracy Value LookUp'!$A$4:$B$104,2,TRUE))</f>
        <v/>
      </c>
      <c r="AF136" s="108" t="str">
        <f>IF($Z136="","",VLOOKUP($Z136,'ORF Accuracy Value LookUp'!$D$4:$E$104,2,TRUE))</f>
        <v/>
      </c>
    </row>
    <row r="137" spans="1:32">
      <c r="A137" s="58"/>
      <c r="B137" s="58"/>
      <c r="C137" s="58"/>
      <c r="D137" s="58"/>
      <c r="E137" s="58"/>
      <c r="F137" s="62"/>
      <c r="G137" s="63"/>
      <c r="H137" s="84"/>
      <c r="I137" s="61"/>
      <c r="J137" s="61"/>
      <c r="K137" s="61"/>
      <c r="L137" s="61"/>
      <c r="M137" s="103" t="str">
        <f t="shared" si="10"/>
        <v/>
      </c>
      <c r="N137" s="84"/>
      <c r="O137" s="61"/>
      <c r="P137" s="61"/>
      <c r="Q137" s="213"/>
      <c r="R137" s="64"/>
      <c r="S137" s="65" t="str">
        <f t="shared" si="11"/>
        <v/>
      </c>
      <c r="T137" s="104" t="str">
        <f t="shared" si="12"/>
        <v/>
      </c>
      <c r="U137" s="84"/>
      <c r="V137" s="61"/>
      <c r="W137" s="61"/>
      <c r="X137" s="61"/>
      <c r="Y137" s="61"/>
      <c r="Z137" s="73" t="str">
        <f t="shared" si="13"/>
        <v/>
      </c>
      <c r="AA137" s="61"/>
      <c r="AB137" s="106" t="str">
        <f t="shared" si="14"/>
        <v/>
      </c>
      <c r="AE137" s="107" t="str">
        <f>IF($S137="","",VLOOKUP($S137,'ORF Accuracy Value LookUp'!$A$4:$B$104,2,TRUE))</f>
        <v/>
      </c>
      <c r="AF137" s="108" t="str">
        <f>IF($Z137="","",VLOOKUP($Z137,'ORF Accuracy Value LookUp'!$D$4:$E$104,2,TRUE))</f>
        <v/>
      </c>
    </row>
    <row r="138" spans="1:32">
      <c r="A138" s="58"/>
      <c r="B138" s="58"/>
      <c r="C138" s="58"/>
      <c r="D138" s="58"/>
      <c r="E138" s="58"/>
      <c r="F138" s="62"/>
      <c r="G138" s="63"/>
      <c r="H138" s="84"/>
      <c r="I138" s="61"/>
      <c r="J138" s="61"/>
      <c r="K138" s="61"/>
      <c r="L138" s="61"/>
      <c r="M138" s="103" t="str">
        <f t="shared" si="10"/>
        <v/>
      </c>
      <c r="N138" s="84"/>
      <c r="O138" s="61"/>
      <c r="P138" s="61"/>
      <c r="Q138" s="213"/>
      <c r="R138" s="64"/>
      <c r="S138" s="65" t="str">
        <f t="shared" si="11"/>
        <v/>
      </c>
      <c r="T138" s="104" t="str">
        <f t="shared" si="12"/>
        <v/>
      </c>
      <c r="U138" s="84"/>
      <c r="V138" s="61"/>
      <c r="W138" s="61"/>
      <c r="X138" s="61"/>
      <c r="Y138" s="61"/>
      <c r="Z138" s="73" t="str">
        <f t="shared" si="13"/>
        <v/>
      </c>
      <c r="AA138" s="61"/>
      <c r="AB138" s="106" t="str">
        <f t="shared" si="14"/>
        <v/>
      </c>
      <c r="AE138" s="107" t="str">
        <f>IF($S138="","",VLOOKUP($S138,'ORF Accuracy Value LookUp'!$A$4:$B$104,2,TRUE))</f>
        <v/>
      </c>
      <c r="AF138" s="108" t="str">
        <f>IF($Z138="","",VLOOKUP($Z138,'ORF Accuracy Value LookUp'!$D$4:$E$104,2,TRUE))</f>
        <v/>
      </c>
    </row>
    <row r="139" spans="1:32">
      <c r="A139" s="58"/>
      <c r="B139" s="58"/>
      <c r="C139" s="58"/>
      <c r="D139" s="58"/>
      <c r="E139" s="58"/>
      <c r="F139" s="62"/>
      <c r="G139" s="63"/>
      <c r="H139" s="84"/>
      <c r="I139" s="61"/>
      <c r="J139" s="61"/>
      <c r="K139" s="61"/>
      <c r="L139" s="61"/>
      <c r="M139" s="103" t="str">
        <f t="shared" si="10"/>
        <v/>
      </c>
      <c r="N139" s="84"/>
      <c r="O139" s="61"/>
      <c r="P139" s="61"/>
      <c r="Q139" s="213"/>
      <c r="R139" s="64"/>
      <c r="S139" s="65" t="str">
        <f t="shared" si="11"/>
        <v/>
      </c>
      <c r="T139" s="104" t="str">
        <f t="shared" si="12"/>
        <v/>
      </c>
      <c r="U139" s="84"/>
      <c r="V139" s="61"/>
      <c r="W139" s="61"/>
      <c r="X139" s="61"/>
      <c r="Y139" s="61"/>
      <c r="Z139" s="73" t="str">
        <f t="shared" si="13"/>
        <v/>
      </c>
      <c r="AA139" s="61"/>
      <c r="AB139" s="106" t="str">
        <f t="shared" si="14"/>
        <v/>
      </c>
      <c r="AE139" s="107" t="str">
        <f>IF($S139="","",VLOOKUP($S139,'ORF Accuracy Value LookUp'!$A$4:$B$104,2,TRUE))</f>
        <v/>
      </c>
      <c r="AF139" s="108" t="str">
        <f>IF($Z139="","",VLOOKUP($Z139,'ORF Accuracy Value LookUp'!$D$4:$E$104,2,TRUE))</f>
        <v/>
      </c>
    </row>
    <row r="140" spans="1:32">
      <c r="A140" s="58"/>
      <c r="B140" s="58"/>
      <c r="C140" s="58"/>
      <c r="D140" s="58"/>
      <c r="E140" s="58"/>
      <c r="F140" s="62"/>
      <c r="G140" s="63"/>
      <c r="H140" s="84"/>
      <c r="I140" s="61"/>
      <c r="J140" s="61"/>
      <c r="K140" s="61"/>
      <c r="L140" s="61"/>
      <c r="M140" s="103" t="str">
        <f t="shared" si="10"/>
        <v/>
      </c>
      <c r="N140" s="84"/>
      <c r="O140" s="61"/>
      <c r="P140" s="61"/>
      <c r="Q140" s="213"/>
      <c r="R140" s="64"/>
      <c r="S140" s="65" t="str">
        <f t="shared" si="11"/>
        <v/>
      </c>
      <c r="T140" s="104" t="str">
        <f t="shared" si="12"/>
        <v/>
      </c>
      <c r="U140" s="84"/>
      <c r="V140" s="61"/>
      <c r="W140" s="61"/>
      <c r="X140" s="61"/>
      <c r="Y140" s="61"/>
      <c r="Z140" s="73" t="str">
        <f t="shared" si="13"/>
        <v/>
      </c>
      <c r="AA140" s="61"/>
      <c r="AB140" s="106" t="str">
        <f t="shared" si="14"/>
        <v/>
      </c>
      <c r="AE140" s="107" t="str">
        <f>IF($S140="","",VLOOKUP($S140,'ORF Accuracy Value LookUp'!$A$4:$B$104,2,TRUE))</f>
        <v/>
      </c>
      <c r="AF140" s="108" t="str">
        <f>IF($Z140="","",VLOOKUP($Z140,'ORF Accuracy Value LookUp'!$D$4:$E$104,2,TRUE))</f>
        <v/>
      </c>
    </row>
    <row r="141" spans="1:32">
      <c r="A141" s="58"/>
      <c r="B141" s="58"/>
      <c r="C141" s="58"/>
      <c r="D141" s="58"/>
      <c r="E141" s="58"/>
      <c r="F141" s="62"/>
      <c r="G141" s="63"/>
      <c r="H141" s="84"/>
      <c r="I141" s="61"/>
      <c r="J141" s="61"/>
      <c r="K141" s="61"/>
      <c r="L141" s="61"/>
      <c r="M141" s="103" t="str">
        <f t="shared" si="10"/>
        <v/>
      </c>
      <c r="N141" s="84"/>
      <c r="O141" s="61"/>
      <c r="P141" s="61"/>
      <c r="Q141" s="213"/>
      <c r="R141" s="64"/>
      <c r="S141" s="65" t="str">
        <f t="shared" si="11"/>
        <v/>
      </c>
      <c r="T141" s="104" t="str">
        <f t="shared" si="12"/>
        <v/>
      </c>
      <c r="U141" s="84"/>
      <c r="V141" s="61"/>
      <c r="W141" s="61"/>
      <c r="X141" s="61"/>
      <c r="Y141" s="61"/>
      <c r="Z141" s="73" t="str">
        <f t="shared" si="13"/>
        <v/>
      </c>
      <c r="AA141" s="61"/>
      <c r="AB141" s="106" t="str">
        <f t="shared" si="14"/>
        <v/>
      </c>
      <c r="AE141" s="107" t="str">
        <f>IF($S141="","",VLOOKUP($S141,'ORF Accuracy Value LookUp'!$A$4:$B$104,2,TRUE))</f>
        <v/>
      </c>
      <c r="AF141" s="108" t="str">
        <f>IF($Z141="","",VLOOKUP($Z141,'ORF Accuracy Value LookUp'!$D$4:$E$104,2,TRUE))</f>
        <v/>
      </c>
    </row>
    <row r="142" spans="1:32">
      <c r="A142" s="58"/>
      <c r="B142" s="58"/>
      <c r="C142" s="58"/>
      <c r="D142" s="58"/>
      <c r="E142" s="58"/>
      <c r="F142" s="62"/>
      <c r="G142" s="63"/>
      <c r="H142" s="84"/>
      <c r="I142" s="61"/>
      <c r="J142" s="61"/>
      <c r="K142" s="61"/>
      <c r="L142" s="61"/>
      <c r="M142" s="103" t="str">
        <f t="shared" si="10"/>
        <v/>
      </c>
      <c r="N142" s="84"/>
      <c r="O142" s="61"/>
      <c r="P142" s="61"/>
      <c r="Q142" s="213"/>
      <c r="R142" s="64"/>
      <c r="S142" s="65" t="str">
        <f t="shared" si="11"/>
        <v/>
      </c>
      <c r="T142" s="104" t="str">
        <f t="shared" si="12"/>
        <v/>
      </c>
      <c r="U142" s="84"/>
      <c r="V142" s="61"/>
      <c r="W142" s="61"/>
      <c r="X142" s="61"/>
      <c r="Y142" s="61"/>
      <c r="Z142" s="73" t="str">
        <f t="shared" si="13"/>
        <v/>
      </c>
      <c r="AA142" s="61"/>
      <c r="AB142" s="106" t="str">
        <f t="shared" si="14"/>
        <v/>
      </c>
      <c r="AE142" s="107" t="str">
        <f>IF($S142="","",VLOOKUP($S142,'ORF Accuracy Value LookUp'!$A$4:$B$104,2,TRUE))</f>
        <v/>
      </c>
      <c r="AF142" s="108" t="str">
        <f>IF($Z142="","",VLOOKUP($Z142,'ORF Accuracy Value LookUp'!$D$4:$E$104,2,TRUE))</f>
        <v/>
      </c>
    </row>
    <row r="143" spans="1:32">
      <c r="A143" s="58"/>
      <c r="B143" s="58"/>
      <c r="C143" s="58"/>
      <c r="D143" s="58"/>
      <c r="E143" s="58"/>
      <c r="F143" s="62"/>
      <c r="G143" s="63"/>
      <c r="H143" s="84"/>
      <c r="I143" s="61"/>
      <c r="J143" s="61"/>
      <c r="K143" s="61"/>
      <c r="L143" s="61"/>
      <c r="M143" s="103" t="str">
        <f t="shared" si="10"/>
        <v/>
      </c>
      <c r="N143" s="84"/>
      <c r="O143" s="61"/>
      <c r="P143" s="61"/>
      <c r="Q143" s="213"/>
      <c r="R143" s="64"/>
      <c r="S143" s="65" t="str">
        <f t="shared" si="11"/>
        <v/>
      </c>
      <c r="T143" s="104" t="str">
        <f t="shared" si="12"/>
        <v/>
      </c>
      <c r="U143" s="84"/>
      <c r="V143" s="61"/>
      <c r="W143" s="61"/>
      <c r="X143" s="61"/>
      <c r="Y143" s="61"/>
      <c r="Z143" s="73" t="str">
        <f t="shared" si="13"/>
        <v/>
      </c>
      <c r="AA143" s="61"/>
      <c r="AB143" s="106" t="str">
        <f t="shared" si="14"/>
        <v/>
      </c>
      <c r="AE143" s="107" t="str">
        <f>IF($S143="","",VLOOKUP($S143,'ORF Accuracy Value LookUp'!$A$4:$B$104,2,TRUE))</f>
        <v/>
      </c>
      <c r="AF143" s="108" t="str">
        <f>IF($Z143="","",VLOOKUP($Z143,'ORF Accuracy Value LookUp'!$D$4:$E$104,2,TRUE))</f>
        <v/>
      </c>
    </row>
    <row r="144" spans="1:32">
      <c r="A144" s="58"/>
      <c r="B144" s="58"/>
      <c r="C144" s="58"/>
      <c r="D144" s="58"/>
      <c r="E144" s="58"/>
      <c r="F144" s="62"/>
      <c r="G144" s="63"/>
      <c r="H144" s="84"/>
      <c r="I144" s="61"/>
      <c r="J144" s="61"/>
      <c r="K144" s="61"/>
      <c r="L144" s="61"/>
      <c r="M144" s="103" t="str">
        <f t="shared" si="10"/>
        <v/>
      </c>
      <c r="N144" s="84"/>
      <c r="O144" s="61"/>
      <c r="P144" s="61"/>
      <c r="Q144" s="213"/>
      <c r="R144" s="64"/>
      <c r="S144" s="65" t="str">
        <f t="shared" si="11"/>
        <v/>
      </c>
      <c r="T144" s="104" t="str">
        <f t="shared" si="12"/>
        <v/>
      </c>
      <c r="U144" s="84"/>
      <c r="V144" s="61"/>
      <c r="W144" s="61"/>
      <c r="X144" s="61"/>
      <c r="Y144" s="61"/>
      <c r="Z144" s="73" t="str">
        <f t="shared" si="13"/>
        <v/>
      </c>
      <c r="AA144" s="61"/>
      <c r="AB144" s="106" t="str">
        <f t="shared" si="14"/>
        <v/>
      </c>
      <c r="AE144" s="107" t="str">
        <f>IF($S144="","",VLOOKUP($S144,'ORF Accuracy Value LookUp'!$A$4:$B$104,2,TRUE))</f>
        <v/>
      </c>
      <c r="AF144" s="108" t="str">
        <f>IF($Z144="","",VLOOKUP($Z144,'ORF Accuracy Value LookUp'!$D$4:$E$104,2,TRUE))</f>
        <v/>
      </c>
    </row>
    <row r="145" spans="1:32">
      <c r="A145" s="58"/>
      <c r="B145" s="58"/>
      <c r="C145" s="58"/>
      <c r="D145" s="58"/>
      <c r="E145" s="58"/>
      <c r="F145" s="62"/>
      <c r="G145" s="63"/>
      <c r="H145" s="84"/>
      <c r="I145" s="61"/>
      <c r="J145" s="61"/>
      <c r="K145" s="61"/>
      <c r="L145" s="61"/>
      <c r="M145" s="103" t="str">
        <f t="shared" si="10"/>
        <v/>
      </c>
      <c r="N145" s="84"/>
      <c r="O145" s="61"/>
      <c r="P145" s="61"/>
      <c r="Q145" s="213"/>
      <c r="R145" s="64"/>
      <c r="S145" s="65" t="str">
        <f t="shared" si="11"/>
        <v/>
      </c>
      <c r="T145" s="104" t="str">
        <f t="shared" si="12"/>
        <v/>
      </c>
      <c r="U145" s="84"/>
      <c r="V145" s="61"/>
      <c r="W145" s="61"/>
      <c r="X145" s="61"/>
      <c r="Y145" s="61"/>
      <c r="Z145" s="73" t="str">
        <f t="shared" si="13"/>
        <v/>
      </c>
      <c r="AA145" s="61"/>
      <c r="AB145" s="106" t="str">
        <f t="shared" si="14"/>
        <v/>
      </c>
      <c r="AE145" s="107" t="str">
        <f>IF($S145="","",VLOOKUP($S145,'ORF Accuracy Value LookUp'!$A$4:$B$104,2,TRUE))</f>
        <v/>
      </c>
      <c r="AF145" s="108" t="str">
        <f>IF($Z145="","",VLOOKUP($Z145,'ORF Accuracy Value LookUp'!$D$4:$E$104,2,TRUE))</f>
        <v/>
      </c>
    </row>
    <row r="146" spans="1:32">
      <c r="A146" s="58"/>
      <c r="B146" s="58"/>
      <c r="C146" s="58"/>
      <c r="D146" s="58"/>
      <c r="E146" s="58"/>
      <c r="F146" s="62"/>
      <c r="G146" s="63"/>
      <c r="H146" s="84"/>
      <c r="I146" s="61"/>
      <c r="J146" s="61"/>
      <c r="K146" s="61"/>
      <c r="L146" s="61"/>
      <c r="M146" s="103" t="str">
        <f t="shared" si="10"/>
        <v/>
      </c>
      <c r="N146" s="84"/>
      <c r="O146" s="61"/>
      <c r="P146" s="61"/>
      <c r="Q146" s="213"/>
      <c r="R146" s="64"/>
      <c r="S146" s="65" t="str">
        <f t="shared" si="11"/>
        <v/>
      </c>
      <c r="T146" s="104" t="str">
        <f t="shared" si="12"/>
        <v/>
      </c>
      <c r="U146" s="84"/>
      <c r="V146" s="61"/>
      <c r="W146" s="61"/>
      <c r="X146" s="61"/>
      <c r="Y146" s="61"/>
      <c r="Z146" s="73" t="str">
        <f t="shared" si="13"/>
        <v/>
      </c>
      <c r="AA146" s="61"/>
      <c r="AB146" s="106" t="str">
        <f t="shared" si="14"/>
        <v/>
      </c>
      <c r="AE146" s="107" t="str">
        <f>IF($S146="","",VLOOKUP($S146,'ORF Accuracy Value LookUp'!$A$4:$B$104,2,TRUE))</f>
        <v/>
      </c>
      <c r="AF146" s="108" t="str">
        <f>IF($Z146="","",VLOOKUP($Z146,'ORF Accuracy Value LookUp'!$D$4:$E$104,2,TRUE))</f>
        <v/>
      </c>
    </row>
    <row r="147" spans="1:32">
      <c r="A147" s="58"/>
      <c r="B147" s="58"/>
      <c r="C147" s="58"/>
      <c r="D147" s="58"/>
      <c r="E147" s="58"/>
      <c r="F147" s="62"/>
      <c r="G147" s="63"/>
      <c r="H147" s="84"/>
      <c r="I147" s="61"/>
      <c r="J147" s="61"/>
      <c r="K147" s="61"/>
      <c r="L147" s="61"/>
      <c r="M147" s="103" t="str">
        <f t="shared" si="10"/>
        <v/>
      </c>
      <c r="N147" s="84"/>
      <c r="O147" s="61"/>
      <c r="P147" s="61"/>
      <c r="Q147" s="213"/>
      <c r="R147" s="64"/>
      <c r="S147" s="65" t="str">
        <f t="shared" si="11"/>
        <v/>
      </c>
      <c r="T147" s="104" t="str">
        <f t="shared" si="12"/>
        <v/>
      </c>
      <c r="U147" s="84"/>
      <c r="V147" s="61"/>
      <c r="W147" s="61"/>
      <c r="X147" s="61"/>
      <c r="Y147" s="61"/>
      <c r="Z147" s="73" t="str">
        <f t="shared" si="13"/>
        <v/>
      </c>
      <c r="AA147" s="61"/>
      <c r="AB147" s="106" t="str">
        <f t="shared" si="14"/>
        <v/>
      </c>
      <c r="AE147" s="107" t="str">
        <f>IF($S147="","",VLOOKUP($S147,'ORF Accuracy Value LookUp'!$A$4:$B$104,2,TRUE))</f>
        <v/>
      </c>
      <c r="AF147" s="108" t="str">
        <f>IF($Z147="","",VLOOKUP($Z147,'ORF Accuracy Value LookUp'!$D$4:$E$104,2,TRUE))</f>
        <v/>
      </c>
    </row>
    <row r="148" spans="1:32">
      <c r="A148" s="58"/>
      <c r="B148" s="58"/>
      <c r="C148" s="58"/>
      <c r="D148" s="58"/>
      <c r="E148" s="58"/>
      <c r="F148" s="62"/>
      <c r="G148" s="63"/>
      <c r="H148" s="84"/>
      <c r="I148" s="61"/>
      <c r="J148" s="61"/>
      <c r="K148" s="61"/>
      <c r="L148" s="61"/>
      <c r="M148" s="103" t="str">
        <f t="shared" si="10"/>
        <v/>
      </c>
      <c r="N148" s="84"/>
      <c r="O148" s="61"/>
      <c r="P148" s="61"/>
      <c r="Q148" s="213"/>
      <c r="R148" s="64"/>
      <c r="S148" s="65" t="str">
        <f t="shared" si="11"/>
        <v/>
      </c>
      <c r="T148" s="104" t="str">
        <f t="shared" si="12"/>
        <v/>
      </c>
      <c r="U148" s="84"/>
      <c r="V148" s="61"/>
      <c r="W148" s="61"/>
      <c r="X148" s="61"/>
      <c r="Y148" s="61"/>
      <c r="Z148" s="73" t="str">
        <f t="shared" si="13"/>
        <v/>
      </c>
      <c r="AA148" s="61"/>
      <c r="AB148" s="106" t="str">
        <f t="shared" si="14"/>
        <v/>
      </c>
      <c r="AE148" s="107" t="str">
        <f>IF($S148="","",VLOOKUP($S148,'ORF Accuracy Value LookUp'!$A$4:$B$104,2,TRUE))</f>
        <v/>
      </c>
      <c r="AF148" s="108" t="str">
        <f>IF($Z148="","",VLOOKUP($Z148,'ORF Accuracy Value LookUp'!$D$4:$E$104,2,TRUE))</f>
        <v/>
      </c>
    </row>
    <row r="149" spans="1:32">
      <c r="A149" s="58"/>
      <c r="B149" s="58"/>
      <c r="C149" s="58"/>
      <c r="D149" s="58"/>
      <c r="E149" s="58"/>
      <c r="F149" s="62"/>
      <c r="G149" s="63"/>
      <c r="H149" s="84"/>
      <c r="I149" s="61"/>
      <c r="J149" s="61"/>
      <c r="K149" s="61"/>
      <c r="L149" s="61"/>
      <c r="M149" s="103" t="str">
        <f t="shared" si="10"/>
        <v/>
      </c>
      <c r="N149" s="84"/>
      <c r="O149" s="61"/>
      <c r="P149" s="61"/>
      <c r="Q149" s="213"/>
      <c r="R149" s="64"/>
      <c r="S149" s="65" t="str">
        <f t="shared" si="11"/>
        <v/>
      </c>
      <c r="T149" s="104" t="str">
        <f t="shared" si="12"/>
        <v/>
      </c>
      <c r="U149" s="84"/>
      <c r="V149" s="61"/>
      <c r="W149" s="61"/>
      <c r="X149" s="61"/>
      <c r="Y149" s="61"/>
      <c r="Z149" s="73" t="str">
        <f t="shared" si="13"/>
        <v/>
      </c>
      <c r="AA149" s="61"/>
      <c r="AB149" s="106" t="str">
        <f t="shared" si="14"/>
        <v/>
      </c>
      <c r="AE149" s="107" t="str">
        <f>IF($S149="","",VLOOKUP($S149,'ORF Accuracy Value LookUp'!$A$4:$B$104,2,TRUE))</f>
        <v/>
      </c>
      <c r="AF149" s="108" t="str">
        <f>IF($Z149="","",VLOOKUP($Z149,'ORF Accuracy Value LookUp'!$D$4:$E$104,2,TRUE))</f>
        <v/>
      </c>
    </row>
    <row r="150" spans="1:32">
      <c r="A150" s="58"/>
      <c r="B150" s="58"/>
      <c r="C150" s="58"/>
      <c r="D150" s="58"/>
      <c r="E150" s="58"/>
      <c r="F150" s="62"/>
      <c r="G150" s="63"/>
      <c r="H150" s="84"/>
      <c r="I150" s="61"/>
      <c r="J150" s="61"/>
      <c r="K150" s="61"/>
      <c r="L150" s="61"/>
      <c r="M150" s="103" t="str">
        <f t="shared" si="10"/>
        <v/>
      </c>
      <c r="N150" s="84"/>
      <c r="O150" s="61"/>
      <c r="P150" s="61"/>
      <c r="Q150" s="213"/>
      <c r="R150" s="64"/>
      <c r="S150" s="65" t="str">
        <f t="shared" si="11"/>
        <v/>
      </c>
      <c r="T150" s="104" t="str">
        <f t="shared" si="12"/>
        <v/>
      </c>
      <c r="U150" s="84"/>
      <c r="V150" s="61"/>
      <c r="W150" s="61"/>
      <c r="X150" s="61"/>
      <c r="Y150" s="61"/>
      <c r="Z150" s="73" t="str">
        <f t="shared" si="13"/>
        <v/>
      </c>
      <c r="AA150" s="61"/>
      <c r="AB150" s="106" t="str">
        <f t="shared" si="14"/>
        <v/>
      </c>
      <c r="AE150" s="107" t="str">
        <f>IF($S150="","",VLOOKUP($S150,'ORF Accuracy Value LookUp'!$A$4:$B$104,2,TRUE))</f>
        <v/>
      </c>
      <c r="AF150" s="108" t="str">
        <f>IF($Z150="","",VLOOKUP($Z150,'ORF Accuracy Value LookUp'!$D$4:$E$104,2,TRUE))</f>
        <v/>
      </c>
    </row>
    <row r="151" spans="1:32">
      <c r="A151" s="58"/>
      <c r="B151" s="58"/>
      <c r="C151" s="58"/>
      <c r="D151" s="58"/>
      <c r="E151" s="58"/>
      <c r="F151" s="62"/>
      <c r="G151" s="63"/>
      <c r="H151" s="84"/>
      <c r="I151" s="61"/>
      <c r="J151" s="61"/>
      <c r="K151" s="61"/>
      <c r="L151" s="61"/>
      <c r="M151" s="103" t="str">
        <f t="shared" si="10"/>
        <v/>
      </c>
      <c r="N151" s="84"/>
      <c r="O151" s="61"/>
      <c r="P151" s="61"/>
      <c r="Q151" s="213"/>
      <c r="R151" s="64"/>
      <c r="S151" s="65" t="str">
        <f t="shared" si="11"/>
        <v/>
      </c>
      <c r="T151" s="104" t="str">
        <f t="shared" si="12"/>
        <v/>
      </c>
      <c r="U151" s="84"/>
      <c r="V151" s="61"/>
      <c r="W151" s="61"/>
      <c r="X151" s="61"/>
      <c r="Y151" s="61"/>
      <c r="Z151" s="73" t="str">
        <f t="shared" si="13"/>
        <v/>
      </c>
      <c r="AA151" s="61"/>
      <c r="AB151" s="106" t="str">
        <f t="shared" si="14"/>
        <v/>
      </c>
      <c r="AE151" s="107" t="str">
        <f>IF($S151="","",VLOOKUP($S151,'ORF Accuracy Value LookUp'!$A$4:$B$104,2,TRUE))</f>
        <v/>
      </c>
      <c r="AF151" s="108" t="str">
        <f>IF($Z151="","",VLOOKUP($Z151,'ORF Accuracy Value LookUp'!$D$4:$E$104,2,TRUE))</f>
        <v/>
      </c>
    </row>
    <row r="152" spans="1:32">
      <c r="A152" s="58"/>
      <c r="B152" s="58"/>
      <c r="C152" s="58"/>
      <c r="D152" s="58"/>
      <c r="E152" s="58"/>
      <c r="F152" s="62"/>
      <c r="G152" s="63"/>
      <c r="H152" s="84"/>
      <c r="I152" s="61"/>
      <c r="J152" s="61"/>
      <c r="K152" s="61"/>
      <c r="L152" s="61"/>
      <c r="M152" s="103" t="str">
        <f t="shared" si="10"/>
        <v/>
      </c>
      <c r="N152" s="84"/>
      <c r="O152" s="61"/>
      <c r="P152" s="61"/>
      <c r="Q152" s="213"/>
      <c r="R152" s="64"/>
      <c r="S152" s="65" t="str">
        <f t="shared" si="11"/>
        <v/>
      </c>
      <c r="T152" s="104" t="str">
        <f t="shared" si="12"/>
        <v/>
      </c>
      <c r="U152" s="84"/>
      <c r="V152" s="61"/>
      <c r="W152" s="61"/>
      <c r="X152" s="61"/>
      <c r="Y152" s="61"/>
      <c r="Z152" s="73" t="str">
        <f t="shared" si="13"/>
        <v/>
      </c>
      <c r="AA152" s="61"/>
      <c r="AB152" s="106" t="str">
        <f t="shared" si="14"/>
        <v/>
      </c>
      <c r="AE152" s="107" t="str">
        <f>IF($S152="","",VLOOKUP($S152,'ORF Accuracy Value LookUp'!$A$4:$B$104,2,TRUE))</f>
        <v/>
      </c>
      <c r="AF152" s="108" t="str">
        <f>IF($Z152="","",VLOOKUP($Z152,'ORF Accuracy Value LookUp'!$D$4:$E$104,2,TRUE))</f>
        <v/>
      </c>
    </row>
    <row r="153" spans="1:32">
      <c r="A153" s="58"/>
      <c r="B153" s="58"/>
      <c r="C153" s="58"/>
      <c r="D153" s="58"/>
      <c r="E153" s="58"/>
      <c r="F153" s="62"/>
      <c r="G153" s="63"/>
      <c r="H153" s="84"/>
      <c r="I153" s="61"/>
      <c r="J153" s="61"/>
      <c r="K153" s="61"/>
      <c r="L153" s="61"/>
      <c r="M153" s="103" t="str">
        <f t="shared" si="10"/>
        <v/>
      </c>
      <c r="N153" s="84"/>
      <c r="O153" s="61"/>
      <c r="P153" s="61"/>
      <c r="Q153" s="213"/>
      <c r="R153" s="64"/>
      <c r="S153" s="65" t="str">
        <f t="shared" si="11"/>
        <v/>
      </c>
      <c r="T153" s="104" t="str">
        <f t="shared" si="12"/>
        <v/>
      </c>
      <c r="U153" s="84"/>
      <c r="V153" s="61"/>
      <c r="W153" s="61"/>
      <c r="X153" s="61"/>
      <c r="Y153" s="61"/>
      <c r="Z153" s="73" t="str">
        <f t="shared" si="13"/>
        <v/>
      </c>
      <c r="AA153" s="61"/>
      <c r="AB153" s="106" t="str">
        <f t="shared" si="14"/>
        <v/>
      </c>
      <c r="AE153" s="107" t="str">
        <f>IF($S153="","",VLOOKUP($S153,'ORF Accuracy Value LookUp'!$A$4:$B$104,2,TRUE))</f>
        <v/>
      </c>
      <c r="AF153" s="108" t="str">
        <f>IF($Z153="","",VLOOKUP($Z153,'ORF Accuracy Value LookUp'!$D$4:$E$104,2,TRUE))</f>
        <v/>
      </c>
    </row>
    <row r="154" spans="1:32">
      <c r="A154" s="58"/>
      <c r="B154" s="58"/>
      <c r="C154" s="58"/>
      <c r="D154" s="58"/>
      <c r="E154" s="58"/>
      <c r="F154" s="62"/>
      <c r="G154" s="63"/>
      <c r="H154" s="84"/>
      <c r="I154" s="61"/>
      <c r="J154" s="61"/>
      <c r="K154" s="61"/>
      <c r="L154" s="61"/>
      <c r="M154" s="103" t="str">
        <f t="shared" si="10"/>
        <v/>
      </c>
      <c r="N154" s="84"/>
      <c r="O154" s="61"/>
      <c r="P154" s="61"/>
      <c r="Q154" s="213"/>
      <c r="R154" s="64"/>
      <c r="S154" s="65" t="str">
        <f t="shared" si="11"/>
        <v/>
      </c>
      <c r="T154" s="104" t="str">
        <f t="shared" si="12"/>
        <v/>
      </c>
      <c r="U154" s="84"/>
      <c r="V154" s="61"/>
      <c r="W154" s="61"/>
      <c r="X154" s="61"/>
      <c r="Y154" s="61"/>
      <c r="Z154" s="73" t="str">
        <f t="shared" si="13"/>
        <v/>
      </c>
      <c r="AA154" s="61"/>
      <c r="AB154" s="106" t="str">
        <f t="shared" si="14"/>
        <v/>
      </c>
      <c r="AE154" s="107" t="str">
        <f>IF($S154="","",VLOOKUP($S154,'ORF Accuracy Value LookUp'!$A$4:$B$104,2,TRUE))</f>
        <v/>
      </c>
      <c r="AF154" s="108" t="str">
        <f>IF($Z154="","",VLOOKUP($Z154,'ORF Accuracy Value LookUp'!$D$4:$E$104,2,TRUE))</f>
        <v/>
      </c>
    </row>
    <row r="155" spans="1:32">
      <c r="A155" s="58"/>
      <c r="B155" s="58"/>
      <c r="C155" s="58"/>
      <c r="D155" s="58"/>
      <c r="E155" s="58"/>
      <c r="F155" s="62"/>
      <c r="G155" s="63"/>
      <c r="H155" s="84"/>
      <c r="I155" s="61"/>
      <c r="J155" s="61"/>
      <c r="K155" s="61"/>
      <c r="L155" s="61"/>
      <c r="M155" s="103" t="str">
        <f t="shared" si="10"/>
        <v/>
      </c>
      <c r="N155" s="84"/>
      <c r="O155" s="61"/>
      <c r="P155" s="61"/>
      <c r="Q155" s="213"/>
      <c r="R155" s="64"/>
      <c r="S155" s="65" t="str">
        <f t="shared" si="11"/>
        <v/>
      </c>
      <c r="T155" s="104" t="str">
        <f t="shared" si="12"/>
        <v/>
      </c>
      <c r="U155" s="84"/>
      <c r="V155" s="61"/>
      <c r="W155" s="61"/>
      <c r="X155" s="61"/>
      <c r="Y155" s="61"/>
      <c r="Z155" s="73" t="str">
        <f t="shared" si="13"/>
        <v/>
      </c>
      <c r="AA155" s="61"/>
      <c r="AB155" s="106" t="str">
        <f t="shared" si="14"/>
        <v/>
      </c>
      <c r="AE155" s="107" t="str">
        <f>IF($S155="","",VLOOKUP($S155,'ORF Accuracy Value LookUp'!$A$4:$B$104,2,TRUE))</f>
        <v/>
      </c>
      <c r="AF155" s="108" t="str">
        <f>IF($Z155="","",VLOOKUP($Z155,'ORF Accuracy Value LookUp'!$D$4:$E$104,2,TRUE))</f>
        <v/>
      </c>
    </row>
    <row r="156" spans="1:32">
      <c r="A156" s="58"/>
      <c r="B156" s="58"/>
      <c r="C156" s="58"/>
      <c r="D156" s="58"/>
      <c r="E156" s="58"/>
      <c r="F156" s="62"/>
      <c r="G156" s="63"/>
      <c r="H156" s="84"/>
      <c r="I156" s="61"/>
      <c r="J156" s="61"/>
      <c r="K156" s="61"/>
      <c r="L156" s="61"/>
      <c r="M156" s="103" t="str">
        <f t="shared" si="10"/>
        <v/>
      </c>
      <c r="N156" s="84"/>
      <c r="O156" s="61"/>
      <c r="P156" s="61"/>
      <c r="Q156" s="213"/>
      <c r="R156" s="64"/>
      <c r="S156" s="65" t="str">
        <f t="shared" si="11"/>
        <v/>
      </c>
      <c r="T156" s="104" t="str">
        <f t="shared" si="12"/>
        <v/>
      </c>
      <c r="U156" s="84"/>
      <c r="V156" s="61"/>
      <c r="W156" s="61"/>
      <c r="X156" s="61"/>
      <c r="Y156" s="61"/>
      <c r="Z156" s="73" t="str">
        <f t="shared" si="13"/>
        <v/>
      </c>
      <c r="AA156" s="61"/>
      <c r="AB156" s="106" t="str">
        <f t="shared" si="14"/>
        <v/>
      </c>
      <c r="AE156" s="107" t="str">
        <f>IF($S156="","",VLOOKUP($S156,'ORF Accuracy Value LookUp'!$A$4:$B$104,2,TRUE))</f>
        <v/>
      </c>
      <c r="AF156" s="108" t="str">
        <f>IF($Z156="","",VLOOKUP($Z156,'ORF Accuracy Value LookUp'!$D$4:$E$104,2,TRUE))</f>
        <v/>
      </c>
    </row>
    <row r="157" spans="1:32">
      <c r="A157" s="58"/>
      <c r="B157" s="58"/>
      <c r="C157" s="58"/>
      <c r="D157" s="58"/>
      <c r="E157" s="58"/>
      <c r="F157" s="62"/>
      <c r="G157" s="63"/>
      <c r="H157" s="84"/>
      <c r="I157" s="61"/>
      <c r="J157" s="61"/>
      <c r="K157" s="61"/>
      <c r="L157" s="61"/>
      <c r="M157" s="103" t="str">
        <f t="shared" si="10"/>
        <v/>
      </c>
      <c r="N157" s="84"/>
      <c r="O157" s="61"/>
      <c r="P157" s="61"/>
      <c r="Q157" s="213"/>
      <c r="R157" s="64"/>
      <c r="S157" s="65" t="str">
        <f t="shared" si="11"/>
        <v/>
      </c>
      <c r="T157" s="104" t="str">
        <f t="shared" si="12"/>
        <v/>
      </c>
      <c r="U157" s="84"/>
      <c r="V157" s="61"/>
      <c r="W157" s="61"/>
      <c r="X157" s="61"/>
      <c r="Y157" s="61"/>
      <c r="Z157" s="73" t="str">
        <f t="shared" si="13"/>
        <v/>
      </c>
      <c r="AA157" s="61"/>
      <c r="AB157" s="106" t="str">
        <f t="shared" si="14"/>
        <v/>
      </c>
      <c r="AE157" s="107" t="str">
        <f>IF($S157="","",VLOOKUP($S157,'ORF Accuracy Value LookUp'!$A$4:$B$104,2,TRUE))</f>
        <v/>
      </c>
      <c r="AF157" s="108" t="str">
        <f>IF($Z157="","",VLOOKUP($Z157,'ORF Accuracy Value LookUp'!$D$4:$E$104,2,TRUE))</f>
        <v/>
      </c>
    </row>
    <row r="158" spans="1:32">
      <c r="A158" s="58"/>
      <c r="B158" s="58"/>
      <c r="C158" s="58"/>
      <c r="D158" s="58"/>
      <c r="E158" s="58"/>
      <c r="F158" s="62"/>
      <c r="G158" s="63"/>
      <c r="H158" s="84"/>
      <c r="I158" s="61"/>
      <c r="J158" s="61"/>
      <c r="K158" s="61"/>
      <c r="L158" s="61"/>
      <c r="M158" s="103" t="str">
        <f t="shared" si="10"/>
        <v/>
      </c>
      <c r="N158" s="84"/>
      <c r="O158" s="61"/>
      <c r="P158" s="61"/>
      <c r="Q158" s="213"/>
      <c r="R158" s="64"/>
      <c r="S158" s="65" t="str">
        <f t="shared" si="11"/>
        <v/>
      </c>
      <c r="T158" s="104" t="str">
        <f t="shared" si="12"/>
        <v/>
      </c>
      <c r="U158" s="84"/>
      <c r="V158" s="61"/>
      <c r="W158" s="61"/>
      <c r="X158" s="61"/>
      <c r="Y158" s="61"/>
      <c r="Z158" s="73" t="str">
        <f t="shared" si="13"/>
        <v/>
      </c>
      <c r="AA158" s="61"/>
      <c r="AB158" s="106" t="str">
        <f t="shared" si="14"/>
        <v/>
      </c>
      <c r="AE158" s="107" t="str">
        <f>IF($S158="","",VLOOKUP($S158,'ORF Accuracy Value LookUp'!$A$4:$B$104,2,TRUE))</f>
        <v/>
      </c>
      <c r="AF158" s="108" t="str">
        <f>IF($Z158="","",VLOOKUP($Z158,'ORF Accuracy Value LookUp'!$D$4:$E$104,2,TRUE))</f>
        <v/>
      </c>
    </row>
    <row r="159" spans="1:32">
      <c r="A159" s="58"/>
      <c r="B159" s="58"/>
      <c r="C159" s="58"/>
      <c r="D159" s="58"/>
      <c r="E159" s="58"/>
      <c r="F159" s="62"/>
      <c r="G159" s="63"/>
      <c r="H159" s="84"/>
      <c r="I159" s="61"/>
      <c r="J159" s="61"/>
      <c r="K159" s="61"/>
      <c r="L159" s="61"/>
      <c r="M159" s="103" t="str">
        <f t="shared" si="10"/>
        <v/>
      </c>
      <c r="N159" s="84"/>
      <c r="O159" s="61"/>
      <c r="P159" s="61"/>
      <c r="Q159" s="213"/>
      <c r="R159" s="64"/>
      <c r="S159" s="65" t="str">
        <f t="shared" si="11"/>
        <v/>
      </c>
      <c r="T159" s="104" t="str">
        <f t="shared" si="12"/>
        <v/>
      </c>
      <c r="U159" s="84"/>
      <c r="V159" s="61"/>
      <c r="W159" s="61"/>
      <c r="X159" s="61"/>
      <c r="Y159" s="61"/>
      <c r="Z159" s="73" t="str">
        <f t="shared" si="13"/>
        <v/>
      </c>
      <c r="AA159" s="61"/>
      <c r="AB159" s="106" t="str">
        <f t="shared" si="14"/>
        <v/>
      </c>
      <c r="AE159" s="107" t="str">
        <f>IF($S159="","",VLOOKUP($S159,'ORF Accuracy Value LookUp'!$A$4:$B$104,2,TRUE))</f>
        <v/>
      </c>
      <c r="AF159" s="108" t="str">
        <f>IF($Z159="","",VLOOKUP($Z159,'ORF Accuracy Value LookUp'!$D$4:$E$104,2,TRUE))</f>
        <v/>
      </c>
    </row>
    <row r="160" spans="1:32">
      <c r="A160" s="58"/>
      <c r="B160" s="58"/>
      <c r="C160" s="58"/>
      <c r="D160" s="58"/>
      <c r="E160" s="58"/>
      <c r="F160" s="62"/>
      <c r="G160" s="63"/>
      <c r="H160" s="84"/>
      <c r="I160" s="61"/>
      <c r="J160" s="61"/>
      <c r="K160" s="61"/>
      <c r="L160" s="61"/>
      <c r="M160" s="103" t="str">
        <f t="shared" si="10"/>
        <v/>
      </c>
      <c r="N160" s="84"/>
      <c r="O160" s="61"/>
      <c r="P160" s="61"/>
      <c r="Q160" s="213"/>
      <c r="R160" s="64"/>
      <c r="S160" s="65" t="str">
        <f t="shared" si="11"/>
        <v/>
      </c>
      <c r="T160" s="104" t="str">
        <f t="shared" si="12"/>
        <v/>
      </c>
      <c r="U160" s="84"/>
      <c r="V160" s="61"/>
      <c r="W160" s="61"/>
      <c r="X160" s="61"/>
      <c r="Y160" s="61"/>
      <c r="Z160" s="73" t="str">
        <f t="shared" si="13"/>
        <v/>
      </c>
      <c r="AA160" s="61"/>
      <c r="AB160" s="106" t="str">
        <f t="shared" si="14"/>
        <v/>
      </c>
      <c r="AE160" s="107" t="str">
        <f>IF($S160="","",VLOOKUP($S160,'ORF Accuracy Value LookUp'!$A$4:$B$104,2,TRUE))</f>
        <v/>
      </c>
      <c r="AF160" s="108" t="str">
        <f>IF($Z160="","",VLOOKUP($Z160,'ORF Accuracy Value LookUp'!$D$4:$E$104,2,TRUE))</f>
        <v/>
      </c>
    </row>
    <row r="161" spans="1:32">
      <c r="A161" s="58"/>
      <c r="B161" s="58"/>
      <c r="C161" s="58"/>
      <c r="D161" s="58"/>
      <c r="E161" s="58"/>
      <c r="F161" s="62"/>
      <c r="G161" s="63"/>
      <c r="H161" s="84"/>
      <c r="I161" s="61"/>
      <c r="J161" s="61"/>
      <c r="K161" s="61"/>
      <c r="L161" s="61"/>
      <c r="M161" s="103" t="str">
        <f t="shared" si="10"/>
        <v/>
      </c>
      <c r="N161" s="84"/>
      <c r="O161" s="61"/>
      <c r="P161" s="61"/>
      <c r="Q161" s="213"/>
      <c r="R161" s="64"/>
      <c r="S161" s="65" t="str">
        <f t="shared" si="11"/>
        <v/>
      </c>
      <c r="T161" s="104" t="str">
        <f t="shared" si="12"/>
        <v/>
      </c>
      <c r="U161" s="84"/>
      <c r="V161" s="61"/>
      <c r="W161" s="61"/>
      <c r="X161" s="61"/>
      <c r="Y161" s="61"/>
      <c r="Z161" s="73" t="str">
        <f t="shared" si="13"/>
        <v/>
      </c>
      <c r="AA161" s="61"/>
      <c r="AB161" s="106" t="str">
        <f t="shared" si="14"/>
        <v/>
      </c>
      <c r="AE161" s="107" t="str">
        <f>IF($S161="","",VLOOKUP($S161,'ORF Accuracy Value LookUp'!$A$4:$B$104,2,TRUE))</f>
        <v/>
      </c>
      <c r="AF161" s="108" t="str">
        <f>IF($Z161="","",VLOOKUP($Z161,'ORF Accuracy Value LookUp'!$D$4:$E$104,2,TRUE))</f>
        <v/>
      </c>
    </row>
    <row r="162" spans="1:32">
      <c r="A162" s="58"/>
      <c r="B162" s="58"/>
      <c r="C162" s="58"/>
      <c r="D162" s="58"/>
      <c r="E162" s="58"/>
      <c r="F162" s="62"/>
      <c r="G162" s="63"/>
      <c r="H162" s="84"/>
      <c r="I162" s="61"/>
      <c r="J162" s="61"/>
      <c r="K162" s="61"/>
      <c r="L162" s="61"/>
      <c r="M162" s="103" t="str">
        <f t="shared" si="10"/>
        <v/>
      </c>
      <c r="N162" s="84"/>
      <c r="O162" s="61"/>
      <c r="P162" s="61"/>
      <c r="Q162" s="213"/>
      <c r="R162" s="64"/>
      <c r="S162" s="65" t="str">
        <f t="shared" si="11"/>
        <v/>
      </c>
      <c r="T162" s="104" t="str">
        <f t="shared" si="12"/>
        <v/>
      </c>
      <c r="U162" s="84"/>
      <c r="V162" s="61"/>
      <c r="W162" s="61"/>
      <c r="X162" s="61"/>
      <c r="Y162" s="61"/>
      <c r="Z162" s="73" t="str">
        <f t="shared" si="13"/>
        <v/>
      </c>
      <c r="AA162" s="61"/>
      <c r="AB162" s="106" t="str">
        <f t="shared" si="14"/>
        <v/>
      </c>
      <c r="AE162" s="107" t="str">
        <f>IF($S162="","",VLOOKUP($S162,'ORF Accuracy Value LookUp'!$A$4:$B$104,2,TRUE))</f>
        <v/>
      </c>
      <c r="AF162" s="108" t="str">
        <f>IF($Z162="","",VLOOKUP($Z162,'ORF Accuracy Value LookUp'!$D$4:$E$104,2,TRUE))</f>
        <v/>
      </c>
    </row>
    <row r="163" spans="1:32">
      <c r="A163" s="58"/>
      <c r="B163" s="58"/>
      <c r="C163" s="58"/>
      <c r="D163" s="58"/>
      <c r="E163" s="58"/>
      <c r="F163" s="62"/>
      <c r="G163" s="63"/>
      <c r="H163" s="84"/>
      <c r="I163" s="61"/>
      <c r="J163" s="61"/>
      <c r="K163" s="61"/>
      <c r="L163" s="61"/>
      <c r="M163" s="103" t="str">
        <f t="shared" si="10"/>
        <v/>
      </c>
      <c r="N163" s="84"/>
      <c r="O163" s="61"/>
      <c r="P163" s="61"/>
      <c r="Q163" s="213"/>
      <c r="R163" s="64"/>
      <c r="S163" s="65" t="str">
        <f t="shared" si="11"/>
        <v/>
      </c>
      <c r="T163" s="104" t="str">
        <f t="shared" si="12"/>
        <v/>
      </c>
      <c r="U163" s="84"/>
      <c r="V163" s="61"/>
      <c r="W163" s="61"/>
      <c r="X163" s="61"/>
      <c r="Y163" s="61"/>
      <c r="Z163" s="73" t="str">
        <f t="shared" si="13"/>
        <v/>
      </c>
      <c r="AA163" s="61"/>
      <c r="AB163" s="106" t="str">
        <f t="shared" si="14"/>
        <v/>
      </c>
      <c r="AE163" s="107" t="str">
        <f>IF($S163="","",VLOOKUP($S163,'ORF Accuracy Value LookUp'!$A$4:$B$104,2,TRUE))</f>
        <v/>
      </c>
      <c r="AF163" s="108" t="str">
        <f>IF($Z163="","",VLOOKUP($Z163,'ORF Accuracy Value LookUp'!$D$4:$E$104,2,TRUE))</f>
        <v/>
      </c>
    </row>
    <row r="164" spans="1:32">
      <c r="A164" s="58"/>
      <c r="B164" s="58"/>
      <c r="C164" s="58"/>
      <c r="D164" s="58"/>
      <c r="E164" s="58"/>
      <c r="F164" s="62"/>
      <c r="G164" s="63"/>
      <c r="H164" s="84"/>
      <c r="I164" s="61"/>
      <c r="J164" s="61"/>
      <c r="K164" s="61"/>
      <c r="L164" s="61"/>
      <c r="M164" s="103" t="str">
        <f t="shared" si="10"/>
        <v/>
      </c>
      <c r="N164" s="84"/>
      <c r="O164" s="61"/>
      <c r="P164" s="61"/>
      <c r="Q164" s="213"/>
      <c r="R164" s="64"/>
      <c r="S164" s="65" t="str">
        <f t="shared" si="11"/>
        <v/>
      </c>
      <c r="T164" s="104" t="str">
        <f t="shared" si="12"/>
        <v/>
      </c>
      <c r="U164" s="84"/>
      <c r="V164" s="61"/>
      <c r="W164" s="61"/>
      <c r="X164" s="61"/>
      <c r="Y164" s="61"/>
      <c r="Z164" s="73" t="str">
        <f t="shared" si="13"/>
        <v/>
      </c>
      <c r="AA164" s="61"/>
      <c r="AB164" s="106" t="str">
        <f t="shared" si="14"/>
        <v/>
      </c>
      <c r="AE164" s="107" t="str">
        <f>IF($S164="","",VLOOKUP($S164,'ORF Accuracy Value LookUp'!$A$4:$B$104,2,TRUE))</f>
        <v/>
      </c>
      <c r="AF164" s="108" t="str">
        <f>IF($Z164="","",VLOOKUP($Z164,'ORF Accuracy Value LookUp'!$D$4:$E$104,2,TRUE))</f>
        <v/>
      </c>
    </row>
    <row r="165" spans="1:32">
      <c r="A165" s="58"/>
      <c r="B165" s="58"/>
      <c r="C165" s="58"/>
      <c r="D165" s="58"/>
      <c r="E165" s="58"/>
      <c r="F165" s="62"/>
      <c r="G165" s="63"/>
      <c r="H165" s="84"/>
      <c r="I165" s="61"/>
      <c r="J165" s="61"/>
      <c r="K165" s="61"/>
      <c r="L165" s="61"/>
      <c r="M165" s="103" t="str">
        <f t="shared" si="10"/>
        <v/>
      </c>
      <c r="N165" s="84"/>
      <c r="O165" s="61"/>
      <c r="P165" s="61"/>
      <c r="Q165" s="213"/>
      <c r="R165" s="64"/>
      <c r="S165" s="65" t="str">
        <f t="shared" si="11"/>
        <v/>
      </c>
      <c r="T165" s="104" t="str">
        <f t="shared" si="12"/>
        <v/>
      </c>
      <c r="U165" s="84"/>
      <c r="V165" s="61"/>
      <c r="W165" s="61"/>
      <c r="X165" s="61"/>
      <c r="Y165" s="61"/>
      <c r="Z165" s="73" t="str">
        <f t="shared" si="13"/>
        <v/>
      </c>
      <c r="AA165" s="61"/>
      <c r="AB165" s="106" t="str">
        <f t="shared" si="14"/>
        <v/>
      </c>
      <c r="AE165" s="107" t="str">
        <f>IF($S165="","",VLOOKUP($S165,'ORF Accuracy Value LookUp'!$A$4:$B$104,2,TRUE))</f>
        <v/>
      </c>
      <c r="AF165" s="108" t="str">
        <f>IF($Z165="","",VLOOKUP($Z165,'ORF Accuracy Value LookUp'!$D$4:$E$104,2,TRUE))</f>
        <v/>
      </c>
    </row>
    <row r="166" spans="1:32">
      <c r="A166" s="58"/>
      <c r="B166" s="58"/>
      <c r="C166" s="58"/>
      <c r="D166" s="58"/>
      <c r="E166" s="58"/>
      <c r="F166" s="62"/>
      <c r="G166" s="63"/>
      <c r="H166" s="84"/>
      <c r="I166" s="61"/>
      <c r="J166" s="61"/>
      <c r="K166" s="61"/>
      <c r="L166" s="61"/>
      <c r="M166" s="103" t="str">
        <f t="shared" si="10"/>
        <v/>
      </c>
      <c r="N166" s="84"/>
      <c r="O166" s="61"/>
      <c r="P166" s="61"/>
      <c r="Q166" s="213"/>
      <c r="R166" s="64"/>
      <c r="S166" s="65" t="str">
        <f t="shared" si="11"/>
        <v/>
      </c>
      <c r="T166" s="104" t="str">
        <f t="shared" si="12"/>
        <v/>
      </c>
      <c r="U166" s="84"/>
      <c r="V166" s="61"/>
      <c r="W166" s="61"/>
      <c r="X166" s="61"/>
      <c r="Y166" s="61"/>
      <c r="Z166" s="73" t="str">
        <f t="shared" si="13"/>
        <v/>
      </c>
      <c r="AA166" s="61"/>
      <c r="AB166" s="106" t="str">
        <f t="shared" si="14"/>
        <v/>
      </c>
      <c r="AE166" s="107" t="str">
        <f>IF($S166="","",VLOOKUP($S166,'ORF Accuracy Value LookUp'!$A$4:$B$104,2,TRUE))</f>
        <v/>
      </c>
      <c r="AF166" s="108" t="str">
        <f>IF($Z166="","",VLOOKUP($Z166,'ORF Accuracy Value LookUp'!$D$4:$E$104,2,TRUE))</f>
        <v/>
      </c>
    </row>
    <row r="167" spans="1:32">
      <c r="A167" s="58"/>
      <c r="B167" s="58"/>
      <c r="C167" s="58"/>
      <c r="D167" s="58"/>
      <c r="E167" s="58"/>
      <c r="F167" s="62"/>
      <c r="G167" s="63"/>
      <c r="H167" s="84"/>
      <c r="I167" s="61"/>
      <c r="J167" s="61"/>
      <c r="K167" s="61"/>
      <c r="L167" s="61"/>
      <c r="M167" s="103" t="str">
        <f t="shared" si="10"/>
        <v/>
      </c>
      <c r="N167" s="84"/>
      <c r="O167" s="61"/>
      <c r="P167" s="61"/>
      <c r="Q167" s="213"/>
      <c r="R167" s="64"/>
      <c r="S167" s="65" t="str">
        <f t="shared" si="11"/>
        <v/>
      </c>
      <c r="T167" s="104" t="str">
        <f t="shared" si="12"/>
        <v/>
      </c>
      <c r="U167" s="84"/>
      <c r="V167" s="61"/>
      <c r="W167" s="61"/>
      <c r="X167" s="61"/>
      <c r="Y167" s="61"/>
      <c r="Z167" s="73" t="str">
        <f t="shared" si="13"/>
        <v/>
      </c>
      <c r="AA167" s="61"/>
      <c r="AB167" s="106" t="str">
        <f t="shared" si="14"/>
        <v/>
      </c>
      <c r="AE167" s="107" t="str">
        <f>IF($S167="","",VLOOKUP($S167,'ORF Accuracy Value LookUp'!$A$4:$B$104,2,TRUE))</f>
        <v/>
      </c>
      <c r="AF167" s="108" t="str">
        <f>IF($Z167="","",VLOOKUP($Z167,'ORF Accuracy Value LookUp'!$D$4:$E$104,2,TRUE))</f>
        <v/>
      </c>
    </row>
    <row r="168" spans="1:32">
      <c r="A168" s="58"/>
      <c r="B168" s="58"/>
      <c r="C168" s="58"/>
      <c r="D168" s="58"/>
      <c r="E168" s="58"/>
      <c r="F168" s="62"/>
      <c r="G168" s="63"/>
      <c r="H168" s="84"/>
      <c r="I168" s="61"/>
      <c r="J168" s="61"/>
      <c r="K168" s="61"/>
      <c r="L168" s="61"/>
      <c r="M168" s="103" t="str">
        <f t="shared" si="10"/>
        <v/>
      </c>
      <c r="N168" s="84"/>
      <c r="O168" s="61"/>
      <c r="P168" s="61"/>
      <c r="Q168" s="213"/>
      <c r="R168" s="64"/>
      <c r="S168" s="65" t="str">
        <f t="shared" si="11"/>
        <v/>
      </c>
      <c r="T168" s="104" t="str">
        <f t="shared" si="12"/>
        <v/>
      </c>
      <c r="U168" s="84"/>
      <c r="V168" s="61"/>
      <c r="W168" s="61"/>
      <c r="X168" s="61"/>
      <c r="Y168" s="61"/>
      <c r="Z168" s="73" t="str">
        <f t="shared" si="13"/>
        <v/>
      </c>
      <c r="AA168" s="61"/>
      <c r="AB168" s="106" t="str">
        <f t="shared" si="14"/>
        <v/>
      </c>
      <c r="AE168" s="107" t="str">
        <f>IF($S168="","",VLOOKUP($S168,'ORF Accuracy Value LookUp'!$A$4:$B$104,2,TRUE))</f>
        <v/>
      </c>
      <c r="AF168" s="108" t="str">
        <f>IF($Z168="","",VLOOKUP($Z168,'ORF Accuracy Value LookUp'!$D$4:$E$104,2,TRUE))</f>
        <v/>
      </c>
    </row>
    <row r="169" spans="1:32">
      <c r="A169" s="58"/>
      <c r="B169" s="58"/>
      <c r="C169" s="58"/>
      <c r="D169" s="58"/>
      <c r="E169" s="58"/>
      <c r="F169" s="62"/>
      <c r="G169" s="63"/>
      <c r="H169" s="84"/>
      <c r="I169" s="61"/>
      <c r="J169" s="61"/>
      <c r="K169" s="61"/>
      <c r="L169" s="61"/>
      <c r="M169" s="103" t="str">
        <f t="shared" si="10"/>
        <v/>
      </c>
      <c r="N169" s="84"/>
      <c r="O169" s="61"/>
      <c r="P169" s="61"/>
      <c r="Q169" s="213"/>
      <c r="R169" s="64"/>
      <c r="S169" s="65" t="str">
        <f t="shared" si="11"/>
        <v/>
      </c>
      <c r="T169" s="104" t="str">
        <f t="shared" si="12"/>
        <v/>
      </c>
      <c r="U169" s="84"/>
      <c r="V169" s="61"/>
      <c r="W169" s="61"/>
      <c r="X169" s="61"/>
      <c r="Y169" s="61"/>
      <c r="Z169" s="73" t="str">
        <f t="shared" si="13"/>
        <v/>
      </c>
      <c r="AA169" s="61"/>
      <c r="AB169" s="106" t="str">
        <f t="shared" si="14"/>
        <v/>
      </c>
      <c r="AE169" s="107" t="str">
        <f>IF($S169="","",VLOOKUP($S169,'ORF Accuracy Value LookUp'!$A$4:$B$104,2,TRUE))</f>
        <v/>
      </c>
      <c r="AF169" s="108" t="str">
        <f>IF($Z169="","",VLOOKUP($Z169,'ORF Accuracy Value LookUp'!$D$4:$E$104,2,TRUE))</f>
        <v/>
      </c>
    </row>
    <row r="170" spans="1:32">
      <c r="A170" s="58"/>
      <c r="B170" s="58"/>
      <c r="C170" s="58"/>
      <c r="D170" s="58"/>
      <c r="E170" s="58"/>
      <c r="F170" s="62"/>
      <c r="G170" s="63"/>
      <c r="H170" s="84"/>
      <c r="I170" s="61"/>
      <c r="J170" s="61"/>
      <c r="K170" s="61"/>
      <c r="L170" s="61"/>
      <c r="M170" s="103" t="str">
        <f t="shared" si="10"/>
        <v/>
      </c>
      <c r="N170" s="84"/>
      <c r="O170" s="61"/>
      <c r="P170" s="61"/>
      <c r="Q170" s="213"/>
      <c r="R170" s="64"/>
      <c r="S170" s="65" t="str">
        <f t="shared" si="11"/>
        <v/>
      </c>
      <c r="T170" s="104" t="str">
        <f t="shared" si="12"/>
        <v/>
      </c>
      <c r="U170" s="84"/>
      <c r="V170" s="61"/>
      <c r="W170" s="61"/>
      <c r="X170" s="61"/>
      <c r="Y170" s="61"/>
      <c r="Z170" s="73" t="str">
        <f t="shared" si="13"/>
        <v/>
      </c>
      <c r="AA170" s="61"/>
      <c r="AB170" s="106" t="str">
        <f t="shared" si="14"/>
        <v/>
      </c>
      <c r="AE170" s="107" t="str">
        <f>IF($S170="","",VLOOKUP($S170,'ORF Accuracy Value LookUp'!$A$4:$B$104,2,TRUE))</f>
        <v/>
      </c>
      <c r="AF170" s="108" t="str">
        <f>IF($Z170="","",VLOOKUP($Z170,'ORF Accuracy Value LookUp'!$D$4:$E$104,2,TRUE))</f>
        <v/>
      </c>
    </row>
    <row r="171" spans="1:32">
      <c r="A171" s="58"/>
      <c r="B171" s="58"/>
      <c r="C171" s="58"/>
      <c r="D171" s="58"/>
      <c r="E171" s="58"/>
      <c r="F171" s="62"/>
      <c r="G171" s="63"/>
      <c r="H171" s="84"/>
      <c r="I171" s="61"/>
      <c r="J171" s="61"/>
      <c r="K171" s="61"/>
      <c r="L171" s="61"/>
      <c r="M171" s="103" t="str">
        <f t="shared" si="10"/>
        <v/>
      </c>
      <c r="N171" s="84"/>
      <c r="O171" s="61"/>
      <c r="P171" s="61"/>
      <c r="Q171" s="213"/>
      <c r="R171" s="64"/>
      <c r="S171" s="65" t="str">
        <f t="shared" si="11"/>
        <v/>
      </c>
      <c r="T171" s="104" t="str">
        <f t="shared" si="12"/>
        <v/>
      </c>
      <c r="U171" s="84"/>
      <c r="V171" s="61"/>
      <c r="W171" s="61"/>
      <c r="X171" s="61"/>
      <c r="Y171" s="61"/>
      <c r="Z171" s="73" t="str">
        <f t="shared" si="13"/>
        <v/>
      </c>
      <c r="AA171" s="61"/>
      <c r="AB171" s="106" t="str">
        <f t="shared" si="14"/>
        <v/>
      </c>
      <c r="AE171" s="107" t="str">
        <f>IF($S171="","",VLOOKUP($S171,'ORF Accuracy Value LookUp'!$A$4:$B$104,2,TRUE))</f>
        <v/>
      </c>
      <c r="AF171" s="108" t="str">
        <f>IF($Z171="","",VLOOKUP($Z171,'ORF Accuracy Value LookUp'!$D$4:$E$104,2,TRUE))</f>
        <v/>
      </c>
    </row>
    <row r="172" spans="1:32">
      <c r="A172" s="58"/>
      <c r="B172" s="58"/>
      <c r="C172" s="58"/>
      <c r="D172" s="58"/>
      <c r="E172" s="58"/>
      <c r="F172" s="62"/>
      <c r="G172" s="63"/>
      <c r="H172" s="84"/>
      <c r="I172" s="61"/>
      <c r="J172" s="61"/>
      <c r="K172" s="61"/>
      <c r="L172" s="61"/>
      <c r="M172" s="103" t="str">
        <f t="shared" si="10"/>
        <v/>
      </c>
      <c r="N172" s="84"/>
      <c r="O172" s="61"/>
      <c r="P172" s="61"/>
      <c r="Q172" s="213"/>
      <c r="R172" s="64"/>
      <c r="S172" s="65" t="str">
        <f t="shared" si="11"/>
        <v/>
      </c>
      <c r="T172" s="104" t="str">
        <f t="shared" si="12"/>
        <v/>
      </c>
      <c r="U172" s="84"/>
      <c r="V172" s="61"/>
      <c r="W172" s="61"/>
      <c r="X172" s="61"/>
      <c r="Y172" s="61"/>
      <c r="Z172" s="73" t="str">
        <f t="shared" si="13"/>
        <v/>
      </c>
      <c r="AA172" s="61"/>
      <c r="AB172" s="106" t="str">
        <f t="shared" si="14"/>
        <v/>
      </c>
      <c r="AE172" s="107" t="str">
        <f>IF($S172="","",VLOOKUP($S172,'ORF Accuracy Value LookUp'!$A$4:$B$104,2,TRUE))</f>
        <v/>
      </c>
      <c r="AF172" s="108" t="str">
        <f>IF($Z172="","",VLOOKUP($Z172,'ORF Accuracy Value LookUp'!$D$4:$E$104,2,TRUE))</f>
        <v/>
      </c>
    </row>
    <row r="173" spans="1:32">
      <c r="A173" s="58"/>
      <c r="B173" s="58"/>
      <c r="C173" s="58"/>
      <c r="D173" s="58"/>
      <c r="E173" s="58"/>
      <c r="F173" s="62"/>
      <c r="G173" s="63"/>
      <c r="H173" s="84"/>
      <c r="I173" s="61"/>
      <c r="J173" s="61"/>
      <c r="K173" s="61"/>
      <c r="L173" s="61"/>
      <c r="M173" s="103" t="str">
        <f t="shared" si="10"/>
        <v/>
      </c>
      <c r="N173" s="84"/>
      <c r="O173" s="61"/>
      <c r="P173" s="61"/>
      <c r="Q173" s="213"/>
      <c r="R173" s="64"/>
      <c r="S173" s="65" t="str">
        <f t="shared" si="11"/>
        <v/>
      </c>
      <c r="T173" s="104" t="str">
        <f t="shared" si="12"/>
        <v/>
      </c>
      <c r="U173" s="84"/>
      <c r="V173" s="61"/>
      <c r="W173" s="61"/>
      <c r="X173" s="61"/>
      <c r="Y173" s="61"/>
      <c r="Z173" s="73" t="str">
        <f t="shared" si="13"/>
        <v/>
      </c>
      <c r="AA173" s="61"/>
      <c r="AB173" s="106" t="str">
        <f t="shared" si="14"/>
        <v/>
      </c>
      <c r="AE173" s="107" t="str">
        <f>IF($S173="","",VLOOKUP($S173,'ORF Accuracy Value LookUp'!$A$4:$B$104,2,TRUE))</f>
        <v/>
      </c>
      <c r="AF173" s="108" t="str">
        <f>IF($Z173="","",VLOOKUP($Z173,'ORF Accuracy Value LookUp'!$D$4:$E$104,2,TRUE))</f>
        <v/>
      </c>
    </row>
    <row r="174" spans="1:32">
      <c r="A174" s="58"/>
      <c r="B174" s="58"/>
      <c r="C174" s="58"/>
      <c r="D174" s="58"/>
      <c r="E174" s="58"/>
      <c r="F174" s="62"/>
      <c r="G174" s="63"/>
      <c r="H174" s="84"/>
      <c r="I174" s="61"/>
      <c r="J174" s="61"/>
      <c r="K174" s="61"/>
      <c r="L174" s="61"/>
      <c r="M174" s="103" t="str">
        <f t="shared" si="10"/>
        <v/>
      </c>
      <c r="N174" s="84"/>
      <c r="O174" s="61"/>
      <c r="P174" s="61"/>
      <c r="Q174" s="213"/>
      <c r="R174" s="64"/>
      <c r="S174" s="65" t="str">
        <f t="shared" si="11"/>
        <v/>
      </c>
      <c r="T174" s="104" t="str">
        <f t="shared" si="12"/>
        <v/>
      </c>
      <c r="U174" s="84"/>
      <c r="V174" s="61"/>
      <c r="W174" s="61"/>
      <c r="X174" s="61"/>
      <c r="Y174" s="61"/>
      <c r="Z174" s="73" t="str">
        <f t="shared" si="13"/>
        <v/>
      </c>
      <c r="AA174" s="61"/>
      <c r="AB174" s="106" t="str">
        <f t="shared" si="14"/>
        <v/>
      </c>
      <c r="AE174" s="107" t="str">
        <f>IF($S174="","",VLOOKUP($S174,'ORF Accuracy Value LookUp'!$A$4:$B$104,2,TRUE))</f>
        <v/>
      </c>
      <c r="AF174" s="108" t="str">
        <f>IF($Z174="","",VLOOKUP($Z174,'ORF Accuracy Value LookUp'!$D$4:$E$104,2,TRUE))</f>
        <v/>
      </c>
    </row>
    <row r="175" spans="1:32">
      <c r="A175" s="58"/>
      <c r="B175" s="58"/>
      <c r="C175" s="58"/>
      <c r="D175" s="58"/>
      <c r="E175" s="58"/>
      <c r="F175" s="62"/>
      <c r="G175" s="63"/>
      <c r="H175" s="84"/>
      <c r="I175" s="61"/>
      <c r="J175" s="61"/>
      <c r="K175" s="61"/>
      <c r="L175" s="61"/>
      <c r="M175" s="103" t="str">
        <f t="shared" si="10"/>
        <v/>
      </c>
      <c r="N175" s="84"/>
      <c r="O175" s="61"/>
      <c r="P175" s="61"/>
      <c r="Q175" s="213"/>
      <c r="R175" s="64"/>
      <c r="S175" s="65" t="str">
        <f t="shared" si="11"/>
        <v/>
      </c>
      <c r="T175" s="104" t="str">
        <f t="shared" si="12"/>
        <v/>
      </c>
      <c r="U175" s="84"/>
      <c r="V175" s="61"/>
      <c r="W175" s="61"/>
      <c r="X175" s="61"/>
      <c r="Y175" s="61"/>
      <c r="Z175" s="73" t="str">
        <f t="shared" si="13"/>
        <v/>
      </c>
      <c r="AA175" s="61"/>
      <c r="AB175" s="106" t="str">
        <f t="shared" si="14"/>
        <v/>
      </c>
      <c r="AE175" s="107" t="str">
        <f>IF($S175="","",VLOOKUP($S175,'ORF Accuracy Value LookUp'!$A$4:$B$104,2,TRUE))</f>
        <v/>
      </c>
      <c r="AF175" s="108" t="str">
        <f>IF($Z175="","",VLOOKUP($Z175,'ORF Accuracy Value LookUp'!$D$4:$E$104,2,TRUE))</f>
        <v/>
      </c>
    </row>
    <row r="176" spans="1:32">
      <c r="A176" s="58"/>
      <c r="B176" s="58"/>
      <c r="C176" s="58"/>
      <c r="D176" s="58"/>
      <c r="E176" s="58"/>
      <c r="F176" s="62"/>
      <c r="G176" s="63"/>
      <c r="H176" s="84"/>
      <c r="I176" s="61"/>
      <c r="J176" s="61"/>
      <c r="K176" s="61"/>
      <c r="L176" s="61"/>
      <c r="M176" s="103" t="str">
        <f t="shared" si="10"/>
        <v/>
      </c>
      <c r="N176" s="84"/>
      <c r="O176" s="61"/>
      <c r="P176" s="61"/>
      <c r="Q176" s="213"/>
      <c r="R176" s="64"/>
      <c r="S176" s="65" t="str">
        <f t="shared" si="11"/>
        <v/>
      </c>
      <c r="T176" s="104" t="str">
        <f t="shared" si="12"/>
        <v/>
      </c>
      <c r="U176" s="84"/>
      <c r="V176" s="61"/>
      <c r="W176" s="61"/>
      <c r="X176" s="61"/>
      <c r="Y176" s="61"/>
      <c r="Z176" s="73" t="str">
        <f t="shared" si="13"/>
        <v/>
      </c>
      <c r="AA176" s="61"/>
      <c r="AB176" s="106" t="str">
        <f t="shared" si="14"/>
        <v/>
      </c>
      <c r="AE176" s="107" t="str">
        <f>IF($S176="","",VLOOKUP($S176,'ORF Accuracy Value LookUp'!$A$4:$B$104,2,TRUE))</f>
        <v/>
      </c>
      <c r="AF176" s="108" t="str">
        <f>IF($Z176="","",VLOOKUP($Z176,'ORF Accuracy Value LookUp'!$D$4:$E$104,2,TRUE))</f>
        <v/>
      </c>
    </row>
    <row r="177" spans="1:32">
      <c r="A177" s="58"/>
      <c r="B177" s="58"/>
      <c r="C177" s="58"/>
      <c r="D177" s="58"/>
      <c r="E177" s="58"/>
      <c r="F177" s="62"/>
      <c r="G177" s="63"/>
      <c r="H177" s="84"/>
      <c r="I177" s="61"/>
      <c r="J177" s="61"/>
      <c r="K177" s="61"/>
      <c r="L177" s="61"/>
      <c r="M177" s="103" t="str">
        <f t="shared" si="10"/>
        <v/>
      </c>
      <c r="N177" s="84"/>
      <c r="O177" s="61"/>
      <c r="P177" s="61"/>
      <c r="Q177" s="213"/>
      <c r="R177" s="64"/>
      <c r="S177" s="65" t="str">
        <f t="shared" si="11"/>
        <v/>
      </c>
      <c r="T177" s="104" t="str">
        <f t="shared" si="12"/>
        <v/>
      </c>
      <c r="U177" s="84"/>
      <c r="V177" s="61"/>
      <c r="W177" s="61"/>
      <c r="X177" s="61"/>
      <c r="Y177" s="61"/>
      <c r="Z177" s="73" t="str">
        <f t="shared" si="13"/>
        <v/>
      </c>
      <c r="AA177" s="61"/>
      <c r="AB177" s="106" t="str">
        <f t="shared" si="14"/>
        <v/>
      </c>
      <c r="AE177" s="107" t="str">
        <f>IF($S177="","",VLOOKUP($S177,'ORF Accuracy Value LookUp'!$A$4:$B$104,2,TRUE))</f>
        <v/>
      </c>
      <c r="AF177" s="108" t="str">
        <f>IF($Z177="","",VLOOKUP($Z177,'ORF Accuracy Value LookUp'!$D$4:$E$104,2,TRUE))</f>
        <v/>
      </c>
    </row>
    <row r="178" spans="1:32">
      <c r="A178" s="58"/>
      <c r="B178" s="58"/>
      <c r="C178" s="58"/>
      <c r="D178" s="58"/>
      <c r="E178" s="58"/>
      <c r="F178" s="62"/>
      <c r="G178" s="63"/>
      <c r="H178" s="84"/>
      <c r="I178" s="61"/>
      <c r="J178" s="61"/>
      <c r="K178" s="61"/>
      <c r="L178" s="61"/>
      <c r="M178" s="103" t="str">
        <f t="shared" si="10"/>
        <v/>
      </c>
      <c r="N178" s="84"/>
      <c r="O178" s="61"/>
      <c r="P178" s="61"/>
      <c r="Q178" s="213"/>
      <c r="R178" s="64"/>
      <c r="S178" s="65" t="str">
        <f t="shared" si="11"/>
        <v/>
      </c>
      <c r="T178" s="104" t="str">
        <f t="shared" si="12"/>
        <v/>
      </c>
      <c r="U178" s="84"/>
      <c r="V178" s="61"/>
      <c r="W178" s="61"/>
      <c r="X178" s="61"/>
      <c r="Y178" s="61"/>
      <c r="Z178" s="73" t="str">
        <f t="shared" si="13"/>
        <v/>
      </c>
      <c r="AA178" s="61"/>
      <c r="AB178" s="106" t="str">
        <f t="shared" si="14"/>
        <v/>
      </c>
      <c r="AE178" s="107" t="str">
        <f>IF($S178="","",VLOOKUP($S178,'ORF Accuracy Value LookUp'!$A$4:$B$104,2,TRUE))</f>
        <v/>
      </c>
      <c r="AF178" s="108" t="str">
        <f>IF($Z178="","",VLOOKUP($Z178,'ORF Accuracy Value LookUp'!$D$4:$E$104,2,TRUE))</f>
        <v/>
      </c>
    </row>
    <row r="179" spans="1:32">
      <c r="A179" s="58"/>
      <c r="B179" s="58"/>
      <c r="C179" s="58"/>
      <c r="D179" s="58"/>
      <c r="E179" s="58"/>
      <c r="F179" s="62"/>
      <c r="G179" s="63"/>
      <c r="H179" s="84"/>
      <c r="I179" s="61"/>
      <c r="J179" s="61"/>
      <c r="K179" s="61"/>
      <c r="L179" s="61"/>
      <c r="M179" s="103" t="str">
        <f t="shared" si="10"/>
        <v/>
      </c>
      <c r="N179" s="84"/>
      <c r="O179" s="61"/>
      <c r="P179" s="61"/>
      <c r="Q179" s="213"/>
      <c r="R179" s="64"/>
      <c r="S179" s="65" t="str">
        <f t="shared" si="11"/>
        <v/>
      </c>
      <c r="T179" s="104" t="str">
        <f t="shared" si="12"/>
        <v/>
      </c>
      <c r="U179" s="84"/>
      <c r="V179" s="61"/>
      <c r="W179" s="61"/>
      <c r="X179" s="61"/>
      <c r="Y179" s="61"/>
      <c r="Z179" s="73" t="str">
        <f t="shared" si="13"/>
        <v/>
      </c>
      <c r="AA179" s="61"/>
      <c r="AB179" s="106" t="str">
        <f t="shared" si="14"/>
        <v/>
      </c>
      <c r="AE179" s="107" t="str">
        <f>IF($S179="","",VLOOKUP($S179,'ORF Accuracy Value LookUp'!$A$4:$B$104,2,TRUE))</f>
        <v/>
      </c>
      <c r="AF179" s="108" t="str">
        <f>IF($Z179="","",VLOOKUP($Z179,'ORF Accuracy Value LookUp'!$D$4:$E$104,2,TRUE))</f>
        <v/>
      </c>
    </row>
    <row r="180" spans="1:32">
      <c r="A180" s="58"/>
      <c r="B180" s="58"/>
      <c r="C180" s="58"/>
      <c r="D180" s="58"/>
      <c r="E180" s="58"/>
      <c r="F180" s="62"/>
      <c r="G180" s="63"/>
      <c r="H180" s="84"/>
      <c r="I180" s="61"/>
      <c r="J180" s="61"/>
      <c r="K180" s="61"/>
      <c r="L180" s="61"/>
      <c r="M180" s="103" t="str">
        <f t="shared" si="10"/>
        <v/>
      </c>
      <c r="N180" s="84"/>
      <c r="O180" s="61"/>
      <c r="P180" s="61"/>
      <c r="Q180" s="213"/>
      <c r="R180" s="64"/>
      <c r="S180" s="65" t="str">
        <f t="shared" si="11"/>
        <v/>
      </c>
      <c r="T180" s="104" t="str">
        <f t="shared" si="12"/>
        <v/>
      </c>
      <c r="U180" s="84"/>
      <c r="V180" s="61"/>
      <c r="W180" s="61"/>
      <c r="X180" s="61"/>
      <c r="Y180" s="61"/>
      <c r="Z180" s="73" t="str">
        <f t="shared" si="13"/>
        <v/>
      </c>
      <c r="AA180" s="61"/>
      <c r="AB180" s="106" t="str">
        <f t="shared" si="14"/>
        <v/>
      </c>
      <c r="AE180" s="107" t="str">
        <f>IF($S180="","",VLOOKUP($S180,'ORF Accuracy Value LookUp'!$A$4:$B$104,2,TRUE))</f>
        <v/>
      </c>
      <c r="AF180" s="108" t="str">
        <f>IF($Z180="","",VLOOKUP($Z180,'ORF Accuracy Value LookUp'!$D$4:$E$104,2,TRUE))</f>
        <v/>
      </c>
    </row>
    <row r="181" spans="1:32">
      <c r="A181" s="58"/>
      <c r="B181" s="58"/>
      <c r="C181" s="58"/>
      <c r="D181" s="58"/>
      <c r="E181" s="58"/>
      <c r="F181" s="62"/>
      <c r="G181" s="63"/>
      <c r="H181" s="84"/>
      <c r="I181" s="61"/>
      <c r="J181" s="61"/>
      <c r="K181" s="61"/>
      <c r="L181" s="61"/>
      <c r="M181" s="103" t="str">
        <f t="shared" si="10"/>
        <v/>
      </c>
      <c r="N181" s="84"/>
      <c r="O181" s="61"/>
      <c r="P181" s="61"/>
      <c r="Q181" s="213"/>
      <c r="R181" s="64"/>
      <c r="S181" s="65" t="str">
        <f t="shared" si="11"/>
        <v/>
      </c>
      <c r="T181" s="104" t="str">
        <f t="shared" si="12"/>
        <v/>
      </c>
      <c r="U181" s="84"/>
      <c r="V181" s="61"/>
      <c r="W181" s="61"/>
      <c r="X181" s="61"/>
      <c r="Y181" s="61"/>
      <c r="Z181" s="73" t="str">
        <f t="shared" si="13"/>
        <v/>
      </c>
      <c r="AA181" s="61"/>
      <c r="AB181" s="106" t="str">
        <f t="shared" si="14"/>
        <v/>
      </c>
      <c r="AE181" s="107" t="str">
        <f>IF($S181="","",VLOOKUP($S181,'ORF Accuracy Value LookUp'!$A$4:$B$104,2,TRUE))</f>
        <v/>
      </c>
      <c r="AF181" s="108" t="str">
        <f>IF($Z181="","",VLOOKUP($Z181,'ORF Accuracy Value LookUp'!$D$4:$E$104,2,TRUE))</f>
        <v/>
      </c>
    </row>
    <row r="182" spans="1:32">
      <c r="A182" s="58"/>
      <c r="B182" s="58"/>
      <c r="C182" s="58"/>
      <c r="D182" s="58"/>
      <c r="E182" s="58"/>
      <c r="F182" s="62"/>
      <c r="G182" s="63"/>
      <c r="H182" s="84"/>
      <c r="I182" s="61"/>
      <c r="J182" s="61"/>
      <c r="K182" s="61"/>
      <c r="L182" s="61"/>
      <c r="M182" s="103" t="str">
        <f t="shared" si="10"/>
        <v/>
      </c>
      <c r="N182" s="84"/>
      <c r="O182" s="61"/>
      <c r="P182" s="61"/>
      <c r="Q182" s="213"/>
      <c r="R182" s="64"/>
      <c r="S182" s="65" t="str">
        <f t="shared" si="11"/>
        <v/>
      </c>
      <c r="T182" s="104" t="str">
        <f t="shared" si="12"/>
        <v/>
      </c>
      <c r="U182" s="84"/>
      <c r="V182" s="61"/>
      <c r="W182" s="61"/>
      <c r="X182" s="61"/>
      <c r="Y182" s="61"/>
      <c r="Z182" s="73" t="str">
        <f t="shared" si="13"/>
        <v/>
      </c>
      <c r="AA182" s="61"/>
      <c r="AB182" s="106" t="str">
        <f t="shared" si="14"/>
        <v/>
      </c>
      <c r="AE182" s="107" t="str">
        <f>IF($S182="","",VLOOKUP($S182,'ORF Accuracy Value LookUp'!$A$4:$B$104,2,TRUE))</f>
        <v/>
      </c>
      <c r="AF182" s="108" t="str">
        <f>IF($Z182="","",VLOOKUP($Z182,'ORF Accuracy Value LookUp'!$D$4:$E$104,2,TRUE))</f>
        <v/>
      </c>
    </row>
    <row r="183" spans="1:32">
      <c r="A183" s="58"/>
      <c r="B183" s="58"/>
      <c r="C183" s="58"/>
      <c r="D183" s="58"/>
      <c r="E183" s="58"/>
      <c r="F183" s="62"/>
      <c r="G183" s="63"/>
      <c r="H183" s="84"/>
      <c r="I183" s="61"/>
      <c r="J183" s="61"/>
      <c r="K183" s="61"/>
      <c r="L183" s="61"/>
      <c r="M183" s="103" t="str">
        <f t="shared" si="10"/>
        <v/>
      </c>
      <c r="N183" s="84"/>
      <c r="O183" s="61"/>
      <c r="P183" s="61"/>
      <c r="Q183" s="213"/>
      <c r="R183" s="64"/>
      <c r="S183" s="65" t="str">
        <f t="shared" si="11"/>
        <v/>
      </c>
      <c r="T183" s="104" t="str">
        <f t="shared" si="12"/>
        <v/>
      </c>
      <c r="U183" s="84"/>
      <c r="V183" s="61"/>
      <c r="W183" s="61"/>
      <c r="X183" s="61"/>
      <c r="Y183" s="61"/>
      <c r="Z183" s="73" t="str">
        <f t="shared" si="13"/>
        <v/>
      </c>
      <c r="AA183" s="61"/>
      <c r="AB183" s="106" t="str">
        <f t="shared" si="14"/>
        <v/>
      </c>
      <c r="AE183" s="107" t="str">
        <f>IF($S183="","",VLOOKUP($S183,'ORF Accuracy Value LookUp'!$A$4:$B$104,2,TRUE))</f>
        <v/>
      </c>
      <c r="AF183" s="108" t="str">
        <f>IF($Z183="","",VLOOKUP($Z183,'ORF Accuracy Value LookUp'!$D$4:$E$104,2,TRUE))</f>
        <v/>
      </c>
    </row>
    <row r="184" spans="1:32">
      <c r="A184" s="58"/>
      <c r="B184" s="58"/>
      <c r="C184" s="58"/>
      <c r="D184" s="58"/>
      <c r="E184" s="58"/>
      <c r="F184" s="62"/>
      <c r="G184" s="63"/>
      <c r="H184" s="84"/>
      <c r="I184" s="61"/>
      <c r="J184" s="61"/>
      <c r="K184" s="61"/>
      <c r="L184" s="61"/>
      <c r="M184" s="103" t="str">
        <f t="shared" si="10"/>
        <v/>
      </c>
      <c r="N184" s="84"/>
      <c r="O184" s="61"/>
      <c r="P184" s="61"/>
      <c r="Q184" s="213"/>
      <c r="R184" s="64"/>
      <c r="S184" s="65" t="str">
        <f t="shared" si="11"/>
        <v/>
      </c>
      <c r="T184" s="104" t="str">
        <f t="shared" si="12"/>
        <v/>
      </c>
      <c r="U184" s="84"/>
      <c r="V184" s="61"/>
      <c r="W184" s="61"/>
      <c r="X184" s="61"/>
      <c r="Y184" s="61"/>
      <c r="Z184" s="73" t="str">
        <f t="shared" si="13"/>
        <v/>
      </c>
      <c r="AA184" s="61"/>
      <c r="AB184" s="106" t="str">
        <f t="shared" si="14"/>
        <v/>
      </c>
      <c r="AE184" s="107" t="str">
        <f>IF($S184="","",VLOOKUP($S184,'ORF Accuracy Value LookUp'!$A$4:$B$104,2,TRUE))</f>
        <v/>
      </c>
      <c r="AF184" s="108" t="str">
        <f>IF($Z184="","",VLOOKUP($Z184,'ORF Accuracy Value LookUp'!$D$4:$E$104,2,TRUE))</f>
        <v/>
      </c>
    </row>
    <row r="185" spans="1:32">
      <c r="A185" s="58"/>
      <c r="B185" s="58"/>
      <c r="C185" s="58"/>
      <c r="D185" s="58"/>
      <c r="E185" s="58"/>
      <c r="F185" s="62"/>
      <c r="G185" s="63"/>
      <c r="H185" s="84"/>
      <c r="I185" s="61"/>
      <c r="J185" s="61"/>
      <c r="K185" s="61"/>
      <c r="L185" s="61"/>
      <c r="M185" s="103" t="str">
        <f t="shared" si="10"/>
        <v/>
      </c>
      <c r="N185" s="84"/>
      <c r="O185" s="61"/>
      <c r="P185" s="61"/>
      <c r="Q185" s="213"/>
      <c r="R185" s="64"/>
      <c r="S185" s="65" t="str">
        <f t="shared" si="11"/>
        <v/>
      </c>
      <c r="T185" s="104" t="str">
        <f t="shared" si="12"/>
        <v/>
      </c>
      <c r="U185" s="84"/>
      <c r="V185" s="61"/>
      <c r="W185" s="61"/>
      <c r="X185" s="61"/>
      <c r="Y185" s="61"/>
      <c r="Z185" s="73" t="str">
        <f t="shared" si="13"/>
        <v/>
      </c>
      <c r="AA185" s="61"/>
      <c r="AB185" s="106" t="str">
        <f t="shared" si="14"/>
        <v/>
      </c>
      <c r="AE185" s="107" t="str">
        <f>IF($S185="","",VLOOKUP($S185,'ORF Accuracy Value LookUp'!$A$4:$B$104,2,TRUE))</f>
        <v/>
      </c>
      <c r="AF185" s="108" t="str">
        <f>IF($Z185="","",VLOOKUP($Z185,'ORF Accuracy Value LookUp'!$D$4:$E$104,2,TRUE))</f>
        <v/>
      </c>
    </row>
    <row r="186" spans="1:32">
      <c r="A186" s="58"/>
      <c r="B186" s="58"/>
      <c r="C186" s="58"/>
      <c r="D186" s="58"/>
      <c r="E186" s="58"/>
      <c r="F186" s="62"/>
      <c r="G186" s="63"/>
      <c r="H186" s="84"/>
      <c r="I186" s="61"/>
      <c r="J186" s="61"/>
      <c r="K186" s="61"/>
      <c r="L186" s="61"/>
      <c r="M186" s="103" t="str">
        <f t="shared" si="10"/>
        <v/>
      </c>
      <c r="N186" s="84"/>
      <c r="O186" s="61"/>
      <c r="P186" s="61"/>
      <c r="Q186" s="213"/>
      <c r="R186" s="64"/>
      <c r="S186" s="65" t="str">
        <f t="shared" si="11"/>
        <v/>
      </c>
      <c r="T186" s="104" t="str">
        <f t="shared" si="12"/>
        <v/>
      </c>
      <c r="U186" s="84"/>
      <c r="V186" s="61"/>
      <c r="W186" s="61"/>
      <c r="X186" s="61"/>
      <c r="Y186" s="61"/>
      <c r="Z186" s="73" t="str">
        <f t="shared" si="13"/>
        <v/>
      </c>
      <c r="AA186" s="61"/>
      <c r="AB186" s="106" t="str">
        <f t="shared" si="14"/>
        <v/>
      </c>
      <c r="AE186" s="107" t="str">
        <f>IF($S186="","",VLOOKUP($S186,'ORF Accuracy Value LookUp'!$A$4:$B$104,2,TRUE))</f>
        <v/>
      </c>
      <c r="AF186" s="108" t="str">
        <f>IF($Z186="","",VLOOKUP($Z186,'ORF Accuracy Value LookUp'!$D$4:$E$104,2,TRUE))</f>
        <v/>
      </c>
    </row>
    <row r="187" spans="1:32">
      <c r="A187" s="58"/>
      <c r="B187" s="58"/>
      <c r="C187" s="58"/>
      <c r="D187" s="58"/>
      <c r="E187" s="58"/>
      <c r="F187" s="62"/>
      <c r="G187" s="63"/>
      <c r="H187" s="84"/>
      <c r="I187" s="61"/>
      <c r="J187" s="61"/>
      <c r="K187" s="61"/>
      <c r="L187" s="61"/>
      <c r="M187" s="103" t="str">
        <f t="shared" si="10"/>
        <v/>
      </c>
      <c r="N187" s="84"/>
      <c r="O187" s="61"/>
      <c r="P187" s="61"/>
      <c r="Q187" s="213"/>
      <c r="R187" s="64"/>
      <c r="S187" s="65" t="str">
        <f t="shared" si="11"/>
        <v/>
      </c>
      <c r="T187" s="104" t="str">
        <f t="shared" si="12"/>
        <v/>
      </c>
      <c r="U187" s="84"/>
      <c r="V187" s="61"/>
      <c r="W187" s="61"/>
      <c r="X187" s="61"/>
      <c r="Y187" s="61"/>
      <c r="Z187" s="73" t="str">
        <f t="shared" si="13"/>
        <v/>
      </c>
      <c r="AA187" s="61"/>
      <c r="AB187" s="106" t="str">
        <f t="shared" si="14"/>
        <v/>
      </c>
      <c r="AE187" s="107" t="str">
        <f>IF($S187="","",VLOOKUP($S187,'ORF Accuracy Value LookUp'!$A$4:$B$104,2,TRUE))</f>
        <v/>
      </c>
      <c r="AF187" s="108" t="str">
        <f>IF($Z187="","",VLOOKUP($Z187,'ORF Accuracy Value LookUp'!$D$4:$E$104,2,TRUE))</f>
        <v/>
      </c>
    </row>
    <row r="188" spans="1:32">
      <c r="A188" s="58"/>
      <c r="B188" s="58"/>
      <c r="C188" s="58"/>
      <c r="D188" s="58"/>
      <c r="E188" s="58"/>
      <c r="F188" s="62"/>
      <c r="G188" s="63"/>
      <c r="H188" s="84"/>
      <c r="I188" s="61"/>
      <c r="J188" s="61"/>
      <c r="K188" s="61"/>
      <c r="L188" s="61"/>
      <c r="M188" s="103" t="str">
        <f t="shared" si="10"/>
        <v/>
      </c>
      <c r="N188" s="84"/>
      <c r="O188" s="61"/>
      <c r="P188" s="61"/>
      <c r="Q188" s="213"/>
      <c r="R188" s="64"/>
      <c r="S188" s="65" t="str">
        <f t="shared" si="11"/>
        <v/>
      </c>
      <c r="T188" s="104" t="str">
        <f t="shared" si="12"/>
        <v/>
      </c>
      <c r="U188" s="84"/>
      <c r="V188" s="61"/>
      <c r="W188" s="61"/>
      <c r="X188" s="61"/>
      <c r="Y188" s="61"/>
      <c r="Z188" s="73" t="str">
        <f t="shared" si="13"/>
        <v/>
      </c>
      <c r="AA188" s="61"/>
      <c r="AB188" s="106" t="str">
        <f t="shared" si="14"/>
        <v/>
      </c>
      <c r="AE188" s="107" t="str">
        <f>IF($S188="","",VLOOKUP($S188,'ORF Accuracy Value LookUp'!$A$4:$B$104,2,TRUE))</f>
        <v/>
      </c>
      <c r="AF188" s="108" t="str">
        <f>IF($Z188="","",VLOOKUP($Z188,'ORF Accuracy Value LookUp'!$D$4:$E$104,2,TRUE))</f>
        <v/>
      </c>
    </row>
    <row r="189" spans="1:32">
      <c r="A189" s="58"/>
      <c r="B189" s="58"/>
      <c r="C189" s="58"/>
      <c r="D189" s="58"/>
      <c r="E189" s="58"/>
      <c r="F189" s="62"/>
      <c r="G189" s="63"/>
      <c r="H189" s="84"/>
      <c r="I189" s="61"/>
      <c r="J189" s="61"/>
      <c r="K189" s="61"/>
      <c r="L189" s="61"/>
      <c r="M189" s="103" t="str">
        <f t="shared" si="10"/>
        <v/>
      </c>
      <c r="N189" s="84"/>
      <c r="O189" s="61"/>
      <c r="P189" s="61"/>
      <c r="Q189" s="213"/>
      <c r="R189" s="64"/>
      <c r="S189" s="65" t="str">
        <f t="shared" si="11"/>
        <v/>
      </c>
      <c r="T189" s="104" t="str">
        <f t="shared" si="12"/>
        <v/>
      </c>
      <c r="U189" s="84"/>
      <c r="V189" s="61"/>
      <c r="W189" s="61"/>
      <c r="X189" s="61"/>
      <c r="Y189" s="61"/>
      <c r="Z189" s="73" t="str">
        <f t="shared" si="13"/>
        <v/>
      </c>
      <c r="AA189" s="61"/>
      <c r="AB189" s="106" t="str">
        <f t="shared" si="14"/>
        <v/>
      </c>
      <c r="AE189" s="107" t="str">
        <f>IF($S189="","",VLOOKUP($S189,'ORF Accuracy Value LookUp'!$A$4:$B$104,2,TRUE))</f>
        <v/>
      </c>
      <c r="AF189" s="108" t="str">
        <f>IF($Z189="","",VLOOKUP($Z189,'ORF Accuracy Value LookUp'!$D$4:$E$104,2,TRUE))</f>
        <v/>
      </c>
    </row>
    <row r="190" spans="1:32">
      <c r="A190" s="58"/>
      <c r="B190" s="58"/>
      <c r="C190" s="58"/>
      <c r="D190" s="58"/>
      <c r="E190" s="58"/>
      <c r="F190" s="62"/>
      <c r="G190" s="63"/>
      <c r="H190" s="84"/>
      <c r="I190" s="61"/>
      <c r="J190" s="61"/>
      <c r="K190" s="61"/>
      <c r="L190" s="61"/>
      <c r="M190" s="103" t="str">
        <f t="shared" si="10"/>
        <v/>
      </c>
      <c r="N190" s="84"/>
      <c r="O190" s="61"/>
      <c r="P190" s="61"/>
      <c r="Q190" s="213"/>
      <c r="R190" s="64"/>
      <c r="S190" s="65" t="str">
        <f t="shared" si="11"/>
        <v/>
      </c>
      <c r="T190" s="104" t="str">
        <f t="shared" si="12"/>
        <v/>
      </c>
      <c r="U190" s="84"/>
      <c r="V190" s="61"/>
      <c r="W190" s="61"/>
      <c r="X190" s="61"/>
      <c r="Y190" s="61"/>
      <c r="Z190" s="73" t="str">
        <f t="shared" si="13"/>
        <v/>
      </c>
      <c r="AA190" s="61"/>
      <c r="AB190" s="106" t="str">
        <f t="shared" si="14"/>
        <v/>
      </c>
      <c r="AE190" s="107" t="str">
        <f>IF($S190="","",VLOOKUP($S190,'ORF Accuracy Value LookUp'!$A$4:$B$104,2,TRUE))</f>
        <v/>
      </c>
      <c r="AF190" s="108" t="str">
        <f>IF($Z190="","",VLOOKUP($Z190,'ORF Accuracy Value LookUp'!$D$4:$E$104,2,TRUE))</f>
        <v/>
      </c>
    </row>
    <row r="191" spans="1:32">
      <c r="A191" s="58"/>
      <c r="B191" s="58"/>
      <c r="C191" s="58"/>
      <c r="D191" s="58"/>
      <c r="E191" s="58"/>
      <c r="F191" s="62"/>
      <c r="G191" s="63"/>
      <c r="H191" s="84"/>
      <c r="I191" s="61"/>
      <c r="J191" s="61"/>
      <c r="K191" s="61"/>
      <c r="L191" s="61"/>
      <c r="M191" s="103" t="str">
        <f t="shared" si="10"/>
        <v/>
      </c>
      <c r="N191" s="84"/>
      <c r="O191" s="61"/>
      <c r="P191" s="61"/>
      <c r="Q191" s="213"/>
      <c r="R191" s="64"/>
      <c r="S191" s="65" t="str">
        <f t="shared" si="11"/>
        <v/>
      </c>
      <c r="T191" s="104" t="str">
        <f t="shared" si="12"/>
        <v/>
      </c>
      <c r="U191" s="84"/>
      <c r="V191" s="61"/>
      <c r="W191" s="61"/>
      <c r="X191" s="61"/>
      <c r="Y191" s="61"/>
      <c r="Z191" s="73" t="str">
        <f t="shared" si="13"/>
        <v/>
      </c>
      <c r="AA191" s="61"/>
      <c r="AB191" s="106" t="str">
        <f t="shared" si="14"/>
        <v/>
      </c>
      <c r="AE191" s="107" t="str">
        <f>IF($S191="","",VLOOKUP($S191,'ORF Accuracy Value LookUp'!$A$4:$B$104,2,TRUE))</f>
        <v/>
      </c>
      <c r="AF191" s="108" t="str">
        <f>IF($Z191="","",VLOOKUP($Z191,'ORF Accuracy Value LookUp'!$D$4:$E$104,2,TRUE))</f>
        <v/>
      </c>
    </row>
    <row r="192" spans="1:32">
      <c r="A192" s="58"/>
      <c r="B192" s="58"/>
      <c r="C192" s="58"/>
      <c r="D192" s="58"/>
      <c r="E192" s="58"/>
      <c r="F192" s="62"/>
      <c r="G192" s="63"/>
      <c r="H192" s="84"/>
      <c r="I192" s="61"/>
      <c r="J192" s="61"/>
      <c r="K192" s="61"/>
      <c r="L192" s="61"/>
      <c r="M192" s="103" t="str">
        <f t="shared" si="10"/>
        <v/>
      </c>
      <c r="N192" s="84"/>
      <c r="O192" s="61"/>
      <c r="P192" s="61"/>
      <c r="Q192" s="213"/>
      <c r="R192" s="64"/>
      <c r="S192" s="65" t="str">
        <f t="shared" si="11"/>
        <v/>
      </c>
      <c r="T192" s="104" t="str">
        <f t="shared" si="12"/>
        <v/>
      </c>
      <c r="U192" s="84"/>
      <c r="V192" s="61"/>
      <c r="W192" s="61"/>
      <c r="X192" s="61"/>
      <c r="Y192" s="61"/>
      <c r="Z192" s="73" t="str">
        <f t="shared" si="13"/>
        <v/>
      </c>
      <c r="AA192" s="61"/>
      <c r="AB192" s="106" t="str">
        <f t="shared" si="14"/>
        <v/>
      </c>
      <c r="AE192" s="107" t="str">
        <f>IF($S192="","",VLOOKUP($S192,'ORF Accuracy Value LookUp'!$A$4:$B$104,2,TRUE))</f>
        <v/>
      </c>
      <c r="AF192" s="108" t="str">
        <f>IF($Z192="","",VLOOKUP($Z192,'ORF Accuracy Value LookUp'!$D$4:$E$104,2,TRUE))</f>
        <v/>
      </c>
    </row>
    <row r="193" spans="1:32">
      <c r="A193" s="58"/>
      <c r="B193" s="58"/>
      <c r="C193" s="58"/>
      <c r="D193" s="58"/>
      <c r="E193" s="58"/>
      <c r="F193" s="62"/>
      <c r="G193" s="63"/>
      <c r="H193" s="84"/>
      <c r="I193" s="61"/>
      <c r="J193" s="61"/>
      <c r="K193" s="61"/>
      <c r="L193" s="61"/>
      <c r="M193" s="103" t="str">
        <f t="shared" si="10"/>
        <v/>
      </c>
      <c r="N193" s="84"/>
      <c r="O193" s="61"/>
      <c r="P193" s="61"/>
      <c r="Q193" s="213"/>
      <c r="R193" s="64"/>
      <c r="S193" s="65" t="str">
        <f t="shared" si="11"/>
        <v/>
      </c>
      <c r="T193" s="104" t="str">
        <f t="shared" si="12"/>
        <v/>
      </c>
      <c r="U193" s="84"/>
      <c r="V193" s="61"/>
      <c r="W193" s="61"/>
      <c r="X193" s="61"/>
      <c r="Y193" s="61"/>
      <c r="Z193" s="73" t="str">
        <f t="shared" si="13"/>
        <v/>
      </c>
      <c r="AA193" s="61"/>
      <c r="AB193" s="106" t="str">
        <f t="shared" si="14"/>
        <v/>
      </c>
      <c r="AE193" s="107" t="str">
        <f>IF($S193="","",VLOOKUP($S193,'ORF Accuracy Value LookUp'!$A$4:$B$104,2,TRUE))</f>
        <v/>
      </c>
      <c r="AF193" s="108" t="str">
        <f>IF($Z193="","",VLOOKUP($Z193,'ORF Accuracy Value LookUp'!$D$4:$E$104,2,TRUE))</f>
        <v/>
      </c>
    </row>
    <row r="194" spans="1:32">
      <c r="A194" s="58"/>
      <c r="B194" s="58"/>
      <c r="C194" s="58"/>
      <c r="D194" s="58"/>
      <c r="E194" s="58"/>
      <c r="F194" s="62"/>
      <c r="G194" s="63"/>
      <c r="H194" s="84"/>
      <c r="I194" s="61"/>
      <c r="J194" s="61"/>
      <c r="K194" s="61"/>
      <c r="L194" s="61"/>
      <c r="M194" s="103" t="str">
        <f t="shared" si="10"/>
        <v/>
      </c>
      <c r="N194" s="84"/>
      <c r="O194" s="61"/>
      <c r="P194" s="61"/>
      <c r="Q194" s="213"/>
      <c r="R194" s="64"/>
      <c r="S194" s="65" t="str">
        <f t="shared" si="11"/>
        <v/>
      </c>
      <c r="T194" s="104" t="str">
        <f t="shared" si="12"/>
        <v/>
      </c>
      <c r="U194" s="84"/>
      <c r="V194" s="61"/>
      <c r="W194" s="61"/>
      <c r="X194" s="61"/>
      <c r="Y194" s="61"/>
      <c r="Z194" s="73" t="str">
        <f t="shared" si="13"/>
        <v/>
      </c>
      <c r="AA194" s="61"/>
      <c r="AB194" s="106" t="str">
        <f t="shared" si="14"/>
        <v/>
      </c>
      <c r="AE194" s="107" t="str">
        <f>IF($S194="","",VLOOKUP($S194,'ORF Accuracy Value LookUp'!$A$4:$B$104,2,TRUE))</f>
        <v/>
      </c>
      <c r="AF194" s="108" t="str">
        <f>IF($Z194="","",VLOOKUP($Z194,'ORF Accuracy Value LookUp'!$D$4:$E$104,2,TRUE))</f>
        <v/>
      </c>
    </row>
    <row r="195" spans="1:32">
      <c r="A195" s="58"/>
      <c r="B195" s="58"/>
      <c r="C195" s="58"/>
      <c r="D195" s="58"/>
      <c r="E195" s="58"/>
      <c r="F195" s="62"/>
      <c r="G195" s="63"/>
      <c r="H195" s="84"/>
      <c r="I195" s="61"/>
      <c r="J195" s="61"/>
      <c r="K195" s="61"/>
      <c r="L195" s="61"/>
      <c r="M195" s="103" t="str">
        <f t="shared" ref="M195:M258" si="15">IF($B195="","",SUM($I195:$K195))</f>
        <v/>
      </c>
      <c r="N195" s="84"/>
      <c r="O195" s="61"/>
      <c r="P195" s="61"/>
      <c r="Q195" s="213"/>
      <c r="R195" s="64"/>
      <c r="S195" s="65" t="str">
        <f t="shared" ref="S195:S258" si="16">IF($Q195="","",SUM($Q195/($Q195+$R195)))</f>
        <v/>
      </c>
      <c r="T195" s="104" t="str">
        <f t="shared" si="12"/>
        <v/>
      </c>
      <c r="U195" s="84"/>
      <c r="V195" s="61"/>
      <c r="W195" s="61"/>
      <c r="X195" s="61"/>
      <c r="Y195" s="61"/>
      <c r="Z195" s="73" t="str">
        <f t="shared" si="13"/>
        <v/>
      </c>
      <c r="AA195" s="61"/>
      <c r="AB195" s="106" t="str">
        <f t="shared" si="14"/>
        <v/>
      </c>
      <c r="AE195" s="107" t="str">
        <f>IF($S195="","",VLOOKUP($S195,'ORF Accuracy Value LookUp'!$A$4:$B$104,2,TRUE))</f>
        <v/>
      </c>
      <c r="AF195" s="108" t="str">
        <f>IF($Z195="","",VLOOKUP($Z195,'ORF Accuracy Value LookUp'!$D$4:$E$104,2,TRUE))</f>
        <v/>
      </c>
    </row>
    <row r="196" spans="1:32">
      <c r="A196" s="58"/>
      <c r="B196" s="58"/>
      <c r="C196" s="58"/>
      <c r="D196" s="58"/>
      <c r="E196" s="58"/>
      <c r="F196" s="62"/>
      <c r="G196" s="63"/>
      <c r="H196" s="84"/>
      <c r="I196" s="61"/>
      <c r="J196" s="61"/>
      <c r="K196" s="61"/>
      <c r="L196" s="61"/>
      <c r="M196" s="103" t="str">
        <f t="shared" si="15"/>
        <v/>
      </c>
      <c r="N196" s="84"/>
      <c r="O196" s="61"/>
      <c r="P196" s="61"/>
      <c r="Q196" s="213"/>
      <c r="R196" s="64"/>
      <c r="S196" s="65" t="str">
        <f t="shared" si="16"/>
        <v/>
      </c>
      <c r="T196" s="104" t="str">
        <f t="shared" ref="T196:T259" si="17">IF($N196="","",SUM($O196:$Q196,$AE197))</f>
        <v/>
      </c>
      <c r="U196" s="84"/>
      <c r="V196" s="61"/>
      <c r="W196" s="61"/>
      <c r="X196" s="61"/>
      <c r="Y196" s="61"/>
      <c r="Z196" s="73" t="str">
        <f t="shared" ref="Z196:Z259" si="18">IF($X196="","",SUM($X196/($X196+$Y196)))</f>
        <v/>
      </c>
      <c r="AA196" s="61"/>
      <c r="AB196" s="106" t="str">
        <f t="shared" ref="AB196:AB259" si="19">IF($U196="","",SUM(($W196*2)+$X196+$AF196))</f>
        <v/>
      </c>
      <c r="AE196" s="107" t="str">
        <f>IF($S196="","",VLOOKUP($S196,'ORF Accuracy Value LookUp'!$A$4:$B$104,2,TRUE))</f>
        <v/>
      </c>
      <c r="AF196" s="108" t="str">
        <f>IF($Z196="","",VLOOKUP($Z196,'ORF Accuracy Value LookUp'!$D$4:$E$104,2,TRUE))</f>
        <v/>
      </c>
    </row>
    <row r="197" spans="1:32">
      <c r="A197" s="58"/>
      <c r="B197" s="58"/>
      <c r="C197" s="58"/>
      <c r="D197" s="58"/>
      <c r="E197" s="58"/>
      <c r="F197" s="62"/>
      <c r="G197" s="63"/>
      <c r="H197" s="84"/>
      <c r="I197" s="61"/>
      <c r="J197" s="61"/>
      <c r="K197" s="61"/>
      <c r="L197" s="61"/>
      <c r="M197" s="103" t="str">
        <f t="shared" si="15"/>
        <v/>
      </c>
      <c r="N197" s="84"/>
      <c r="O197" s="61"/>
      <c r="P197" s="61"/>
      <c r="Q197" s="213"/>
      <c r="R197" s="64"/>
      <c r="S197" s="65" t="str">
        <f t="shared" si="16"/>
        <v/>
      </c>
      <c r="T197" s="104" t="str">
        <f t="shared" si="17"/>
        <v/>
      </c>
      <c r="U197" s="84"/>
      <c r="V197" s="61"/>
      <c r="W197" s="61"/>
      <c r="X197" s="61"/>
      <c r="Y197" s="61"/>
      <c r="Z197" s="73" t="str">
        <f t="shared" si="18"/>
        <v/>
      </c>
      <c r="AA197" s="61"/>
      <c r="AB197" s="106" t="str">
        <f t="shared" si="19"/>
        <v/>
      </c>
      <c r="AE197" s="107" t="str">
        <f>IF($S197="","",VLOOKUP($S197,'ORF Accuracy Value LookUp'!$A$4:$B$104,2,TRUE))</f>
        <v/>
      </c>
      <c r="AF197" s="108" t="str">
        <f>IF($Z197="","",VLOOKUP($Z197,'ORF Accuracy Value LookUp'!$D$4:$E$104,2,TRUE))</f>
        <v/>
      </c>
    </row>
    <row r="198" spans="1:32">
      <c r="A198" s="58"/>
      <c r="B198" s="58"/>
      <c r="C198" s="58"/>
      <c r="D198" s="58"/>
      <c r="E198" s="58"/>
      <c r="F198" s="62"/>
      <c r="G198" s="63"/>
      <c r="H198" s="84"/>
      <c r="I198" s="61"/>
      <c r="J198" s="61"/>
      <c r="K198" s="61"/>
      <c r="L198" s="61"/>
      <c r="M198" s="103" t="str">
        <f t="shared" si="15"/>
        <v/>
      </c>
      <c r="N198" s="84"/>
      <c r="O198" s="61"/>
      <c r="P198" s="61"/>
      <c r="Q198" s="213"/>
      <c r="R198" s="64"/>
      <c r="S198" s="65" t="str">
        <f t="shared" si="16"/>
        <v/>
      </c>
      <c r="T198" s="104" t="str">
        <f t="shared" si="17"/>
        <v/>
      </c>
      <c r="U198" s="84"/>
      <c r="V198" s="61"/>
      <c r="W198" s="61"/>
      <c r="X198" s="61"/>
      <c r="Y198" s="61"/>
      <c r="Z198" s="73" t="str">
        <f t="shared" si="18"/>
        <v/>
      </c>
      <c r="AA198" s="61"/>
      <c r="AB198" s="106" t="str">
        <f t="shared" si="19"/>
        <v/>
      </c>
      <c r="AE198" s="107" t="str">
        <f>IF($S198="","",VLOOKUP($S198,'ORF Accuracy Value LookUp'!$A$4:$B$104,2,TRUE))</f>
        <v/>
      </c>
      <c r="AF198" s="108" t="str">
        <f>IF($Z198="","",VLOOKUP($Z198,'ORF Accuracy Value LookUp'!$D$4:$E$104,2,TRUE))</f>
        <v/>
      </c>
    </row>
    <row r="199" spans="1:32">
      <c r="A199" s="58"/>
      <c r="B199" s="58"/>
      <c r="C199" s="58"/>
      <c r="D199" s="58"/>
      <c r="E199" s="58"/>
      <c r="F199" s="62"/>
      <c r="G199" s="63"/>
      <c r="H199" s="84"/>
      <c r="I199" s="61"/>
      <c r="J199" s="61"/>
      <c r="K199" s="61"/>
      <c r="L199" s="61"/>
      <c r="M199" s="103" t="str">
        <f t="shared" si="15"/>
        <v/>
      </c>
      <c r="N199" s="84"/>
      <c r="O199" s="61"/>
      <c r="P199" s="61"/>
      <c r="Q199" s="213"/>
      <c r="R199" s="64"/>
      <c r="S199" s="65" t="str">
        <f t="shared" si="16"/>
        <v/>
      </c>
      <c r="T199" s="104" t="str">
        <f t="shared" si="17"/>
        <v/>
      </c>
      <c r="U199" s="84"/>
      <c r="V199" s="61"/>
      <c r="W199" s="61"/>
      <c r="X199" s="61"/>
      <c r="Y199" s="61"/>
      <c r="Z199" s="73" t="str">
        <f t="shared" si="18"/>
        <v/>
      </c>
      <c r="AA199" s="61"/>
      <c r="AB199" s="106" t="str">
        <f t="shared" si="19"/>
        <v/>
      </c>
      <c r="AE199" s="107" t="str">
        <f>IF($S199="","",VLOOKUP($S199,'ORF Accuracy Value LookUp'!$A$4:$B$104,2,TRUE))</f>
        <v/>
      </c>
      <c r="AF199" s="108" t="str">
        <f>IF($Z199="","",VLOOKUP($Z199,'ORF Accuracy Value LookUp'!$D$4:$E$104,2,TRUE))</f>
        <v/>
      </c>
    </row>
    <row r="200" spans="1:32">
      <c r="A200" s="58"/>
      <c r="B200" s="58"/>
      <c r="C200" s="58"/>
      <c r="D200" s="58"/>
      <c r="E200" s="58"/>
      <c r="F200" s="62"/>
      <c r="G200" s="63"/>
      <c r="H200" s="84"/>
      <c r="I200" s="61"/>
      <c r="J200" s="61"/>
      <c r="K200" s="61"/>
      <c r="L200" s="61"/>
      <c r="M200" s="103" t="str">
        <f t="shared" si="15"/>
        <v/>
      </c>
      <c r="N200" s="84"/>
      <c r="O200" s="61"/>
      <c r="P200" s="61"/>
      <c r="Q200" s="213"/>
      <c r="R200" s="64"/>
      <c r="S200" s="65" t="str">
        <f t="shared" si="16"/>
        <v/>
      </c>
      <c r="T200" s="104" t="str">
        <f t="shared" si="17"/>
        <v/>
      </c>
      <c r="U200" s="84"/>
      <c r="V200" s="61"/>
      <c r="W200" s="61"/>
      <c r="X200" s="61"/>
      <c r="Y200" s="61"/>
      <c r="Z200" s="73" t="str">
        <f t="shared" si="18"/>
        <v/>
      </c>
      <c r="AA200" s="61"/>
      <c r="AB200" s="106" t="str">
        <f t="shared" si="19"/>
        <v/>
      </c>
      <c r="AE200" s="107" t="str">
        <f>IF($S200="","",VLOOKUP($S200,'ORF Accuracy Value LookUp'!$A$4:$B$104,2,TRUE))</f>
        <v/>
      </c>
      <c r="AF200" s="108" t="str">
        <f>IF($Z200="","",VLOOKUP($Z200,'ORF Accuracy Value LookUp'!$D$4:$E$104,2,TRUE))</f>
        <v/>
      </c>
    </row>
    <row r="201" spans="1:32">
      <c r="A201" s="58"/>
      <c r="B201" s="58"/>
      <c r="C201" s="58"/>
      <c r="D201" s="58"/>
      <c r="E201" s="58"/>
      <c r="F201" s="62"/>
      <c r="G201" s="63"/>
      <c r="H201" s="84"/>
      <c r="I201" s="61"/>
      <c r="J201" s="61"/>
      <c r="K201" s="61"/>
      <c r="L201" s="61"/>
      <c r="M201" s="103" t="str">
        <f t="shared" si="15"/>
        <v/>
      </c>
      <c r="N201" s="84"/>
      <c r="O201" s="61"/>
      <c r="P201" s="61"/>
      <c r="Q201" s="213"/>
      <c r="R201" s="64"/>
      <c r="S201" s="65" t="str">
        <f t="shared" si="16"/>
        <v/>
      </c>
      <c r="T201" s="104" t="str">
        <f t="shared" si="17"/>
        <v/>
      </c>
      <c r="U201" s="84"/>
      <c r="V201" s="61"/>
      <c r="W201" s="61"/>
      <c r="X201" s="61"/>
      <c r="Y201" s="61"/>
      <c r="Z201" s="73" t="str">
        <f t="shared" si="18"/>
        <v/>
      </c>
      <c r="AA201" s="61"/>
      <c r="AB201" s="106" t="str">
        <f t="shared" si="19"/>
        <v/>
      </c>
      <c r="AE201" s="107" t="str">
        <f>IF($S201="","",VLOOKUP($S201,'ORF Accuracy Value LookUp'!$A$4:$B$104,2,TRUE))</f>
        <v/>
      </c>
      <c r="AF201" s="108" t="str">
        <f>IF($Z201="","",VLOOKUP($Z201,'ORF Accuracy Value LookUp'!$D$4:$E$104,2,TRUE))</f>
        <v/>
      </c>
    </row>
    <row r="202" spans="1:32">
      <c r="A202" s="58"/>
      <c r="B202" s="58"/>
      <c r="C202" s="58"/>
      <c r="D202" s="58"/>
      <c r="E202" s="58"/>
      <c r="F202" s="62"/>
      <c r="G202" s="63"/>
      <c r="H202" s="84"/>
      <c r="I202" s="61"/>
      <c r="J202" s="61"/>
      <c r="K202" s="61"/>
      <c r="L202" s="61"/>
      <c r="M202" s="103" t="str">
        <f t="shared" si="15"/>
        <v/>
      </c>
      <c r="N202" s="84"/>
      <c r="O202" s="61"/>
      <c r="P202" s="61"/>
      <c r="Q202" s="213"/>
      <c r="R202" s="64"/>
      <c r="S202" s="65" t="str">
        <f t="shared" si="16"/>
        <v/>
      </c>
      <c r="T202" s="104" t="str">
        <f t="shared" si="17"/>
        <v/>
      </c>
      <c r="U202" s="84"/>
      <c r="V202" s="61"/>
      <c r="W202" s="61"/>
      <c r="X202" s="61"/>
      <c r="Y202" s="61"/>
      <c r="Z202" s="73" t="str">
        <f t="shared" si="18"/>
        <v/>
      </c>
      <c r="AA202" s="61"/>
      <c r="AB202" s="106" t="str">
        <f t="shared" si="19"/>
        <v/>
      </c>
      <c r="AE202" s="107" t="str">
        <f>IF($S202="","",VLOOKUP($S202,'ORF Accuracy Value LookUp'!$A$4:$B$104,2,TRUE))</f>
        <v/>
      </c>
      <c r="AF202" s="108" t="str">
        <f>IF($Z202="","",VLOOKUP($Z202,'ORF Accuracy Value LookUp'!$D$4:$E$104,2,TRUE))</f>
        <v/>
      </c>
    </row>
    <row r="203" spans="1:32">
      <c r="A203" s="58"/>
      <c r="B203" s="58"/>
      <c r="C203" s="58"/>
      <c r="D203" s="58"/>
      <c r="E203" s="58"/>
      <c r="F203" s="62"/>
      <c r="G203" s="63"/>
      <c r="H203" s="84"/>
      <c r="I203" s="61"/>
      <c r="J203" s="61"/>
      <c r="K203" s="61"/>
      <c r="L203" s="61"/>
      <c r="M203" s="103" t="str">
        <f t="shared" si="15"/>
        <v/>
      </c>
      <c r="N203" s="84"/>
      <c r="O203" s="61"/>
      <c r="P203" s="61"/>
      <c r="Q203" s="213"/>
      <c r="R203" s="64"/>
      <c r="S203" s="65" t="str">
        <f t="shared" si="16"/>
        <v/>
      </c>
      <c r="T203" s="104" t="str">
        <f t="shared" si="17"/>
        <v/>
      </c>
      <c r="U203" s="84"/>
      <c r="V203" s="61"/>
      <c r="W203" s="61"/>
      <c r="X203" s="61"/>
      <c r="Y203" s="61"/>
      <c r="Z203" s="73" t="str">
        <f t="shared" si="18"/>
        <v/>
      </c>
      <c r="AA203" s="61"/>
      <c r="AB203" s="106" t="str">
        <f t="shared" si="19"/>
        <v/>
      </c>
      <c r="AE203" s="107" t="str">
        <f>IF($S203="","",VLOOKUP($S203,'ORF Accuracy Value LookUp'!$A$4:$B$104,2,TRUE))</f>
        <v/>
      </c>
      <c r="AF203" s="108" t="str">
        <f>IF($Z203="","",VLOOKUP($Z203,'ORF Accuracy Value LookUp'!$D$4:$E$104,2,TRUE))</f>
        <v/>
      </c>
    </row>
    <row r="204" spans="1:32">
      <c r="A204" s="58"/>
      <c r="B204" s="58"/>
      <c r="C204" s="58"/>
      <c r="D204" s="58"/>
      <c r="E204" s="58"/>
      <c r="F204" s="62"/>
      <c r="G204" s="63"/>
      <c r="H204" s="84"/>
      <c r="I204" s="61"/>
      <c r="J204" s="61"/>
      <c r="K204" s="61"/>
      <c r="L204" s="61"/>
      <c r="M204" s="103" t="str">
        <f t="shared" si="15"/>
        <v/>
      </c>
      <c r="N204" s="84"/>
      <c r="O204" s="61"/>
      <c r="P204" s="61"/>
      <c r="Q204" s="213"/>
      <c r="R204" s="64"/>
      <c r="S204" s="65" t="str">
        <f t="shared" si="16"/>
        <v/>
      </c>
      <c r="T204" s="104" t="str">
        <f t="shared" si="17"/>
        <v/>
      </c>
      <c r="U204" s="84"/>
      <c r="V204" s="61"/>
      <c r="W204" s="61"/>
      <c r="X204" s="61"/>
      <c r="Y204" s="61"/>
      <c r="Z204" s="73" t="str">
        <f t="shared" si="18"/>
        <v/>
      </c>
      <c r="AA204" s="61"/>
      <c r="AB204" s="106" t="str">
        <f t="shared" si="19"/>
        <v/>
      </c>
      <c r="AE204" s="107" t="str">
        <f>IF($S204="","",VLOOKUP($S204,'ORF Accuracy Value LookUp'!$A$4:$B$104,2,TRUE))</f>
        <v/>
      </c>
      <c r="AF204" s="108" t="str">
        <f>IF($Z204="","",VLOOKUP($Z204,'ORF Accuracy Value LookUp'!$D$4:$E$104,2,TRUE))</f>
        <v/>
      </c>
    </row>
    <row r="205" spans="1:32">
      <c r="A205" s="58"/>
      <c r="B205" s="58"/>
      <c r="C205" s="58"/>
      <c r="D205" s="58"/>
      <c r="E205" s="58"/>
      <c r="F205" s="62"/>
      <c r="G205" s="63"/>
      <c r="H205" s="84"/>
      <c r="I205" s="61"/>
      <c r="J205" s="61"/>
      <c r="K205" s="61"/>
      <c r="L205" s="61"/>
      <c r="M205" s="103" t="str">
        <f t="shared" si="15"/>
        <v/>
      </c>
      <c r="N205" s="84"/>
      <c r="O205" s="61"/>
      <c r="P205" s="61"/>
      <c r="Q205" s="213"/>
      <c r="R205" s="64"/>
      <c r="S205" s="65" t="str">
        <f t="shared" si="16"/>
        <v/>
      </c>
      <c r="T205" s="104" t="str">
        <f t="shared" si="17"/>
        <v/>
      </c>
      <c r="U205" s="84"/>
      <c r="V205" s="61"/>
      <c r="W205" s="61"/>
      <c r="X205" s="61"/>
      <c r="Y205" s="61"/>
      <c r="Z205" s="73" t="str">
        <f t="shared" si="18"/>
        <v/>
      </c>
      <c r="AA205" s="61"/>
      <c r="AB205" s="106" t="str">
        <f t="shared" si="19"/>
        <v/>
      </c>
      <c r="AE205" s="107" t="str">
        <f>IF($S205="","",VLOOKUP($S205,'ORF Accuracy Value LookUp'!$A$4:$B$104,2,TRUE))</f>
        <v/>
      </c>
      <c r="AF205" s="108" t="str">
        <f>IF($Z205="","",VLOOKUP($Z205,'ORF Accuracy Value LookUp'!$D$4:$E$104,2,TRUE))</f>
        <v/>
      </c>
    </row>
    <row r="206" spans="1:32">
      <c r="A206" s="58"/>
      <c r="B206" s="58"/>
      <c r="C206" s="58"/>
      <c r="D206" s="58"/>
      <c r="E206" s="58"/>
      <c r="F206" s="62"/>
      <c r="G206" s="63"/>
      <c r="H206" s="84"/>
      <c r="I206" s="61"/>
      <c r="J206" s="61"/>
      <c r="K206" s="61"/>
      <c r="L206" s="61"/>
      <c r="M206" s="103" t="str">
        <f t="shared" si="15"/>
        <v/>
      </c>
      <c r="N206" s="84"/>
      <c r="O206" s="61"/>
      <c r="P206" s="61"/>
      <c r="Q206" s="213"/>
      <c r="R206" s="64"/>
      <c r="S206" s="65" t="str">
        <f t="shared" si="16"/>
        <v/>
      </c>
      <c r="T206" s="104" t="str">
        <f t="shared" si="17"/>
        <v/>
      </c>
      <c r="U206" s="84"/>
      <c r="V206" s="61"/>
      <c r="W206" s="61"/>
      <c r="X206" s="61"/>
      <c r="Y206" s="61"/>
      <c r="Z206" s="73" t="str">
        <f t="shared" si="18"/>
        <v/>
      </c>
      <c r="AA206" s="61"/>
      <c r="AB206" s="106" t="str">
        <f t="shared" si="19"/>
        <v/>
      </c>
      <c r="AE206" s="107" t="str">
        <f>IF($S206="","",VLOOKUP($S206,'ORF Accuracy Value LookUp'!$A$4:$B$104,2,TRUE))</f>
        <v/>
      </c>
      <c r="AF206" s="108" t="str">
        <f>IF($Z206="","",VLOOKUP($Z206,'ORF Accuracy Value LookUp'!$D$4:$E$104,2,TRUE))</f>
        <v/>
      </c>
    </row>
    <row r="207" spans="1:32">
      <c r="A207" s="58"/>
      <c r="B207" s="58"/>
      <c r="C207" s="58"/>
      <c r="D207" s="58"/>
      <c r="E207" s="58"/>
      <c r="F207" s="62"/>
      <c r="G207" s="63"/>
      <c r="H207" s="84"/>
      <c r="I207" s="61"/>
      <c r="J207" s="61"/>
      <c r="K207" s="61"/>
      <c r="L207" s="61"/>
      <c r="M207" s="103" t="str">
        <f t="shared" si="15"/>
        <v/>
      </c>
      <c r="N207" s="84"/>
      <c r="O207" s="61"/>
      <c r="P207" s="61"/>
      <c r="Q207" s="213"/>
      <c r="R207" s="64"/>
      <c r="S207" s="65" t="str">
        <f t="shared" si="16"/>
        <v/>
      </c>
      <c r="T207" s="104" t="str">
        <f t="shared" si="17"/>
        <v/>
      </c>
      <c r="U207" s="84"/>
      <c r="V207" s="61"/>
      <c r="W207" s="61"/>
      <c r="X207" s="61"/>
      <c r="Y207" s="61"/>
      <c r="Z207" s="73" t="str">
        <f t="shared" si="18"/>
        <v/>
      </c>
      <c r="AA207" s="61"/>
      <c r="AB207" s="106" t="str">
        <f t="shared" si="19"/>
        <v/>
      </c>
      <c r="AE207" s="107" t="str">
        <f>IF($S207="","",VLOOKUP($S207,'ORF Accuracy Value LookUp'!$A$4:$B$104,2,TRUE))</f>
        <v/>
      </c>
      <c r="AF207" s="108" t="str">
        <f>IF($Z207="","",VLOOKUP($Z207,'ORF Accuracy Value LookUp'!$D$4:$E$104,2,TRUE))</f>
        <v/>
      </c>
    </row>
    <row r="208" spans="1:32">
      <c r="A208" s="58"/>
      <c r="B208" s="58"/>
      <c r="C208" s="58"/>
      <c r="D208" s="58"/>
      <c r="E208" s="58"/>
      <c r="F208" s="62"/>
      <c r="G208" s="63"/>
      <c r="H208" s="84"/>
      <c r="I208" s="61"/>
      <c r="J208" s="61"/>
      <c r="K208" s="61"/>
      <c r="L208" s="61"/>
      <c r="M208" s="103" t="str">
        <f t="shared" si="15"/>
        <v/>
      </c>
      <c r="N208" s="84"/>
      <c r="O208" s="61"/>
      <c r="P208" s="61"/>
      <c r="Q208" s="213"/>
      <c r="R208" s="64"/>
      <c r="S208" s="65" t="str">
        <f t="shared" si="16"/>
        <v/>
      </c>
      <c r="T208" s="104" t="str">
        <f t="shared" si="17"/>
        <v/>
      </c>
      <c r="U208" s="84"/>
      <c r="V208" s="61"/>
      <c r="W208" s="61"/>
      <c r="X208" s="61"/>
      <c r="Y208" s="61"/>
      <c r="Z208" s="73" t="str">
        <f t="shared" si="18"/>
        <v/>
      </c>
      <c r="AA208" s="61"/>
      <c r="AB208" s="106" t="str">
        <f t="shared" si="19"/>
        <v/>
      </c>
      <c r="AE208" s="107" t="str">
        <f>IF($S208="","",VLOOKUP($S208,'ORF Accuracy Value LookUp'!$A$4:$B$104,2,TRUE))</f>
        <v/>
      </c>
      <c r="AF208" s="108" t="str">
        <f>IF($Z208="","",VLOOKUP($Z208,'ORF Accuracy Value LookUp'!$D$4:$E$104,2,TRUE))</f>
        <v/>
      </c>
    </row>
    <row r="209" spans="1:32">
      <c r="A209" s="58"/>
      <c r="B209" s="58"/>
      <c r="C209" s="58"/>
      <c r="D209" s="58"/>
      <c r="E209" s="58"/>
      <c r="F209" s="62"/>
      <c r="G209" s="63"/>
      <c r="H209" s="84"/>
      <c r="I209" s="61"/>
      <c r="J209" s="61"/>
      <c r="K209" s="61"/>
      <c r="L209" s="61"/>
      <c r="M209" s="103" t="str">
        <f t="shared" si="15"/>
        <v/>
      </c>
      <c r="N209" s="84"/>
      <c r="O209" s="61"/>
      <c r="P209" s="61"/>
      <c r="Q209" s="213"/>
      <c r="R209" s="64"/>
      <c r="S209" s="65" t="str">
        <f t="shared" si="16"/>
        <v/>
      </c>
      <c r="T209" s="104" t="str">
        <f t="shared" si="17"/>
        <v/>
      </c>
      <c r="U209" s="84"/>
      <c r="V209" s="61"/>
      <c r="W209" s="61"/>
      <c r="X209" s="61"/>
      <c r="Y209" s="61"/>
      <c r="Z209" s="73" t="str">
        <f t="shared" si="18"/>
        <v/>
      </c>
      <c r="AA209" s="61"/>
      <c r="AB209" s="106" t="str">
        <f t="shared" si="19"/>
        <v/>
      </c>
      <c r="AE209" s="107" t="str">
        <f>IF($S209="","",VLOOKUP($S209,'ORF Accuracy Value LookUp'!$A$4:$B$104,2,TRUE))</f>
        <v/>
      </c>
      <c r="AF209" s="108" t="str">
        <f>IF($Z209="","",VLOOKUP($Z209,'ORF Accuracy Value LookUp'!$D$4:$E$104,2,TRUE))</f>
        <v/>
      </c>
    </row>
    <row r="210" spans="1:32">
      <c r="A210" s="58"/>
      <c r="B210" s="58"/>
      <c r="C210" s="58"/>
      <c r="D210" s="58"/>
      <c r="E210" s="58"/>
      <c r="F210" s="62"/>
      <c r="G210" s="63"/>
      <c r="H210" s="84"/>
      <c r="I210" s="61"/>
      <c r="J210" s="61"/>
      <c r="K210" s="61"/>
      <c r="L210" s="61"/>
      <c r="M210" s="103" t="str">
        <f t="shared" si="15"/>
        <v/>
      </c>
      <c r="N210" s="84"/>
      <c r="O210" s="61"/>
      <c r="P210" s="61"/>
      <c r="Q210" s="213"/>
      <c r="R210" s="64"/>
      <c r="S210" s="65" t="str">
        <f t="shared" si="16"/>
        <v/>
      </c>
      <c r="T210" s="104" t="str">
        <f t="shared" si="17"/>
        <v/>
      </c>
      <c r="U210" s="84"/>
      <c r="V210" s="61"/>
      <c r="W210" s="61"/>
      <c r="X210" s="61"/>
      <c r="Y210" s="61"/>
      <c r="Z210" s="73" t="str">
        <f t="shared" si="18"/>
        <v/>
      </c>
      <c r="AA210" s="61"/>
      <c r="AB210" s="106" t="str">
        <f t="shared" si="19"/>
        <v/>
      </c>
      <c r="AE210" s="107" t="str">
        <f>IF($S210="","",VLOOKUP($S210,'ORF Accuracy Value LookUp'!$A$4:$B$104,2,TRUE))</f>
        <v/>
      </c>
      <c r="AF210" s="108" t="str">
        <f>IF($Z210="","",VLOOKUP($Z210,'ORF Accuracy Value LookUp'!$D$4:$E$104,2,TRUE))</f>
        <v/>
      </c>
    </row>
    <row r="211" spans="1:32">
      <c r="A211" s="58"/>
      <c r="B211" s="58"/>
      <c r="C211" s="58"/>
      <c r="D211" s="58"/>
      <c r="E211" s="58"/>
      <c r="F211" s="62"/>
      <c r="G211" s="63"/>
      <c r="H211" s="84"/>
      <c r="I211" s="61"/>
      <c r="J211" s="61"/>
      <c r="K211" s="61"/>
      <c r="L211" s="61"/>
      <c r="M211" s="103" t="str">
        <f t="shared" si="15"/>
        <v/>
      </c>
      <c r="N211" s="84"/>
      <c r="O211" s="61"/>
      <c r="P211" s="61"/>
      <c r="Q211" s="213"/>
      <c r="R211" s="64"/>
      <c r="S211" s="65" t="str">
        <f t="shared" si="16"/>
        <v/>
      </c>
      <c r="T211" s="104" t="str">
        <f t="shared" si="17"/>
        <v/>
      </c>
      <c r="U211" s="84"/>
      <c r="V211" s="61"/>
      <c r="W211" s="61"/>
      <c r="X211" s="61"/>
      <c r="Y211" s="61"/>
      <c r="Z211" s="73" t="str">
        <f t="shared" si="18"/>
        <v/>
      </c>
      <c r="AA211" s="61"/>
      <c r="AB211" s="106" t="str">
        <f t="shared" si="19"/>
        <v/>
      </c>
      <c r="AE211" s="107" t="str">
        <f>IF($S211="","",VLOOKUP($S211,'ORF Accuracy Value LookUp'!$A$4:$B$104,2,TRUE))</f>
        <v/>
      </c>
      <c r="AF211" s="108" t="str">
        <f>IF($Z211="","",VLOOKUP($Z211,'ORF Accuracy Value LookUp'!$D$4:$E$104,2,TRUE))</f>
        <v/>
      </c>
    </row>
    <row r="212" spans="1:32">
      <c r="A212" s="58"/>
      <c r="B212" s="58"/>
      <c r="C212" s="58"/>
      <c r="D212" s="58"/>
      <c r="E212" s="58"/>
      <c r="F212" s="62"/>
      <c r="G212" s="63"/>
      <c r="H212" s="84"/>
      <c r="I212" s="61"/>
      <c r="J212" s="61"/>
      <c r="K212" s="61"/>
      <c r="L212" s="61"/>
      <c r="M212" s="103" t="str">
        <f t="shared" si="15"/>
        <v/>
      </c>
      <c r="N212" s="84"/>
      <c r="O212" s="61"/>
      <c r="P212" s="61"/>
      <c r="Q212" s="213"/>
      <c r="R212" s="64"/>
      <c r="S212" s="65" t="str">
        <f t="shared" si="16"/>
        <v/>
      </c>
      <c r="T212" s="104" t="str">
        <f t="shared" si="17"/>
        <v/>
      </c>
      <c r="U212" s="84"/>
      <c r="V212" s="61"/>
      <c r="W212" s="61"/>
      <c r="X212" s="61"/>
      <c r="Y212" s="61"/>
      <c r="Z212" s="73" t="str">
        <f t="shared" si="18"/>
        <v/>
      </c>
      <c r="AA212" s="61"/>
      <c r="AB212" s="106" t="str">
        <f t="shared" si="19"/>
        <v/>
      </c>
      <c r="AE212" s="107" t="str">
        <f>IF($S212="","",VLOOKUP($S212,'ORF Accuracy Value LookUp'!$A$4:$B$104,2,TRUE))</f>
        <v/>
      </c>
      <c r="AF212" s="108" t="str">
        <f>IF($Z212="","",VLOOKUP($Z212,'ORF Accuracy Value LookUp'!$D$4:$E$104,2,TRUE))</f>
        <v/>
      </c>
    </row>
    <row r="213" spans="1:32">
      <c r="A213" s="58"/>
      <c r="B213" s="58"/>
      <c r="C213" s="58"/>
      <c r="D213" s="58"/>
      <c r="E213" s="58"/>
      <c r="F213" s="62"/>
      <c r="G213" s="63"/>
      <c r="H213" s="84"/>
      <c r="I213" s="61"/>
      <c r="J213" s="61"/>
      <c r="K213" s="61"/>
      <c r="L213" s="61"/>
      <c r="M213" s="103" t="str">
        <f t="shared" si="15"/>
        <v/>
      </c>
      <c r="N213" s="84"/>
      <c r="O213" s="61"/>
      <c r="P213" s="61"/>
      <c r="Q213" s="213"/>
      <c r="R213" s="64"/>
      <c r="S213" s="65" t="str">
        <f t="shared" si="16"/>
        <v/>
      </c>
      <c r="T213" s="104" t="str">
        <f t="shared" si="17"/>
        <v/>
      </c>
      <c r="U213" s="84"/>
      <c r="V213" s="61"/>
      <c r="W213" s="61"/>
      <c r="X213" s="61"/>
      <c r="Y213" s="61"/>
      <c r="Z213" s="73" t="str">
        <f t="shared" si="18"/>
        <v/>
      </c>
      <c r="AA213" s="61"/>
      <c r="AB213" s="106" t="str">
        <f t="shared" si="19"/>
        <v/>
      </c>
      <c r="AE213" s="107" t="str">
        <f>IF($S213="","",VLOOKUP($S213,'ORF Accuracy Value LookUp'!$A$4:$B$104,2,TRUE))</f>
        <v/>
      </c>
      <c r="AF213" s="108" t="str">
        <f>IF($Z213="","",VLOOKUP($Z213,'ORF Accuracy Value LookUp'!$D$4:$E$104,2,TRUE))</f>
        <v/>
      </c>
    </row>
    <row r="214" spans="1:32">
      <c r="A214" s="58"/>
      <c r="B214" s="58"/>
      <c r="C214" s="58"/>
      <c r="D214" s="58"/>
      <c r="E214" s="58"/>
      <c r="F214" s="62"/>
      <c r="G214" s="63"/>
      <c r="H214" s="84"/>
      <c r="I214" s="61"/>
      <c r="J214" s="61"/>
      <c r="K214" s="61"/>
      <c r="L214" s="61"/>
      <c r="M214" s="103" t="str">
        <f t="shared" si="15"/>
        <v/>
      </c>
      <c r="N214" s="84"/>
      <c r="O214" s="61"/>
      <c r="P214" s="61"/>
      <c r="Q214" s="213"/>
      <c r="R214" s="64"/>
      <c r="S214" s="65" t="str">
        <f t="shared" si="16"/>
        <v/>
      </c>
      <c r="T214" s="104" t="str">
        <f t="shared" si="17"/>
        <v/>
      </c>
      <c r="U214" s="84"/>
      <c r="V214" s="61"/>
      <c r="W214" s="61"/>
      <c r="X214" s="61"/>
      <c r="Y214" s="61"/>
      <c r="Z214" s="73" t="str">
        <f t="shared" si="18"/>
        <v/>
      </c>
      <c r="AA214" s="61"/>
      <c r="AB214" s="106" t="str">
        <f t="shared" si="19"/>
        <v/>
      </c>
      <c r="AE214" s="107" t="str">
        <f>IF($S214="","",VLOOKUP($S214,'ORF Accuracy Value LookUp'!$A$4:$B$104,2,TRUE))</f>
        <v/>
      </c>
      <c r="AF214" s="108" t="str">
        <f>IF($Z214="","",VLOOKUP($Z214,'ORF Accuracy Value LookUp'!$D$4:$E$104,2,TRUE))</f>
        <v/>
      </c>
    </row>
    <row r="215" spans="1:32">
      <c r="A215" s="58"/>
      <c r="B215" s="58"/>
      <c r="C215" s="58"/>
      <c r="D215" s="58"/>
      <c r="E215" s="58"/>
      <c r="F215" s="62"/>
      <c r="G215" s="63"/>
      <c r="H215" s="84"/>
      <c r="I215" s="61"/>
      <c r="J215" s="61"/>
      <c r="K215" s="61"/>
      <c r="L215" s="61"/>
      <c r="M215" s="103" t="str">
        <f t="shared" si="15"/>
        <v/>
      </c>
      <c r="N215" s="84"/>
      <c r="O215" s="61"/>
      <c r="P215" s="61"/>
      <c r="Q215" s="213"/>
      <c r="R215" s="64"/>
      <c r="S215" s="65" t="str">
        <f t="shared" si="16"/>
        <v/>
      </c>
      <c r="T215" s="104" t="str">
        <f t="shared" si="17"/>
        <v/>
      </c>
      <c r="U215" s="84"/>
      <c r="V215" s="61"/>
      <c r="W215" s="61"/>
      <c r="X215" s="61"/>
      <c r="Y215" s="61"/>
      <c r="Z215" s="73" t="str">
        <f t="shared" si="18"/>
        <v/>
      </c>
      <c r="AA215" s="61"/>
      <c r="AB215" s="106" t="str">
        <f t="shared" si="19"/>
        <v/>
      </c>
      <c r="AE215" s="107" t="str">
        <f>IF($S215="","",VLOOKUP($S215,'ORF Accuracy Value LookUp'!$A$4:$B$104,2,TRUE))</f>
        <v/>
      </c>
      <c r="AF215" s="108" t="str">
        <f>IF($Z215="","",VLOOKUP($Z215,'ORF Accuracy Value LookUp'!$D$4:$E$104,2,TRUE))</f>
        <v/>
      </c>
    </row>
    <row r="216" spans="1:32">
      <c r="A216" s="58"/>
      <c r="B216" s="58"/>
      <c r="C216" s="58"/>
      <c r="D216" s="58"/>
      <c r="E216" s="58"/>
      <c r="F216" s="62"/>
      <c r="G216" s="63"/>
      <c r="H216" s="84"/>
      <c r="I216" s="61"/>
      <c r="J216" s="61"/>
      <c r="K216" s="61"/>
      <c r="L216" s="61"/>
      <c r="M216" s="103" t="str">
        <f t="shared" si="15"/>
        <v/>
      </c>
      <c r="N216" s="84"/>
      <c r="O216" s="61"/>
      <c r="P216" s="61"/>
      <c r="Q216" s="213"/>
      <c r="R216" s="64"/>
      <c r="S216" s="65" t="str">
        <f t="shared" si="16"/>
        <v/>
      </c>
      <c r="T216" s="104" t="str">
        <f t="shared" si="17"/>
        <v/>
      </c>
      <c r="U216" s="84"/>
      <c r="V216" s="61"/>
      <c r="W216" s="61"/>
      <c r="X216" s="61"/>
      <c r="Y216" s="61"/>
      <c r="Z216" s="73" t="str">
        <f t="shared" si="18"/>
        <v/>
      </c>
      <c r="AA216" s="61"/>
      <c r="AB216" s="106" t="str">
        <f t="shared" si="19"/>
        <v/>
      </c>
      <c r="AE216" s="107" t="str">
        <f>IF($S216="","",VLOOKUP($S216,'ORF Accuracy Value LookUp'!$A$4:$B$104,2,TRUE))</f>
        <v/>
      </c>
      <c r="AF216" s="108" t="str">
        <f>IF($Z216="","",VLOOKUP($Z216,'ORF Accuracy Value LookUp'!$D$4:$E$104,2,TRUE))</f>
        <v/>
      </c>
    </row>
    <row r="217" spans="1:32">
      <c r="A217" s="58"/>
      <c r="B217" s="58"/>
      <c r="C217" s="58"/>
      <c r="D217" s="58"/>
      <c r="E217" s="58"/>
      <c r="F217" s="62"/>
      <c r="G217" s="63"/>
      <c r="H217" s="84"/>
      <c r="I217" s="61"/>
      <c r="J217" s="61"/>
      <c r="K217" s="61"/>
      <c r="L217" s="61"/>
      <c r="M217" s="103" t="str">
        <f t="shared" si="15"/>
        <v/>
      </c>
      <c r="N217" s="84"/>
      <c r="O217" s="61"/>
      <c r="P217" s="61"/>
      <c r="Q217" s="213"/>
      <c r="R217" s="64"/>
      <c r="S217" s="65" t="str">
        <f t="shared" si="16"/>
        <v/>
      </c>
      <c r="T217" s="104" t="str">
        <f t="shared" si="17"/>
        <v/>
      </c>
      <c r="U217" s="84"/>
      <c r="V217" s="61"/>
      <c r="W217" s="61"/>
      <c r="X217" s="61"/>
      <c r="Y217" s="61"/>
      <c r="Z217" s="73" t="str">
        <f t="shared" si="18"/>
        <v/>
      </c>
      <c r="AA217" s="61"/>
      <c r="AB217" s="106" t="str">
        <f t="shared" si="19"/>
        <v/>
      </c>
      <c r="AE217" s="107" t="str">
        <f>IF($S217="","",VLOOKUP($S217,'ORF Accuracy Value LookUp'!$A$4:$B$104,2,TRUE))</f>
        <v/>
      </c>
      <c r="AF217" s="108" t="str">
        <f>IF($Z217="","",VLOOKUP($Z217,'ORF Accuracy Value LookUp'!$D$4:$E$104,2,TRUE))</f>
        <v/>
      </c>
    </row>
    <row r="218" spans="1:32">
      <c r="A218" s="58"/>
      <c r="B218" s="58"/>
      <c r="C218" s="58"/>
      <c r="D218" s="58"/>
      <c r="E218" s="58"/>
      <c r="F218" s="62"/>
      <c r="G218" s="63"/>
      <c r="H218" s="84"/>
      <c r="I218" s="61"/>
      <c r="J218" s="61"/>
      <c r="K218" s="61"/>
      <c r="L218" s="61"/>
      <c r="M218" s="103" t="str">
        <f t="shared" si="15"/>
        <v/>
      </c>
      <c r="N218" s="84"/>
      <c r="O218" s="61"/>
      <c r="P218" s="61"/>
      <c r="Q218" s="213"/>
      <c r="R218" s="64"/>
      <c r="S218" s="65" t="str">
        <f t="shared" si="16"/>
        <v/>
      </c>
      <c r="T218" s="104" t="str">
        <f t="shared" si="17"/>
        <v/>
      </c>
      <c r="U218" s="84"/>
      <c r="V218" s="61"/>
      <c r="W218" s="61"/>
      <c r="X218" s="61"/>
      <c r="Y218" s="61"/>
      <c r="Z218" s="73" t="str">
        <f t="shared" si="18"/>
        <v/>
      </c>
      <c r="AA218" s="61"/>
      <c r="AB218" s="106" t="str">
        <f t="shared" si="19"/>
        <v/>
      </c>
      <c r="AE218" s="107" t="str">
        <f>IF($S218="","",VLOOKUP($S218,'ORF Accuracy Value LookUp'!$A$4:$B$104,2,TRUE))</f>
        <v/>
      </c>
      <c r="AF218" s="108" t="str">
        <f>IF($Z218="","",VLOOKUP($Z218,'ORF Accuracy Value LookUp'!$D$4:$E$104,2,TRUE))</f>
        <v/>
      </c>
    </row>
    <row r="219" spans="1:32">
      <c r="A219" s="58"/>
      <c r="B219" s="58"/>
      <c r="C219" s="58"/>
      <c r="D219" s="58"/>
      <c r="E219" s="58"/>
      <c r="F219" s="62"/>
      <c r="G219" s="63"/>
      <c r="H219" s="84"/>
      <c r="I219" s="61"/>
      <c r="J219" s="61"/>
      <c r="K219" s="61"/>
      <c r="L219" s="61"/>
      <c r="M219" s="103" t="str">
        <f t="shared" si="15"/>
        <v/>
      </c>
      <c r="N219" s="84"/>
      <c r="O219" s="61"/>
      <c r="P219" s="61"/>
      <c r="Q219" s="213"/>
      <c r="R219" s="64"/>
      <c r="S219" s="65" t="str">
        <f t="shared" si="16"/>
        <v/>
      </c>
      <c r="T219" s="104" t="str">
        <f t="shared" si="17"/>
        <v/>
      </c>
      <c r="U219" s="84"/>
      <c r="V219" s="61"/>
      <c r="W219" s="61"/>
      <c r="X219" s="61"/>
      <c r="Y219" s="61"/>
      <c r="Z219" s="73" t="str">
        <f t="shared" si="18"/>
        <v/>
      </c>
      <c r="AA219" s="61"/>
      <c r="AB219" s="106" t="str">
        <f t="shared" si="19"/>
        <v/>
      </c>
      <c r="AE219" s="107" t="str">
        <f>IF($S219="","",VLOOKUP($S219,'ORF Accuracy Value LookUp'!$A$4:$B$104,2,TRUE))</f>
        <v/>
      </c>
      <c r="AF219" s="108" t="str">
        <f>IF($Z219="","",VLOOKUP($Z219,'ORF Accuracy Value LookUp'!$D$4:$E$104,2,TRUE))</f>
        <v/>
      </c>
    </row>
    <row r="220" spans="1:32">
      <c r="A220" s="58"/>
      <c r="B220" s="58"/>
      <c r="C220" s="58"/>
      <c r="D220" s="58"/>
      <c r="E220" s="58"/>
      <c r="F220" s="62"/>
      <c r="G220" s="63"/>
      <c r="H220" s="84"/>
      <c r="I220" s="61"/>
      <c r="J220" s="61"/>
      <c r="K220" s="61"/>
      <c r="L220" s="61"/>
      <c r="M220" s="103" t="str">
        <f t="shared" si="15"/>
        <v/>
      </c>
      <c r="N220" s="84"/>
      <c r="O220" s="61"/>
      <c r="P220" s="61"/>
      <c r="Q220" s="213"/>
      <c r="R220" s="64"/>
      <c r="S220" s="65" t="str">
        <f t="shared" si="16"/>
        <v/>
      </c>
      <c r="T220" s="104" t="str">
        <f t="shared" si="17"/>
        <v/>
      </c>
      <c r="U220" s="84"/>
      <c r="V220" s="61"/>
      <c r="W220" s="61"/>
      <c r="X220" s="61"/>
      <c r="Y220" s="61"/>
      <c r="Z220" s="73" t="str">
        <f t="shared" si="18"/>
        <v/>
      </c>
      <c r="AA220" s="61"/>
      <c r="AB220" s="106" t="str">
        <f t="shared" si="19"/>
        <v/>
      </c>
      <c r="AE220" s="107" t="str">
        <f>IF($S220="","",VLOOKUP($S220,'ORF Accuracy Value LookUp'!$A$4:$B$104,2,TRUE))</f>
        <v/>
      </c>
      <c r="AF220" s="108" t="str">
        <f>IF($Z220="","",VLOOKUP($Z220,'ORF Accuracy Value LookUp'!$D$4:$E$104,2,TRUE))</f>
        <v/>
      </c>
    </row>
    <row r="221" spans="1:32">
      <c r="A221" s="58"/>
      <c r="B221" s="58"/>
      <c r="C221" s="58"/>
      <c r="D221" s="58"/>
      <c r="E221" s="58"/>
      <c r="F221" s="62"/>
      <c r="G221" s="63"/>
      <c r="H221" s="84"/>
      <c r="I221" s="61"/>
      <c r="J221" s="61"/>
      <c r="K221" s="61"/>
      <c r="L221" s="61"/>
      <c r="M221" s="103" t="str">
        <f t="shared" si="15"/>
        <v/>
      </c>
      <c r="N221" s="84"/>
      <c r="O221" s="61"/>
      <c r="P221" s="61"/>
      <c r="Q221" s="213"/>
      <c r="R221" s="64"/>
      <c r="S221" s="65" t="str">
        <f t="shared" si="16"/>
        <v/>
      </c>
      <c r="T221" s="104" t="str">
        <f t="shared" si="17"/>
        <v/>
      </c>
      <c r="U221" s="84"/>
      <c r="V221" s="61"/>
      <c r="W221" s="61"/>
      <c r="X221" s="61"/>
      <c r="Y221" s="61"/>
      <c r="Z221" s="73" t="str">
        <f t="shared" si="18"/>
        <v/>
      </c>
      <c r="AA221" s="61"/>
      <c r="AB221" s="106" t="str">
        <f t="shared" si="19"/>
        <v/>
      </c>
      <c r="AE221" s="107" t="str">
        <f>IF($S221="","",VLOOKUP($S221,'ORF Accuracy Value LookUp'!$A$4:$B$104,2,TRUE))</f>
        <v/>
      </c>
      <c r="AF221" s="108" t="str">
        <f>IF($Z221="","",VLOOKUP($Z221,'ORF Accuracy Value LookUp'!$D$4:$E$104,2,TRUE))</f>
        <v/>
      </c>
    </row>
    <row r="222" spans="1:32">
      <c r="A222" s="58"/>
      <c r="B222" s="58"/>
      <c r="C222" s="58"/>
      <c r="D222" s="58"/>
      <c r="E222" s="58"/>
      <c r="F222" s="62"/>
      <c r="G222" s="63"/>
      <c r="H222" s="84"/>
      <c r="I222" s="61"/>
      <c r="J222" s="61"/>
      <c r="K222" s="61"/>
      <c r="L222" s="61"/>
      <c r="M222" s="103" t="str">
        <f t="shared" si="15"/>
        <v/>
      </c>
      <c r="N222" s="84"/>
      <c r="O222" s="61"/>
      <c r="P222" s="61"/>
      <c r="Q222" s="213"/>
      <c r="R222" s="64"/>
      <c r="S222" s="65" t="str">
        <f t="shared" si="16"/>
        <v/>
      </c>
      <c r="T222" s="104" t="str">
        <f t="shared" si="17"/>
        <v/>
      </c>
      <c r="U222" s="84"/>
      <c r="V222" s="61"/>
      <c r="W222" s="61"/>
      <c r="X222" s="61"/>
      <c r="Y222" s="61"/>
      <c r="Z222" s="73" t="str">
        <f t="shared" si="18"/>
        <v/>
      </c>
      <c r="AA222" s="61"/>
      <c r="AB222" s="106" t="str">
        <f t="shared" si="19"/>
        <v/>
      </c>
      <c r="AE222" s="107" t="str">
        <f>IF($S222="","",VLOOKUP($S222,'ORF Accuracy Value LookUp'!$A$4:$B$104,2,TRUE))</f>
        <v/>
      </c>
      <c r="AF222" s="108" t="str">
        <f>IF($Z222="","",VLOOKUP($Z222,'ORF Accuracy Value LookUp'!$D$4:$E$104,2,TRUE))</f>
        <v/>
      </c>
    </row>
    <row r="223" spans="1:32">
      <c r="A223" s="58"/>
      <c r="B223" s="58"/>
      <c r="C223" s="58"/>
      <c r="D223" s="58"/>
      <c r="E223" s="58"/>
      <c r="F223" s="62"/>
      <c r="G223" s="63"/>
      <c r="H223" s="84"/>
      <c r="I223" s="61"/>
      <c r="J223" s="61"/>
      <c r="K223" s="61"/>
      <c r="L223" s="61"/>
      <c r="M223" s="103" t="str">
        <f t="shared" si="15"/>
        <v/>
      </c>
      <c r="N223" s="84"/>
      <c r="O223" s="61"/>
      <c r="P223" s="61"/>
      <c r="Q223" s="213"/>
      <c r="R223" s="64"/>
      <c r="S223" s="65" t="str">
        <f t="shared" si="16"/>
        <v/>
      </c>
      <c r="T223" s="104" t="str">
        <f t="shared" si="17"/>
        <v/>
      </c>
      <c r="U223" s="84"/>
      <c r="V223" s="61"/>
      <c r="W223" s="61"/>
      <c r="X223" s="61"/>
      <c r="Y223" s="61"/>
      <c r="Z223" s="73" t="str">
        <f t="shared" si="18"/>
        <v/>
      </c>
      <c r="AA223" s="61"/>
      <c r="AB223" s="106" t="str">
        <f t="shared" si="19"/>
        <v/>
      </c>
      <c r="AE223" s="107" t="str">
        <f>IF($S223="","",VLOOKUP($S223,'ORF Accuracy Value LookUp'!$A$4:$B$104,2,TRUE))</f>
        <v/>
      </c>
      <c r="AF223" s="108" t="str">
        <f>IF($Z223="","",VLOOKUP($Z223,'ORF Accuracy Value LookUp'!$D$4:$E$104,2,TRUE))</f>
        <v/>
      </c>
    </row>
    <row r="224" spans="1:32">
      <c r="A224" s="58"/>
      <c r="B224" s="58"/>
      <c r="C224" s="58"/>
      <c r="D224" s="58"/>
      <c r="E224" s="58"/>
      <c r="F224" s="62"/>
      <c r="G224" s="63"/>
      <c r="H224" s="84"/>
      <c r="I224" s="61"/>
      <c r="J224" s="61"/>
      <c r="K224" s="61"/>
      <c r="L224" s="61"/>
      <c r="M224" s="103" t="str">
        <f t="shared" si="15"/>
        <v/>
      </c>
      <c r="N224" s="84"/>
      <c r="O224" s="61"/>
      <c r="P224" s="61"/>
      <c r="Q224" s="213"/>
      <c r="R224" s="64"/>
      <c r="S224" s="65" t="str">
        <f t="shared" si="16"/>
        <v/>
      </c>
      <c r="T224" s="104" t="str">
        <f t="shared" si="17"/>
        <v/>
      </c>
      <c r="U224" s="84"/>
      <c r="V224" s="61"/>
      <c r="W224" s="61"/>
      <c r="X224" s="61"/>
      <c r="Y224" s="61"/>
      <c r="Z224" s="73" t="str">
        <f t="shared" si="18"/>
        <v/>
      </c>
      <c r="AA224" s="61"/>
      <c r="AB224" s="106" t="str">
        <f t="shared" si="19"/>
        <v/>
      </c>
      <c r="AE224" s="107" t="str">
        <f>IF($S224="","",VLOOKUP($S224,'ORF Accuracy Value LookUp'!$A$4:$B$104,2,TRUE))</f>
        <v/>
      </c>
      <c r="AF224" s="108" t="str">
        <f>IF($Z224="","",VLOOKUP($Z224,'ORF Accuracy Value LookUp'!$D$4:$E$104,2,TRUE))</f>
        <v/>
      </c>
    </row>
    <row r="225" spans="1:32">
      <c r="A225" s="58"/>
      <c r="B225" s="58"/>
      <c r="C225" s="58"/>
      <c r="D225" s="58"/>
      <c r="E225" s="58"/>
      <c r="F225" s="62"/>
      <c r="G225" s="63"/>
      <c r="H225" s="84"/>
      <c r="I225" s="61"/>
      <c r="J225" s="61"/>
      <c r="K225" s="61"/>
      <c r="L225" s="61"/>
      <c r="M225" s="103" t="str">
        <f t="shared" si="15"/>
        <v/>
      </c>
      <c r="N225" s="84"/>
      <c r="O225" s="61"/>
      <c r="P225" s="61"/>
      <c r="Q225" s="213"/>
      <c r="R225" s="64"/>
      <c r="S225" s="65" t="str">
        <f t="shared" si="16"/>
        <v/>
      </c>
      <c r="T225" s="104" t="str">
        <f t="shared" si="17"/>
        <v/>
      </c>
      <c r="U225" s="84"/>
      <c r="V225" s="61"/>
      <c r="W225" s="61"/>
      <c r="X225" s="61"/>
      <c r="Y225" s="61"/>
      <c r="Z225" s="73" t="str">
        <f t="shared" si="18"/>
        <v/>
      </c>
      <c r="AA225" s="61"/>
      <c r="AB225" s="106" t="str">
        <f t="shared" si="19"/>
        <v/>
      </c>
      <c r="AE225" s="107" t="str">
        <f>IF($S225="","",VLOOKUP($S225,'ORF Accuracy Value LookUp'!$A$4:$B$104,2,TRUE))</f>
        <v/>
      </c>
      <c r="AF225" s="108" t="str">
        <f>IF($Z225="","",VLOOKUP($Z225,'ORF Accuracy Value LookUp'!$D$4:$E$104,2,TRUE))</f>
        <v/>
      </c>
    </row>
    <row r="226" spans="1:32">
      <c r="A226" s="58"/>
      <c r="B226" s="58"/>
      <c r="C226" s="58"/>
      <c r="D226" s="58"/>
      <c r="E226" s="58"/>
      <c r="F226" s="62"/>
      <c r="G226" s="63"/>
      <c r="H226" s="84"/>
      <c r="I226" s="61"/>
      <c r="J226" s="61"/>
      <c r="K226" s="61"/>
      <c r="L226" s="61"/>
      <c r="M226" s="103" t="str">
        <f t="shared" si="15"/>
        <v/>
      </c>
      <c r="N226" s="84"/>
      <c r="O226" s="61"/>
      <c r="P226" s="61"/>
      <c r="Q226" s="213"/>
      <c r="R226" s="64"/>
      <c r="S226" s="65" t="str">
        <f t="shared" si="16"/>
        <v/>
      </c>
      <c r="T226" s="104" t="str">
        <f t="shared" si="17"/>
        <v/>
      </c>
      <c r="U226" s="84"/>
      <c r="V226" s="61"/>
      <c r="W226" s="61"/>
      <c r="X226" s="61"/>
      <c r="Y226" s="61"/>
      <c r="Z226" s="73" t="str">
        <f t="shared" si="18"/>
        <v/>
      </c>
      <c r="AA226" s="61"/>
      <c r="AB226" s="106" t="str">
        <f t="shared" si="19"/>
        <v/>
      </c>
      <c r="AE226" s="107" t="str">
        <f>IF($S226="","",VLOOKUP($S226,'ORF Accuracy Value LookUp'!$A$4:$B$104,2,TRUE))</f>
        <v/>
      </c>
      <c r="AF226" s="108" t="str">
        <f>IF($Z226="","",VLOOKUP($Z226,'ORF Accuracy Value LookUp'!$D$4:$E$104,2,TRUE))</f>
        <v/>
      </c>
    </row>
    <row r="227" spans="1:32">
      <c r="A227" s="58"/>
      <c r="B227" s="58"/>
      <c r="C227" s="58"/>
      <c r="D227" s="58"/>
      <c r="E227" s="58"/>
      <c r="F227" s="62"/>
      <c r="G227" s="63"/>
      <c r="H227" s="84"/>
      <c r="I227" s="61"/>
      <c r="J227" s="61"/>
      <c r="K227" s="61"/>
      <c r="L227" s="61"/>
      <c r="M227" s="103" t="str">
        <f t="shared" si="15"/>
        <v/>
      </c>
      <c r="N227" s="84"/>
      <c r="O227" s="61"/>
      <c r="P227" s="61"/>
      <c r="Q227" s="213"/>
      <c r="R227" s="64"/>
      <c r="S227" s="65" t="str">
        <f t="shared" si="16"/>
        <v/>
      </c>
      <c r="T227" s="104" t="str">
        <f t="shared" si="17"/>
        <v/>
      </c>
      <c r="U227" s="84"/>
      <c r="V227" s="61"/>
      <c r="W227" s="61"/>
      <c r="X227" s="61"/>
      <c r="Y227" s="61"/>
      <c r="Z227" s="73" t="str">
        <f t="shared" si="18"/>
        <v/>
      </c>
      <c r="AA227" s="61"/>
      <c r="AB227" s="106" t="str">
        <f t="shared" si="19"/>
        <v/>
      </c>
      <c r="AE227" s="107" t="str">
        <f>IF($S227="","",VLOOKUP($S227,'ORF Accuracy Value LookUp'!$A$4:$B$104,2,TRUE))</f>
        <v/>
      </c>
      <c r="AF227" s="108" t="str">
        <f>IF($Z227="","",VLOOKUP($Z227,'ORF Accuracy Value LookUp'!$D$4:$E$104,2,TRUE))</f>
        <v/>
      </c>
    </row>
    <row r="228" spans="1:32">
      <c r="A228" s="58"/>
      <c r="B228" s="58"/>
      <c r="C228" s="58"/>
      <c r="D228" s="58"/>
      <c r="E228" s="58"/>
      <c r="F228" s="62"/>
      <c r="G228" s="63"/>
      <c r="H228" s="84"/>
      <c r="I228" s="61"/>
      <c r="J228" s="61"/>
      <c r="K228" s="61"/>
      <c r="L228" s="61"/>
      <c r="M228" s="103" t="str">
        <f t="shared" si="15"/>
        <v/>
      </c>
      <c r="N228" s="84"/>
      <c r="O228" s="61"/>
      <c r="P228" s="61"/>
      <c r="Q228" s="213"/>
      <c r="R228" s="64"/>
      <c r="S228" s="65" t="str">
        <f t="shared" si="16"/>
        <v/>
      </c>
      <c r="T228" s="104" t="str">
        <f t="shared" si="17"/>
        <v/>
      </c>
      <c r="U228" s="84"/>
      <c r="V228" s="61"/>
      <c r="W228" s="61"/>
      <c r="X228" s="61"/>
      <c r="Y228" s="61"/>
      <c r="Z228" s="73" t="str">
        <f t="shared" si="18"/>
        <v/>
      </c>
      <c r="AA228" s="61"/>
      <c r="AB228" s="106" t="str">
        <f t="shared" si="19"/>
        <v/>
      </c>
      <c r="AE228" s="107" t="str">
        <f>IF($S228="","",VLOOKUP($S228,'ORF Accuracy Value LookUp'!$A$4:$B$104,2,TRUE))</f>
        <v/>
      </c>
      <c r="AF228" s="108" t="str">
        <f>IF($Z228="","",VLOOKUP($Z228,'ORF Accuracy Value LookUp'!$D$4:$E$104,2,TRUE))</f>
        <v/>
      </c>
    </row>
    <row r="229" spans="1:32">
      <c r="A229" s="58"/>
      <c r="B229" s="58"/>
      <c r="C229" s="58"/>
      <c r="D229" s="58"/>
      <c r="E229" s="58"/>
      <c r="F229" s="62"/>
      <c r="G229" s="63"/>
      <c r="H229" s="84"/>
      <c r="I229" s="61"/>
      <c r="J229" s="61"/>
      <c r="K229" s="61"/>
      <c r="L229" s="61"/>
      <c r="M229" s="103" t="str">
        <f t="shared" si="15"/>
        <v/>
      </c>
      <c r="N229" s="84"/>
      <c r="O229" s="61"/>
      <c r="P229" s="61"/>
      <c r="Q229" s="213"/>
      <c r="R229" s="64"/>
      <c r="S229" s="65" t="str">
        <f t="shared" si="16"/>
        <v/>
      </c>
      <c r="T229" s="104" t="str">
        <f t="shared" si="17"/>
        <v/>
      </c>
      <c r="U229" s="84"/>
      <c r="V229" s="61"/>
      <c r="W229" s="61"/>
      <c r="X229" s="61"/>
      <c r="Y229" s="61"/>
      <c r="Z229" s="73" t="str">
        <f t="shared" si="18"/>
        <v/>
      </c>
      <c r="AA229" s="61"/>
      <c r="AB229" s="106" t="str">
        <f t="shared" si="19"/>
        <v/>
      </c>
      <c r="AE229" s="107" t="str">
        <f>IF($S229="","",VLOOKUP($S229,'ORF Accuracy Value LookUp'!$A$4:$B$104,2,TRUE))</f>
        <v/>
      </c>
      <c r="AF229" s="108" t="str">
        <f>IF($Z229="","",VLOOKUP($Z229,'ORF Accuracy Value LookUp'!$D$4:$E$104,2,TRUE))</f>
        <v/>
      </c>
    </row>
    <row r="230" spans="1:32">
      <c r="A230" s="58"/>
      <c r="B230" s="58"/>
      <c r="C230" s="58"/>
      <c r="D230" s="58"/>
      <c r="E230" s="58"/>
      <c r="F230" s="62"/>
      <c r="G230" s="63"/>
      <c r="H230" s="84"/>
      <c r="I230" s="61"/>
      <c r="J230" s="61"/>
      <c r="K230" s="61"/>
      <c r="L230" s="61"/>
      <c r="M230" s="103" t="str">
        <f t="shared" si="15"/>
        <v/>
      </c>
      <c r="N230" s="84"/>
      <c r="O230" s="61"/>
      <c r="P230" s="61"/>
      <c r="Q230" s="213"/>
      <c r="R230" s="64"/>
      <c r="S230" s="65" t="str">
        <f t="shared" si="16"/>
        <v/>
      </c>
      <c r="T230" s="104" t="str">
        <f t="shared" si="17"/>
        <v/>
      </c>
      <c r="U230" s="84"/>
      <c r="V230" s="61"/>
      <c r="W230" s="61"/>
      <c r="X230" s="61"/>
      <c r="Y230" s="61"/>
      <c r="Z230" s="73" t="str">
        <f t="shared" si="18"/>
        <v/>
      </c>
      <c r="AA230" s="61"/>
      <c r="AB230" s="106" t="str">
        <f t="shared" si="19"/>
        <v/>
      </c>
      <c r="AE230" s="107" t="str">
        <f>IF($S230="","",VLOOKUP($S230,'ORF Accuracy Value LookUp'!$A$4:$B$104,2,TRUE))</f>
        <v/>
      </c>
      <c r="AF230" s="108" t="str">
        <f>IF($Z230="","",VLOOKUP($Z230,'ORF Accuracy Value LookUp'!$D$4:$E$104,2,TRUE))</f>
        <v/>
      </c>
    </row>
    <row r="231" spans="1:32">
      <c r="A231" s="58"/>
      <c r="B231" s="58"/>
      <c r="C231" s="58"/>
      <c r="D231" s="58"/>
      <c r="E231" s="58"/>
      <c r="F231" s="62"/>
      <c r="G231" s="63"/>
      <c r="H231" s="84"/>
      <c r="I231" s="61"/>
      <c r="J231" s="61"/>
      <c r="K231" s="61"/>
      <c r="L231" s="61"/>
      <c r="M231" s="103" t="str">
        <f t="shared" si="15"/>
        <v/>
      </c>
      <c r="N231" s="84"/>
      <c r="O231" s="61"/>
      <c r="P231" s="61"/>
      <c r="Q231" s="213"/>
      <c r="R231" s="64"/>
      <c r="S231" s="65" t="str">
        <f t="shared" si="16"/>
        <v/>
      </c>
      <c r="T231" s="104" t="str">
        <f t="shared" si="17"/>
        <v/>
      </c>
      <c r="U231" s="84"/>
      <c r="V231" s="61"/>
      <c r="W231" s="61"/>
      <c r="X231" s="61"/>
      <c r="Y231" s="61"/>
      <c r="Z231" s="73" t="str">
        <f t="shared" si="18"/>
        <v/>
      </c>
      <c r="AA231" s="61"/>
      <c r="AB231" s="106" t="str">
        <f t="shared" si="19"/>
        <v/>
      </c>
      <c r="AE231" s="107" t="str">
        <f>IF($S231="","",VLOOKUP($S231,'ORF Accuracy Value LookUp'!$A$4:$B$104,2,TRUE))</f>
        <v/>
      </c>
      <c r="AF231" s="108" t="str">
        <f>IF($Z231="","",VLOOKUP($Z231,'ORF Accuracy Value LookUp'!$D$4:$E$104,2,TRUE))</f>
        <v/>
      </c>
    </row>
    <row r="232" spans="1:32">
      <c r="A232" s="58"/>
      <c r="B232" s="58"/>
      <c r="C232" s="58"/>
      <c r="D232" s="58"/>
      <c r="E232" s="58"/>
      <c r="F232" s="62"/>
      <c r="G232" s="63"/>
      <c r="H232" s="84"/>
      <c r="I232" s="61"/>
      <c r="J232" s="61"/>
      <c r="K232" s="61"/>
      <c r="L232" s="61"/>
      <c r="M232" s="103" t="str">
        <f t="shared" si="15"/>
        <v/>
      </c>
      <c r="N232" s="84"/>
      <c r="O232" s="61"/>
      <c r="P232" s="61"/>
      <c r="Q232" s="213"/>
      <c r="R232" s="64"/>
      <c r="S232" s="65" t="str">
        <f t="shared" si="16"/>
        <v/>
      </c>
      <c r="T232" s="104" t="str">
        <f t="shared" si="17"/>
        <v/>
      </c>
      <c r="U232" s="84"/>
      <c r="V232" s="61"/>
      <c r="W232" s="61"/>
      <c r="X232" s="61"/>
      <c r="Y232" s="61"/>
      <c r="Z232" s="73" t="str">
        <f t="shared" si="18"/>
        <v/>
      </c>
      <c r="AA232" s="61"/>
      <c r="AB232" s="106" t="str">
        <f t="shared" si="19"/>
        <v/>
      </c>
      <c r="AE232" s="107" t="str">
        <f>IF($S232="","",VLOOKUP($S232,'ORF Accuracy Value LookUp'!$A$4:$B$104,2,TRUE))</f>
        <v/>
      </c>
      <c r="AF232" s="108" t="str">
        <f>IF($Z232="","",VLOOKUP($Z232,'ORF Accuracy Value LookUp'!$D$4:$E$104,2,TRUE))</f>
        <v/>
      </c>
    </row>
    <row r="233" spans="1:32">
      <c r="A233" s="58"/>
      <c r="B233" s="58"/>
      <c r="C233" s="58"/>
      <c r="D233" s="58"/>
      <c r="E233" s="58"/>
      <c r="F233" s="62"/>
      <c r="G233" s="63"/>
      <c r="H233" s="84"/>
      <c r="I233" s="61"/>
      <c r="J233" s="61"/>
      <c r="K233" s="61"/>
      <c r="L233" s="61"/>
      <c r="M233" s="103" t="str">
        <f t="shared" si="15"/>
        <v/>
      </c>
      <c r="N233" s="84"/>
      <c r="O233" s="61"/>
      <c r="P233" s="61"/>
      <c r="Q233" s="213"/>
      <c r="R233" s="64"/>
      <c r="S233" s="65" t="str">
        <f t="shared" si="16"/>
        <v/>
      </c>
      <c r="T233" s="104" t="str">
        <f t="shared" si="17"/>
        <v/>
      </c>
      <c r="U233" s="84"/>
      <c r="V233" s="61"/>
      <c r="W233" s="61"/>
      <c r="X233" s="61"/>
      <c r="Y233" s="61"/>
      <c r="Z233" s="73" t="str">
        <f t="shared" si="18"/>
        <v/>
      </c>
      <c r="AA233" s="61"/>
      <c r="AB233" s="106" t="str">
        <f t="shared" si="19"/>
        <v/>
      </c>
      <c r="AE233" s="107" t="str">
        <f>IF($S233="","",VLOOKUP($S233,'ORF Accuracy Value LookUp'!$A$4:$B$104,2,TRUE))</f>
        <v/>
      </c>
      <c r="AF233" s="108" t="str">
        <f>IF($Z233="","",VLOOKUP($Z233,'ORF Accuracy Value LookUp'!$D$4:$E$104,2,TRUE))</f>
        <v/>
      </c>
    </row>
    <row r="234" spans="1:32">
      <c r="A234" s="58"/>
      <c r="B234" s="58"/>
      <c r="C234" s="58"/>
      <c r="D234" s="58"/>
      <c r="E234" s="58"/>
      <c r="F234" s="62"/>
      <c r="G234" s="63"/>
      <c r="H234" s="84"/>
      <c r="I234" s="61"/>
      <c r="J234" s="61"/>
      <c r="K234" s="61"/>
      <c r="L234" s="61"/>
      <c r="M234" s="103" t="str">
        <f t="shared" si="15"/>
        <v/>
      </c>
      <c r="N234" s="84"/>
      <c r="O234" s="61"/>
      <c r="P234" s="61"/>
      <c r="Q234" s="213"/>
      <c r="R234" s="64"/>
      <c r="S234" s="65" t="str">
        <f t="shared" si="16"/>
        <v/>
      </c>
      <c r="T234" s="104" t="str">
        <f t="shared" si="17"/>
        <v/>
      </c>
      <c r="U234" s="84"/>
      <c r="V234" s="61"/>
      <c r="W234" s="61"/>
      <c r="X234" s="61"/>
      <c r="Y234" s="61"/>
      <c r="Z234" s="73" t="str">
        <f t="shared" si="18"/>
        <v/>
      </c>
      <c r="AA234" s="61"/>
      <c r="AB234" s="106" t="str">
        <f t="shared" si="19"/>
        <v/>
      </c>
      <c r="AE234" s="107" t="str">
        <f>IF($S234="","",VLOOKUP($S234,'ORF Accuracy Value LookUp'!$A$4:$B$104,2,TRUE))</f>
        <v/>
      </c>
      <c r="AF234" s="108" t="str">
        <f>IF($Z234="","",VLOOKUP($Z234,'ORF Accuracy Value LookUp'!$D$4:$E$104,2,TRUE))</f>
        <v/>
      </c>
    </row>
    <row r="235" spans="1:32">
      <c r="A235" s="58"/>
      <c r="B235" s="58"/>
      <c r="C235" s="58"/>
      <c r="D235" s="58"/>
      <c r="E235" s="58"/>
      <c r="F235" s="62"/>
      <c r="G235" s="63"/>
      <c r="H235" s="84"/>
      <c r="I235" s="61"/>
      <c r="J235" s="61"/>
      <c r="K235" s="61"/>
      <c r="L235" s="61"/>
      <c r="M235" s="103" t="str">
        <f t="shared" si="15"/>
        <v/>
      </c>
      <c r="N235" s="84"/>
      <c r="O235" s="61"/>
      <c r="P235" s="61"/>
      <c r="Q235" s="213"/>
      <c r="R235" s="64"/>
      <c r="S235" s="65" t="str">
        <f t="shared" si="16"/>
        <v/>
      </c>
      <c r="T235" s="104" t="str">
        <f t="shared" si="17"/>
        <v/>
      </c>
      <c r="U235" s="84"/>
      <c r="V235" s="61"/>
      <c r="W235" s="61"/>
      <c r="X235" s="61"/>
      <c r="Y235" s="61"/>
      <c r="Z235" s="73" t="str">
        <f t="shared" si="18"/>
        <v/>
      </c>
      <c r="AA235" s="61"/>
      <c r="AB235" s="106" t="str">
        <f t="shared" si="19"/>
        <v/>
      </c>
      <c r="AE235" s="107" t="str">
        <f>IF($S235="","",VLOOKUP($S235,'ORF Accuracy Value LookUp'!$A$4:$B$104,2,TRUE))</f>
        <v/>
      </c>
      <c r="AF235" s="108" t="str">
        <f>IF($Z235="","",VLOOKUP($Z235,'ORF Accuracy Value LookUp'!$D$4:$E$104,2,TRUE))</f>
        <v/>
      </c>
    </row>
    <row r="236" spans="1:32">
      <c r="A236" s="58"/>
      <c r="B236" s="58"/>
      <c r="C236" s="58"/>
      <c r="D236" s="58"/>
      <c r="E236" s="58"/>
      <c r="F236" s="62"/>
      <c r="G236" s="63"/>
      <c r="H236" s="84"/>
      <c r="I236" s="61"/>
      <c r="J236" s="61"/>
      <c r="K236" s="61"/>
      <c r="L236" s="61"/>
      <c r="M236" s="103" t="str">
        <f t="shared" si="15"/>
        <v/>
      </c>
      <c r="N236" s="84"/>
      <c r="O236" s="61"/>
      <c r="P236" s="61"/>
      <c r="Q236" s="213"/>
      <c r="R236" s="64"/>
      <c r="S236" s="65" t="str">
        <f t="shared" si="16"/>
        <v/>
      </c>
      <c r="T236" s="104" t="str">
        <f t="shared" si="17"/>
        <v/>
      </c>
      <c r="U236" s="84"/>
      <c r="V236" s="61"/>
      <c r="W236" s="61"/>
      <c r="X236" s="61"/>
      <c r="Y236" s="61"/>
      <c r="Z236" s="73" t="str">
        <f t="shared" si="18"/>
        <v/>
      </c>
      <c r="AA236" s="61"/>
      <c r="AB236" s="106" t="str">
        <f t="shared" si="19"/>
        <v/>
      </c>
      <c r="AE236" s="107" t="str">
        <f>IF($S236="","",VLOOKUP($S236,'ORF Accuracy Value LookUp'!$A$4:$B$104,2,TRUE))</f>
        <v/>
      </c>
      <c r="AF236" s="108" t="str">
        <f>IF($Z236="","",VLOOKUP($Z236,'ORF Accuracy Value LookUp'!$D$4:$E$104,2,TRUE))</f>
        <v/>
      </c>
    </row>
    <row r="237" spans="1:32">
      <c r="A237" s="58"/>
      <c r="B237" s="58"/>
      <c r="C237" s="58"/>
      <c r="D237" s="58"/>
      <c r="E237" s="58"/>
      <c r="F237" s="62"/>
      <c r="G237" s="63"/>
      <c r="H237" s="84"/>
      <c r="I237" s="61"/>
      <c r="J237" s="61"/>
      <c r="K237" s="61"/>
      <c r="L237" s="61"/>
      <c r="M237" s="103" t="str">
        <f t="shared" si="15"/>
        <v/>
      </c>
      <c r="N237" s="84"/>
      <c r="O237" s="61"/>
      <c r="P237" s="61"/>
      <c r="Q237" s="213"/>
      <c r="R237" s="64"/>
      <c r="S237" s="65" t="str">
        <f t="shared" si="16"/>
        <v/>
      </c>
      <c r="T237" s="104" t="str">
        <f t="shared" si="17"/>
        <v/>
      </c>
      <c r="U237" s="84"/>
      <c r="V237" s="61"/>
      <c r="W237" s="61"/>
      <c r="X237" s="61"/>
      <c r="Y237" s="61"/>
      <c r="Z237" s="73" t="str">
        <f t="shared" si="18"/>
        <v/>
      </c>
      <c r="AA237" s="61"/>
      <c r="AB237" s="106" t="str">
        <f t="shared" si="19"/>
        <v/>
      </c>
      <c r="AE237" s="107" t="str">
        <f>IF($S237="","",VLOOKUP($S237,'ORF Accuracy Value LookUp'!$A$4:$B$104,2,TRUE))</f>
        <v/>
      </c>
      <c r="AF237" s="108" t="str">
        <f>IF($Z237="","",VLOOKUP($Z237,'ORF Accuracy Value LookUp'!$D$4:$E$104,2,TRUE))</f>
        <v/>
      </c>
    </row>
    <row r="238" spans="1:32">
      <c r="A238" s="58"/>
      <c r="B238" s="58"/>
      <c r="C238" s="58"/>
      <c r="D238" s="58"/>
      <c r="E238" s="58"/>
      <c r="F238" s="62"/>
      <c r="G238" s="63"/>
      <c r="H238" s="84"/>
      <c r="I238" s="61"/>
      <c r="J238" s="61"/>
      <c r="K238" s="61"/>
      <c r="L238" s="61"/>
      <c r="M238" s="103" t="str">
        <f t="shared" si="15"/>
        <v/>
      </c>
      <c r="N238" s="84"/>
      <c r="O238" s="61"/>
      <c r="P238" s="61"/>
      <c r="Q238" s="213"/>
      <c r="R238" s="64"/>
      <c r="S238" s="65" t="str">
        <f t="shared" si="16"/>
        <v/>
      </c>
      <c r="T238" s="104" t="str">
        <f t="shared" si="17"/>
        <v/>
      </c>
      <c r="U238" s="84"/>
      <c r="V238" s="61"/>
      <c r="W238" s="61"/>
      <c r="X238" s="61"/>
      <c r="Y238" s="61"/>
      <c r="Z238" s="73" t="str">
        <f t="shared" si="18"/>
        <v/>
      </c>
      <c r="AA238" s="61"/>
      <c r="AB238" s="106" t="str">
        <f t="shared" si="19"/>
        <v/>
      </c>
      <c r="AE238" s="107" t="str">
        <f>IF($S238="","",VLOOKUP($S238,'ORF Accuracy Value LookUp'!$A$4:$B$104,2,TRUE))</f>
        <v/>
      </c>
      <c r="AF238" s="108" t="str">
        <f>IF($Z238="","",VLOOKUP($Z238,'ORF Accuracy Value LookUp'!$D$4:$E$104,2,TRUE))</f>
        <v/>
      </c>
    </row>
    <row r="239" spans="1:32">
      <c r="A239" s="58"/>
      <c r="B239" s="58"/>
      <c r="C239" s="58"/>
      <c r="D239" s="58"/>
      <c r="E239" s="58"/>
      <c r="F239" s="62"/>
      <c r="G239" s="63"/>
      <c r="H239" s="84"/>
      <c r="I239" s="61"/>
      <c r="J239" s="61"/>
      <c r="K239" s="61"/>
      <c r="L239" s="61"/>
      <c r="M239" s="103" t="str">
        <f t="shared" si="15"/>
        <v/>
      </c>
      <c r="N239" s="84"/>
      <c r="O239" s="61"/>
      <c r="P239" s="61"/>
      <c r="Q239" s="213"/>
      <c r="R239" s="64"/>
      <c r="S239" s="65" t="str">
        <f t="shared" si="16"/>
        <v/>
      </c>
      <c r="T239" s="104" t="str">
        <f t="shared" si="17"/>
        <v/>
      </c>
      <c r="U239" s="84"/>
      <c r="V239" s="61"/>
      <c r="W239" s="61"/>
      <c r="X239" s="61"/>
      <c r="Y239" s="61"/>
      <c r="Z239" s="73" t="str">
        <f t="shared" si="18"/>
        <v/>
      </c>
      <c r="AA239" s="61"/>
      <c r="AB239" s="106" t="str">
        <f t="shared" si="19"/>
        <v/>
      </c>
      <c r="AE239" s="107" t="str">
        <f>IF($S239="","",VLOOKUP($S239,'ORF Accuracy Value LookUp'!$A$4:$B$104,2,TRUE))</f>
        <v/>
      </c>
      <c r="AF239" s="108" t="str">
        <f>IF($Z239="","",VLOOKUP($Z239,'ORF Accuracy Value LookUp'!$D$4:$E$104,2,TRUE))</f>
        <v/>
      </c>
    </row>
    <row r="240" spans="1:32">
      <c r="A240" s="58"/>
      <c r="B240" s="58"/>
      <c r="C240" s="58"/>
      <c r="D240" s="58"/>
      <c r="E240" s="58"/>
      <c r="F240" s="62"/>
      <c r="G240" s="63"/>
      <c r="H240" s="84"/>
      <c r="I240" s="61"/>
      <c r="J240" s="61"/>
      <c r="K240" s="61"/>
      <c r="L240" s="61"/>
      <c r="M240" s="103" t="str">
        <f t="shared" si="15"/>
        <v/>
      </c>
      <c r="N240" s="84"/>
      <c r="O240" s="61"/>
      <c r="P240" s="61"/>
      <c r="Q240" s="213"/>
      <c r="R240" s="64"/>
      <c r="S240" s="65" t="str">
        <f t="shared" si="16"/>
        <v/>
      </c>
      <c r="T240" s="104" t="str">
        <f t="shared" si="17"/>
        <v/>
      </c>
      <c r="U240" s="84"/>
      <c r="V240" s="61"/>
      <c r="W240" s="61"/>
      <c r="X240" s="61"/>
      <c r="Y240" s="61"/>
      <c r="Z240" s="73" t="str">
        <f t="shared" si="18"/>
        <v/>
      </c>
      <c r="AA240" s="61"/>
      <c r="AB240" s="106" t="str">
        <f t="shared" si="19"/>
        <v/>
      </c>
      <c r="AE240" s="107" t="str">
        <f>IF($S240="","",VLOOKUP($S240,'ORF Accuracy Value LookUp'!$A$4:$B$104,2,TRUE))</f>
        <v/>
      </c>
      <c r="AF240" s="108" t="str">
        <f>IF($Z240="","",VLOOKUP($Z240,'ORF Accuracy Value LookUp'!$D$4:$E$104,2,TRUE))</f>
        <v/>
      </c>
    </row>
    <row r="241" spans="1:32">
      <c r="A241" s="58"/>
      <c r="B241" s="58"/>
      <c r="C241" s="58"/>
      <c r="D241" s="58"/>
      <c r="E241" s="58"/>
      <c r="F241" s="62"/>
      <c r="G241" s="63"/>
      <c r="H241" s="84"/>
      <c r="I241" s="61"/>
      <c r="J241" s="61"/>
      <c r="K241" s="61"/>
      <c r="L241" s="61"/>
      <c r="M241" s="103" t="str">
        <f t="shared" si="15"/>
        <v/>
      </c>
      <c r="N241" s="84"/>
      <c r="O241" s="61"/>
      <c r="P241" s="61"/>
      <c r="Q241" s="213"/>
      <c r="R241" s="64"/>
      <c r="S241" s="65" t="str">
        <f t="shared" si="16"/>
        <v/>
      </c>
      <c r="T241" s="104" t="str">
        <f t="shared" si="17"/>
        <v/>
      </c>
      <c r="U241" s="84"/>
      <c r="V241" s="61"/>
      <c r="W241" s="61"/>
      <c r="X241" s="61"/>
      <c r="Y241" s="61"/>
      <c r="Z241" s="73" t="str">
        <f t="shared" si="18"/>
        <v/>
      </c>
      <c r="AA241" s="61"/>
      <c r="AB241" s="106" t="str">
        <f t="shared" si="19"/>
        <v/>
      </c>
      <c r="AE241" s="107" t="str">
        <f>IF($S241="","",VLOOKUP($S241,'ORF Accuracy Value LookUp'!$A$4:$B$104,2,TRUE))</f>
        <v/>
      </c>
      <c r="AF241" s="108" t="str">
        <f>IF($Z241="","",VLOOKUP($Z241,'ORF Accuracy Value LookUp'!$D$4:$E$104,2,TRUE))</f>
        <v/>
      </c>
    </row>
    <row r="242" spans="1:32">
      <c r="A242" s="58"/>
      <c r="B242" s="58"/>
      <c r="C242" s="58"/>
      <c r="D242" s="58"/>
      <c r="E242" s="58"/>
      <c r="F242" s="62"/>
      <c r="G242" s="63"/>
      <c r="H242" s="84"/>
      <c r="I242" s="61"/>
      <c r="J242" s="61"/>
      <c r="K242" s="61"/>
      <c r="L242" s="61"/>
      <c r="M242" s="103" t="str">
        <f t="shared" si="15"/>
        <v/>
      </c>
      <c r="N242" s="84"/>
      <c r="O242" s="61"/>
      <c r="P242" s="61"/>
      <c r="Q242" s="213"/>
      <c r="R242" s="64"/>
      <c r="S242" s="65" t="str">
        <f t="shared" si="16"/>
        <v/>
      </c>
      <c r="T242" s="104" t="str">
        <f t="shared" si="17"/>
        <v/>
      </c>
      <c r="U242" s="84"/>
      <c r="V242" s="61"/>
      <c r="W242" s="61"/>
      <c r="X242" s="61"/>
      <c r="Y242" s="61"/>
      <c r="Z242" s="73" t="str">
        <f t="shared" si="18"/>
        <v/>
      </c>
      <c r="AA242" s="61"/>
      <c r="AB242" s="106" t="str">
        <f t="shared" si="19"/>
        <v/>
      </c>
      <c r="AE242" s="107" t="str">
        <f>IF($S242="","",VLOOKUP($S242,'ORF Accuracy Value LookUp'!$A$4:$B$104,2,TRUE))</f>
        <v/>
      </c>
      <c r="AF242" s="108" t="str">
        <f>IF($Z242="","",VLOOKUP($Z242,'ORF Accuracy Value LookUp'!$D$4:$E$104,2,TRUE))</f>
        <v/>
      </c>
    </row>
    <row r="243" spans="1:32">
      <c r="A243" s="58"/>
      <c r="B243" s="58"/>
      <c r="C243" s="58"/>
      <c r="D243" s="58"/>
      <c r="E243" s="58"/>
      <c r="F243" s="62"/>
      <c r="G243" s="63"/>
      <c r="H243" s="84"/>
      <c r="I243" s="61"/>
      <c r="J243" s="61"/>
      <c r="K243" s="61"/>
      <c r="L243" s="61"/>
      <c r="M243" s="103" t="str">
        <f t="shared" si="15"/>
        <v/>
      </c>
      <c r="N243" s="84"/>
      <c r="O243" s="61"/>
      <c r="P243" s="61"/>
      <c r="Q243" s="213"/>
      <c r="R243" s="64"/>
      <c r="S243" s="65" t="str">
        <f t="shared" si="16"/>
        <v/>
      </c>
      <c r="T243" s="104" t="str">
        <f t="shared" si="17"/>
        <v/>
      </c>
      <c r="U243" s="84"/>
      <c r="V243" s="61"/>
      <c r="W243" s="61"/>
      <c r="X243" s="61"/>
      <c r="Y243" s="61"/>
      <c r="Z243" s="73" t="str">
        <f t="shared" si="18"/>
        <v/>
      </c>
      <c r="AA243" s="61"/>
      <c r="AB243" s="106" t="str">
        <f t="shared" si="19"/>
        <v/>
      </c>
      <c r="AE243" s="107" t="str">
        <f>IF($S243="","",VLOOKUP($S243,'ORF Accuracy Value LookUp'!$A$4:$B$104,2,TRUE))</f>
        <v/>
      </c>
      <c r="AF243" s="108" t="str">
        <f>IF($Z243="","",VLOOKUP($Z243,'ORF Accuracy Value LookUp'!$D$4:$E$104,2,TRUE))</f>
        <v/>
      </c>
    </row>
    <row r="244" spans="1:32">
      <c r="A244" s="58"/>
      <c r="B244" s="58"/>
      <c r="C244" s="58"/>
      <c r="D244" s="58"/>
      <c r="E244" s="58"/>
      <c r="F244" s="62"/>
      <c r="G244" s="63"/>
      <c r="H244" s="84"/>
      <c r="I244" s="61"/>
      <c r="J244" s="61"/>
      <c r="K244" s="61"/>
      <c r="L244" s="61"/>
      <c r="M244" s="103" t="str">
        <f t="shared" si="15"/>
        <v/>
      </c>
      <c r="N244" s="84"/>
      <c r="O244" s="61"/>
      <c r="P244" s="61"/>
      <c r="Q244" s="213"/>
      <c r="R244" s="64"/>
      <c r="S244" s="65" t="str">
        <f t="shared" si="16"/>
        <v/>
      </c>
      <c r="T244" s="104" t="str">
        <f t="shared" si="17"/>
        <v/>
      </c>
      <c r="U244" s="84"/>
      <c r="V244" s="61"/>
      <c r="W244" s="61"/>
      <c r="X244" s="61"/>
      <c r="Y244" s="61"/>
      <c r="Z244" s="73" t="str">
        <f t="shared" si="18"/>
        <v/>
      </c>
      <c r="AA244" s="61"/>
      <c r="AB244" s="106" t="str">
        <f t="shared" si="19"/>
        <v/>
      </c>
      <c r="AE244" s="107" t="str">
        <f>IF($S244="","",VLOOKUP($S244,'ORF Accuracy Value LookUp'!$A$4:$B$104,2,TRUE))</f>
        <v/>
      </c>
      <c r="AF244" s="108" t="str">
        <f>IF($Z244="","",VLOOKUP($Z244,'ORF Accuracy Value LookUp'!$D$4:$E$104,2,TRUE))</f>
        <v/>
      </c>
    </row>
    <row r="245" spans="1:32">
      <c r="A245" s="58"/>
      <c r="B245" s="58"/>
      <c r="C245" s="58"/>
      <c r="D245" s="58"/>
      <c r="E245" s="58"/>
      <c r="F245" s="62"/>
      <c r="G245" s="63"/>
      <c r="H245" s="84"/>
      <c r="I245" s="61"/>
      <c r="J245" s="61"/>
      <c r="K245" s="61"/>
      <c r="L245" s="61"/>
      <c r="M245" s="103" t="str">
        <f t="shared" si="15"/>
        <v/>
      </c>
      <c r="N245" s="84"/>
      <c r="O245" s="61"/>
      <c r="P245" s="61"/>
      <c r="Q245" s="213"/>
      <c r="R245" s="64"/>
      <c r="S245" s="65" t="str">
        <f t="shared" si="16"/>
        <v/>
      </c>
      <c r="T245" s="104" t="str">
        <f t="shared" si="17"/>
        <v/>
      </c>
      <c r="U245" s="84"/>
      <c r="V245" s="61"/>
      <c r="W245" s="61"/>
      <c r="X245" s="61"/>
      <c r="Y245" s="61"/>
      <c r="Z245" s="73" t="str">
        <f t="shared" si="18"/>
        <v/>
      </c>
      <c r="AA245" s="61"/>
      <c r="AB245" s="106" t="str">
        <f t="shared" si="19"/>
        <v/>
      </c>
      <c r="AE245" s="107" t="str">
        <f>IF($S245="","",VLOOKUP($S245,'ORF Accuracy Value LookUp'!$A$4:$B$104,2,TRUE))</f>
        <v/>
      </c>
      <c r="AF245" s="108" t="str">
        <f>IF($Z245="","",VLOOKUP($Z245,'ORF Accuracy Value LookUp'!$D$4:$E$104,2,TRUE))</f>
        <v/>
      </c>
    </row>
    <row r="246" spans="1:32">
      <c r="A246" s="58"/>
      <c r="B246" s="58"/>
      <c r="C246" s="58"/>
      <c r="D246" s="58"/>
      <c r="E246" s="58"/>
      <c r="F246" s="62"/>
      <c r="G246" s="63"/>
      <c r="H246" s="84"/>
      <c r="I246" s="61"/>
      <c r="J246" s="61"/>
      <c r="K246" s="61"/>
      <c r="L246" s="61"/>
      <c r="M246" s="103" t="str">
        <f t="shared" si="15"/>
        <v/>
      </c>
      <c r="N246" s="84"/>
      <c r="O246" s="61"/>
      <c r="P246" s="61"/>
      <c r="Q246" s="213"/>
      <c r="R246" s="64"/>
      <c r="S246" s="65" t="str">
        <f t="shared" si="16"/>
        <v/>
      </c>
      <c r="T246" s="104" t="str">
        <f t="shared" si="17"/>
        <v/>
      </c>
      <c r="U246" s="84"/>
      <c r="V246" s="61"/>
      <c r="W246" s="61"/>
      <c r="X246" s="61"/>
      <c r="Y246" s="61"/>
      <c r="Z246" s="73" t="str">
        <f t="shared" si="18"/>
        <v/>
      </c>
      <c r="AA246" s="61"/>
      <c r="AB246" s="106" t="str">
        <f t="shared" si="19"/>
        <v/>
      </c>
      <c r="AE246" s="107" t="str">
        <f>IF($S246="","",VLOOKUP($S246,'ORF Accuracy Value LookUp'!$A$4:$B$104,2,TRUE))</f>
        <v/>
      </c>
      <c r="AF246" s="108" t="str">
        <f>IF($Z246="","",VLOOKUP($Z246,'ORF Accuracy Value LookUp'!$D$4:$E$104,2,TRUE))</f>
        <v/>
      </c>
    </row>
    <row r="247" spans="1:32">
      <c r="A247" s="58"/>
      <c r="B247" s="58"/>
      <c r="C247" s="58"/>
      <c r="D247" s="58"/>
      <c r="E247" s="58"/>
      <c r="F247" s="62"/>
      <c r="G247" s="63"/>
      <c r="H247" s="84"/>
      <c r="I247" s="61"/>
      <c r="J247" s="61"/>
      <c r="K247" s="61"/>
      <c r="L247" s="61"/>
      <c r="M247" s="103" t="str">
        <f t="shared" si="15"/>
        <v/>
      </c>
      <c r="N247" s="84"/>
      <c r="O247" s="61"/>
      <c r="P247" s="61"/>
      <c r="Q247" s="213"/>
      <c r="R247" s="64"/>
      <c r="S247" s="65" t="str">
        <f t="shared" si="16"/>
        <v/>
      </c>
      <c r="T247" s="104" t="str">
        <f t="shared" si="17"/>
        <v/>
      </c>
      <c r="U247" s="84"/>
      <c r="V247" s="61"/>
      <c r="W247" s="61"/>
      <c r="X247" s="61"/>
      <c r="Y247" s="61"/>
      <c r="Z247" s="73" t="str">
        <f t="shared" si="18"/>
        <v/>
      </c>
      <c r="AA247" s="61"/>
      <c r="AB247" s="106" t="str">
        <f t="shared" si="19"/>
        <v/>
      </c>
      <c r="AE247" s="107" t="str">
        <f>IF($S247="","",VLOOKUP($S247,'ORF Accuracy Value LookUp'!$A$4:$B$104,2,TRUE))</f>
        <v/>
      </c>
      <c r="AF247" s="108" t="str">
        <f>IF($Z247="","",VLOOKUP($Z247,'ORF Accuracy Value LookUp'!$D$4:$E$104,2,TRUE))</f>
        <v/>
      </c>
    </row>
    <row r="248" spans="1:32">
      <c r="A248" s="58"/>
      <c r="B248" s="58"/>
      <c r="C248" s="58"/>
      <c r="D248" s="58"/>
      <c r="E248" s="58"/>
      <c r="F248" s="62"/>
      <c r="G248" s="63"/>
      <c r="H248" s="84"/>
      <c r="I248" s="61"/>
      <c r="J248" s="61"/>
      <c r="K248" s="61"/>
      <c r="L248" s="61"/>
      <c r="M248" s="103" t="str">
        <f t="shared" si="15"/>
        <v/>
      </c>
      <c r="N248" s="84"/>
      <c r="O248" s="61"/>
      <c r="P248" s="61"/>
      <c r="Q248" s="213"/>
      <c r="R248" s="64"/>
      <c r="S248" s="65" t="str">
        <f t="shared" si="16"/>
        <v/>
      </c>
      <c r="T248" s="104" t="str">
        <f t="shared" si="17"/>
        <v/>
      </c>
      <c r="U248" s="84"/>
      <c r="V248" s="61"/>
      <c r="W248" s="61"/>
      <c r="X248" s="61"/>
      <c r="Y248" s="61"/>
      <c r="Z248" s="73" t="str">
        <f t="shared" si="18"/>
        <v/>
      </c>
      <c r="AA248" s="61"/>
      <c r="AB248" s="106" t="str">
        <f t="shared" si="19"/>
        <v/>
      </c>
      <c r="AE248" s="107" t="str">
        <f>IF($S248="","",VLOOKUP($S248,'ORF Accuracy Value LookUp'!$A$4:$B$104,2,TRUE))</f>
        <v/>
      </c>
      <c r="AF248" s="108" t="str">
        <f>IF($Z248="","",VLOOKUP($Z248,'ORF Accuracy Value LookUp'!$D$4:$E$104,2,TRUE))</f>
        <v/>
      </c>
    </row>
    <row r="249" spans="1:32">
      <c r="A249" s="58"/>
      <c r="B249" s="58"/>
      <c r="C249" s="58"/>
      <c r="D249" s="58"/>
      <c r="E249" s="58"/>
      <c r="F249" s="62"/>
      <c r="G249" s="63"/>
      <c r="H249" s="84"/>
      <c r="I249" s="61"/>
      <c r="J249" s="61"/>
      <c r="K249" s="61"/>
      <c r="L249" s="61"/>
      <c r="M249" s="103" t="str">
        <f t="shared" si="15"/>
        <v/>
      </c>
      <c r="N249" s="84"/>
      <c r="O249" s="61"/>
      <c r="P249" s="61"/>
      <c r="Q249" s="213"/>
      <c r="R249" s="64"/>
      <c r="S249" s="65" t="str">
        <f t="shared" si="16"/>
        <v/>
      </c>
      <c r="T249" s="104" t="str">
        <f t="shared" si="17"/>
        <v/>
      </c>
      <c r="U249" s="84"/>
      <c r="V249" s="61"/>
      <c r="W249" s="61"/>
      <c r="X249" s="61"/>
      <c r="Y249" s="61"/>
      <c r="Z249" s="73" t="str">
        <f t="shared" si="18"/>
        <v/>
      </c>
      <c r="AA249" s="61"/>
      <c r="AB249" s="106" t="str">
        <f t="shared" si="19"/>
        <v/>
      </c>
      <c r="AE249" s="107" t="str">
        <f>IF($S249="","",VLOOKUP($S249,'ORF Accuracy Value LookUp'!$A$4:$B$104,2,TRUE))</f>
        <v/>
      </c>
      <c r="AF249" s="108" t="str">
        <f>IF($Z249="","",VLOOKUP($Z249,'ORF Accuracy Value LookUp'!$D$4:$E$104,2,TRUE))</f>
        <v/>
      </c>
    </row>
    <row r="250" spans="1:32">
      <c r="A250" s="58"/>
      <c r="B250" s="58"/>
      <c r="C250" s="58"/>
      <c r="D250" s="58"/>
      <c r="E250" s="58"/>
      <c r="F250" s="62"/>
      <c r="G250" s="63"/>
      <c r="H250" s="84"/>
      <c r="I250" s="61"/>
      <c r="J250" s="61"/>
      <c r="K250" s="61"/>
      <c r="L250" s="61"/>
      <c r="M250" s="103" t="str">
        <f t="shared" si="15"/>
        <v/>
      </c>
      <c r="N250" s="84"/>
      <c r="O250" s="61"/>
      <c r="P250" s="61"/>
      <c r="Q250" s="213"/>
      <c r="R250" s="64"/>
      <c r="S250" s="65" t="str">
        <f t="shared" si="16"/>
        <v/>
      </c>
      <c r="T250" s="104" t="str">
        <f t="shared" si="17"/>
        <v/>
      </c>
      <c r="U250" s="84"/>
      <c r="V250" s="61"/>
      <c r="W250" s="61"/>
      <c r="X250" s="61"/>
      <c r="Y250" s="61"/>
      <c r="Z250" s="73" t="str">
        <f t="shared" si="18"/>
        <v/>
      </c>
      <c r="AA250" s="61"/>
      <c r="AB250" s="106" t="str">
        <f t="shared" si="19"/>
        <v/>
      </c>
      <c r="AE250" s="107" t="str">
        <f>IF($S250="","",VLOOKUP($S250,'ORF Accuracy Value LookUp'!$A$4:$B$104,2,TRUE))</f>
        <v/>
      </c>
      <c r="AF250" s="108" t="str">
        <f>IF($Z250="","",VLOOKUP($Z250,'ORF Accuracy Value LookUp'!$D$4:$E$104,2,TRUE))</f>
        <v/>
      </c>
    </row>
    <row r="251" spans="1:32">
      <c r="A251" s="58"/>
      <c r="B251" s="58"/>
      <c r="C251" s="58"/>
      <c r="D251" s="58"/>
      <c r="E251" s="58"/>
      <c r="F251" s="62"/>
      <c r="G251" s="63"/>
      <c r="H251" s="84"/>
      <c r="I251" s="61"/>
      <c r="J251" s="61"/>
      <c r="K251" s="61"/>
      <c r="L251" s="61"/>
      <c r="M251" s="103" t="str">
        <f t="shared" si="15"/>
        <v/>
      </c>
      <c r="N251" s="84"/>
      <c r="O251" s="61"/>
      <c r="P251" s="61"/>
      <c r="Q251" s="213"/>
      <c r="R251" s="64"/>
      <c r="S251" s="65" t="str">
        <f t="shared" si="16"/>
        <v/>
      </c>
      <c r="T251" s="104" t="str">
        <f t="shared" si="17"/>
        <v/>
      </c>
      <c r="U251" s="84"/>
      <c r="V251" s="61"/>
      <c r="W251" s="61"/>
      <c r="X251" s="61"/>
      <c r="Y251" s="61"/>
      <c r="Z251" s="73" t="str">
        <f t="shared" si="18"/>
        <v/>
      </c>
      <c r="AA251" s="61"/>
      <c r="AB251" s="106" t="str">
        <f t="shared" si="19"/>
        <v/>
      </c>
      <c r="AE251" s="107" t="str">
        <f>IF($S251="","",VLOOKUP($S251,'ORF Accuracy Value LookUp'!$A$4:$B$104,2,TRUE))</f>
        <v/>
      </c>
      <c r="AF251" s="108" t="str">
        <f>IF($Z251="","",VLOOKUP($Z251,'ORF Accuracy Value LookUp'!$D$4:$E$104,2,TRUE))</f>
        <v/>
      </c>
    </row>
    <row r="252" spans="1:32">
      <c r="A252" s="58"/>
      <c r="B252" s="58"/>
      <c r="C252" s="58"/>
      <c r="D252" s="58"/>
      <c r="E252" s="58"/>
      <c r="F252" s="62"/>
      <c r="G252" s="63"/>
      <c r="H252" s="84"/>
      <c r="I252" s="61"/>
      <c r="J252" s="61"/>
      <c r="K252" s="61"/>
      <c r="L252" s="61"/>
      <c r="M252" s="103" t="str">
        <f t="shared" si="15"/>
        <v/>
      </c>
      <c r="N252" s="84"/>
      <c r="O252" s="61"/>
      <c r="P252" s="61"/>
      <c r="Q252" s="213"/>
      <c r="R252" s="64"/>
      <c r="S252" s="65" t="str">
        <f t="shared" si="16"/>
        <v/>
      </c>
      <c r="T252" s="104" t="str">
        <f t="shared" si="17"/>
        <v/>
      </c>
      <c r="U252" s="84"/>
      <c r="V252" s="61"/>
      <c r="W252" s="61"/>
      <c r="X252" s="61"/>
      <c r="Y252" s="61"/>
      <c r="Z252" s="73" t="str">
        <f t="shared" si="18"/>
        <v/>
      </c>
      <c r="AA252" s="61"/>
      <c r="AB252" s="106" t="str">
        <f t="shared" si="19"/>
        <v/>
      </c>
      <c r="AE252" s="107" t="str">
        <f>IF($S252="","",VLOOKUP($S252,'ORF Accuracy Value LookUp'!$A$4:$B$104,2,TRUE))</f>
        <v/>
      </c>
      <c r="AF252" s="108" t="str">
        <f>IF($Z252="","",VLOOKUP($Z252,'ORF Accuracy Value LookUp'!$D$4:$E$104,2,TRUE))</f>
        <v/>
      </c>
    </row>
    <row r="253" spans="1:32">
      <c r="A253" s="58"/>
      <c r="B253" s="58"/>
      <c r="C253" s="58"/>
      <c r="D253" s="58"/>
      <c r="E253" s="58"/>
      <c r="F253" s="62"/>
      <c r="G253" s="63"/>
      <c r="H253" s="84"/>
      <c r="I253" s="61"/>
      <c r="J253" s="61"/>
      <c r="K253" s="61"/>
      <c r="L253" s="61"/>
      <c r="M253" s="103" t="str">
        <f t="shared" si="15"/>
        <v/>
      </c>
      <c r="N253" s="84"/>
      <c r="O253" s="61"/>
      <c r="P253" s="61"/>
      <c r="Q253" s="213"/>
      <c r="R253" s="64"/>
      <c r="S253" s="65" t="str">
        <f t="shared" si="16"/>
        <v/>
      </c>
      <c r="T253" s="104" t="str">
        <f t="shared" si="17"/>
        <v/>
      </c>
      <c r="U253" s="84"/>
      <c r="V253" s="61"/>
      <c r="W253" s="61"/>
      <c r="X253" s="61"/>
      <c r="Y253" s="61"/>
      <c r="Z253" s="73" t="str">
        <f t="shared" si="18"/>
        <v/>
      </c>
      <c r="AA253" s="61"/>
      <c r="AB253" s="106" t="str">
        <f t="shared" si="19"/>
        <v/>
      </c>
      <c r="AE253" s="107" t="str">
        <f>IF($S253="","",VLOOKUP($S253,'ORF Accuracy Value LookUp'!$A$4:$B$104,2,TRUE))</f>
        <v/>
      </c>
      <c r="AF253" s="108" t="str">
        <f>IF($Z253="","",VLOOKUP($Z253,'ORF Accuracy Value LookUp'!$D$4:$E$104,2,TRUE))</f>
        <v/>
      </c>
    </row>
    <row r="254" spans="1:32">
      <c r="A254" s="58"/>
      <c r="B254" s="58"/>
      <c r="C254" s="58"/>
      <c r="D254" s="58"/>
      <c r="E254" s="58"/>
      <c r="F254" s="62"/>
      <c r="G254" s="63"/>
      <c r="H254" s="84"/>
      <c r="I254" s="61"/>
      <c r="J254" s="61"/>
      <c r="K254" s="61"/>
      <c r="L254" s="61"/>
      <c r="M254" s="103" t="str">
        <f t="shared" si="15"/>
        <v/>
      </c>
      <c r="N254" s="84"/>
      <c r="O254" s="61"/>
      <c r="P254" s="61"/>
      <c r="Q254" s="213"/>
      <c r="R254" s="64"/>
      <c r="S254" s="65" t="str">
        <f t="shared" si="16"/>
        <v/>
      </c>
      <c r="T254" s="104" t="str">
        <f t="shared" si="17"/>
        <v/>
      </c>
      <c r="U254" s="84"/>
      <c r="V254" s="61"/>
      <c r="W254" s="61"/>
      <c r="X254" s="61"/>
      <c r="Y254" s="61"/>
      <c r="Z254" s="73" t="str">
        <f t="shared" si="18"/>
        <v/>
      </c>
      <c r="AA254" s="61"/>
      <c r="AB254" s="106" t="str">
        <f t="shared" si="19"/>
        <v/>
      </c>
      <c r="AE254" s="107" t="str">
        <f>IF($S254="","",VLOOKUP($S254,'ORF Accuracy Value LookUp'!$A$4:$B$104,2,TRUE))</f>
        <v/>
      </c>
      <c r="AF254" s="108" t="str">
        <f>IF($Z254="","",VLOOKUP($Z254,'ORF Accuracy Value LookUp'!$D$4:$E$104,2,TRUE))</f>
        <v/>
      </c>
    </row>
    <row r="255" spans="1:32">
      <c r="A255" s="58"/>
      <c r="B255" s="58"/>
      <c r="C255" s="58"/>
      <c r="D255" s="58"/>
      <c r="E255" s="58"/>
      <c r="F255" s="62"/>
      <c r="G255" s="63"/>
      <c r="H255" s="84"/>
      <c r="I255" s="61"/>
      <c r="J255" s="61"/>
      <c r="K255" s="61"/>
      <c r="L255" s="61"/>
      <c r="M255" s="103" t="str">
        <f t="shared" si="15"/>
        <v/>
      </c>
      <c r="N255" s="84"/>
      <c r="O255" s="61"/>
      <c r="P255" s="61"/>
      <c r="Q255" s="213"/>
      <c r="R255" s="64"/>
      <c r="S255" s="65" t="str">
        <f t="shared" si="16"/>
        <v/>
      </c>
      <c r="T255" s="104" t="str">
        <f t="shared" si="17"/>
        <v/>
      </c>
      <c r="U255" s="84"/>
      <c r="V255" s="61"/>
      <c r="W255" s="61"/>
      <c r="X255" s="61"/>
      <c r="Y255" s="61"/>
      <c r="Z255" s="73" t="str">
        <f t="shared" si="18"/>
        <v/>
      </c>
      <c r="AA255" s="61"/>
      <c r="AB255" s="106" t="str">
        <f t="shared" si="19"/>
        <v/>
      </c>
      <c r="AE255" s="107" t="str">
        <f>IF($S255="","",VLOOKUP($S255,'ORF Accuracy Value LookUp'!$A$4:$B$104,2,TRUE))</f>
        <v/>
      </c>
      <c r="AF255" s="108" t="str">
        <f>IF($Z255="","",VLOOKUP($Z255,'ORF Accuracy Value LookUp'!$D$4:$E$104,2,TRUE))</f>
        <v/>
      </c>
    </row>
    <row r="256" spans="1:32">
      <c r="A256" s="58"/>
      <c r="B256" s="58"/>
      <c r="C256" s="58"/>
      <c r="D256" s="58"/>
      <c r="E256" s="58"/>
      <c r="F256" s="62"/>
      <c r="G256" s="63"/>
      <c r="H256" s="84"/>
      <c r="I256" s="61"/>
      <c r="J256" s="61"/>
      <c r="K256" s="61"/>
      <c r="L256" s="61"/>
      <c r="M256" s="103" t="str">
        <f t="shared" si="15"/>
        <v/>
      </c>
      <c r="N256" s="84"/>
      <c r="O256" s="61"/>
      <c r="P256" s="61"/>
      <c r="Q256" s="213"/>
      <c r="R256" s="64"/>
      <c r="S256" s="65" t="str">
        <f t="shared" si="16"/>
        <v/>
      </c>
      <c r="T256" s="104" t="str">
        <f t="shared" si="17"/>
        <v/>
      </c>
      <c r="U256" s="84"/>
      <c r="V256" s="61"/>
      <c r="W256" s="61"/>
      <c r="X256" s="61"/>
      <c r="Y256" s="61"/>
      <c r="Z256" s="73" t="str">
        <f t="shared" si="18"/>
        <v/>
      </c>
      <c r="AA256" s="61"/>
      <c r="AB256" s="106" t="str">
        <f t="shared" si="19"/>
        <v/>
      </c>
      <c r="AE256" s="107" t="str">
        <f>IF($S256="","",VLOOKUP($S256,'ORF Accuracy Value LookUp'!$A$4:$B$104,2,TRUE))</f>
        <v/>
      </c>
      <c r="AF256" s="108" t="str">
        <f>IF($Z256="","",VLOOKUP($Z256,'ORF Accuracy Value LookUp'!$D$4:$E$104,2,TRUE))</f>
        <v/>
      </c>
    </row>
    <row r="257" spans="1:32">
      <c r="A257" s="58"/>
      <c r="B257" s="58"/>
      <c r="C257" s="58"/>
      <c r="D257" s="58"/>
      <c r="E257" s="58"/>
      <c r="F257" s="62"/>
      <c r="G257" s="63"/>
      <c r="H257" s="84"/>
      <c r="I257" s="61"/>
      <c r="J257" s="61"/>
      <c r="K257" s="61"/>
      <c r="L257" s="61"/>
      <c r="M257" s="103" t="str">
        <f t="shared" si="15"/>
        <v/>
      </c>
      <c r="N257" s="84"/>
      <c r="O257" s="61"/>
      <c r="P257" s="61"/>
      <c r="Q257" s="213"/>
      <c r="R257" s="64"/>
      <c r="S257" s="65" t="str">
        <f t="shared" si="16"/>
        <v/>
      </c>
      <c r="T257" s="104" t="str">
        <f t="shared" si="17"/>
        <v/>
      </c>
      <c r="U257" s="84"/>
      <c r="V257" s="61"/>
      <c r="W257" s="61"/>
      <c r="X257" s="61"/>
      <c r="Y257" s="61"/>
      <c r="Z257" s="73" t="str">
        <f t="shared" si="18"/>
        <v/>
      </c>
      <c r="AA257" s="61"/>
      <c r="AB257" s="106" t="str">
        <f t="shared" si="19"/>
        <v/>
      </c>
      <c r="AE257" s="107" t="str">
        <f>IF($S257="","",VLOOKUP($S257,'ORF Accuracy Value LookUp'!$A$4:$B$104,2,TRUE))</f>
        <v/>
      </c>
      <c r="AF257" s="108" t="str">
        <f>IF($Z257="","",VLOOKUP($Z257,'ORF Accuracy Value LookUp'!$D$4:$E$104,2,TRUE))</f>
        <v/>
      </c>
    </row>
    <row r="258" spans="1:32">
      <c r="A258" s="58"/>
      <c r="B258" s="58"/>
      <c r="C258" s="58"/>
      <c r="D258" s="58"/>
      <c r="E258" s="58"/>
      <c r="F258" s="62"/>
      <c r="G258" s="63"/>
      <c r="H258" s="84"/>
      <c r="I258" s="61"/>
      <c r="J258" s="61"/>
      <c r="K258" s="61"/>
      <c r="L258" s="61"/>
      <c r="M258" s="103" t="str">
        <f t="shared" si="15"/>
        <v/>
      </c>
      <c r="N258" s="84"/>
      <c r="O258" s="61"/>
      <c r="P258" s="61"/>
      <c r="Q258" s="213"/>
      <c r="R258" s="64"/>
      <c r="S258" s="65" t="str">
        <f t="shared" si="16"/>
        <v/>
      </c>
      <c r="T258" s="104" t="str">
        <f t="shared" si="17"/>
        <v/>
      </c>
      <c r="U258" s="84"/>
      <c r="V258" s="61"/>
      <c r="W258" s="61"/>
      <c r="X258" s="61"/>
      <c r="Y258" s="61"/>
      <c r="Z258" s="73" t="str">
        <f t="shared" si="18"/>
        <v/>
      </c>
      <c r="AA258" s="61"/>
      <c r="AB258" s="106" t="str">
        <f t="shared" si="19"/>
        <v/>
      </c>
      <c r="AE258" s="107" t="str">
        <f>IF($S258="","",VLOOKUP($S258,'ORF Accuracy Value LookUp'!$A$4:$B$104,2,TRUE))</f>
        <v/>
      </c>
      <c r="AF258" s="108" t="str">
        <f>IF($Z258="","",VLOOKUP($Z258,'ORF Accuracy Value LookUp'!$D$4:$E$104,2,TRUE))</f>
        <v/>
      </c>
    </row>
    <row r="259" spans="1:32">
      <c r="A259" s="58"/>
      <c r="B259" s="58"/>
      <c r="C259" s="58"/>
      <c r="D259" s="58"/>
      <c r="E259" s="58"/>
      <c r="F259" s="62"/>
      <c r="G259" s="63"/>
      <c r="H259" s="84"/>
      <c r="I259" s="61"/>
      <c r="J259" s="61"/>
      <c r="K259" s="61"/>
      <c r="L259" s="61"/>
      <c r="M259" s="103" t="str">
        <f t="shared" ref="M259:M322" si="20">IF($B259="","",SUM($I259:$K259))</f>
        <v/>
      </c>
      <c r="N259" s="84"/>
      <c r="O259" s="61"/>
      <c r="P259" s="61"/>
      <c r="Q259" s="213"/>
      <c r="R259" s="64"/>
      <c r="S259" s="65" t="str">
        <f t="shared" ref="S259:S322" si="21">IF($Q259="","",SUM($Q259/($Q259+$R259)))</f>
        <v/>
      </c>
      <c r="T259" s="104" t="str">
        <f t="shared" si="17"/>
        <v/>
      </c>
      <c r="U259" s="84"/>
      <c r="V259" s="61"/>
      <c r="W259" s="61"/>
      <c r="X259" s="61"/>
      <c r="Y259" s="61"/>
      <c r="Z259" s="73" t="str">
        <f t="shared" si="18"/>
        <v/>
      </c>
      <c r="AA259" s="61"/>
      <c r="AB259" s="106" t="str">
        <f t="shared" si="19"/>
        <v/>
      </c>
      <c r="AE259" s="107" t="str">
        <f>IF($S259="","",VLOOKUP($S259,'ORF Accuracy Value LookUp'!$A$4:$B$104,2,TRUE))</f>
        <v/>
      </c>
      <c r="AF259" s="108" t="str">
        <f>IF($Z259="","",VLOOKUP($Z259,'ORF Accuracy Value LookUp'!$D$4:$E$104,2,TRUE))</f>
        <v/>
      </c>
    </row>
    <row r="260" spans="1:32">
      <c r="A260" s="58"/>
      <c r="B260" s="58"/>
      <c r="C260" s="58"/>
      <c r="D260" s="58"/>
      <c r="E260" s="58"/>
      <c r="F260" s="62"/>
      <c r="G260" s="63"/>
      <c r="H260" s="84"/>
      <c r="I260" s="61"/>
      <c r="J260" s="61"/>
      <c r="K260" s="61"/>
      <c r="L260" s="61"/>
      <c r="M260" s="103" t="str">
        <f t="shared" si="20"/>
        <v/>
      </c>
      <c r="N260" s="84"/>
      <c r="O260" s="61"/>
      <c r="P260" s="61"/>
      <c r="Q260" s="213"/>
      <c r="R260" s="64"/>
      <c r="S260" s="65" t="str">
        <f t="shared" si="21"/>
        <v/>
      </c>
      <c r="T260" s="104" t="str">
        <f t="shared" ref="T260:T323" si="22">IF($N260="","",SUM($O260:$Q260,$AE261))</f>
        <v/>
      </c>
      <c r="U260" s="84"/>
      <c r="V260" s="61"/>
      <c r="W260" s="61"/>
      <c r="X260" s="61"/>
      <c r="Y260" s="61"/>
      <c r="Z260" s="73" t="str">
        <f t="shared" ref="Z260:Z323" si="23">IF($X260="","",SUM($X260/($X260+$Y260)))</f>
        <v/>
      </c>
      <c r="AA260" s="61"/>
      <c r="AB260" s="106" t="str">
        <f t="shared" ref="AB260:AB323" si="24">IF($U260="","",SUM(($W260*2)+$X260+$AF260))</f>
        <v/>
      </c>
      <c r="AE260" s="107" t="str">
        <f>IF($S260="","",VLOOKUP($S260,'ORF Accuracy Value LookUp'!$A$4:$B$104,2,TRUE))</f>
        <v/>
      </c>
      <c r="AF260" s="108" t="str">
        <f>IF($Z260="","",VLOOKUP($Z260,'ORF Accuracy Value LookUp'!$D$4:$E$104,2,TRUE))</f>
        <v/>
      </c>
    </row>
    <row r="261" spans="1:32">
      <c r="A261" s="58"/>
      <c r="B261" s="58"/>
      <c r="C261" s="58"/>
      <c r="D261" s="58"/>
      <c r="E261" s="58"/>
      <c r="F261" s="62"/>
      <c r="G261" s="63"/>
      <c r="H261" s="84"/>
      <c r="I261" s="61"/>
      <c r="J261" s="61"/>
      <c r="K261" s="61"/>
      <c r="L261" s="61"/>
      <c r="M261" s="103" t="str">
        <f t="shared" si="20"/>
        <v/>
      </c>
      <c r="N261" s="84"/>
      <c r="O261" s="61"/>
      <c r="P261" s="61"/>
      <c r="Q261" s="213"/>
      <c r="R261" s="64"/>
      <c r="S261" s="65" t="str">
        <f t="shared" si="21"/>
        <v/>
      </c>
      <c r="T261" s="104" t="str">
        <f t="shared" si="22"/>
        <v/>
      </c>
      <c r="U261" s="84"/>
      <c r="V261" s="61"/>
      <c r="W261" s="61"/>
      <c r="X261" s="61"/>
      <c r="Y261" s="61"/>
      <c r="Z261" s="73" t="str">
        <f t="shared" si="23"/>
        <v/>
      </c>
      <c r="AA261" s="61"/>
      <c r="AB261" s="106" t="str">
        <f t="shared" si="24"/>
        <v/>
      </c>
      <c r="AE261" s="107" t="str">
        <f>IF($S261="","",VLOOKUP($S261,'ORF Accuracy Value LookUp'!$A$4:$B$104,2,TRUE))</f>
        <v/>
      </c>
      <c r="AF261" s="108" t="str">
        <f>IF($Z261="","",VLOOKUP($Z261,'ORF Accuracy Value LookUp'!$D$4:$E$104,2,TRUE))</f>
        <v/>
      </c>
    </row>
    <row r="262" spans="1:32">
      <c r="A262" s="58"/>
      <c r="B262" s="58"/>
      <c r="C262" s="58"/>
      <c r="D262" s="58"/>
      <c r="E262" s="58"/>
      <c r="F262" s="62"/>
      <c r="G262" s="63"/>
      <c r="H262" s="84"/>
      <c r="I262" s="61"/>
      <c r="J262" s="61"/>
      <c r="K262" s="61"/>
      <c r="L262" s="61"/>
      <c r="M262" s="103" t="str">
        <f t="shared" si="20"/>
        <v/>
      </c>
      <c r="N262" s="84"/>
      <c r="O262" s="61"/>
      <c r="P262" s="61"/>
      <c r="Q262" s="213"/>
      <c r="R262" s="64"/>
      <c r="S262" s="65" t="str">
        <f t="shared" si="21"/>
        <v/>
      </c>
      <c r="T262" s="104" t="str">
        <f t="shared" si="22"/>
        <v/>
      </c>
      <c r="U262" s="84"/>
      <c r="V262" s="61"/>
      <c r="W262" s="61"/>
      <c r="X262" s="61"/>
      <c r="Y262" s="61"/>
      <c r="Z262" s="73" t="str">
        <f t="shared" si="23"/>
        <v/>
      </c>
      <c r="AA262" s="61"/>
      <c r="AB262" s="106" t="str">
        <f t="shared" si="24"/>
        <v/>
      </c>
      <c r="AE262" s="107" t="str">
        <f>IF($S262="","",VLOOKUP($S262,'ORF Accuracy Value LookUp'!$A$4:$B$104,2,TRUE))</f>
        <v/>
      </c>
      <c r="AF262" s="108" t="str">
        <f>IF($Z262="","",VLOOKUP($Z262,'ORF Accuracy Value LookUp'!$D$4:$E$104,2,TRUE))</f>
        <v/>
      </c>
    </row>
    <row r="263" spans="1:32">
      <c r="A263" s="58"/>
      <c r="B263" s="58"/>
      <c r="C263" s="58"/>
      <c r="D263" s="58"/>
      <c r="E263" s="58"/>
      <c r="F263" s="62"/>
      <c r="G263" s="63"/>
      <c r="H263" s="84"/>
      <c r="I263" s="61"/>
      <c r="J263" s="61"/>
      <c r="K263" s="61"/>
      <c r="L263" s="61"/>
      <c r="M263" s="103" t="str">
        <f t="shared" si="20"/>
        <v/>
      </c>
      <c r="N263" s="84"/>
      <c r="O263" s="61"/>
      <c r="P263" s="61"/>
      <c r="Q263" s="213"/>
      <c r="R263" s="64"/>
      <c r="S263" s="65" t="str">
        <f t="shared" si="21"/>
        <v/>
      </c>
      <c r="T263" s="104" t="str">
        <f t="shared" si="22"/>
        <v/>
      </c>
      <c r="U263" s="84"/>
      <c r="V263" s="61"/>
      <c r="W263" s="61"/>
      <c r="X263" s="61"/>
      <c r="Y263" s="61"/>
      <c r="Z263" s="73" t="str">
        <f t="shared" si="23"/>
        <v/>
      </c>
      <c r="AA263" s="61"/>
      <c r="AB263" s="106" t="str">
        <f t="shared" si="24"/>
        <v/>
      </c>
      <c r="AE263" s="107" t="str">
        <f>IF($S263="","",VLOOKUP($S263,'ORF Accuracy Value LookUp'!$A$4:$B$104,2,TRUE))</f>
        <v/>
      </c>
      <c r="AF263" s="108" t="str">
        <f>IF($Z263="","",VLOOKUP($Z263,'ORF Accuracy Value LookUp'!$D$4:$E$104,2,TRUE))</f>
        <v/>
      </c>
    </row>
    <row r="264" spans="1:32">
      <c r="A264" s="58"/>
      <c r="B264" s="58"/>
      <c r="C264" s="58"/>
      <c r="D264" s="58"/>
      <c r="E264" s="58"/>
      <c r="F264" s="62"/>
      <c r="G264" s="63"/>
      <c r="H264" s="84"/>
      <c r="I264" s="61"/>
      <c r="J264" s="61"/>
      <c r="K264" s="61"/>
      <c r="L264" s="61"/>
      <c r="M264" s="103" t="str">
        <f t="shared" si="20"/>
        <v/>
      </c>
      <c r="N264" s="84"/>
      <c r="O264" s="61"/>
      <c r="P264" s="61"/>
      <c r="Q264" s="213"/>
      <c r="R264" s="64"/>
      <c r="S264" s="65" t="str">
        <f t="shared" si="21"/>
        <v/>
      </c>
      <c r="T264" s="104" t="str">
        <f t="shared" si="22"/>
        <v/>
      </c>
      <c r="U264" s="84"/>
      <c r="V264" s="61"/>
      <c r="W264" s="61"/>
      <c r="X264" s="61"/>
      <c r="Y264" s="61"/>
      <c r="Z264" s="73" t="str">
        <f t="shared" si="23"/>
        <v/>
      </c>
      <c r="AA264" s="61"/>
      <c r="AB264" s="106" t="str">
        <f t="shared" si="24"/>
        <v/>
      </c>
      <c r="AE264" s="107" t="str">
        <f>IF($S264="","",VLOOKUP($S264,'ORF Accuracy Value LookUp'!$A$4:$B$104,2,TRUE))</f>
        <v/>
      </c>
      <c r="AF264" s="108" t="str">
        <f>IF($Z264="","",VLOOKUP($Z264,'ORF Accuracy Value LookUp'!$D$4:$E$104,2,TRUE))</f>
        <v/>
      </c>
    </row>
    <row r="265" spans="1:32">
      <c r="A265" s="58"/>
      <c r="B265" s="58"/>
      <c r="C265" s="58"/>
      <c r="D265" s="58"/>
      <c r="E265" s="58"/>
      <c r="F265" s="62"/>
      <c r="G265" s="63"/>
      <c r="H265" s="84"/>
      <c r="I265" s="61"/>
      <c r="J265" s="61"/>
      <c r="K265" s="61"/>
      <c r="L265" s="61"/>
      <c r="M265" s="103" t="str">
        <f t="shared" si="20"/>
        <v/>
      </c>
      <c r="N265" s="84"/>
      <c r="O265" s="61"/>
      <c r="P265" s="61"/>
      <c r="Q265" s="213"/>
      <c r="R265" s="64"/>
      <c r="S265" s="65" t="str">
        <f t="shared" si="21"/>
        <v/>
      </c>
      <c r="T265" s="104" t="str">
        <f t="shared" si="22"/>
        <v/>
      </c>
      <c r="U265" s="84"/>
      <c r="V265" s="61"/>
      <c r="W265" s="61"/>
      <c r="X265" s="61"/>
      <c r="Y265" s="61"/>
      <c r="Z265" s="73" t="str">
        <f t="shared" si="23"/>
        <v/>
      </c>
      <c r="AA265" s="61"/>
      <c r="AB265" s="106" t="str">
        <f t="shared" si="24"/>
        <v/>
      </c>
      <c r="AE265" s="107" t="str">
        <f>IF($S265="","",VLOOKUP($S265,'ORF Accuracy Value LookUp'!$A$4:$B$104,2,TRUE))</f>
        <v/>
      </c>
      <c r="AF265" s="108" t="str">
        <f>IF($Z265="","",VLOOKUP($Z265,'ORF Accuracy Value LookUp'!$D$4:$E$104,2,TRUE))</f>
        <v/>
      </c>
    </row>
    <row r="266" spans="1:32">
      <c r="A266" s="58"/>
      <c r="B266" s="58"/>
      <c r="C266" s="58"/>
      <c r="D266" s="58"/>
      <c r="E266" s="58"/>
      <c r="F266" s="62"/>
      <c r="G266" s="63"/>
      <c r="H266" s="84"/>
      <c r="I266" s="61"/>
      <c r="J266" s="61"/>
      <c r="K266" s="61"/>
      <c r="L266" s="61"/>
      <c r="M266" s="103" t="str">
        <f t="shared" si="20"/>
        <v/>
      </c>
      <c r="N266" s="84"/>
      <c r="O266" s="61"/>
      <c r="P266" s="61"/>
      <c r="Q266" s="213"/>
      <c r="R266" s="64"/>
      <c r="S266" s="65" t="str">
        <f t="shared" si="21"/>
        <v/>
      </c>
      <c r="T266" s="104" t="str">
        <f t="shared" si="22"/>
        <v/>
      </c>
      <c r="U266" s="84"/>
      <c r="V266" s="61"/>
      <c r="W266" s="61"/>
      <c r="X266" s="61"/>
      <c r="Y266" s="61"/>
      <c r="Z266" s="73" t="str">
        <f t="shared" si="23"/>
        <v/>
      </c>
      <c r="AA266" s="61"/>
      <c r="AB266" s="106" t="str">
        <f t="shared" si="24"/>
        <v/>
      </c>
      <c r="AE266" s="107" t="str">
        <f>IF($S266="","",VLOOKUP($S266,'ORF Accuracy Value LookUp'!$A$4:$B$104,2,TRUE))</f>
        <v/>
      </c>
      <c r="AF266" s="108" t="str">
        <f>IF($Z266="","",VLOOKUP($Z266,'ORF Accuracy Value LookUp'!$D$4:$E$104,2,TRUE))</f>
        <v/>
      </c>
    </row>
    <row r="267" spans="1:32">
      <c r="A267" s="58"/>
      <c r="B267" s="58"/>
      <c r="C267" s="58"/>
      <c r="D267" s="58"/>
      <c r="E267" s="58"/>
      <c r="F267" s="62"/>
      <c r="G267" s="63"/>
      <c r="H267" s="84"/>
      <c r="I267" s="61"/>
      <c r="J267" s="61"/>
      <c r="K267" s="61"/>
      <c r="L267" s="61"/>
      <c r="M267" s="103" t="str">
        <f t="shared" si="20"/>
        <v/>
      </c>
      <c r="N267" s="84"/>
      <c r="O267" s="61"/>
      <c r="P267" s="61"/>
      <c r="Q267" s="213"/>
      <c r="R267" s="64"/>
      <c r="S267" s="65" t="str">
        <f t="shared" si="21"/>
        <v/>
      </c>
      <c r="T267" s="104" t="str">
        <f t="shared" si="22"/>
        <v/>
      </c>
      <c r="U267" s="84"/>
      <c r="V267" s="61"/>
      <c r="W267" s="61"/>
      <c r="X267" s="61"/>
      <c r="Y267" s="61"/>
      <c r="Z267" s="73" t="str">
        <f t="shared" si="23"/>
        <v/>
      </c>
      <c r="AA267" s="61"/>
      <c r="AB267" s="106" t="str">
        <f t="shared" si="24"/>
        <v/>
      </c>
      <c r="AE267" s="107" t="str">
        <f>IF($S267="","",VLOOKUP($S267,'ORF Accuracy Value LookUp'!$A$4:$B$104,2,TRUE))</f>
        <v/>
      </c>
      <c r="AF267" s="108" t="str">
        <f>IF($Z267="","",VLOOKUP($Z267,'ORF Accuracy Value LookUp'!$D$4:$E$104,2,TRUE))</f>
        <v/>
      </c>
    </row>
    <row r="268" spans="1:32">
      <c r="A268" s="58"/>
      <c r="B268" s="58"/>
      <c r="C268" s="58"/>
      <c r="D268" s="58"/>
      <c r="E268" s="58"/>
      <c r="F268" s="62"/>
      <c r="G268" s="63"/>
      <c r="H268" s="84"/>
      <c r="I268" s="61"/>
      <c r="J268" s="61"/>
      <c r="K268" s="61"/>
      <c r="L268" s="61"/>
      <c r="M268" s="103" t="str">
        <f t="shared" si="20"/>
        <v/>
      </c>
      <c r="N268" s="84"/>
      <c r="O268" s="61"/>
      <c r="P268" s="61"/>
      <c r="Q268" s="213"/>
      <c r="R268" s="64"/>
      <c r="S268" s="65" t="str">
        <f t="shared" si="21"/>
        <v/>
      </c>
      <c r="T268" s="104" t="str">
        <f t="shared" si="22"/>
        <v/>
      </c>
      <c r="U268" s="84"/>
      <c r="V268" s="61"/>
      <c r="W268" s="61"/>
      <c r="X268" s="61"/>
      <c r="Y268" s="61"/>
      <c r="Z268" s="73" t="str">
        <f t="shared" si="23"/>
        <v/>
      </c>
      <c r="AA268" s="61"/>
      <c r="AB268" s="106" t="str">
        <f t="shared" si="24"/>
        <v/>
      </c>
      <c r="AE268" s="107" t="str">
        <f>IF($S268="","",VLOOKUP($S268,'ORF Accuracy Value LookUp'!$A$4:$B$104,2,TRUE))</f>
        <v/>
      </c>
      <c r="AF268" s="108" t="str">
        <f>IF($Z268="","",VLOOKUP($Z268,'ORF Accuracy Value LookUp'!$D$4:$E$104,2,TRUE))</f>
        <v/>
      </c>
    </row>
    <row r="269" spans="1:32">
      <c r="A269" s="58"/>
      <c r="B269" s="58"/>
      <c r="C269" s="58"/>
      <c r="D269" s="58"/>
      <c r="E269" s="58"/>
      <c r="F269" s="62"/>
      <c r="G269" s="63"/>
      <c r="H269" s="84"/>
      <c r="I269" s="61"/>
      <c r="J269" s="61"/>
      <c r="K269" s="61"/>
      <c r="L269" s="61"/>
      <c r="M269" s="103" t="str">
        <f t="shared" si="20"/>
        <v/>
      </c>
      <c r="N269" s="84"/>
      <c r="O269" s="61"/>
      <c r="P269" s="61"/>
      <c r="Q269" s="213"/>
      <c r="R269" s="64"/>
      <c r="S269" s="65" t="str">
        <f t="shared" si="21"/>
        <v/>
      </c>
      <c r="T269" s="104" t="str">
        <f t="shared" si="22"/>
        <v/>
      </c>
      <c r="U269" s="84"/>
      <c r="V269" s="61"/>
      <c r="W269" s="61"/>
      <c r="X269" s="61"/>
      <c r="Y269" s="61"/>
      <c r="Z269" s="73" t="str">
        <f t="shared" si="23"/>
        <v/>
      </c>
      <c r="AA269" s="61"/>
      <c r="AB269" s="106" t="str">
        <f t="shared" si="24"/>
        <v/>
      </c>
      <c r="AE269" s="107" t="str">
        <f>IF($S269="","",VLOOKUP($S269,'ORF Accuracy Value LookUp'!$A$4:$B$104,2,TRUE))</f>
        <v/>
      </c>
      <c r="AF269" s="108" t="str">
        <f>IF($Z269="","",VLOOKUP($Z269,'ORF Accuracy Value LookUp'!$D$4:$E$104,2,TRUE))</f>
        <v/>
      </c>
    </row>
    <row r="270" spans="1:32">
      <c r="A270" s="58"/>
      <c r="B270" s="58"/>
      <c r="C270" s="58"/>
      <c r="D270" s="58"/>
      <c r="E270" s="58"/>
      <c r="F270" s="62"/>
      <c r="G270" s="63"/>
      <c r="H270" s="84"/>
      <c r="I270" s="61"/>
      <c r="J270" s="61"/>
      <c r="K270" s="61"/>
      <c r="L270" s="61"/>
      <c r="M270" s="103" t="str">
        <f t="shared" si="20"/>
        <v/>
      </c>
      <c r="N270" s="84"/>
      <c r="O270" s="61"/>
      <c r="P270" s="61"/>
      <c r="Q270" s="213"/>
      <c r="R270" s="64"/>
      <c r="S270" s="65" t="str">
        <f t="shared" si="21"/>
        <v/>
      </c>
      <c r="T270" s="104" t="str">
        <f t="shared" si="22"/>
        <v/>
      </c>
      <c r="U270" s="84"/>
      <c r="V270" s="61"/>
      <c r="W270" s="61"/>
      <c r="X270" s="61"/>
      <c r="Y270" s="61"/>
      <c r="Z270" s="73" t="str">
        <f t="shared" si="23"/>
        <v/>
      </c>
      <c r="AA270" s="61"/>
      <c r="AB270" s="106" t="str">
        <f t="shared" si="24"/>
        <v/>
      </c>
      <c r="AE270" s="107" t="str">
        <f>IF($S270="","",VLOOKUP($S270,'ORF Accuracy Value LookUp'!$A$4:$B$104,2,TRUE))</f>
        <v/>
      </c>
      <c r="AF270" s="108" t="str">
        <f>IF($Z270="","",VLOOKUP($Z270,'ORF Accuracy Value LookUp'!$D$4:$E$104,2,TRUE))</f>
        <v/>
      </c>
    </row>
    <row r="271" spans="1:32">
      <c r="A271" s="58"/>
      <c r="B271" s="58"/>
      <c r="C271" s="58"/>
      <c r="D271" s="58"/>
      <c r="E271" s="58"/>
      <c r="F271" s="62"/>
      <c r="G271" s="63"/>
      <c r="H271" s="84"/>
      <c r="I271" s="61"/>
      <c r="J271" s="61"/>
      <c r="K271" s="61"/>
      <c r="L271" s="61"/>
      <c r="M271" s="103" t="str">
        <f t="shared" si="20"/>
        <v/>
      </c>
      <c r="N271" s="84"/>
      <c r="O271" s="61"/>
      <c r="P271" s="61"/>
      <c r="Q271" s="213"/>
      <c r="R271" s="64"/>
      <c r="S271" s="65" t="str">
        <f t="shared" si="21"/>
        <v/>
      </c>
      <c r="T271" s="104" t="str">
        <f t="shared" si="22"/>
        <v/>
      </c>
      <c r="U271" s="84"/>
      <c r="V271" s="61"/>
      <c r="W271" s="61"/>
      <c r="X271" s="61"/>
      <c r="Y271" s="61"/>
      <c r="Z271" s="73" t="str">
        <f t="shared" si="23"/>
        <v/>
      </c>
      <c r="AA271" s="61"/>
      <c r="AB271" s="106" t="str">
        <f t="shared" si="24"/>
        <v/>
      </c>
      <c r="AE271" s="107" t="str">
        <f>IF($S271="","",VLOOKUP($S271,'ORF Accuracy Value LookUp'!$A$4:$B$104,2,TRUE))</f>
        <v/>
      </c>
      <c r="AF271" s="108" t="str">
        <f>IF($Z271="","",VLOOKUP($Z271,'ORF Accuracy Value LookUp'!$D$4:$E$104,2,TRUE))</f>
        <v/>
      </c>
    </row>
    <row r="272" spans="1:32">
      <c r="A272" s="58"/>
      <c r="B272" s="58"/>
      <c r="C272" s="58"/>
      <c r="D272" s="58"/>
      <c r="E272" s="58"/>
      <c r="F272" s="62"/>
      <c r="G272" s="63"/>
      <c r="H272" s="84"/>
      <c r="I272" s="61"/>
      <c r="J272" s="61"/>
      <c r="K272" s="61"/>
      <c r="L272" s="61"/>
      <c r="M272" s="103" t="str">
        <f t="shared" si="20"/>
        <v/>
      </c>
      <c r="N272" s="84"/>
      <c r="O272" s="61"/>
      <c r="P272" s="61"/>
      <c r="Q272" s="213"/>
      <c r="R272" s="64"/>
      <c r="S272" s="65" t="str">
        <f t="shared" si="21"/>
        <v/>
      </c>
      <c r="T272" s="104" t="str">
        <f t="shared" si="22"/>
        <v/>
      </c>
      <c r="U272" s="84"/>
      <c r="V272" s="61"/>
      <c r="W272" s="61"/>
      <c r="X272" s="61"/>
      <c r="Y272" s="61"/>
      <c r="Z272" s="73" t="str">
        <f t="shared" si="23"/>
        <v/>
      </c>
      <c r="AA272" s="61"/>
      <c r="AB272" s="106" t="str">
        <f t="shared" si="24"/>
        <v/>
      </c>
      <c r="AE272" s="107" t="str">
        <f>IF($S272="","",VLOOKUP($S272,'ORF Accuracy Value LookUp'!$A$4:$B$104,2,TRUE))</f>
        <v/>
      </c>
      <c r="AF272" s="108" t="str">
        <f>IF($Z272="","",VLOOKUP($Z272,'ORF Accuracy Value LookUp'!$D$4:$E$104,2,TRUE))</f>
        <v/>
      </c>
    </row>
    <row r="273" spans="1:32">
      <c r="A273" s="58"/>
      <c r="B273" s="58"/>
      <c r="C273" s="58"/>
      <c r="D273" s="58"/>
      <c r="E273" s="58"/>
      <c r="F273" s="62"/>
      <c r="G273" s="63"/>
      <c r="H273" s="84"/>
      <c r="I273" s="61"/>
      <c r="J273" s="61"/>
      <c r="K273" s="61"/>
      <c r="L273" s="61"/>
      <c r="M273" s="103" t="str">
        <f t="shared" si="20"/>
        <v/>
      </c>
      <c r="N273" s="84"/>
      <c r="O273" s="61"/>
      <c r="P273" s="61"/>
      <c r="Q273" s="213"/>
      <c r="R273" s="64"/>
      <c r="S273" s="65" t="str">
        <f t="shared" si="21"/>
        <v/>
      </c>
      <c r="T273" s="104" t="str">
        <f t="shared" si="22"/>
        <v/>
      </c>
      <c r="U273" s="84"/>
      <c r="V273" s="61"/>
      <c r="W273" s="61"/>
      <c r="X273" s="61"/>
      <c r="Y273" s="61"/>
      <c r="Z273" s="73" t="str">
        <f t="shared" si="23"/>
        <v/>
      </c>
      <c r="AA273" s="61"/>
      <c r="AB273" s="106" t="str">
        <f t="shared" si="24"/>
        <v/>
      </c>
      <c r="AE273" s="107" t="str">
        <f>IF($S273="","",VLOOKUP($S273,'ORF Accuracy Value LookUp'!$A$4:$B$104,2,TRUE))</f>
        <v/>
      </c>
      <c r="AF273" s="108" t="str">
        <f>IF($Z273="","",VLOOKUP($Z273,'ORF Accuracy Value LookUp'!$D$4:$E$104,2,TRUE))</f>
        <v/>
      </c>
    </row>
    <row r="274" spans="1:32">
      <c r="A274" s="58"/>
      <c r="B274" s="58"/>
      <c r="C274" s="58"/>
      <c r="D274" s="58"/>
      <c r="E274" s="58"/>
      <c r="F274" s="62"/>
      <c r="G274" s="63"/>
      <c r="H274" s="84"/>
      <c r="I274" s="61"/>
      <c r="J274" s="61"/>
      <c r="K274" s="61"/>
      <c r="L274" s="61"/>
      <c r="M274" s="103" t="str">
        <f t="shared" si="20"/>
        <v/>
      </c>
      <c r="N274" s="84"/>
      <c r="O274" s="61"/>
      <c r="P274" s="61"/>
      <c r="Q274" s="213"/>
      <c r="R274" s="64"/>
      <c r="S274" s="65" t="str">
        <f t="shared" si="21"/>
        <v/>
      </c>
      <c r="T274" s="104" t="str">
        <f t="shared" si="22"/>
        <v/>
      </c>
      <c r="U274" s="84"/>
      <c r="V274" s="61"/>
      <c r="W274" s="61"/>
      <c r="X274" s="61"/>
      <c r="Y274" s="61"/>
      <c r="Z274" s="73" t="str">
        <f t="shared" si="23"/>
        <v/>
      </c>
      <c r="AA274" s="61"/>
      <c r="AB274" s="106" t="str">
        <f t="shared" si="24"/>
        <v/>
      </c>
      <c r="AE274" s="107" t="str">
        <f>IF($S274="","",VLOOKUP($S274,'ORF Accuracy Value LookUp'!$A$4:$B$104,2,TRUE))</f>
        <v/>
      </c>
      <c r="AF274" s="108" t="str">
        <f>IF($Z274="","",VLOOKUP($Z274,'ORF Accuracy Value LookUp'!$D$4:$E$104,2,TRUE))</f>
        <v/>
      </c>
    </row>
    <row r="275" spans="1:32">
      <c r="A275" s="58"/>
      <c r="B275" s="58"/>
      <c r="C275" s="58"/>
      <c r="D275" s="58"/>
      <c r="E275" s="58"/>
      <c r="F275" s="62"/>
      <c r="G275" s="63"/>
      <c r="H275" s="84"/>
      <c r="I275" s="61"/>
      <c r="J275" s="61"/>
      <c r="K275" s="61"/>
      <c r="L275" s="61"/>
      <c r="M275" s="103" t="str">
        <f t="shared" si="20"/>
        <v/>
      </c>
      <c r="N275" s="84"/>
      <c r="O275" s="61"/>
      <c r="P275" s="61"/>
      <c r="Q275" s="213"/>
      <c r="R275" s="64"/>
      <c r="S275" s="65" t="str">
        <f t="shared" si="21"/>
        <v/>
      </c>
      <c r="T275" s="104" t="str">
        <f t="shared" si="22"/>
        <v/>
      </c>
      <c r="U275" s="84"/>
      <c r="V275" s="61"/>
      <c r="W275" s="61"/>
      <c r="X275" s="61"/>
      <c r="Y275" s="61"/>
      <c r="Z275" s="73" t="str">
        <f t="shared" si="23"/>
        <v/>
      </c>
      <c r="AA275" s="61"/>
      <c r="AB275" s="106" t="str">
        <f t="shared" si="24"/>
        <v/>
      </c>
      <c r="AE275" s="107" t="str">
        <f>IF($S275="","",VLOOKUP($S275,'ORF Accuracy Value LookUp'!$A$4:$B$104,2,TRUE))</f>
        <v/>
      </c>
      <c r="AF275" s="108" t="str">
        <f>IF($Z275="","",VLOOKUP($Z275,'ORF Accuracy Value LookUp'!$D$4:$E$104,2,TRUE))</f>
        <v/>
      </c>
    </row>
    <row r="276" spans="1:32">
      <c r="A276" s="58"/>
      <c r="B276" s="58"/>
      <c r="C276" s="58"/>
      <c r="D276" s="58"/>
      <c r="E276" s="58"/>
      <c r="F276" s="62"/>
      <c r="G276" s="63"/>
      <c r="H276" s="84"/>
      <c r="I276" s="61"/>
      <c r="J276" s="61"/>
      <c r="K276" s="61"/>
      <c r="L276" s="61"/>
      <c r="M276" s="103" t="str">
        <f t="shared" si="20"/>
        <v/>
      </c>
      <c r="N276" s="84"/>
      <c r="O276" s="61"/>
      <c r="P276" s="61"/>
      <c r="Q276" s="213"/>
      <c r="R276" s="64"/>
      <c r="S276" s="65" t="str">
        <f t="shared" si="21"/>
        <v/>
      </c>
      <c r="T276" s="104" t="str">
        <f t="shared" si="22"/>
        <v/>
      </c>
      <c r="U276" s="84"/>
      <c r="V276" s="61"/>
      <c r="W276" s="61"/>
      <c r="X276" s="61"/>
      <c r="Y276" s="61"/>
      <c r="Z276" s="73" t="str">
        <f t="shared" si="23"/>
        <v/>
      </c>
      <c r="AA276" s="61"/>
      <c r="AB276" s="106" t="str">
        <f t="shared" si="24"/>
        <v/>
      </c>
      <c r="AE276" s="107" t="str">
        <f>IF($S276="","",VLOOKUP($S276,'ORF Accuracy Value LookUp'!$A$4:$B$104,2,TRUE))</f>
        <v/>
      </c>
      <c r="AF276" s="108" t="str">
        <f>IF($Z276="","",VLOOKUP($Z276,'ORF Accuracy Value LookUp'!$D$4:$E$104,2,TRUE))</f>
        <v/>
      </c>
    </row>
    <row r="277" spans="1:32">
      <c r="A277" s="58"/>
      <c r="B277" s="58"/>
      <c r="C277" s="58"/>
      <c r="D277" s="58"/>
      <c r="E277" s="58"/>
      <c r="F277" s="62"/>
      <c r="G277" s="63"/>
      <c r="H277" s="84"/>
      <c r="I277" s="61"/>
      <c r="J277" s="61"/>
      <c r="K277" s="61"/>
      <c r="L277" s="61"/>
      <c r="M277" s="103" t="str">
        <f t="shared" si="20"/>
        <v/>
      </c>
      <c r="N277" s="84"/>
      <c r="O277" s="61"/>
      <c r="P277" s="61"/>
      <c r="Q277" s="213"/>
      <c r="R277" s="64"/>
      <c r="S277" s="65" t="str">
        <f t="shared" si="21"/>
        <v/>
      </c>
      <c r="T277" s="104" t="str">
        <f t="shared" si="22"/>
        <v/>
      </c>
      <c r="U277" s="84"/>
      <c r="V277" s="61"/>
      <c r="W277" s="61"/>
      <c r="X277" s="61"/>
      <c r="Y277" s="61"/>
      <c r="Z277" s="73" t="str">
        <f t="shared" si="23"/>
        <v/>
      </c>
      <c r="AA277" s="61"/>
      <c r="AB277" s="106" t="str">
        <f t="shared" si="24"/>
        <v/>
      </c>
      <c r="AE277" s="107" t="str">
        <f>IF($S277="","",VLOOKUP($S277,'ORF Accuracy Value LookUp'!$A$4:$B$104,2,TRUE))</f>
        <v/>
      </c>
      <c r="AF277" s="108" t="str">
        <f>IF($Z277="","",VLOOKUP($Z277,'ORF Accuracy Value LookUp'!$D$4:$E$104,2,TRUE))</f>
        <v/>
      </c>
    </row>
    <row r="278" spans="1:32">
      <c r="A278" s="58"/>
      <c r="B278" s="58"/>
      <c r="C278" s="58"/>
      <c r="D278" s="58"/>
      <c r="E278" s="58"/>
      <c r="F278" s="62"/>
      <c r="G278" s="63"/>
      <c r="H278" s="84"/>
      <c r="I278" s="61"/>
      <c r="J278" s="61"/>
      <c r="K278" s="61"/>
      <c r="L278" s="61"/>
      <c r="M278" s="103" t="str">
        <f t="shared" si="20"/>
        <v/>
      </c>
      <c r="N278" s="84"/>
      <c r="O278" s="61"/>
      <c r="P278" s="61"/>
      <c r="Q278" s="213"/>
      <c r="R278" s="64"/>
      <c r="S278" s="65" t="str">
        <f t="shared" si="21"/>
        <v/>
      </c>
      <c r="T278" s="104" t="str">
        <f t="shared" si="22"/>
        <v/>
      </c>
      <c r="U278" s="84"/>
      <c r="V278" s="61"/>
      <c r="W278" s="61"/>
      <c r="X278" s="61"/>
      <c r="Y278" s="61"/>
      <c r="Z278" s="73" t="str">
        <f t="shared" si="23"/>
        <v/>
      </c>
      <c r="AA278" s="61"/>
      <c r="AB278" s="106" t="str">
        <f t="shared" si="24"/>
        <v/>
      </c>
      <c r="AE278" s="107" t="str">
        <f>IF($S278="","",VLOOKUP($S278,'ORF Accuracy Value LookUp'!$A$4:$B$104,2,TRUE))</f>
        <v/>
      </c>
      <c r="AF278" s="108" t="str">
        <f>IF($Z278="","",VLOOKUP($Z278,'ORF Accuracy Value LookUp'!$D$4:$E$104,2,TRUE))</f>
        <v/>
      </c>
    </row>
    <row r="279" spans="1:32">
      <c r="A279" s="58"/>
      <c r="B279" s="58"/>
      <c r="C279" s="58"/>
      <c r="D279" s="58"/>
      <c r="E279" s="58"/>
      <c r="F279" s="62"/>
      <c r="G279" s="63"/>
      <c r="H279" s="84"/>
      <c r="I279" s="61"/>
      <c r="J279" s="61"/>
      <c r="K279" s="61"/>
      <c r="L279" s="61"/>
      <c r="M279" s="103" t="str">
        <f t="shared" si="20"/>
        <v/>
      </c>
      <c r="N279" s="84"/>
      <c r="O279" s="61"/>
      <c r="P279" s="61"/>
      <c r="Q279" s="213"/>
      <c r="R279" s="64"/>
      <c r="S279" s="65" t="str">
        <f t="shared" si="21"/>
        <v/>
      </c>
      <c r="T279" s="104" t="str">
        <f t="shared" si="22"/>
        <v/>
      </c>
      <c r="U279" s="84"/>
      <c r="V279" s="61"/>
      <c r="W279" s="61"/>
      <c r="X279" s="61"/>
      <c r="Y279" s="61"/>
      <c r="Z279" s="73" t="str">
        <f t="shared" si="23"/>
        <v/>
      </c>
      <c r="AA279" s="61"/>
      <c r="AB279" s="106" t="str">
        <f t="shared" si="24"/>
        <v/>
      </c>
      <c r="AE279" s="107" t="str">
        <f>IF($S279="","",VLOOKUP($S279,'ORF Accuracy Value LookUp'!$A$4:$B$104,2,TRUE))</f>
        <v/>
      </c>
      <c r="AF279" s="108" t="str">
        <f>IF($Z279="","",VLOOKUP($Z279,'ORF Accuracy Value LookUp'!$D$4:$E$104,2,TRUE))</f>
        <v/>
      </c>
    </row>
    <row r="280" spans="1:32">
      <c r="A280" s="58"/>
      <c r="B280" s="58"/>
      <c r="C280" s="58"/>
      <c r="D280" s="58"/>
      <c r="E280" s="58"/>
      <c r="F280" s="62"/>
      <c r="G280" s="63"/>
      <c r="H280" s="84"/>
      <c r="I280" s="61"/>
      <c r="J280" s="61"/>
      <c r="K280" s="61"/>
      <c r="L280" s="61"/>
      <c r="M280" s="103" t="str">
        <f t="shared" si="20"/>
        <v/>
      </c>
      <c r="N280" s="84"/>
      <c r="O280" s="61"/>
      <c r="P280" s="61"/>
      <c r="Q280" s="213"/>
      <c r="R280" s="64"/>
      <c r="S280" s="65" t="str">
        <f t="shared" si="21"/>
        <v/>
      </c>
      <c r="T280" s="104" t="str">
        <f t="shared" si="22"/>
        <v/>
      </c>
      <c r="U280" s="84"/>
      <c r="V280" s="61"/>
      <c r="W280" s="61"/>
      <c r="X280" s="61"/>
      <c r="Y280" s="61"/>
      <c r="Z280" s="73" t="str">
        <f t="shared" si="23"/>
        <v/>
      </c>
      <c r="AA280" s="61"/>
      <c r="AB280" s="106" t="str">
        <f t="shared" si="24"/>
        <v/>
      </c>
      <c r="AE280" s="107" t="str">
        <f>IF($S280="","",VLOOKUP($S280,'ORF Accuracy Value LookUp'!$A$4:$B$104,2,TRUE))</f>
        <v/>
      </c>
      <c r="AF280" s="108" t="str">
        <f>IF($Z280="","",VLOOKUP($Z280,'ORF Accuracy Value LookUp'!$D$4:$E$104,2,TRUE))</f>
        <v/>
      </c>
    </row>
    <row r="281" spans="1:32">
      <c r="A281" s="58"/>
      <c r="B281" s="58"/>
      <c r="C281" s="58"/>
      <c r="D281" s="58"/>
      <c r="E281" s="58"/>
      <c r="F281" s="62"/>
      <c r="G281" s="63"/>
      <c r="H281" s="84"/>
      <c r="I281" s="61"/>
      <c r="J281" s="61"/>
      <c r="K281" s="61"/>
      <c r="L281" s="61"/>
      <c r="M281" s="103" t="str">
        <f t="shared" si="20"/>
        <v/>
      </c>
      <c r="N281" s="84"/>
      <c r="O281" s="61"/>
      <c r="P281" s="61"/>
      <c r="Q281" s="213"/>
      <c r="R281" s="64"/>
      <c r="S281" s="65" t="str">
        <f t="shared" si="21"/>
        <v/>
      </c>
      <c r="T281" s="104" t="str">
        <f t="shared" si="22"/>
        <v/>
      </c>
      <c r="U281" s="84"/>
      <c r="V281" s="61"/>
      <c r="W281" s="61"/>
      <c r="X281" s="61"/>
      <c r="Y281" s="61"/>
      <c r="Z281" s="73" t="str">
        <f t="shared" si="23"/>
        <v/>
      </c>
      <c r="AA281" s="61"/>
      <c r="AB281" s="106" t="str">
        <f t="shared" si="24"/>
        <v/>
      </c>
      <c r="AE281" s="107" t="str">
        <f>IF($S281="","",VLOOKUP($S281,'ORF Accuracy Value LookUp'!$A$4:$B$104,2,TRUE))</f>
        <v/>
      </c>
      <c r="AF281" s="108" t="str">
        <f>IF($Z281="","",VLOOKUP($Z281,'ORF Accuracy Value LookUp'!$D$4:$E$104,2,TRUE))</f>
        <v/>
      </c>
    </row>
    <row r="282" spans="1:32">
      <c r="A282" s="58"/>
      <c r="B282" s="58"/>
      <c r="C282" s="58"/>
      <c r="D282" s="58"/>
      <c r="E282" s="58"/>
      <c r="F282" s="62"/>
      <c r="G282" s="63"/>
      <c r="H282" s="84"/>
      <c r="I282" s="61"/>
      <c r="J282" s="61"/>
      <c r="K282" s="61"/>
      <c r="L282" s="61"/>
      <c r="M282" s="103" t="str">
        <f t="shared" si="20"/>
        <v/>
      </c>
      <c r="N282" s="84"/>
      <c r="O282" s="61"/>
      <c r="P282" s="61"/>
      <c r="Q282" s="213"/>
      <c r="R282" s="64"/>
      <c r="S282" s="65" t="str">
        <f t="shared" si="21"/>
        <v/>
      </c>
      <c r="T282" s="104" t="str">
        <f t="shared" si="22"/>
        <v/>
      </c>
      <c r="U282" s="84"/>
      <c r="V282" s="61"/>
      <c r="W282" s="61"/>
      <c r="X282" s="61"/>
      <c r="Y282" s="61"/>
      <c r="Z282" s="73" t="str">
        <f t="shared" si="23"/>
        <v/>
      </c>
      <c r="AA282" s="61"/>
      <c r="AB282" s="106" t="str">
        <f t="shared" si="24"/>
        <v/>
      </c>
      <c r="AE282" s="107" t="str">
        <f>IF($S282="","",VLOOKUP($S282,'ORF Accuracy Value LookUp'!$A$4:$B$104,2,TRUE))</f>
        <v/>
      </c>
      <c r="AF282" s="108" t="str">
        <f>IF($Z282="","",VLOOKUP($Z282,'ORF Accuracy Value LookUp'!$D$4:$E$104,2,TRUE))</f>
        <v/>
      </c>
    </row>
    <row r="283" spans="1:32">
      <c r="A283" s="58"/>
      <c r="B283" s="58"/>
      <c r="C283" s="58"/>
      <c r="D283" s="58"/>
      <c r="E283" s="58"/>
      <c r="F283" s="62"/>
      <c r="G283" s="63"/>
      <c r="H283" s="84"/>
      <c r="I283" s="61"/>
      <c r="J283" s="61"/>
      <c r="K283" s="61"/>
      <c r="L283" s="61"/>
      <c r="M283" s="103" t="str">
        <f t="shared" si="20"/>
        <v/>
      </c>
      <c r="N283" s="84"/>
      <c r="O283" s="61"/>
      <c r="P283" s="61"/>
      <c r="Q283" s="213"/>
      <c r="R283" s="64"/>
      <c r="S283" s="65" t="str">
        <f t="shared" si="21"/>
        <v/>
      </c>
      <c r="T283" s="104" t="str">
        <f t="shared" si="22"/>
        <v/>
      </c>
      <c r="U283" s="84"/>
      <c r="V283" s="61"/>
      <c r="W283" s="61"/>
      <c r="X283" s="61"/>
      <c r="Y283" s="61"/>
      <c r="Z283" s="73" t="str">
        <f t="shared" si="23"/>
        <v/>
      </c>
      <c r="AA283" s="61"/>
      <c r="AB283" s="106" t="str">
        <f t="shared" si="24"/>
        <v/>
      </c>
      <c r="AE283" s="107" t="str">
        <f>IF($S283="","",VLOOKUP($S283,'ORF Accuracy Value LookUp'!$A$4:$B$104,2,TRUE))</f>
        <v/>
      </c>
      <c r="AF283" s="108" t="str">
        <f>IF($Z283="","",VLOOKUP($Z283,'ORF Accuracy Value LookUp'!$D$4:$E$104,2,TRUE))</f>
        <v/>
      </c>
    </row>
    <row r="284" spans="1:32">
      <c r="A284" s="58"/>
      <c r="B284" s="58"/>
      <c r="C284" s="58"/>
      <c r="D284" s="58"/>
      <c r="E284" s="58"/>
      <c r="F284" s="62"/>
      <c r="G284" s="63"/>
      <c r="H284" s="84"/>
      <c r="I284" s="61"/>
      <c r="J284" s="61"/>
      <c r="K284" s="61"/>
      <c r="L284" s="61"/>
      <c r="M284" s="103" t="str">
        <f t="shared" si="20"/>
        <v/>
      </c>
      <c r="N284" s="84"/>
      <c r="O284" s="61"/>
      <c r="P284" s="61"/>
      <c r="Q284" s="213"/>
      <c r="R284" s="64"/>
      <c r="S284" s="65" t="str">
        <f t="shared" si="21"/>
        <v/>
      </c>
      <c r="T284" s="104" t="str">
        <f t="shared" si="22"/>
        <v/>
      </c>
      <c r="U284" s="84"/>
      <c r="V284" s="61"/>
      <c r="W284" s="61"/>
      <c r="X284" s="61"/>
      <c r="Y284" s="61"/>
      <c r="Z284" s="73" t="str">
        <f t="shared" si="23"/>
        <v/>
      </c>
      <c r="AA284" s="61"/>
      <c r="AB284" s="106" t="str">
        <f t="shared" si="24"/>
        <v/>
      </c>
      <c r="AE284" s="107" t="str">
        <f>IF($S284="","",VLOOKUP($S284,'ORF Accuracy Value LookUp'!$A$4:$B$104,2,TRUE))</f>
        <v/>
      </c>
      <c r="AF284" s="108" t="str">
        <f>IF($Z284="","",VLOOKUP($Z284,'ORF Accuracy Value LookUp'!$D$4:$E$104,2,TRUE))</f>
        <v/>
      </c>
    </row>
    <row r="285" spans="1:32">
      <c r="A285" s="58"/>
      <c r="B285" s="58"/>
      <c r="C285" s="58"/>
      <c r="D285" s="58"/>
      <c r="E285" s="58"/>
      <c r="F285" s="62"/>
      <c r="G285" s="63"/>
      <c r="H285" s="84"/>
      <c r="I285" s="61"/>
      <c r="J285" s="61"/>
      <c r="K285" s="61"/>
      <c r="L285" s="61"/>
      <c r="M285" s="103" t="str">
        <f t="shared" si="20"/>
        <v/>
      </c>
      <c r="N285" s="84"/>
      <c r="O285" s="61"/>
      <c r="P285" s="61"/>
      <c r="Q285" s="213"/>
      <c r="R285" s="64"/>
      <c r="S285" s="65" t="str">
        <f t="shared" si="21"/>
        <v/>
      </c>
      <c r="T285" s="104" t="str">
        <f t="shared" si="22"/>
        <v/>
      </c>
      <c r="U285" s="84"/>
      <c r="V285" s="61"/>
      <c r="W285" s="61"/>
      <c r="X285" s="61"/>
      <c r="Y285" s="61"/>
      <c r="Z285" s="73" t="str">
        <f t="shared" si="23"/>
        <v/>
      </c>
      <c r="AA285" s="61"/>
      <c r="AB285" s="106" t="str">
        <f t="shared" si="24"/>
        <v/>
      </c>
      <c r="AE285" s="107" t="str">
        <f>IF($S285="","",VLOOKUP($S285,'ORF Accuracy Value LookUp'!$A$4:$B$104,2,TRUE))</f>
        <v/>
      </c>
      <c r="AF285" s="108" t="str">
        <f>IF($Z285="","",VLOOKUP($Z285,'ORF Accuracy Value LookUp'!$D$4:$E$104,2,TRUE))</f>
        <v/>
      </c>
    </row>
    <row r="286" spans="1:32">
      <c r="A286" s="58"/>
      <c r="B286" s="58"/>
      <c r="C286" s="58"/>
      <c r="D286" s="58"/>
      <c r="E286" s="58"/>
      <c r="F286" s="62"/>
      <c r="G286" s="63"/>
      <c r="H286" s="84"/>
      <c r="I286" s="61"/>
      <c r="J286" s="61"/>
      <c r="K286" s="61"/>
      <c r="L286" s="61"/>
      <c r="M286" s="103" t="str">
        <f t="shared" si="20"/>
        <v/>
      </c>
      <c r="N286" s="84"/>
      <c r="O286" s="61"/>
      <c r="P286" s="61"/>
      <c r="Q286" s="213"/>
      <c r="R286" s="64"/>
      <c r="S286" s="65" t="str">
        <f t="shared" si="21"/>
        <v/>
      </c>
      <c r="T286" s="104" t="str">
        <f t="shared" si="22"/>
        <v/>
      </c>
      <c r="U286" s="84"/>
      <c r="V286" s="61"/>
      <c r="W286" s="61"/>
      <c r="X286" s="61"/>
      <c r="Y286" s="61"/>
      <c r="Z286" s="73" t="str">
        <f t="shared" si="23"/>
        <v/>
      </c>
      <c r="AA286" s="61"/>
      <c r="AB286" s="106" t="str">
        <f t="shared" si="24"/>
        <v/>
      </c>
      <c r="AE286" s="107" t="str">
        <f>IF($S286="","",VLOOKUP($S286,'ORF Accuracy Value LookUp'!$A$4:$B$104,2,TRUE))</f>
        <v/>
      </c>
      <c r="AF286" s="108" t="str">
        <f>IF($Z286="","",VLOOKUP($Z286,'ORF Accuracy Value LookUp'!$D$4:$E$104,2,TRUE))</f>
        <v/>
      </c>
    </row>
    <row r="287" spans="1:32">
      <c r="A287" s="58"/>
      <c r="B287" s="58"/>
      <c r="C287" s="58"/>
      <c r="D287" s="58"/>
      <c r="E287" s="58"/>
      <c r="F287" s="62"/>
      <c r="G287" s="63"/>
      <c r="H287" s="84"/>
      <c r="I287" s="61"/>
      <c r="J287" s="61"/>
      <c r="K287" s="61"/>
      <c r="L287" s="61"/>
      <c r="M287" s="103" t="str">
        <f t="shared" si="20"/>
        <v/>
      </c>
      <c r="N287" s="84"/>
      <c r="O287" s="61"/>
      <c r="P287" s="61"/>
      <c r="Q287" s="213"/>
      <c r="R287" s="64"/>
      <c r="S287" s="65" t="str">
        <f t="shared" si="21"/>
        <v/>
      </c>
      <c r="T287" s="104" t="str">
        <f t="shared" si="22"/>
        <v/>
      </c>
      <c r="U287" s="84"/>
      <c r="V287" s="61"/>
      <c r="W287" s="61"/>
      <c r="X287" s="61"/>
      <c r="Y287" s="61"/>
      <c r="Z287" s="73" t="str">
        <f t="shared" si="23"/>
        <v/>
      </c>
      <c r="AA287" s="61"/>
      <c r="AB287" s="106" t="str">
        <f t="shared" si="24"/>
        <v/>
      </c>
      <c r="AE287" s="107" t="str">
        <f>IF($S287="","",VLOOKUP($S287,'ORF Accuracy Value LookUp'!$A$4:$B$104,2,TRUE))</f>
        <v/>
      </c>
      <c r="AF287" s="108" t="str">
        <f>IF($Z287="","",VLOOKUP($Z287,'ORF Accuracy Value LookUp'!$D$4:$E$104,2,TRUE))</f>
        <v/>
      </c>
    </row>
    <row r="288" spans="1:32">
      <c r="A288" s="58"/>
      <c r="B288" s="58"/>
      <c r="C288" s="58"/>
      <c r="D288" s="58"/>
      <c r="E288" s="58"/>
      <c r="F288" s="62"/>
      <c r="G288" s="63"/>
      <c r="H288" s="84"/>
      <c r="I288" s="61"/>
      <c r="J288" s="61"/>
      <c r="K288" s="61"/>
      <c r="L288" s="61"/>
      <c r="M288" s="103" t="str">
        <f t="shared" si="20"/>
        <v/>
      </c>
      <c r="N288" s="84"/>
      <c r="O288" s="61"/>
      <c r="P288" s="61"/>
      <c r="Q288" s="213"/>
      <c r="R288" s="64"/>
      <c r="S288" s="65" t="str">
        <f t="shared" si="21"/>
        <v/>
      </c>
      <c r="T288" s="104" t="str">
        <f t="shared" si="22"/>
        <v/>
      </c>
      <c r="U288" s="84"/>
      <c r="V288" s="61"/>
      <c r="W288" s="61"/>
      <c r="X288" s="61"/>
      <c r="Y288" s="61"/>
      <c r="Z288" s="73" t="str">
        <f t="shared" si="23"/>
        <v/>
      </c>
      <c r="AA288" s="61"/>
      <c r="AB288" s="106" t="str">
        <f t="shared" si="24"/>
        <v/>
      </c>
      <c r="AE288" s="107" t="str">
        <f>IF($S288="","",VLOOKUP($S288,'ORF Accuracy Value LookUp'!$A$4:$B$104,2,TRUE))</f>
        <v/>
      </c>
      <c r="AF288" s="108" t="str">
        <f>IF($Z288="","",VLOOKUP($Z288,'ORF Accuracy Value LookUp'!$D$4:$E$104,2,TRUE))</f>
        <v/>
      </c>
    </row>
    <row r="289" spans="1:32">
      <c r="A289" s="58"/>
      <c r="B289" s="58"/>
      <c r="C289" s="58"/>
      <c r="D289" s="58"/>
      <c r="E289" s="58"/>
      <c r="F289" s="62"/>
      <c r="G289" s="63"/>
      <c r="H289" s="84"/>
      <c r="I289" s="61"/>
      <c r="J289" s="61"/>
      <c r="K289" s="61"/>
      <c r="L289" s="61"/>
      <c r="M289" s="103" t="str">
        <f t="shared" si="20"/>
        <v/>
      </c>
      <c r="N289" s="84"/>
      <c r="O289" s="61"/>
      <c r="P289" s="61"/>
      <c r="Q289" s="213"/>
      <c r="R289" s="64"/>
      <c r="S289" s="65" t="str">
        <f t="shared" si="21"/>
        <v/>
      </c>
      <c r="T289" s="104" t="str">
        <f t="shared" si="22"/>
        <v/>
      </c>
      <c r="U289" s="84"/>
      <c r="V289" s="61"/>
      <c r="W289" s="61"/>
      <c r="X289" s="61"/>
      <c r="Y289" s="61"/>
      <c r="Z289" s="73" t="str">
        <f t="shared" si="23"/>
        <v/>
      </c>
      <c r="AA289" s="61"/>
      <c r="AB289" s="106" t="str">
        <f t="shared" si="24"/>
        <v/>
      </c>
      <c r="AE289" s="107" t="str">
        <f>IF($S289="","",VLOOKUP($S289,'ORF Accuracy Value LookUp'!$A$4:$B$104,2,TRUE))</f>
        <v/>
      </c>
      <c r="AF289" s="108" t="str">
        <f>IF($Z289="","",VLOOKUP($Z289,'ORF Accuracy Value LookUp'!$D$4:$E$104,2,TRUE))</f>
        <v/>
      </c>
    </row>
    <row r="290" spans="1:32">
      <c r="A290" s="58"/>
      <c r="B290" s="58"/>
      <c r="C290" s="58"/>
      <c r="D290" s="58"/>
      <c r="E290" s="58"/>
      <c r="F290" s="62"/>
      <c r="G290" s="63"/>
      <c r="H290" s="84"/>
      <c r="I290" s="61"/>
      <c r="J290" s="61"/>
      <c r="K290" s="61"/>
      <c r="L290" s="61"/>
      <c r="M290" s="103" t="str">
        <f t="shared" si="20"/>
        <v/>
      </c>
      <c r="N290" s="84"/>
      <c r="O290" s="61"/>
      <c r="P290" s="61"/>
      <c r="Q290" s="213"/>
      <c r="R290" s="64"/>
      <c r="S290" s="65" t="str">
        <f t="shared" si="21"/>
        <v/>
      </c>
      <c r="T290" s="104" t="str">
        <f t="shared" si="22"/>
        <v/>
      </c>
      <c r="U290" s="84"/>
      <c r="V290" s="61"/>
      <c r="W290" s="61"/>
      <c r="X290" s="61"/>
      <c r="Y290" s="61"/>
      <c r="Z290" s="73" t="str">
        <f t="shared" si="23"/>
        <v/>
      </c>
      <c r="AA290" s="61"/>
      <c r="AB290" s="106" t="str">
        <f t="shared" si="24"/>
        <v/>
      </c>
      <c r="AE290" s="107" t="str">
        <f>IF($S290="","",VLOOKUP($S290,'ORF Accuracy Value LookUp'!$A$4:$B$104,2,TRUE))</f>
        <v/>
      </c>
      <c r="AF290" s="108" t="str">
        <f>IF($Z290="","",VLOOKUP($Z290,'ORF Accuracy Value LookUp'!$D$4:$E$104,2,TRUE))</f>
        <v/>
      </c>
    </row>
    <row r="291" spans="1:32">
      <c r="A291" s="58"/>
      <c r="B291" s="58"/>
      <c r="C291" s="58"/>
      <c r="D291" s="58"/>
      <c r="E291" s="58"/>
      <c r="F291" s="62"/>
      <c r="G291" s="63"/>
      <c r="H291" s="84"/>
      <c r="I291" s="61"/>
      <c r="J291" s="61"/>
      <c r="K291" s="61"/>
      <c r="L291" s="61"/>
      <c r="M291" s="103" t="str">
        <f t="shared" si="20"/>
        <v/>
      </c>
      <c r="N291" s="84"/>
      <c r="O291" s="61"/>
      <c r="P291" s="61"/>
      <c r="Q291" s="213"/>
      <c r="R291" s="64"/>
      <c r="S291" s="65" t="str">
        <f t="shared" si="21"/>
        <v/>
      </c>
      <c r="T291" s="104" t="str">
        <f t="shared" si="22"/>
        <v/>
      </c>
      <c r="U291" s="84"/>
      <c r="V291" s="61"/>
      <c r="W291" s="61"/>
      <c r="X291" s="61"/>
      <c r="Y291" s="61"/>
      <c r="Z291" s="73" t="str">
        <f t="shared" si="23"/>
        <v/>
      </c>
      <c r="AA291" s="61"/>
      <c r="AB291" s="106" t="str">
        <f t="shared" si="24"/>
        <v/>
      </c>
      <c r="AE291" s="107" t="str">
        <f>IF($S291="","",VLOOKUP($S291,'ORF Accuracy Value LookUp'!$A$4:$B$104,2,TRUE))</f>
        <v/>
      </c>
      <c r="AF291" s="108" t="str">
        <f>IF($Z291="","",VLOOKUP($Z291,'ORF Accuracy Value LookUp'!$D$4:$E$104,2,TRUE))</f>
        <v/>
      </c>
    </row>
    <row r="292" spans="1:32">
      <c r="A292" s="58"/>
      <c r="B292" s="58"/>
      <c r="C292" s="58"/>
      <c r="D292" s="58"/>
      <c r="E292" s="58"/>
      <c r="F292" s="62"/>
      <c r="G292" s="63"/>
      <c r="H292" s="84"/>
      <c r="I292" s="61"/>
      <c r="J292" s="61"/>
      <c r="K292" s="61"/>
      <c r="L292" s="61"/>
      <c r="M292" s="103" t="str">
        <f t="shared" si="20"/>
        <v/>
      </c>
      <c r="N292" s="84"/>
      <c r="O292" s="61"/>
      <c r="P292" s="61"/>
      <c r="Q292" s="213"/>
      <c r="R292" s="64"/>
      <c r="S292" s="65" t="str">
        <f t="shared" si="21"/>
        <v/>
      </c>
      <c r="T292" s="104" t="str">
        <f t="shared" si="22"/>
        <v/>
      </c>
      <c r="U292" s="84"/>
      <c r="V292" s="61"/>
      <c r="W292" s="61"/>
      <c r="X292" s="61"/>
      <c r="Y292" s="61"/>
      <c r="Z292" s="73" t="str">
        <f t="shared" si="23"/>
        <v/>
      </c>
      <c r="AA292" s="61"/>
      <c r="AB292" s="106" t="str">
        <f t="shared" si="24"/>
        <v/>
      </c>
      <c r="AE292" s="107" t="str">
        <f>IF($S292="","",VLOOKUP($S292,'ORF Accuracy Value LookUp'!$A$4:$B$104,2,TRUE))</f>
        <v/>
      </c>
      <c r="AF292" s="108" t="str">
        <f>IF($Z292="","",VLOOKUP($Z292,'ORF Accuracy Value LookUp'!$D$4:$E$104,2,TRUE))</f>
        <v/>
      </c>
    </row>
    <row r="293" spans="1:32">
      <c r="A293" s="58"/>
      <c r="B293" s="58"/>
      <c r="C293" s="58"/>
      <c r="D293" s="58"/>
      <c r="E293" s="58"/>
      <c r="F293" s="62"/>
      <c r="G293" s="63"/>
      <c r="H293" s="84"/>
      <c r="I293" s="61"/>
      <c r="J293" s="61"/>
      <c r="K293" s="61"/>
      <c r="L293" s="61"/>
      <c r="M293" s="103" t="str">
        <f t="shared" si="20"/>
        <v/>
      </c>
      <c r="N293" s="84"/>
      <c r="O293" s="61"/>
      <c r="P293" s="61"/>
      <c r="Q293" s="213"/>
      <c r="R293" s="64"/>
      <c r="S293" s="65" t="str">
        <f t="shared" si="21"/>
        <v/>
      </c>
      <c r="T293" s="104" t="str">
        <f t="shared" si="22"/>
        <v/>
      </c>
      <c r="U293" s="84"/>
      <c r="V293" s="61"/>
      <c r="W293" s="61"/>
      <c r="X293" s="61"/>
      <c r="Y293" s="61"/>
      <c r="Z293" s="73" t="str">
        <f t="shared" si="23"/>
        <v/>
      </c>
      <c r="AA293" s="61"/>
      <c r="AB293" s="106" t="str">
        <f t="shared" si="24"/>
        <v/>
      </c>
      <c r="AE293" s="107" t="str">
        <f>IF($S293="","",VLOOKUP($S293,'ORF Accuracy Value LookUp'!$A$4:$B$104,2,TRUE))</f>
        <v/>
      </c>
      <c r="AF293" s="108" t="str">
        <f>IF($Z293="","",VLOOKUP($Z293,'ORF Accuracy Value LookUp'!$D$4:$E$104,2,TRUE))</f>
        <v/>
      </c>
    </row>
    <row r="294" spans="1:32">
      <c r="A294" s="58"/>
      <c r="B294" s="58"/>
      <c r="C294" s="58"/>
      <c r="D294" s="58"/>
      <c r="E294" s="58"/>
      <c r="F294" s="62"/>
      <c r="G294" s="63"/>
      <c r="H294" s="84"/>
      <c r="I294" s="61"/>
      <c r="J294" s="61"/>
      <c r="K294" s="61"/>
      <c r="L294" s="61"/>
      <c r="M294" s="103" t="str">
        <f t="shared" si="20"/>
        <v/>
      </c>
      <c r="N294" s="84"/>
      <c r="O294" s="61"/>
      <c r="P294" s="61"/>
      <c r="Q294" s="213"/>
      <c r="R294" s="64"/>
      <c r="S294" s="65" t="str">
        <f t="shared" si="21"/>
        <v/>
      </c>
      <c r="T294" s="104" t="str">
        <f t="shared" si="22"/>
        <v/>
      </c>
      <c r="U294" s="84"/>
      <c r="V294" s="61"/>
      <c r="W294" s="61"/>
      <c r="X294" s="61"/>
      <c r="Y294" s="61"/>
      <c r="Z294" s="73" t="str">
        <f t="shared" si="23"/>
        <v/>
      </c>
      <c r="AA294" s="61"/>
      <c r="AB294" s="106" t="str">
        <f t="shared" si="24"/>
        <v/>
      </c>
      <c r="AE294" s="107" t="str">
        <f>IF($S294="","",VLOOKUP($S294,'ORF Accuracy Value LookUp'!$A$4:$B$104,2,TRUE))</f>
        <v/>
      </c>
      <c r="AF294" s="108" t="str">
        <f>IF($Z294="","",VLOOKUP($Z294,'ORF Accuracy Value LookUp'!$D$4:$E$104,2,TRUE))</f>
        <v/>
      </c>
    </row>
    <row r="295" spans="1:32">
      <c r="A295" s="58"/>
      <c r="B295" s="58"/>
      <c r="C295" s="58"/>
      <c r="D295" s="58"/>
      <c r="E295" s="58"/>
      <c r="F295" s="62"/>
      <c r="G295" s="63"/>
      <c r="H295" s="84"/>
      <c r="I295" s="61"/>
      <c r="J295" s="61"/>
      <c r="K295" s="61"/>
      <c r="L295" s="61"/>
      <c r="M295" s="103" t="str">
        <f t="shared" si="20"/>
        <v/>
      </c>
      <c r="N295" s="84"/>
      <c r="O295" s="61"/>
      <c r="P295" s="61"/>
      <c r="Q295" s="213"/>
      <c r="R295" s="64"/>
      <c r="S295" s="65" t="str">
        <f t="shared" si="21"/>
        <v/>
      </c>
      <c r="T295" s="104" t="str">
        <f t="shared" si="22"/>
        <v/>
      </c>
      <c r="U295" s="84"/>
      <c r="V295" s="61"/>
      <c r="W295" s="61"/>
      <c r="X295" s="61"/>
      <c r="Y295" s="61"/>
      <c r="Z295" s="73" t="str">
        <f t="shared" si="23"/>
        <v/>
      </c>
      <c r="AA295" s="61"/>
      <c r="AB295" s="106" t="str">
        <f t="shared" si="24"/>
        <v/>
      </c>
      <c r="AE295" s="107" t="str">
        <f>IF($S295="","",VLOOKUP($S295,'ORF Accuracy Value LookUp'!$A$4:$B$104,2,TRUE))</f>
        <v/>
      </c>
      <c r="AF295" s="108" t="str">
        <f>IF($Z295="","",VLOOKUP($Z295,'ORF Accuracy Value LookUp'!$D$4:$E$104,2,TRUE))</f>
        <v/>
      </c>
    </row>
    <row r="296" spans="1:32">
      <c r="A296" s="58"/>
      <c r="B296" s="58"/>
      <c r="C296" s="58"/>
      <c r="D296" s="58"/>
      <c r="E296" s="58"/>
      <c r="F296" s="62"/>
      <c r="G296" s="63"/>
      <c r="H296" s="84"/>
      <c r="I296" s="61"/>
      <c r="J296" s="61"/>
      <c r="K296" s="61"/>
      <c r="L296" s="61"/>
      <c r="M296" s="103" t="str">
        <f t="shared" si="20"/>
        <v/>
      </c>
      <c r="N296" s="84"/>
      <c r="O296" s="61"/>
      <c r="P296" s="61"/>
      <c r="Q296" s="213"/>
      <c r="R296" s="64"/>
      <c r="S296" s="65" t="str">
        <f t="shared" si="21"/>
        <v/>
      </c>
      <c r="T296" s="104" t="str">
        <f t="shared" si="22"/>
        <v/>
      </c>
      <c r="U296" s="84"/>
      <c r="V296" s="61"/>
      <c r="W296" s="61"/>
      <c r="X296" s="61"/>
      <c r="Y296" s="61"/>
      <c r="Z296" s="73" t="str">
        <f t="shared" si="23"/>
        <v/>
      </c>
      <c r="AA296" s="61"/>
      <c r="AB296" s="106" t="str">
        <f t="shared" si="24"/>
        <v/>
      </c>
      <c r="AE296" s="107" t="str">
        <f>IF($S296="","",VLOOKUP($S296,'ORF Accuracy Value LookUp'!$A$4:$B$104,2,TRUE))</f>
        <v/>
      </c>
      <c r="AF296" s="108" t="str">
        <f>IF($Z296="","",VLOOKUP($Z296,'ORF Accuracy Value LookUp'!$D$4:$E$104,2,TRUE))</f>
        <v/>
      </c>
    </row>
    <row r="297" spans="1:32">
      <c r="A297" s="58"/>
      <c r="B297" s="58"/>
      <c r="C297" s="58"/>
      <c r="D297" s="58"/>
      <c r="E297" s="58"/>
      <c r="F297" s="62"/>
      <c r="G297" s="63"/>
      <c r="H297" s="84"/>
      <c r="I297" s="61"/>
      <c r="J297" s="61"/>
      <c r="K297" s="61"/>
      <c r="L297" s="61"/>
      <c r="M297" s="103" t="str">
        <f t="shared" si="20"/>
        <v/>
      </c>
      <c r="N297" s="84"/>
      <c r="O297" s="61"/>
      <c r="P297" s="61"/>
      <c r="Q297" s="213"/>
      <c r="R297" s="64"/>
      <c r="S297" s="65" t="str">
        <f t="shared" si="21"/>
        <v/>
      </c>
      <c r="T297" s="104" t="str">
        <f t="shared" si="22"/>
        <v/>
      </c>
      <c r="U297" s="84"/>
      <c r="V297" s="61"/>
      <c r="W297" s="61"/>
      <c r="X297" s="61"/>
      <c r="Y297" s="61"/>
      <c r="Z297" s="73" t="str">
        <f t="shared" si="23"/>
        <v/>
      </c>
      <c r="AA297" s="61"/>
      <c r="AB297" s="106" t="str">
        <f t="shared" si="24"/>
        <v/>
      </c>
      <c r="AE297" s="107" t="str">
        <f>IF($S297="","",VLOOKUP($S297,'ORF Accuracy Value LookUp'!$A$4:$B$104,2,TRUE))</f>
        <v/>
      </c>
      <c r="AF297" s="108" t="str">
        <f>IF($Z297="","",VLOOKUP($Z297,'ORF Accuracy Value LookUp'!$D$4:$E$104,2,TRUE))</f>
        <v/>
      </c>
    </row>
    <row r="298" spans="1:32">
      <c r="A298" s="58"/>
      <c r="B298" s="58"/>
      <c r="C298" s="58"/>
      <c r="D298" s="58"/>
      <c r="E298" s="58"/>
      <c r="F298" s="62"/>
      <c r="G298" s="63"/>
      <c r="H298" s="84"/>
      <c r="I298" s="61"/>
      <c r="J298" s="61"/>
      <c r="K298" s="61"/>
      <c r="L298" s="61"/>
      <c r="M298" s="103" t="str">
        <f t="shared" si="20"/>
        <v/>
      </c>
      <c r="N298" s="84"/>
      <c r="O298" s="61"/>
      <c r="P298" s="61"/>
      <c r="Q298" s="213"/>
      <c r="R298" s="64"/>
      <c r="S298" s="65" t="str">
        <f t="shared" si="21"/>
        <v/>
      </c>
      <c r="T298" s="104" t="str">
        <f t="shared" si="22"/>
        <v/>
      </c>
      <c r="U298" s="84"/>
      <c r="V298" s="61"/>
      <c r="W298" s="61"/>
      <c r="X298" s="61"/>
      <c r="Y298" s="61"/>
      <c r="Z298" s="73" t="str">
        <f t="shared" si="23"/>
        <v/>
      </c>
      <c r="AA298" s="61"/>
      <c r="AB298" s="106" t="str">
        <f t="shared" si="24"/>
        <v/>
      </c>
      <c r="AE298" s="107" t="str">
        <f>IF($S298="","",VLOOKUP($S298,'ORF Accuracy Value LookUp'!$A$4:$B$104,2,TRUE))</f>
        <v/>
      </c>
      <c r="AF298" s="108" t="str">
        <f>IF($Z298="","",VLOOKUP($Z298,'ORF Accuracy Value LookUp'!$D$4:$E$104,2,TRUE))</f>
        <v/>
      </c>
    </row>
    <row r="299" spans="1:32">
      <c r="A299" s="58"/>
      <c r="B299" s="58"/>
      <c r="C299" s="58"/>
      <c r="D299" s="58"/>
      <c r="E299" s="58"/>
      <c r="F299" s="62"/>
      <c r="G299" s="63"/>
      <c r="H299" s="84"/>
      <c r="I299" s="61"/>
      <c r="J299" s="61"/>
      <c r="K299" s="61"/>
      <c r="L299" s="61"/>
      <c r="M299" s="103" t="str">
        <f t="shared" si="20"/>
        <v/>
      </c>
      <c r="N299" s="84"/>
      <c r="O299" s="61"/>
      <c r="P299" s="61"/>
      <c r="Q299" s="213"/>
      <c r="R299" s="64"/>
      <c r="S299" s="65" t="str">
        <f t="shared" si="21"/>
        <v/>
      </c>
      <c r="T299" s="104" t="str">
        <f t="shared" si="22"/>
        <v/>
      </c>
      <c r="U299" s="84"/>
      <c r="V299" s="61"/>
      <c r="W299" s="61"/>
      <c r="X299" s="61"/>
      <c r="Y299" s="61"/>
      <c r="Z299" s="73" t="str">
        <f t="shared" si="23"/>
        <v/>
      </c>
      <c r="AA299" s="61"/>
      <c r="AB299" s="106" t="str">
        <f t="shared" si="24"/>
        <v/>
      </c>
      <c r="AE299" s="107" t="str">
        <f>IF($S299="","",VLOOKUP($S299,'ORF Accuracy Value LookUp'!$A$4:$B$104,2,TRUE))</f>
        <v/>
      </c>
      <c r="AF299" s="108" t="str">
        <f>IF($Z299="","",VLOOKUP($Z299,'ORF Accuracy Value LookUp'!$D$4:$E$104,2,TRUE))</f>
        <v/>
      </c>
    </row>
    <row r="300" spans="1:32">
      <c r="A300" s="58"/>
      <c r="B300" s="58"/>
      <c r="C300" s="58"/>
      <c r="D300" s="58"/>
      <c r="E300" s="58"/>
      <c r="F300" s="62"/>
      <c r="G300" s="63"/>
      <c r="H300" s="84"/>
      <c r="I300" s="61"/>
      <c r="J300" s="61"/>
      <c r="K300" s="61"/>
      <c r="L300" s="61"/>
      <c r="M300" s="103" t="str">
        <f t="shared" si="20"/>
        <v/>
      </c>
      <c r="N300" s="84"/>
      <c r="O300" s="61"/>
      <c r="P300" s="61"/>
      <c r="Q300" s="213"/>
      <c r="R300" s="64"/>
      <c r="S300" s="65" t="str">
        <f t="shared" si="21"/>
        <v/>
      </c>
      <c r="T300" s="104" t="str">
        <f t="shared" si="22"/>
        <v/>
      </c>
      <c r="U300" s="84"/>
      <c r="V300" s="61"/>
      <c r="W300" s="61"/>
      <c r="X300" s="61"/>
      <c r="Y300" s="61"/>
      <c r="Z300" s="73" t="str">
        <f t="shared" si="23"/>
        <v/>
      </c>
      <c r="AA300" s="61"/>
      <c r="AB300" s="106" t="str">
        <f t="shared" si="24"/>
        <v/>
      </c>
      <c r="AE300" s="107" t="str">
        <f>IF($S300="","",VLOOKUP($S300,'ORF Accuracy Value LookUp'!$A$4:$B$104,2,TRUE))</f>
        <v/>
      </c>
      <c r="AF300" s="108" t="str">
        <f>IF($Z300="","",VLOOKUP($Z300,'ORF Accuracy Value LookUp'!$D$4:$E$104,2,TRUE))</f>
        <v/>
      </c>
    </row>
    <row r="301" spans="1:32">
      <c r="A301" s="58"/>
      <c r="B301" s="58"/>
      <c r="C301" s="58"/>
      <c r="D301" s="58"/>
      <c r="E301" s="58"/>
      <c r="F301" s="62"/>
      <c r="G301" s="63"/>
      <c r="H301" s="84"/>
      <c r="I301" s="61"/>
      <c r="J301" s="61"/>
      <c r="K301" s="61"/>
      <c r="L301" s="61"/>
      <c r="M301" s="103" t="str">
        <f t="shared" si="20"/>
        <v/>
      </c>
      <c r="N301" s="84"/>
      <c r="O301" s="61"/>
      <c r="P301" s="61"/>
      <c r="Q301" s="213"/>
      <c r="R301" s="64"/>
      <c r="S301" s="65" t="str">
        <f t="shared" si="21"/>
        <v/>
      </c>
      <c r="T301" s="104" t="str">
        <f t="shared" si="22"/>
        <v/>
      </c>
      <c r="U301" s="84"/>
      <c r="V301" s="61"/>
      <c r="W301" s="61"/>
      <c r="X301" s="61"/>
      <c r="Y301" s="61"/>
      <c r="Z301" s="73" t="str">
        <f t="shared" si="23"/>
        <v/>
      </c>
      <c r="AA301" s="61"/>
      <c r="AB301" s="106" t="str">
        <f t="shared" si="24"/>
        <v/>
      </c>
      <c r="AE301" s="107" t="str">
        <f>IF($S301="","",VLOOKUP($S301,'ORF Accuracy Value LookUp'!$A$4:$B$104,2,TRUE))</f>
        <v/>
      </c>
      <c r="AF301" s="108" t="str">
        <f>IF($Z301="","",VLOOKUP($Z301,'ORF Accuracy Value LookUp'!$D$4:$E$104,2,TRUE))</f>
        <v/>
      </c>
    </row>
    <row r="302" spans="1:32">
      <c r="A302" s="58"/>
      <c r="B302" s="58"/>
      <c r="C302" s="58"/>
      <c r="D302" s="58"/>
      <c r="E302" s="58"/>
      <c r="F302" s="62"/>
      <c r="G302" s="63"/>
      <c r="H302" s="84"/>
      <c r="I302" s="61"/>
      <c r="J302" s="61"/>
      <c r="K302" s="61"/>
      <c r="L302" s="61"/>
      <c r="M302" s="103" t="str">
        <f t="shared" si="20"/>
        <v/>
      </c>
      <c r="N302" s="84"/>
      <c r="O302" s="61"/>
      <c r="P302" s="61"/>
      <c r="Q302" s="213"/>
      <c r="R302" s="64"/>
      <c r="S302" s="65" t="str">
        <f t="shared" si="21"/>
        <v/>
      </c>
      <c r="T302" s="104" t="str">
        <f t="shared" si="22"/>
        <v/>
      </c>
      <c r="U302" s="84"/>
      <c r="V302" s="61"/>
      <c r="W302" s="61"/>
      <c r="X302" s="61"/>
      <c r="Y302" s="61"/>
      <c r="Z302" s="73" t="str">
        <f t="shared" si="23"/>
        <v/>
      </c>
      <c r="AA302" s="61"/>
      <c r="AB302" s="106" t="str">
        <f t="shared" si="24"/>
        <v/>
      </c>
      <c r="AE302" s="107" t="str">
        <f>IF($S302="","",VLOOKUP($S302,'ORF Accuracy Value LookUp'!$A$4:$B$104,2,TRUE))</f>
        <v/>
      </c>
      <c r="AF302" s="108" t="str">
        <f>IF($Z302="","",VLOOKUP($Z302,'ORF Accuracy Value LookUp'!$D$4:$E$104,2,TRUE))</f>
        <v/>
      </c>
    </row>
    <row r="303" spans="1:32">
      <c r="A303" s="58"/>
      <c r="B303" s="58"/>
      <c r="C303" s="58"/>
      <c r="D303" s="58"/>
      <c r="E303" s="58"/>
      <c r="F303" s="62"/>
      <c r="G303" s="63"/>
      <c r="H303" s="84"/>
      <c r="I303" s="61"/>
      <c r="J303" s="61"/>
      <c r="K303" s="61"/>
      <c r="L303" s="61"/>
      <c r="M303" s="103" t="str">
        <f t="shared" si="20"/>
        <v/>
      </c>
      <c r="N303" s="84"/>
      <c r="O303" s="61"/>
      <c r="P303" s="61"/>
      <c r="Q303" s="213"/>
      <c r="R303" s="64"/>
      <c r="S303" s="65" t="str">
        <f t="shared" si="21"/>
        <v/>
      </c>
      <c r="T303" s="104" t="str">
        <f t="shared" si="22"/>
        <v/>
      </c>
      <c r="U303" s="84"/>
      <c r="V303" s="61"/>
      <c r="W303" s="61"/>
      <c r="X303" s="61"/>
      <c r="Y303" s="61"/>
      <c r="Z303" s="73" t="str">
        <f t="shared" si="23"/>
        <v/>
      </c>
      <c r="AA303" s="61"/>
      <c r="AB303" s="106" t="str">
        <f t="shared" si="24"/>
        <v/>
      </c>
      <c r="AE303" s="107" t="str">
        <f>IF($S303="","",VLOOKUP($S303,'ORF Accuracy Value LookUp'!$A$4:$B$104,2,TRUE))</f>
        <v/>
      </c>
      <c r="AF303" s="108" t="str">
        <f>IF($Z303="","",VLOOKUP($Z303,'ORF Accuracy Value LookUp'!$D$4:$E$104,2,TRUE))</f>
        <v/>
      </c>
    </row>
    <row r="304" spans="1:32">
      <c r="A304" s="58"/>
      <c r="B304" s="58"/>
      <c r="C304" s="58"/>
      <c r="D304" s="58"/>
      <c r="E304" s="58"/>
      <c r="F304" s="62"/>
      <c r="G304" s="63"/>
      <c r="H304" s="84"/>
      <c r="I304" s="61"/>
      <c r="J304" s="61"/>
      <c r="K304" s="61"/>
      <c r="L304" s="61"/>
      <c r="M304" s="103" t="str">
        <f t="shared" si="20"/>
        <v/>
      </c>
      <c r="N304" s="84"/>
      <c r="O304" s="61"/>
      <c r="P304" s="61"/>
      <c r="Q304" s="213"/>
      <c r="R304" s="64"/>
      <c r="S304" s="65" t="str">
        <f t="shared" si="21"/>
        <v/>
      </c>
      <c r="T304" s="104" t="str">
        <f t="shared" si="22"/>
        <v/>
      </c>
      <c r="U304" s="84"/>
      <c r="V304" s="61"/>
      <c r="W304" s="61"/>
      <c r="X304" s="61"/>
      <c r="Y304" s="61"/>
      <c r="Z304" s="73" t="str">
        <f t="shared" si="23"/>
        <v/>
      </c>
      <c r="AA304" s="61"/>
      <c r="AB304" s="106" t="str">
        <f t="shared" si="24"/>
        <v/>
      </c>
      <c r="AE304" s="107" t="str">
        <f>IF($S304="","",VLOOKUP($S304,'ORF Accuracy Value LookUp'!$A$4:$B$104,2,TRUE))</f>
        <v/>
      </c>
      <c r="AF304" s="108" t="str">
        <f>IF($Z304="","",VLOOKUP($Z304,'ORF Accuracy Value LookUp'!$D$4:$E$104,2,TRUE))</f>
        <v/>
      </c>
    </row>
    <row r="305" spans="1:32">
      <c r="A305" s="58"/>
      <c r="B305" s="58"/>
      <c r="C305" s="58"/>
      <c r="D305" s="58"/>
      <c r="E305" s="58"/>
      <c r="F305" s="62"/>
      <c r="G305" s="63"/>
      <c r="H305" s="84"/>
      <c r="I305" s="61"/>
      <c r="J305" s="61"/>
      <c r="K305" s="61"/>
      <c r="L305" s="61"/>
      <c r="M305" s="103" t="str">
        <f t="shared" si="20"/>
        <v/>
      </c>
      <c r="N305" s="84"/>
      <c r="O305" s="61"/>
      <c r="P305" s="61"/>
      <c r="Q305" s="213"/>
      <c r="R305" s="64"/>
      <c r="S305" s="65" t="str">
        <f t="shared" si="21"/>
        <v/>
      </c>
      <c r="T305" s="104" t="str">
        <f t="shared" si="22"/>
        <v/>
      </c>
      <c r="U305" s="84"/>
      <c r="V305" s="61"/>
      <c r="W305" s="61"/>
      <c r="X305" s="61"/>
      <c r="Y305" s="61"/>
      <c r="Z305" s="73" t="str">
        <f t="shared" si="23"/>
        <v/>
      </c>
      <c r="AA305" s="61"/>
      <c r="AB305" s="106" t="str">
        <f t="shared" si="24"/>
        <v/>
      </c>
      <c r="AE305" s="107" t="str">
        <f>IF($S305="","",VLOOKUP($S305,'ORF Accuracy Value LookUp'!$A$4:$B$104,2,TRUE))</f>
        <v/>
      </c>
      <c r="AF305" s="108" t="str">
        <f>IF($Z305="","",VLOOKUP($Z305,'ORF Accuracy Value LookUp'!$D$4:$E$104,2,TRUE))</f>
        <v/>
      </c>
    </row>
    <row r="306" spans="1:32">
      <c r="A306" s="58"/>
      <c r="B306" s="58"/>
      <c r="C306" s="58"/>
      <c r="D306" s="58"/>
      <c r="E306" s="58"/>
      <c r="F306" s="62"/>
      <c r="G306" s="63"/>
      <c r="H306" s="84"/>
      <c r="I306" s="61"/>
      <c r="J306" s="61"/>
      <c r="K306" s="61"/>
      <c r="L306" s="61"/>
      <c r="M306" s="103" t="str">
        <f t="shared" si="20"/>
        <v/>
      </c>
      <c r="N306" s="84"/>
      <c r="O306" s="61"/>
      <c r="P306" s="61"/>
      <c r="Q306" s="213"/>
      <c r="R306" s="64"/>
      <c r="S306" s="65" t="str">
        <f t="shared" si="21"/>
        <v/>
      </c>
      <c r="T306" s="104" t="str">
        <f t="shared" si="22"/>
        <v/>
      </c>
      <c r="U306" s="84"/>
      <c r="V306" s="61"/>
      <c r="W306" s="61"/>
      <c r="X306" s="61"/>
      <c r="Y306" s="61"/>
      <c r="Z306" s="73" t="str">
        <f t="shared" si="23"/>
        <v/>
      </c>
      <c r="AA306" s="61"/>
      <c r="AB306" s="106" t="str">
        <f t="shared" si="24"/>
        <v/>
      </c>
      <c r="AE306" s="107" t="str">
        <f>IF($S306="","",VLOOKUP($S306,'ORF Accuracy Value LookUp'!$A$4:$B$104,2,TRUE))</f>
        <v/>
      </c>
      <c r="AF306" s="108" t="str">
        <f>IF($Z306="","",VLOOKUP($Z306,'ORF Accuracy Value LookUp'!$D$4:$E$104,2,TRUE))</f>
        <v/>
      </c>
    </row>
    <row r="307" spans="1:32">
      <c r="A307" s="58"/>
      <c r="B307" s="58"/>
      <c r="C307" s="58"/>
      <c r="D307" s="58"/>
      <c r="E307" s="58"/>
      <c r="F307" s="62"/>
      <c r="G307" s="63"/>
      <c r="H307" s="84"/>
      <c r="I307" s="61"/>
      <c r="J307" s="61"/>
      <c r="K307" s="61"/>
      <c r="L307" s="61"/>
      <c r="M307" s="103" t="str">
        <f t="shared" si="20"/>
        <v/>
      </c>
      <c r="N307" s="84"/>
      <c r="O307" s="61"/>
      <c r="P307" s="61"/>
      <c r="Q307" s="213"/>
      <c r="R307" s="64"/>
      <c r="S307" s="65" t="str">
        <f t="shared" si="21"/>
        <v/>
      </c>
      <c r="T307" s="104" t="str">
        <f t="shared" si="22"/>
        <v/>
      </c>
      <c r="U307" s="84"/>
      <c r="V307" s="61"/>
      <c r="W307" s="61"/>
      <c r="X307" s="61"/>
      <c r="Y307" s="61"/>
      <c r="Z307" s="73" t="str">
        <f t="shared" si="23"/>
        <v/>
      </c>
      <c r="AA307" s="61"/>
      <c r="AB307" s="106" t="str">
        <f t="shared" si="24"/>
        <v/>
      </c>
      <c r="AE307" s="107" t="str">
        <f>IF($S307="","",VLOOKUP($S307,'ORF Accuracy Value LookUp'!$A$4:$B$104,2,TRUE))</f>
        <v/>
      </c>
      <c r="AF307" s="108" t="str">
        <f>IF($Z307="","",VLOOKUP($Z307,'ORF Accuracy Value LookUp'!$D$4:$E$104,2,TRUE))</f>
        <v/>
      </c>
    </row>
    <row r="308" spans="1:32">
      <c r="A308" s="58"/>
      <c r="B308" s="58"/>
      <c r="C308" s="58"/>
      <c r="D308" s="58"/>
      <c r="E308" s="58"/>
      <c r="F308" s="62"/>
      <c r="G308" s="63"/>
      <c r="H308" s="84"/>
      <c r="I308" s="61"/>
      <c r="J308" s="61"/>
      <c r="K308" s="61"/>
      <c r="L308" s="61"/>
      <c r="M308" s="103" t="str">
        <f t="shared" si="20"/>
        <v/>
      </c>
      <c r="N308" s="84"/>
      <c r="O308" s="61"/>
      <c r="P308" s="61"/>
      <c r="Q308" s="213"/>
      <c r="R308" s="64"/>
      <c r="S308" s="65" t="str">
        <f t="shared" si="21"/>
        <v/>
      </c>
      <c r="T308" s="104" t="str">
        <f t="shared" si="22"/>
        <v/>
      </c>
      <c r="U308" s="84"/>
      <c r="V308" s="61"/>
      <c r="W308" s="61"/>
      <c r="X308" s="61"/>
      <c r="Y308" s="61"/>
      <c r="Z308" s="73" t="str">
        <f t="shared" si="23"/>
        <v/>
      </c>
      <c r="AA308" s="61"/>
      <c r="AB308" s="106" t="str">
        <f t="shared" si="24"/>
        <v/>
      </c>
      <c r="AE308" s="107" t="str">
        <f>IF($S308="","",VLOOKUP($S308,'ORF Accuracy Value LookUp'!$A$4:$B$104,2,TRUE))</f>
        <v/>
      </c>
      <c r="AF308" s="108" t="str">
        <f>IF($Z308="","",VLOOKUP($Z308,'ORF Accuracy Value LookUp'!$D$4:$E$104,2,TRUE))</f>
        <v/>
      </c>
    </row>
    <row r="309" spans="1:32">
      <c r="A309" s="58"/>
      <c r="B309" s="58"/>
      <c r="C309" s="58"/>
      <c r="D309" s="58"/>
      <c r="E309" s="58"/>
      <c r="F309" s="62"/>
      <c r="G309" s="63"/>
      <c r="H309" s="84"/>
      <c r="I309" s="61"/>
      <c r="J309" s="61"/>
      <c r="K309" s="61"/>
      <c r="L309" s="61"/>
      <c r="M309" s="103" t="str">
        <f t="shared" si="20"/>
        <v/>
      </c>
      <c r="N309" s="84"/>
      <c r="O309" s="61"/>
      <c r="P309" s="61"/>
      <c r="Q309" s="213"/>
      <c r="R309" s="64"/>
      <c r="S309" s="65" t="str">
        <f t="shared" si="21"/>
        <v/>
      </c>
      <c r="T309" s="104" t="str">
        <f t="shared" si="22"/>
        <v/>
      </c>
      <c r="U309" s="84"/>
      <c r="V309" s="61"/>
      <c r="W309" s="61"/>
      <c r="X309" s="61"/>
      <c r="Y309" s="61"/>
      <c r="Z309" s="73" t="str">
        <f t="shared" si="23"/>
        <v/>
      </c>
      <c r="AA309" s="61"/>
      <c r="AB309" s="106" t="str">
        <f t="shared" si="24"/>
        <v/>
      </c>
      <c r="AE309" s="107" t="str">
        <f>IF($S309="","",VLOOKUP($S309,'ORF Accuracy Value LookUp'!$A$4:$B$104,2,TRUE))</f>
        <v/>
      </c>
      <c r="AF309" s="108" t="str">
        <f>IF($Z309="","",VLOOKUP($Z309,'ORF Accuracy Value LookUp'!$D$4:$E$104,2,TRUE))</f>
        <v/>
      </c>
    </row>
    <row r="310" spans="1:32">
      <c r="A310" s="58"/>
      <c r="B310" s="58"/>
      <c r="C310" s="58"/>
      <c r="D310" s="58"/>
      <c r="E310" s="58"/>
      <c r="F310" s="62"/>
      <c r="G310" s="63"/>
      <c r="H310" s="84"/>
      <c r="I310" s="61"/>
      <c r="J310" s="61"/>
      <c r="K310" s="61"/>
      <c r="L310" s="61"/>
      <c r="M310" s="103" t="str">
        <f t="shared" si="20"/>
        <v/>
      </c>
      <c r="N310" s="84"/>
      <c r="O310" s="61"/>
      <c r="P310" s="61"/>
      <c r="Q310" s="213"/>
      <c r="R310" s="64"/>
      <c r="S310" s="65" t="str">
        <f t="shared" si="21"/>
        <v/>
      </c>
      <c r="T310" s="104" t="str">
        <f t="shared" si="22"/>
        <v/>
      </c>
      <c r="U310" s="84"/>
      <c r="V310" s="61"/>
      <c r="W310" s="61"/>
      <c r="X310" s="61"/>
      <c r="Y310" s="61"/>
      <c r="Z310" s="73" t="str">
        <f t="shared" si="23"/>
        <v/>
      </c>
      <c r="AA310" s="61"/>
      <c r="AB310" s="106" t="str">
        <f t="shared" si="24"/>
        <v/>
      </c>
      <c r="AE310" s="107" t="str">
        <f>IF($S310="","",VLOOKUP($S310,'ORF Accuracy Value LookUp'!$A$4:$B$104,2,TRUE))</f>
        <v/>
      </c>
      <c r="AF310" s="108" t="str">
        <f>IF($Z310="","",VLOOKUP($Z310,'ORF Accuracy Value LookUp'!$D$4:$E$104,2,TRUE))</f>
        <v/>
      </c>
    </row>
    <row r="311" spans="1:32">
      <c r="A311" s="58"/>
      <c r="B311" s="58"/>
      <c r="C311" s="58"/>
      <c r="D311" s="58"/>
      <c r="E311" s="58"/>
      <c r="F311" s="62"/>
      <c r="G311" s="63"/>
      <c r="H311" s="84"/>
      <c r="I311" s="61"/>
      <c r="J311" s="61"/>
      <c r="K311" s="61"/>
      <c r="L311" s="61"/>
      <c r="M311" s="103" t="str">
        <f t="shared" si="20"/>
        <v/>
      </c>
      <c r="N311" s="84"/>
      <c r="O311" s="61"/>
      <c r="P311" s="61"/>
      <c r="Q311" s="213"/>
      <c r="R311" s="64"/>
      <c r="S311" s="65" t="str">
        <f t="shared" si="21"/>
        <v/>
      </c>
      <c r="T311" s="104" t="str">
        <f t="shared" si="22"/>
        <v/>
      </c>
      <c r="U311" s="84"/>
      <c r="V311" s="61"/>
      <c r="W311" s="61"/>
      <c r="X311" s="61"/>
      <c r="Y311" s="61"/>
      <c r="Z311" s="73" t="str">
        <f t="shared" si="23"/>
        <v/>
      </c>
      <c r="AA311" s="61"/>
      <c r="AB311" s="106" t="str">
        <f t="shared" si="24"/>
        <v/>
      </c>
      <c r="AE311" s="107" t="str">
        <f>IF($S311="","",VLOOKUP($S311,'ORF Accuracy Value LookUp'!$A$4:$B$104,2,TRUE))</f>
        <v/>
      </c>
      <c r="AF311" s="108" t="str">
        <f>IF($Z311="","",VLOOKUP($Z311,'ORF Accuracy Value LookUp'!$D$4:$E$104,2,TRUE))</f>
        <v/>
      </c>
    </row>
    <row r="312" spans="1:32">
      <c r="A312" s="58"/>
      <c r="B312" s="58"/>
      <c r="C312" s="58"/>
      <c r="D312" s="58"/>
      <c r="E312" s="58"/>
      <c r="F312" s="62"/>
      <c r="G312" s="63"/>
      <c r="H312" s="84"/>
      <c r="I312" s="61"/>
      <c r="J312" s="61"/>
      <c r="K312" s="61"/>
      <c r="L312" s="61"/>
      <c r="M312" s="103" t="str">
        <f t="shared" si="20"/>
        <v/>
      </c>
      <c r="N312" s="84"/>
      <c r="O312" s="61"/>
      <c r="P312" s="61"/>
      <c r="Q312" s="213"/>
      <c r="R312" s="64"/>
      <c r="S312" s="65" t="str">
        <f t="shared" si="21"/>
        <v/>
      </c>
      <c r="T312" s="104" t="str">
        <f t="shared" si="22"/>
        <v/>
      </c>
      <c r="U312" s="84"/>
      <c r="V312" s="61"/>
      <c r="W312" s="61"/>
      <c r="X312" s="61"/>
      <c r="Y312" s="61"/>
      <c r="Z312" s="73" t="str">
        <f t="shared" si="23"/>
        <v/>
      </c>
      <c r="AA312" s="61"/>
      <c r="AB312" s="106" t="str">
        <f t="shared" si="24"/>
        <v/>
      </c>
      <c r="AE312" s="107" t="str">
        <f>IF($S312="","",VLOOKUP($S312,'ORF Accuracy Value LookUp'!$A$4:$B$104,2,TRUE))</f>
        <v/>
      </c>
      <c r="AF312" s="108" t="str">
        <f>IF($Z312="","",VLOOKUP($Z312,'ORF Accuracy Value LookUp'!$D$4:$E$104,2,TRUE))</f>
        <v/>
      </c>
    </row>
    <row r="313" spans="1:32">
      <c r="A313" s="58"/>
      <c r="B313" s="58"/>
      <c r="C313" s="58"/>
      <c r="D313" s="58"/>
      <c r="E313" s="58"/>
      <c r="F313" s="62"/>
      <c r="G313" s="63"/>
      <c r="H313" s="84"/>
      <c r="I313" s="61"/>
      <c r="J313" s="61"/>
      <c r="K313" s="61"/>
      <c r="L313" s="61"/>
      <c r="M313" s="103" t="str">
        <f t="shared" si="20"/>
        <v/>
      </c>
      <c r="N313" s="84"/>
      <c r="O313" s="61"/>
      <c r="P313" s="61"/>
      <c r="Q313" s="213"/>
      <c r="R313" s="64"/>
      <c r="S313" s="65" t="str">
        <f t="shared" si="21"/>
        <v/>
      </c>
      <c r="T313" s="104" t="str">
        <f t="shared" si="22"/>
        <v/>
      </c>
      <c r="U313" s="84"/>
      <c r="V313" s="61"/>
      <c r="W313" s="61"/>
      <c r="X313" s="61"/>
      <c r="Y313" s="61"/>
      <c r="Z313" s="73" t="str">
        <f t="shared" si="23"/>
        <v/>
      </c>
      <c r="AA313" s="61"/>
      <c r="AB313" s="106" t="str">
        <f t="shared" si="24"/>
        <v/>
      </c>
      <c r="AE313" s="107" t="str">
        <f>IF($S313="","",VLOOKUP($S313,'ORF Accuracy Value LookUp'!$A$4:$B$104,2,TRUE))</f>
        <v/>
      </c>
      <c r="AF313" s="108" t="str">
        <f>IF($Z313="","",VLOOKUP($Z313,'ORF Accuracy Value LookUp'!$D$4:$E$104,2,TRUE))</f>
        <v/>
      </c>
    </row>
    <row r="314" spans="1:32">
      <c r="A314" s="58"/>
      <c r="B314" s="58"/>
      <c r="C314" s="58"/>
      <c r="D314" s="58"/>
      <c r="E314" s="58"/>
      <c r="F314" s="62"/>
      <c r="G314" s="63"/>
      <c r="H314" s="84"/>
      <c r="I314" s="61"/>
      <c r="J314" s="61"/>
      <c r="K314" s="61"/>
      <c r="L314" s="61"/>
      <c r="M314" s="103" t="str">
        <f t="shared" si="20"/>
        <v/>
      </c>
      <c r="N314" s="84"/>
      <c r="O314" s="61"/>
      <c r="P314" s="61"/>
      <c r="Q314" s="213"/>
      <c r="R314" s="64"/>
      <c r="S314" s="65" t="str">
        <f t="shared" si="21"/>
        <v/>
      </c>
      <c r="T314" s="104" t="str">
        <f t="shared" si="22"/>
        <v/>
      </c>
      <c r="U314" s="84"/>
      <c r="V314" s="61"/>
      <c r="W314" s="61"/>
      <c r="X314" s="61"/>
      <c r="Y314" s="61"/>
      <c r="Z314" s="73" t="str">
        <f t="shared" si="23"/>
        <v/>
      </c>
      <c r="AA314" s="61"/>
      <c r="AB314" s="106" t="str">
        <f t="shared" si="24"/>
        <v/>
      </c>
      <c r="AE314" s="107" t="str">
        <f>IF($S314="","",VLOOKUP($S314,'ORF Accuracy Value LookUp'!$A$4:$B$104,2,TRUE))</f>
        <v/>
      </c>
      <c r="AF314" s="108" t="str">
        <f>IF($Z314="","",VLOOKUP($Z314,'ORF Accuracy Value LookUp'!$D$4:$E$104,2,TRUE))</f>
        <v/>
      </c>
    </row>
    <row r="315" spans="1:32">
      <c r="A315" s="58"/>
      <c r="B315" s="58"/>
      <c r="C315" s="58"/>
      <c r="D315" s="58"/>
      <c r="E315" s="58"/>
      <c r="F315" s="62"/>
      <c r="G315" s="63"/>
      <c r="H315" s="84"/>
      <c r="I315" s="61"/>
      <c r="J315" s="61"/>
      <c r="K315" s="61"/>
      <c r="L315" s="61"/>
      <c r="M315" s="103" t="str">
        <f t="shared" si="20"/>
        <v/>
      </c>
      <c r="N315" s="84"/>
      <c r="O315" s="61"/>
      <c r="P315" s="61"/>
      <c r="Q315" s="213"/>
      <c r="R315" s="64"/>
      <c r="S315" s="65" t="str">
        <f t="shared" si="21"/>
        <v/>
      </c>
      <c r="T315" s="104" t="str">
        <f t="shared" si="22"/>
        <v/>
      </c>
      <c r="U315" s="84"/>
      <c r="V315" s="61"/>
      <c r="W315" s="61"/>
      <c r="X315" s="61"/>
      <c r="Y315" s="61"/>
      <c r="Z315" s="73" t="str">
        <f t="shared" si="23"/>
        <v/>
      </c>
      <c r="AA315" s="61"/>
      <c r="AB315" s="106" t="str">
        <f t="shared" si="24"/>
        <v/>
      </c>
      <c r="AE315" s="107" t="str">
        <f>IF($S315="","",VLOOKUP($S315,'ORF Accuracy Value LookUp'!$A$4:$B$104,2,TRUE))</f>
        <v/>
      </c>
      <c r="AF315" s="108" t="str">
        <f>IF($Z315="","",VLOOKUP($Z315,'ORF Accuracy Value LookUp'!$D$4:$E$104,2,TRUE))</f>
        <v/>
      </c>
    </row>
    <row r="316" spans="1:32">
      <c r="A316" s="58"/>
      <c r="B316" s="58"/>
      <c r="C316" s="58"/>
      <c r="D316" s="58"/>
      <c r="E316" s="58"/>
      <c r="F316" s="62"/>
      <c r="G316" s="63"/>
      <c r="H316" s="84"/>
      <c r="I316" s="61"/>
      <c r="J316" s="61"/>
      <c r="K316" s="61"/>
      <c r="L316" s="61"/>
      <c r="M316" s="103" t="str">
        <f t="shared" si="20"/>
        <v/>
      </c>
      <c r="N316" s="84"/>
      <c r="O316" s="61"/>
      <c r="P316" s="61"/>
      <c r="Q316" s="213"/>
      <c r="R316" s="64"/>
      <c r="S316" s="65" t="str">
        <f t="shared" si="21"/>
        <v/>
      </c>
      <c r="T316" s="104" t="str">
        <f t="shared" si="22"/>
        <v/>
      </c>
      <c r="U316" s="84"/>
      <c r="V316" s="61"/>
      <c r="W316" s="61"/>
      <c r="X316" s="61"/>
      <c r="Y316" s="61"/>
      <c r="Z316" s="73" t="str">
        <f t="shared" si="23"/>
        <v/>
      </c>
      <c r="AA316" s="61"/>
      <c r="AB316" s="106" t="str">
        <f t="shared" si="24"/>
        <v/>
      </c>
      <c r="AE316" s="107" t="str">
        <f>IF($S316="","",VLOOKUP($S316,'ORF Accuracy Value LookUp'!$A$4:$B$104,2,TRUE))</f>
        <v/>
      </c>
      <c r="AF316" s="108" t="str">
        <f>IF($Z316="","",VLOOKUP($Z316,'ORF Accuracy Value LookUp'!$D$4:$E$104,2,TRUE))</f>
        <v/>
      </c>
    </row>
    <row r="317" spans="1:32">
      <c r="A317" s="58"/>
      <c r="B317" s="58"/>
      <c r="C317" s="58"/>
      <c r="D317" s="58"/>
      <c r="E317" s="58"/>
      <c r="F317" s="62"/>
      <c r="G317" s="63"/>
      <c r="H317" s="84"/>
      <c r="I317" s="61"/>
      <c r="J317" s="61"/>
      <c r="K317" s="61"/>
      <c r="L317" s="61"/>
      <c r="M317" s="103" t="str">
        <f t="shared" si="20"/>
        <v/>
      </c>
      <c r="N317" s="84"/>
      <c r="O317" s="61"/>
      <c r="P317" s="61"/>
      <c r="Q317" s="213"/>
      <c r="R317" s="64"/>
      <c r="S317" s="65" t="str">
        <f t="shared" si="21"/>
        <v/>
      </c>
      <c r="T317" s="104" t="str">
        <f t="shared" si="22"/>
        <v/>
      </c>
      <c r="U317" s="84"/>
      <c r="V317" s="61"/>
      <c r="W317" s="61"/>
      <c r="X317" s="61"/>
      <c r="Y317" s="61"/>
      <c r="Z317" s="73" t="str">
        <f t="shared" si="23"/>
        <v/>
      </c>
      <c r="AA317" s="61"/>
      <c r="AB317" s="106" t="str">
        <f t="shared" si="24"/>
        <v/>
      </c>
      <c r="AE317" s="107" t="str">
        <f>IF($S317="","",VLOOKUP($S317,'ORF Accuracy Value LookUp'!$A$4:$B$104,2,TRUE))</f>
        <v/>
      </c>
      <c r="AF317" s="108" t="str">
        <f>IF($Z317="","",VLOOKUP($Z317,'ORF Accuracy Value LookUp'!$D$4:$E$104,2,TRUE))</f>
        <v/>
      </c>
    </row>
    <row r="318" spans="1:32">
      <c r="A318" s="58"/>
      <c r="B318" s="58"/>
      <c r="C318" s="58"/>
      <c r="D318" s="58"/>
      <c r="E318" s="58"/>
      <c r="F318" s="62"/>
      <c r="G318" s="63"/>
      <c r="H318" s="84"/>
      <c r="I318" s="61"/>
      <c r="J318" s="61"/>
      <c r="K318" s="61"/>
      <c r="L318" s="61"/>
      <c r="M318" s="103" t="str">
        <f t="shared" si="20"/>
        <v/>
      </c>
      <c r="N318" s="84"/>
      <c r="O318" s="61"/>
      <c r="P318" s="61"/>
      <c r="Q318" s="213"/>
      <c r="R318" s="64"/>
      <c r="S318" s="65" t="str">
        <f t="shared" si="21"/>
        <v/>
      </c>
      <c r="T318" s="104" t="str">
        <f t="shared" si="22"/>
        <v/>
      </c>
      <c r="U318" s="84"/>
      <c r="V318" s="61"/>
      <c r="W318" s="61"/>
      <c r="X318" s="61"/>
      <c r="Y318" s="61"/>
      <c r="Z318" s="73" t="str">
        <f t="shared" si="23"/>
        <v/>
      </c>
      <c r="AA318" s="61"/>
      <c r="AB318" s="106" t="str">
        <f t="shared" si="24"/>
        <v/>
      </c>
      <c r="AE318" s="107" t="str">
        <f>IF($S318="","",VLOOKUP($S318,'ORF Accuracy Value LookUp'!$A$4:$B$104,2,TRUE))</f>
        <v/>
      </c>
      <c r="AF318" s="108" t="str">
        <f>IF($Z318="","",VLOOKUP($Z318,'ORF Accuracy Value LookUp'!$D$4:$E$104,2,TRUE))</f>
        <v/>
      </c>
    </row>
    <row r="319" spans="1:32">
      <c r="A319" s="58"/>
      <c r="B319" s="58"/>
      <c r="C319" s="58"/>
      <c r="D319" s="58"/>
      <c r="E319" s="58"/>
      <c r="F319" s="62"/>
      <c r="G319" s="63"/>
      <c r="H319" s="84"/>
      <c r="I319" s="61"/>
      <c r="J319" s="61"/>
      <c r="K319" s="61"/>
      <c r="L319" s="61"/>
      <c r="M319" s="103" t="str">
        <f t="shared" si="20"/>
        <v/>
      </c>
      <c r="N319" s="84"/>
      <c r="O319" s="61"/>
      <c r="P319" s="61"/>
      <c r="Q319" s="213"/>
      <c r="R319" s="64"/>
      <c r="S319" s="65" t="str">
        <f t="shared" si="21"/>
        <v/>
      </c>
      <c r="T319" s="104" t="str">
        <f t="shared" si="22"/>
        <v/>
      </c>
      <c r="U319" s="84"/>
      <c r="V319" s="61"/>
      <c r="W319" s="61"/>
      <c r="X319" s="61"/>
      <c r="Y319" s="61"/>
      <c r="Z319" s="73" t="str">
        <f t="shared" si="23"/>
        <v/>
      </c>
      <c r="AA319" s="61"/>
      <c r="AB319" s="106" t="str">
        <f t="shared" si="24"/>
        <v/>
      </c>
      <c r="AE319" s="107" t="str">
        <f>IF($S319="","",VLOOKUP($S319,'ORF Accuracy Value LookUp'!$A$4:$B$104,2,TRUE))</f>
        <v/>
      </c>
      <c r="AF319" s="108" t="str">
        <f>IF($Z319="","",VLOOKUP($Z319,'ORF Accuracy Value LookUp'!$D$4:$E$104,2,TRUE))</f>
        <v/>
      </c>
    </row>
    <row r="320" spans="1:32">
      <c r="A320" s="58"/>
      <c r="B320" s="58"/>
      <c r="C320" s="58"/>
      <c r="D320" s="58"/>
      <c r="E320" s="58"/>
      <c r="F320" s="62"/>
      <c r="G320" s="63"/>
      <c r="H320" s="84"/>
      <c r="I320" s="61"/>
      <c r="J320" s="61"/>
      <c r="K320" s="61"/>
      <c r="L320" s="61"/>
      <c r="M320" s="103" t="str">
        <f t="shared" si="20"/>
        <v/>
      </c>
      <c r="N320" s="84"/>
      <c r="O320" s="61"/>
      <c r="P320" s="61"/>
      <c r="Q320" s="213"/>
      <c r="R320" s="64"/>
      <c r="S320" s="65" t="str">
        <f t="shared" si="21"/>
        <v/>
      </c>
      <c r="T320" s="104" t="str">
        <f t="shared" si="22"/>
        <v/>
      </c>
      <c r="U320" s="84"/>
      <c r="V320" s="61"/>
      <c r="W320" s="61"/>
      <c r="X320" s="61"/>
      <c r="Y320" s="61"/>
      <c r="Z320" s="73" t="str">
        <f t="shared" si="23"/>
        <v/>
      </c>
      <c r="AA320" s="61"/>
      <c r="AB320" s="106" t="str">
        <f t="shared" si="24"/>
        <v/>
      </c>
      <c r="AE320" s="107" t="str">
        <f>IF($S320="","",VLOOKUP($S320,'ORF Accuracy Value LookUp'!$A$4:$B$104,2,TRUE))</f>
        <v/>
      </c>
      <c r="AF320" s="108" t="str">
        <f>IF($Z320="","",VLOOKUP($Z320,'ORF Accuracy Value LookUp'!$D$4:$E$104,2,TRUE))</f>
        <v/>
      </c>
    </row>
    <row r="321" spans="1:32">
      <c r="A321" s="58"/>
      <c r="B321" s="58"/>
      <c r="C321" s="58"/>
      <c r="D321" s="58"/>
      <c r="E321" s="58"/>
      <c r="F321" s="62"/>
      <c r="G321" s="63"/>
      <c r="H321" s="84"/>
      <c r="I321" s="61"/>
      <c r="J321" s="61"/>
      <c r="K321" s="61"/>
      <c r="L321" s="61"/>
      <c r="M321" s="103" t="str">
        <f t="shared" si="20"/>
        <v/>
      </c>
      <c r="N321" s="84"/>
      <c r="O321" s="61"/>
      <c r="P321" s="61"/>
      <c r="Q321" s="213"/>
      <c r="R321" s="64"/>
      <c r="S321" s="65" t="str">
        <f t="shared" si="21"/>
        <v/>
      </c>
      <c r="T321" s="104" t="str">
        <f t="shared" si="22"/>
        <v/>
      </c>
      <c r="U321" s="84"/>
      <c r="V321" s="61"/>
      <c r="W321" s="61"/>
      <c r="X321" s="61"/>
      <c r="Y321" s="61"/>
      <c r="Z321" s="73" t="str">
        <f t="shared" si="23"/>
        <v/>
      </c>
      <c r="AA321" s="61"/>
      <c r="AB321" s="106" t="str">
        <f t="shared" si="24"/>
        <v/>
      </c>
      <c r="AE321" s="107" t="str">
        <f>IF($S321="","",VLOOKUP($S321,'ORF Accuracy Value LookUp'!$A$4:$B$104,2,TRUE))</f>
        <v/>
      </c>
      <c r="AF321" s="108" t="str">
        <f>IF($Z321="","",VLOOKUP($Z321,'ORF Accuracy Value LookUp'!$D$4:$E$104,2,TRUE))</f>
        <v/>
      </c>
    </row>
    <row r="322" spans="1:32">
      <c r="A322" s="58"/>
      <c r="B322" s="58"/>
      <c r="C322" s="58"/>
      <c r="D322" s="58"/>
      <c r="E322" s="58"/>
      <c r="F322" s="62"/>
      <c r="G322" s="63"/>
      <c r="H322" s="84"/>
      <c r="I322" s="61"/>
      <c r="J322" s="61"/>
      <c r="K322" s="61"/>
      <c r="L322" s="61"/>
      <c r="M322" s="103" t="str">
        <f t="shared" si="20"/>
        <v/>
      </c>
      <c r="N322" s="84"/>
      <c r="O322" s="61"/>
      <c r="P322" s="61"/>
      <c r="Q322" s="213"/>
      <c r="R322" s="64"/>
      <c r="S322" s="65" t="str">
        <f t="shared" si="21"/>
        <v/>
      </c>
      <c r="T322" s="104" t="str">
        <f t="shared" si="22"/>
        <v/>
      </c>
      <c r="U322" s="84"/>
      <c r="V322" s="61"/>
      <c r="W322" s="61"/>
      <c r="X322" s="61"/>
      <c r="Y322" s="61"/>
      <c r="Z322" s="73" t="str">
        <f t="shared" si="23"/>
        <v/>
      </c>
      <c r="AA322" s="61"/>
      <c r="AB322" s="106" t="str">
        <f t="shared" si="24"/>
        <v/>
      </c>
      <c r="AE322" s="107" t="str">
        <f>IF($S322="","",VLOOKUP($S322,'ORF Accuracy Value LookUp'!$A$4:$B$104,2,TRUE))</f>
        <v/>
      </c>
      <c r="AF322" s="108" t="str">
        <f>IF($Z322="","",VLOOKUP($Z322,'ORF Accuracy Value LookUp'!$D$4:$E$104,2,TRUE))</f>
        <v/>
      </c>
    </row>
    <row r="323" spans="1:32">
      <c r="A323" s="58"/>
      <c r="B323" s="58"/>
      <c r="C323" s="58"/>
      <c r="D323" s="58"/>
      <c r="E323" s="58"/>
      <c r="F323" s="62"/>
      <c r="G323" s="63"/>
      <c r="H323" s="84"/>
      <c r="I323" s="61"/>
      <c r="J323" s="61"/>
      <c r="K323" s="61"/>
      <c r="L323" s="61"/>
      <c r="M323" s="103" t="str">
        <f t="shared" ref="M323:M386" si="25">IF($B323="","",SUM($I323:$K323))</f>
        <v/>
      </c>
      <c r="N323" s="84"/>
      <c r="O323" s="61"/>
      <c r="P323" s="61"/>
      <c r="Q323" s="213"/>
      <c r="R323" s="64"/>
      <c r="S323" s="65" t="str">
        <f t="shared" ref="S323:S386" si="26">IF($Q323="","",SUM($Q323/($Q323+$R323)))</f>
        <v/>
      </c>
      <c r="T323" s="104" t="str">
        <f t="shared" si="22"/>
        <v/>
      </c>
      <c r="U323" s="84"/>
      <c r="V323" s="61"/>
      <c r="W323" s="61"/>
      <c r="X323" s="61"/>
      <c r="Y323" s="61"/>
      <c r="Z323" s="73" t="str">
        <f t="shared" si="23"/>
        <v/>
      </c>
      <c r="AA323" s="61"/>
      <c r="AB323" s="106" t="str">
        <f t="shared" si="24"/>
        <v/>
      </c>
      <c r="AE323" s="107" t="str">
        <f>IF($S323="","",VLOOKUP($S323,'ORF Accuracy Value LookUp'!$A$4:$B$104,2,TRUE))</f>
        <v/>
      </c>
      <c r="AF323" s="108" t="str">
        <f>IF($Z323="","",VLOOKUP($Z323,'ORF Accuracy Value LookUp'!$D$4:$E$104,2,TRUE))</f>
        <v/>
      </c>
    </row>
    <row r="324" spans="1:32">
      <c r="A324" s="58"/>
      <c r="B324" s="58"/>
      <c r="C324" s="58"/>
      <c r="D324" s="58"/>
      <c r="E324" s="58"/>
      <c r="F324" s="62"/>
      <c r="G324" s="63"/>
      <c r="H324" s="84"/>
      <c r="I324" s="61"/>
      <c r="J324" s="61"/>
      <c r="K324" s="61"/>
      <c r="L324" s="61"/>
      <c r="M324" s="103" t="str">
        <f t="shared" si="25"/>
        <v/>
      </c>
      <c r="N324" s="84"/>
      <c r="O324" s="61"/>
      <c r="P324" s="61"/>
      <c r="Q324" s="213"/>
      <c r="R324" s="64"/>
      <c r="S324" s="65" t="str">
        <f t="shared" si="26"/>
        <v/>
      </c>
      <c r="T324" s="104" t="str">
        <f t="shared" ref="T324:T387" si="27">IF($N324="","",SUM($O324:$Q324,$AE325))</f>
        <v/>
      </c>
      <c r="U324" s="84"/>
      <c r="V324" s="61"/>
      <c r="W324" s="61"/>
      <c r="X324" s="61"/>
      <c r="Y324" s="61"/>
      <c r="Z324" s="73" t="str">
        <f t="shared" ref="Z324:Z387" si="28">IF($X324="","",SUM($X324/($X324+$Y324)))</f>
        <v/>
      </c>
      <c r="AA324" s="61"/>
      <c r="AB324" s="106" t="str">
        <f t="shared" ref="AB324:AB387" si="29">IF($U324="","",SUM(($W324*2)+$X324+$AF324))</f>
        <v/>
      </c>
      <c r="AE324" s="107" t="str">
        <f>IF($S324="","",VLOOKUP($S324,'ORF Accuracy Value LookUp'!$A$4:$B$104,2,TRUE))</f>
        <v/>
      </c>
      <c r="AF324" s="108" t="str">
        <f>IF($Z324="","",VLOOKUP($Z324,'ORF Accuracy Value LookUp'!$D$4:$E$104,2,TRUE))</f>
        <v/>
      </c>
    </row>
    <row r="325" spans="1:32">
      <c r="A325" s="58"/>
      <c r="B325" s="58"/>
      <c r="C325" s="58"/>
      <c r="D325" s="58"/>
      <c r="E325" s="58"/>
      <c r="F325" s="62"/>
      <c r="G325" s="63"/>
      <c r="H325" s="84"/>
      <c r="I325" s="61"/>
      <c r="J325" s="61"/>
      <c r="K325" s="61"/>
      <c r="L325" s="61"/>
      <c r="M325" s="103" t="str">
        <f t="shared" si="25"/>
        <v/>
      </c>
      <c r="N325" s="84"/>
      <c r="O325" s="61"/>
      <c r="P325" s="61"/>
      <c r="Q325" s="213"/>
      <c r="R325" s="64"/>
      <c r="S325" s="65" t="str">
        <f t="shared" si="26"/>
        <v/>
      </c>
      <c r="T325" s="104" t="str">
        <f t="shared" si="27"/>
        <v/>
      </c>
      <c r="U325" s="84"/>
      <c r="V325" s="61"/>
      <c r="W325" s="61"/>
      <c r="X325" s="61"/>
      <c r="Y325" s="61"/>
      <c r="Z325" s="73" t="str">
        <f t="shared" si="28"/>
        <v/>
      </c>
      <c r="AA325" s="61"/>
      <c r="AB325" s="106" t="str">
        <f t="shared" si="29"/>
        <v/>
      </c>
      <c r="AE325" s="107" t="str">
        <f>IF($S325="","",VLOOKUP($S325,'ORF Accuracy Value LookUp'!$A$4:$B$104,2,TRUE))</f>
        <v/>
      </c>
      <c r="AF325" s="108" t="str">
        <f>IF($Z325="","",VLOOKUP($Z325,'ORF Accuracy Value LookUp'!$D$4:$E$104,2,TRUE))</f>
        <v/>
      </c>
    </row>
    <row r="326" spans="1:32">
      <c r="A326" s="58"/>
      <c r="B326" s="58"/>
      <c r="C326" s="58"/>
      <c r="D326" s="58"/>
      <c r="E326" s="58"/>
      <c r="F326" s="62"/>
      <c r="G326" s="63"/>
      <c r="H326" s="84"/>
      <c r="I326" s="61"/>
      <c r="J326" s="61"/>
      <c r="K326" s="61"/>
      <c r="L326" s="61"/>
      <c r="M326" s="103" t="str">
        <f t="shared" si="25"/>
        <v/>
      </c>
      <c r="N326" s="84"/>
      <c r="O326" s="61"/>
      <c r="P326" s="61"/>
      <c r="Q326" s="213"/>
      <c r="R326" s="64"/>
      <c r="S326" s="65" t="str">
        <f t="shared" si="26"/>
        <v/>
      </c>
      <c r="T326" s="104" t="str">
        <f t="shared" si="27"/>
        <v/>
      </c>
      <c r="U326" s="84"/>
      <c r="V326" s="61"/>
      <c r="W326" s="61"/>
      <c r="X326" s="61"/>
      <c r="Y326" s="61"/>
      <c r="Z326" s="73" t="str">
        <f t="shared" si="28"/>
        <v/>
      </c>
      <c r="AA326" s="61"/>
      <c r="AB326" s="106" t="str">
        <f t="shared" si="29"/>
        <v/>
      </c>
      <c r="AE326" s="107" t="str">
        <f>IF($S326="","",VLOOKUP($S326,'ORF Accuracy Value LookUp'!$A$4:$B$104,2,TRUE))</f>
        <v/>
      </c>
      <c r="AF326" s="108" t="str">
        <f>IF($Z326="","",VLOOKUP($Z326,'ORF Accuracy Value LookUp'!$D$4:$E$104,2,TRUE))</f>
        <v/>
      </c>
    </row>
    <row r="327" spans="1:32">
      <c r="A327" s="58"/>
      <c r="B327" s="58"/>
      <c r="C327" s="58"/>
      <c r="D327" s="58"/>
      <c r="E327" s="58"/>
      <c r="F327" s="62"/>
      <c r="G327" s="63"/>
      <c r="H327" s="84"/>
      <c r="I327" s="61"/>
      <c r="J327" s="61"/>
      <c r="K327" s="61"/>
      <c r="L327" s="61"/>
      <c r="M327" s="103" t="str">
        <f t="shared" si="25"/>
        <v/>
      </c>
      <c r="N327" s="84"/>
      <c r="O327" s="61"/>
      <c r="P327" s="61"/>
      <c r="Q327" s="213"/>
      <c r="R327" s="64"/>
      <c r="S327" s="65" t="str">
        <f t="shared" si="26"/>
        <v/>
      </c>
      <c r="T327" s="104" t="str">
        <f t="shared" si="27"/>
        <v/>
      </c>
      <c r="U327" s="84"/>
      <c r="V327" s="61"/>
      <c r="W327" s="61"/>
      <c r="X327" s="61"/>
      <c r="Y327" s="61"/>
      <c r="Z327" s="73" t="str">
        <f t="shared" si="28"/>
        <v/>
      </c>
      <c r="AA327" s="61"/>
      <c r="AB327" s="106" t="str">
        <f t="shared" si="29"/>
        <v/>
      </c>
      <c r="AE327" s="107" t="str">
        <f>IF($S327="","",VLOOKUP($S327,'ORF Accuracy Value LookUp'!$A$4:$B$104,2,TRUE))</f>
        <v/>
      </c>
      <c r="AF327" s="108" t="str">
        <f>IF($Z327="","",VLOOKUP($Z327,'ORF Accuracy Value LookUp'!$D$4:$E$104,2,TRUE))</f>
        <v/>
      </c>
    </row>
    <row r="328" spans="1:32">
      <c r="A328" s="58"/>
      <c r="B328" s="58"/>
      <c r="C328" s="58"/>
      <c r="D328" s="58"/>
      <c r="E328" s="58"/>
      <c r="F328" s="62"/>
      <c r="G328" s="63"/>
      <c r="H328" s="84"/>
      <c r="I328" s="61"/>
      <c r="J328" s="61"/>
      <c r="K328" s="61"/>
      <c r="L328" s="61"/>
      <c r="M328" s="103" t="str">
        <f t="shared" si="25"/>
        <v/>
      </c>
      <c r="N328" s="84"/>
      <c r="O328" s="61"/>
      <c r="P328" s="61"/>
      <c r="Q328" s="213"/>
      <c r="R328" s="64"/>
      <c r="S328" s="65" t="str">
        <f t="shared" si="26"/>
        <v/>
      </c>
      <c r="T328" s="104" t="str">
        <f t="shared" si="27"/>
        <v/>
      </c>
      <c r="U328" s="84"/>
      <c r="V328" s="61"/>
      <c r="W328" s="61"/>
      <c r="X328" s="61"/>
      <c r="Y328" s="61"/>
      <c r="Z328" s="73" t="str">
        <f t="shared" si="28"/>
        <v/>
      </c>
      <c r="AA328" s="61"/>
      <c r="AB328" s="106" t="str">
        <f t="shared" si="29"/>
        <v/>
      </c>
      <c r="AE328" s="107" t="str">
        <f>IF($S328="","",VLOOKUP($S328,'ORF Accuracy Value LookUp'!$A$4:$B$104,2,TRUE))</f>
        <v/>
      </c>
      <c r="AF328" s="108" t="str">
        <f>IF($Z328="","",VLOOKUP($Z328,'ORF Accuracy Value LookUp'!$D$4:$E$104,2,TRUE))</f>
        <v/>
      </c>
    </row>
    <row r="329" spans="1:32">
      <c r="A329" s="58"/>
      <c r="B329" s="58"/>
      <c r="C329" s="58"/>
      <c r="D329" s="58"/>
      <c r="E329" s="58"/>
      <c r="F329" s="62"/>
      <c r="G329" s="63"/>
      <c r="H329" s="84"/>
      <c r="I329" s="61"/>
      <c r="J329" s="61"/>
      <c r="K329" s="61"/>
      <c r="L329" s="61"/>
      <c r="M329" s="103" t="str">
        <f t="shared" si="25"/>
        <v/>
      </c>
      <c r="N329" s="84"/>
      <c r="O329" s="61"/>
      <c r="P329" s="61"/>
      <c r="Q329" s="213"/>
      <c r="R329" s="64"/>
      <c r="S329" s="65" t="str">
        <f t="shared" si="26"/>
        <v/>
      </c>
      <c r="T329" s="104" t="str">
        <f t="shared" si="27"/>
        <v/>
      </c>
      <c r="U329" s="84"/>
      <c r="V329" s="61"/>
      <c r="W329" s="61"/>
      <c r="X329" s="61"/>
      <c r="Y329" s="61"/>
      <c r="Z329" s="73" t="str">
        <f t="shared" si="28"/>
        <v/>
      </c>
      <c r="AA329" s="61"/>
      <c r="AB329" s="106" t="str">
        <f t="shared" si="29"/>
        <v/>
      </c>
      <c r="AE329" s="107" t="str">
        <f>IF($S329="","",VLOOKUP($S329,'ORF Accuracy Value LookUp'!$A$4:$B$104,2,TRUE))</f>
        <v/>
      </c>
      <c r="AF329" s="108" t="str">
        <f>IF($Z329="","",VLOOKUP($Z329,'ORF Accuracy Value LookUp'!$D$4:$E$104,2,TRUE))</f>
        <v/>
      </c>
    </row>
    <row r="330" spans="1:32">
      <c r="A330" s="58"/>
      <c r="B330" s="58"/>
      <c r="C330" s="58"/>
      <c r="D330" s="58"/>
      <c r="E330" s="58"/>
      <c r="F330" s="62"/>
      <c r="G330" s="63"/>
      <c r="H330" s="84"/>
      <c r="I330" s="61"/>
      <c r="J330" s="61"/>
      <c r="K330" s="61"/>
      <c r="L330" s="61"/>
      <c r="M330" s="103" t="str">
        <f t="shared" si="25"/>
        <v/>
      </c>
      <c r="N330" s="84"/>
      <c r="O330" s="61"/>
      <c r="P330" s="61"/>
      <c r="Q330" s="213"/>
      <c r="R330" s="64"/>
      <c r="S330" s="65" t="str">
        <f t="shared" si="26"/>
        <v/>
      </c>
      <c r="T330" s="104" t="str">
        <f t="shared" si="27"/>
        <v/>
      </c>
      <c r="U330" s="84"/>
      <c r="V330" s="61"/>
      <c r="W330" s="61"/>
      <c r="X330" s="61"/>
      <c r="Y330" s="61"/>
      <c r="Z330" s="73" t="str">
        <f t="shared" si="28"/>
        <v/>
      </c>
      <c r="AA330" s="61"/>
      <c r="AB330" s="106" t="str">
        <f t="shared" si="29"/>
        <v/>
      </c>
      <c r="AE330" s="107" t="str">
        <f>IF($S330="","",VLOOKUP($S330,'ORF Accuracy Value LookUp'!$A$4:$B$104,2,TRUE))</f>
        <v/>
      </c>
      <c r="AF330" s="108" t="str">
        <f>IF($Z330="","",VLOOKUP($Z330,'ORF Accuracy Value LookUp'!$D$4:$E$104,2,TRUE))</f>
        <v/>
      </c>
    </row>
    <row r="331" spans="1:32">
      <c r="A331" s="58"/>
      <c r="B331" s="58"/>
      <c r="C331" s="58"/>
      <c r="D331" s="58"/>
      <c r="E331" s="58"/>
      <c r="F331" s="62"/>
      <c r="G331" s="63"/>
      <c r="H331" s="84"/>
      <c r="I331" s="61"/>
      <c r="J331" s="61"/>
      <c r="K331" s="61"/>
      <c r="L331" s="61"/>
      <c r="M331" s="103" t="str">
        <f t="shared" si="25"/>
        <v/>
      </c>
      <c r="N331" s="84"/>
      <c r="O331" s="61"/>
      <c r="P331" s="61"/>
      <c r="Q331" s="213"/>
      <c r="R331" s="64"/>
      <c r="S331" s="65" t="str">
        <f t="shared" si="26"/>
        <v/>
      </c>
      <c r="T331" s="104" t="str">
        <f t="shared" si="27"/>
        <v/>
      </c>
      <c r="U331" s="84"/>
      <c r="V331" s="61"/>
      <c r="W331" s="61"/>
      <c r="X331" s="61"/>
      <c r="Y331" s="61"/>
      <c r="Z331" s="73" t="str">
        <f t="shared" si="28"/>
        <v/>
      </c>
      <c r="AA331" s="61"/>
      <c r="AB331" s="106" t="str">
        <f t="shared" si="29"/>
        <v/>
      </c>
      <c r="AE331" s="107" t="str">
        <f>IF($S331="","",VLOOKUP($S331,'ORF Accuracy Value LookUp'!$A$4:$B$104,2,TRUE))</f>
        <v/>
      </c>
      <c r="AF331" s="108" t="str">
        <f>IF($Z331="","",VLOOKUP($Z331,'ORF Accuracy Value LookUp'!$D$4:$E$104,2,TRUE))</f>
        <v/>
      </c>
    </row>
    <row r="332" spans="1:32">
      <c r="A332" s="58"/>
      <c r="B332" s="58"/>
      <c r="C332" s="58"/>
      <c r="D332" s="58"/>
      <c r="E332" s="58"/>
      <c r="F332" s="62"/>
      <c r="G332" s="63"/>
      <c r="H332" s="84"/>
      <c r="I332" s="61"/>
      <c r="J332" s="61"/>
      <c r="K332" s="61"/>
      <c r="L332" s="61"/>
      <c r="M332" s="103" t="str">
        <f t="shared" si="25"/>
        <v/>
      </c>
      <c r="N332" s="84"/>
      <c r="O332" s="61"/>
      <c r="P332" s="61"/>
      <c r="Q332" s="213"/>
      <c r="R332" s="64"/>
      <c r="S332" s="65" t="str">
        <f t="shared" si="26"/>
        <v/>
      </c>
      <c r="T332" s="104" t="str">
        <f t="shared" si="27"/>
        <v/>
      </c>
      <c r="U332" s="84"/>
      <c r="V332" s="61"/>
      <c r="W332" s="61"/>
      <c r="X332" s="61"/>
      <c r="Y332" s="61"/>
      <c r="Z332" s="73" t="str">
        <f t="shared" si="28"/>
        <v/>
      </c>
      <c r="AA332" s="61"/>
      <c r="AB332" s="106" t="str">
        <f t="shared" si="29"/>
        <v/>
      </c>
      <c r="AE332" s="107" t="str">
        <f>IF($S332="","",VLOOKUP($S332,'ORF Accuracy Value LookUp'!$A$4:$B$104,2,TRUE))</f>
        <v/>
      </c>
      <c r="AF332" s="108" t="str">
        <f>IF($Z332="","",VLOOKUP($Z332,'ORF Accuracy Value LookUp'!$D$4:$E$104,2,TRUE))</f>
        <v/>
      </c>
    </row>
    <row r="333" spans="1:32">
      <c r="A333" s="58"/>
      <c r="B333" s="58"/>
      <c r="C333" s="58"/>
      <c r="D333" s="58"/>
      <c r="E333" s="58"/>
      <c r="F333" s="62"/>
      <c r="G333" s="63"/>
      <c r="H333" s="84"/>
      <c r="I333" s="61"/>
      <c r="J333" s="61"/>
      <c r="K333" s="61"/>
      <c r="L333" s="61"/>
      <c r="M333" s="103" t="str">
        <f t="shared" si="25"/>
        <v/>
      </c>
      <c r="N333" s="84"/>
      <c r="O333" s="61"/>
      <c r="P333" s="61"/>
      <c r="Q333" s="213"/>
      <c r="R333" s="64"/>
      <c r="S333" s="65" t="str">
        <f t="shared" si="26"/>
        <v/>
      </c>
      <c r="T333" s="104" t="str">
        <f t="shared" si="27"/>
        <v/>
      </c>
      <c r="U333" s="84"/>
      <c r="V333" s="61"/>
      <c r="W333" s="61"/>
      <c r="X333" s="61"/>
      <c r="Y333" s="61"/>
      <c r="Z333" s="73" t="str">
        <f t="shared" si="28"/>
        <v/>
      </c>
      <c r="AA333" s="61"/>
      <c r="AB333" s="106" t="str">
        <f t="shared" si="29"/>
        <v/>
      </c>
      <c r="AE333" s="107" t="str">
        <f>IF($S333="","",VLOOKUP($S333,'ORF Accuracy Value LookUp'!$A$4:$B$104,2,TRUE))</f>
        <v/>
      </c>
      <c r="AF333" s="108" t="str">
        <f>IF($Z333="","",VLOOKUP($Z333,'ORF Accuracy Value LookUp'!$D$4:$E$104,2,TRUE))</f>
        <v/>
      </c>
    </row>
    <row r="334" spans="1:32">
      <c r="A334" s="58"/>
      <c r="B334" s="58"/>
      <c r="C334" s="58"/>
      <c r="D334" s="58"/>
      <c r="E334" s="58"/>
      <c r="F334" s="62"/>
      <c r="G334" s="63"/>
      <c r="H334" s="84"/>
      <c r="I334" s="61"/>
      <c r="J334" s="61"/>
      <c r="K334" s="61"/>
      <c r="L334" s="61"/>
      <c r="M334" s="103" t="str">
        <f t="shared" si="25"/>
        <v/>
      </c>
      <c r="N334" s="84"/>
      <c r="O334" s="61"/>
      <c r="P334" s="61"/>
      <c r="Q334" s="213"/>
      <c r="R334" s="64"/>
      <c r="S334" s="65" t="str">
        <f t="shared" si="26"/>
        <v/>
      </c>
      <c r="T334" s="104" t="str">
        <f t="shared" si="27"/>
        <v/>
      </c>
      <c r="U334" s="84"/>
      <c r="V334" s="61"/>
      <c r="W334" s="61"/>
      <c r="X334" s="61"/>
      <c r="Y334" s="61"/>
      <c r="Z334" s="73" t="str">
        <f t="shared" si="28"/>
        <v/>
      </c>
      <c r="AA334" s="61"/>
      <c r="AB334" s="106" t="str">
        <f t="shared" si="29"/>
        <v/>
      </c>
      <c r="AE334" s="107" t="str">
        <f>IF($S334="","",VLOOKUP($S334,'ORF Accuracy Value LookUp'!$A$4:$B$104,2,TRUE))</f>
        <v/>
      </c>
      <c r="AF334" s="108" t="str">
        <f>IF($Z334="","",VLOOKUP($Z334,'ORF Accuracy Value LookUp'!$D$4:$E$104,2,TRUE))</f>
        <v/>
      </c>
    </row>
    <row r="335" spans="1:32">
      <c r="A335" s="58"/>
      <c r="B335" s="58"/>
      <c r="C335" s="58"/>
      <c r="D335" s="58"/>
      <c r="E335" s="58"/>
      <c r="F335" s="62"/>
      <c r="G335" s="63"/>
      <c r="H335" s="84"/>
      <c r="I335" s="61"/>
      <c r="J335" s="61"/>
      <c r="K335" s="61"/>
      <c r="L335" s="61"/>
      <c r="M335" s="103" t="str">
        <f t="shared" si="25"/>
        <v/>
      </c>
      <c r="N335" s="84"/>
      <c r="O335" s="61"/>
      <c r="P335" s="61"/>
      <c r="Q335" s="213"/>
      <c r="R335" s="64"/>
      <c r="S335" s="65" t="str">
        <f t="shared" si="26"/>
        <v/>
      </c>
      <c r="T335" s="104" t="str">
        <f t="shared" si="27"/>
        <v/>
      </c>
      <c r="U335" s="84"/>
      <c r="V335" s="61"/>
      <c r="W335" s="61"/>
      <c r="X335" s="61"/>
      <c r="Y335" s="61"/>
      <c r="Z335" s="73" t="str">
        <f t="shared" si="28"/>
        <v/>
      </c>
      <c r="AA335" s="61"/>
      <c r="AB335" s="106" t="str">
        <f t="shared" si="29"/>
        <v/>
      </c>
      <c r="AE335" s="107" t="str">
        <f>IF($S335="","",VLOOKUP($S335,'ORF Accuracy Value LookUp'!$A$4:$B$104,2,TRUE))</f>
        <v/>
      </c>
      <c r="AF335" s="108" t="str">
        <f>IF($Z335="","",VLOOKUP($Z335,'ORF Accuracy Value LookUp'!$D$4:$E$104,2,TRUE))</f>
        <v/>
      </c>
    </row>
    <row r="336" spans="1:32">
      <c r="A336" s="58"/>
      <c r="B336" s="58"/>
      <c r="C336" s="58"/>
      <c r="D336" s="58"/>
      <c r="E336" s="58"/>
      <c r="F336" s="62"/>
      <c r="G336" s="63"/>
      <c r="H336" s="84"/>
      <c r="I336" s="61"/>
      <c r="J336" s="61"/>
      <c r="K336" s="61"/>
      <c r="L336" s="61"/>
      <c r="M336" s="103" t="str">
        <f t="shared" si="25"/>
        <v/>
      </c>
      <c r="N336" s="84"/>
      <c r="O336" s="61"/>
      <c r="P336" s="61"/>
      <c r="Q336" s="213"/>
      <c r="R336" s="64"/>
      <c r="S336" s="65" t="str">
        <f t="shared" si="26"/>
        <v/>
      </c>
      <c r="T336" s="104" t="str">
        <f t="shared" si="27"/>
        <v/>
      </c>
      <c r="U336" s="84"/>
      <c r="V336" s="61"/>
      <c r="W336" s="61"/>
      <c r="X336" s="61"/>
      <c r="Y336" s="61"/>
      <c r="Z336" s="73" t="str">
        <f t="shared" si="28"/>
        <v/>
      </c>
      <c r="AA336" s="61"/>
      <c r="AB336" s="106" t="str">
        <f t="shared" si="29"/>
        <v/>
      </c>
      <c r="AE336" s="107" t="str">
        <f>IF($S336="","",VLOOKUP($S336,'ORF Accuracy Value LookUp'!$A$4:$B$104,2,TRUE))</f>
        <v/>
      </c>
      <c r="AF336" s="108" t="str">
        <f>IF($Z336="","",VLOOKUP($Z336,'ORF Accuracy Value LookUp'!$D$4:$E$104,2,TRUE))</f>
        <v/>
      </c>
    </row>
    <row r="337" spans="1:32">
      <c r="A337" s="58"/>
      <c r="B337" s="58"/>
      <c r="C337" s="58"/>
      <c r="D337" s="58"/>
      <c r="E337" s="58"/>
      <c r="F337" s="62"/>
      <c r="G337" s="63"/>
      <c r="H337" s="84"/>
      <c r="I337" s="61"/>
      <c r="J337" s="61"/>
      <c r="K337" s="61"/>
      <c r="L337" s="61"/>
      <c r="M337" s="103" t="str">
        <f t="shared" si="25"/>
        <v/>
      </c>
      <c r="N337" s="84"/>
      <c r="O337" s="61"/>
      <c r="P337" s="61"/>
      <c r="Q337" s="213"/>
      <c r="R337" s="64"/>
      <c r="S337" s="65" t="str">
        <f t="shared" si="26"/>
        <v/>
      </c>
      <c r="T337" s="104" t="str">
        <f t="shared" si="27"/>
        <v/>
      </c>
      <c r="U337" s="84"/>
      <c r="V337" s="61"/>
      <c r="W337" s="61"/>
      <c r="X337" s="61"/>
      <c r="Y337" s="61"/>
      <c r="Z337" s="73" t="str">
        <f t="shared" si="28"/>
        <v/>
      </c>
      <c r="AA337" s="61"/>
      <c r="AB337" s="106" t="str">
        <f t="shared" si="29"/>
        <v/>
      </c>
      <c r="AE337" s="107" t="str">
        <f>IF($S337="","",VLOOKUP($S337,'ORF Accuracy Value LookUp'!$A$4:$B$104,2,TRUE))</f>
        <v/>
      </c>
      <c r="AF337" s="108" t="str">
        <f>IF($Z337="","",VLOOKUP($Z337,'ORF Accuracy Value LookUp'!$D$4:$E$104,2,TRUE))</f>
        <v/>
      </c>
    </row>
    <row r="338" spans="1:32">
      <c r="A338" s="58"/>
      <c r="B338" s="58"/>
      <c r="C338" s="58"/>
      <c r="D338" s="58"/>
      <c r="E338" s="58"/>
      <c r="F338" s="62"/>
      <c r="G338" s="63"/>
      <c r="H338" s="84"/>
      <c r="I338" s="61"/>
      <c r="J338" s="61"/>
      <c r="K338" s="61"/>
      <c r="L338" s="61"/>
      <c r="M338" s="103" t="str">
        <f t="shared" si="25"/>
        <v/>
      </c>
      <c r="N338" s="84"/>
      <c r="O338" s="61"/>
      <c r="P338" s="61"/>
      <c r="Q338" s="213"/>
      <c r="R338" s="64"/>
      <c r="S338" s="65" t="str">
        <f t="shared" si="26"/>
        <v/>
      </c>
      <c r="T338" s="104" t="str">
        <f t="shared" si="27"/>
        <v/>
      </c>
      <c r="U338" s="84"/>
      <c r="V338" s="61"/>
      <c r="W338" s="61"/>
      <c r="X338" s="61"/>
      <c r="Y338" s="61"/>
      <c r="Z338" s="73" t="str">
        <f t="shared" si="28"/>
        <v/>
      </c>
      <c r="AA338" s="61"/>
      <c r="AB338" s="106" t="str">
        <f t="shared" si="29"/>
        <v/>
      </c>
      <c r="AE338" s="107" t="str">
        <f>IF($S338="","",VLOOKUP($S338,'ORF Accuracy Value LookUp'!$A$4:$B$104,2,TRUE))</f>
        <v/>
      </c>
      <c r="AF338" s="108" t="str">
        <f>IF($Z338="","",VLOOKUP($Z338,'ORF Accuracy Value LookUp'!$D$4:$E$104,2,TRUE))</f>
        <v/>
      </c>
    </row>
    <row r="339" spans="1:32">
      <c r="A339" s="58"/>
      <c r="B339" s="58"/>
      <c r="C339" s="58"/>
      <c r="D339" s="58"/>
      <c r="E339" s="58"/>
      <c r="F339" s="62"/>
      <c r="G339" s="63"/>
      <c r="H339" s="84"/>
      <c r="I339" s="61"/>
      <c r="J339" s="61"/>
      <c r="K339" s="61"/>
      <c r="L339" s="61"/>
      <c r="M339" s="103" t="str">
        <f t="shared" si="25"/>
        <v/>
      </c>
      <c r="N339" s="84"/>
      <c r="O339" s="61"/>
      <c r="P339" s="61"/>
      <c r="Q339" s="213"/>
      <c r="R339" s="64"/>
      <c r="S339" s="65" t="str">
        <f t="shared" si="26"/>
        <v/>
      </c>
      <c r="T339" s="104" t="str">
        <f t="shared" si="27"/>
        <v/>
      </c>
      <c r="U339" s="84"/>
      <c r="V339" s="61"/>
      <c r="W339" s="61"/>
      <c r="X339" s="61"/>
      <c r="Y339" s="61"/>
      <c r="Z339" s="73" t="str">
        <f t="shared" si="28"/>
        <v/>
      </c>
      <c r="AA339" s="61"/>
      <c r="AB339" s="106" t="str">
        <f t="shared" si="29"/>
        <v/>
      </c>
      <c r="AE339" s="107" t="str">
        <f>IF($S339="","",VLOOKUP($S339,'ORF Accuracy Value LookUp'!$A$4:$B$104,2,TRUE))</f>
        <v/>
      </c>
      <c r="AF339" s="108" t="str">
        <f>IF($Z339="","",VLOOKUP($Z339,'ORF Accuracy Value LookUp'!$D$4:$E$104,2,TRUE))</f>
        <v/>
      </c>
    </row>
    <row r="340" spans="1:32">
      <c r="A340" s="58"/>
      <c r="B340" s="58"/>
      <c r="C340" s="58"/>
      <c r="D340" s="58"/>
      <c r="E340" s="58"/>
      <c r="F340" s="62"/>
      <c r="G340" s="63"/>
      <c r="H340" s="84"/>
      <c r="I340" s="61"/>
      <c r="J340" s="61"/>
      <c r="K340" s="61"/>
      <c r="L340" s="61"/>
      <c r="M340" s="103" t="str">
        <f t="shared" si="25"/>
        <v/>
      </c>
      <c r="N340" s="84"/>
      <c r="O340" s="61"/>
      <c r="P340" s="61"/>
      <c r="Q340" s="213"/>
      <c r="R340" s="64"/>
      <c r="S340" s="65" t="str">
        <f t="shared" si="26"/>
        <v/>
      </c>
      <c r="T340" s="104" t="str">
        <f t="shared" si="27"/>
        <v/>
      </c>
      <c r="U340" s="84"/>
      <c r="V340" s="61"/>
      <c r="W340" s="61"/>
      <c r="X340" s="61"/>
      <c r="Y340" s="61"/>
      <c r="Z340" s="73" t="str">
        <f t="shared" si="28"/>
        <v/>
      </c>
      <c r="AA340" s="61"/>
      <c r="AB340" s="106" t="str">
        <f t="shared" si="29"/>
        <v/>
      </c>
      <c r="AE340" s="107" t="str">
        <f>IF($S340="","",VLOOKUP($S340,'ORF Accuracy Value LookUp'!$A$4:$B$104,2,TRUE))</f>
        <v/>
      </c>
      <c r="AF340" s="108" t="str">
        <f>IF($Z340="","",VLOOKUP($Z340,'ORF Accuracy Value LookUp'!$D$4:$E$104,2,TRUE))</f>
        <v/>
      </c>
    </row>
    <row r="341" spans="1:32">
      <c r="A341" s="58"/>
      <c r="B341" s="58"/>
      <c r="C341" s="58"/>
      <c r="D341" s="58"/>
      <c r="E341" s="58"/>
      <c r="F341" s="62"/>
      <c r="G341" s="63"/>
      <c r="H341" s="84"/>
      <c r="I341" s="61"/>
      <c r="J341" s="61"/>
      <c r="K341" s="61"/>
      <c r="L341" s="61"/>
      <c r="M341" s="103" t="str">
        <f t="shared" si="25"/>
        <v/>
      </c>
      <c r="N341" s="84"/>
      <c r="O341" s="61"/>
      <c r="P341" s="61"/>
      <c r="Q341" s="213"/>
      <c r="R341" s="64"/>
      <c r="S341" s="65" t="str">
        <f t="shared" si="26"/>
        <v/>
      </c>
      <c r="T341" s="104" t="str">
        <f t="shared" si="27"/>
        <v/>
      </c>
      <c r="U341" s="84"/>
      <c r="V341" s="61"/>
      <c r="W341" s="61"/>
      <c r="X341" s="61"/>
      <c r="Y341" s="61"/>
      <c r="Z341" s="73" t="str">
        <f t="shared" si="28"/>
        <v/>
      </c>
      <c r="AA341" s="61"/>
      <c r="AB341" s="106" t="str">
        <f t="shared" si="29"/>
        <v/>
      </c>
      <c r="AE341" s="107" t="str">
        <f>IF($S341="","",VLOOKUP($S341,'ORF Accuracy Value LookUp'!$A$4:$B$104,2,TRUE))</f>
        <v/>
      </c>
      <c r="AF341" s="108" t="str">
        <f>IF($Z341="","",VLOOKUP($Z341,'ORF Accuracy Value LookUp'!$D$4:$E$104,2,TRUE))</f>
        <v/>
      </c>
    </row>
    <row r="342" spans="1:32">
      <c r="A342" s="58"/>
      <c r="B342" s="58"/>
      <c r="C342" s="58"/>
      <c r="D342" s="58"/>
      <c r="E342" s="58"/>
      <c r="F342" s="62"/>
      <c r="G342" s="63"/>
      <c r="H342" s="84"/>
      <c r="I342" s="61"/>
      <c r="J342" s="61"/>
      <c r="K342" s="61"/>
      <c r="L342" s="61"/>
      <c r="M342" s="103" t="str">
        <f t="shared" si="25"/>
        <v/>
      </c>
      <c r="N342" s="84"/>
      <c r="O342" s="61"/>
      <c r="P342" s="61"/>
      <c r="Q342" s="213"/>
      <c r="R342" s="64"/>
      <c r="S342" s="65" t="str">
        <f t="shared" si="26"/>
        <v/>
      </c>
      <c r="T342" s="104" t="str">
        <f t="shared" si="27"/>
        <v/>
      </c>
      <c r="U342" s="84"/>
      <c r="V342" s="61"/>
      <c r="W342" s="61"/>
      <c r="X342" s="61"/>
      <c r="Y342" s="61"/>
      <c r="Z342" s="73" t="str">
        <f t="shared" si="28"/>
        <v/>
      </c>
      <c r="AA342" s="61"/>
      <c r="AB342" s="106" t="str">
        <f t="shared" si="29"/>
        <v/>
      </c>
      <c r="AE342" s="107" t="str">
        <f>IF($S342="","",VLOOKUP($S342,'ORF Accuracy Value LookUp'!$A$4:$B$104,2,TRUE))</f>
        <v/>
      </c>
      <c r="AF342" s="108" t="str">
        <f>IF($Z342="","",VLOOKUP($Z342,'ORF Accuracy Value LookUp'!$D$4:$E$104,2,TRUE))</f>
        <v/>
      </c>
    </row>
    <row r="343" spans="1:32">
      <c r="A343" s="58"/>
      <c r="B343" s="58"/>
      <c r="C343" s="58"/>
      <c r="D343" s="58"/>
      <c r="E343" s="58"/>
      <c r="F343" s="62"/>
      <c r="G343" s="63"/>
      <c r="H343" s="84"/>
      <c r="I343" s="61"/>
      <c r="J343" s="61"/>
      <c r="K343" s="61"/>
      <c r="L343" s="61"/>
      <c r="M343" s="103" t="str">
        <f t="shared" si="25"/>
        <v/>
      </c>
      <c r="N343" s="84"/>
      <c r="O343" s="61"/>
      <c r="P343" s="61"/>
      <c r="Q343" s="213"/>
      <c r="R343" s="64"/>
      <c r="S343" s="65" t="str">
        <f t="shared" si="26"/>
        <v/>
      </c>
      <c r="T343" s="104" t="str">
        <f t="shared" si="27"/>
        <v/>
      </c>
      <c r="U343" s="84"/>
      <c r="V343" s="61"/>
      <c r="W343" s="61"/>
      <c r="X343" s="61"/>
      <c r="Y343" s="61"/>
      <c r="Z343" s="73" t="str">
        <f t="shared" si="28"/>
        <v/>
      </c>
      <c r="AA343" s="61"/>
      <c r="AB343" s="106" t="str">
        <f t="shared" si="29"/>
        <v/>
      </c>
      <c r="AE343" s="107" t="str">
        <f>IF($S343="","",VLOOKUP($S343,'ORF Accuracy Value LookUp'!$A$4:$B$104,2,TRUE))</f>
        <v/>
      </c>
      <c r="AF343" s="108" t="str">
        <f>IF($Z343="","",VLOOKUP($Z343,'ORF Accuracy Value LookUp'!$D$4:$E$104,2,TRUE))</f>
        <v/>
      </c>
    </row>
    <row r="344" spans="1:32">
      <c r="A344" s="58"/>
      <c r="B344" s="58"/>
      <c r="C344" s="58"/>
      <c r="D344" s="58"/>
      <c r="E344" s="58"/>
      <c r="F344" s="62"/>
      <c r="G344" s="63"/>
      <c r="H344" s="84"/>
      <c r="I344" s="61"/>
      <c r="J344" s="61"/>
      <c r="K344" s="61"/>
      <c r="L344" s="61"/>
      <c r="M344" s="103" t="str">
        <f t="shared" si="25"/>
        <v/>
      </c>
      <c r="N344" s="84"/>
      <c r="O344" s="61"/>
      <c r="P344" s="61"/>
      <c r="Q344" s="213"/>
      <c r="R344" s="64"/>
      <c r="S344" s="65" t="str">
        <f t="shared" si="26"/>
        <v/>
      </c>
      <c r="T344" s="104" t="str">
        <f t="shared" si="27"/>
        <v/>
      </c>
      <c r="U344" s="84"/>
      <c r="V344" s="61"/>
      <c r="W344" s="61"/>
      <c r="X344" s="61"/>
      <c r="Y344" s="61"/>
      <c r="Z344" s="73" t="str">
        <f t="shared" si="28"/>
        <v/>
      </c>
      <c r="AA344" s="61"/>
      <c r="AB344" s="106" t="str">
        <f t="shared" si="29"/>
        <v/>
      </c>
      <c r="AE344" s="107" t="str">
        <f>IF($S344="","",VLOOKUP($S344,'ORF Accuracy Value LookUp'!$A$4:$B$104,2,TRUE))</f>
        <v/>
      </c>
      <c r="AF344" s="108" t="str">
        <f>IF($Z344="","",VLOOKUP($Z344,'ORF Accuracy Value LookUp'!$D$4:$E$104,2,TRUE))</f>
        <v/>
      </c>
    </row>
    <row r="345" spans="1:32">
      <c r="A345" s="58"/>
      <c r="B345" s="58"/>
      <c r="C345" s="58"/>
      <c r="D345" s="58"/>
      <c r="E345" s="58"/>
      <c r="F345" s="62"/>
      <c r="G345" s="63"/>
      <c r="H345" s="84"/>
      <c r="I345" s="61"/>
      <c r="J345" s="61"/>
      <c r="K345" s="61"/>
      <c r="L345" s="61"/>
      <c r="M345" s="103" t="str">
        <f t="shared" si="25"/>
        <v/>
      </c>
      <c r="N345" s="84"/>
      <c r="O345" s="61"/>
      <c r="P345" s="61"/>
      <c r="Q345" s="213"/>
      <c r="R345" s="64"/>
      <c r="S345" s="65" t="str">
        <f t="shared" si="26"/>
        <v/>
      </c>
      <c r="T345" s="104" t="str">
        <f t="shared" si="27"/>
        <v/>
      </c>
      <c r="U345" s="84"/>
      <c r="V345" s="61"/>
      <c r="W345" s="61"/>
      <c r="X345" s="61"/>
      <c r="Y345" s="61"/>
      <c r="Z345" s="73" t="str">
        <f t="shared" si="28"/>
        <v/>
      </c>
      <c r="AA345" s="61"/>
      <c r="AB345" s="106" t="str">
        <f t="shared" si="29"/>
        <v/>
      </c>
      <c r="AE345" s="107" t="str">
        <f>IF($S345="","",VLOOKUP($S345,'ORF Accuracy Value LookUp'!$A$4:$B$104,2,TRUE))</f>
        <v/>
      </c>
      <c r="AF345" s="108" t="str">
        <f>IF($Z345="","",VLOOKUP($Z345,'ORF Accuracy Value LookUp'!$D$4:$E$104,2,TRUE))</f>
        <v/>
      </c>
    </row>
    <row r="346" spans="1:32">
      <c r="A346" s="58"/>
      <c r="B346" s="58"/>
      <c r="C346" s="58"/>
      <c r="D346" s="58"/>
      <c r="E346" s="58"/>
      <c r="F346" s="62"/>
      <c r="G346" s="63"/>
      <c r="H346" s="84"/>
      <c r="I346" s="61"/>
      <c r="J346" s="61"/>
      <c r="K346" s="61"/>
      <c r="L346" s="61"/>
      <c r="M346" s="103" t="str">
        <f t="shared" si="25"/>
        <v/>
      </c>
      <c r="N346" s="84"/>
      <c r="O346" s="61"/>
      <c r="P346" s="61"/>
      <c r="Q346" s="213"/>
      <c r="R346" s="64"/>
      <c r="S346" s="65" t="str">
        <f t="shared" si="26"/>
        <v/>
      </c>
      <c r="T346" s="104" t="str">
        <f t="shared" si="27"/>
        <v/>
      </c>
      <c r="U346" s="84"/>
      <c r="V346" s="61"/>
      <c r="W346" s="61"/>
      <c r="X346" s="61"/>
      <c r="Y346" s="61"/>
      <c r="Z346" s="73" t="str">
        <f t="shared" si="28"/>
        <v/>
      </c>
      <c r="AA346" s="61"/>
      <c r="AB346" s="106" t="str">
        <f t="shared" si="29"/>
        <v/>
      </c>
      <c r="AE346" s="107" t="str">
        <f>IF($S346="","",VLOOKUP($S346,'ORF Accuracy Value LookUp'!$A$4:$B$104,2,TRUE))</f>
        <v/>
      </c>
      <c r="AF346" s="108" t="str">
        <f>IF($Z346="","",VLOOKUP($Z346,'ORF Accuracy Value LookUp'!$D$4:$E$104,2,TRUE))</f>
        <v/>
      </c>
    </row>
    <row r="347" spans="1:32">
      <c r="A347" s="58"/>
      <c r="B347" s="58"/>
      <c r="C347" s="58"/>
      <c r="D347" s="58"/>
      <c r="E347" s="58"/>
      <c r="F347" s="62"/>
      <c r="G347" s="63"/>
      <c r="H347" s="84"/>
      <c r="I347" s="61"/>
      <c r="J347" s="61"/>
      <c r="K347" s="61"/>
      <c r="L347" s="61"/>
      <c r="M347" s="103" t="str">
        <f t="shared" si="25"/>
        <v/>
      </c>
      <c r="N347" s="84"/>
      <c r="O347" s="61"/>
      <c r="P347" s="61"/>
      <c r="Q347" s="213"/>
      <c r="R347" s="64"/>
      <c r="S347" s="65" t="str">
        <f t="shared" si="26"/>
        <v/>
      </c>
      <c r="T347" s="104" t="str">
        <f t="shared" si="27"/>
        <v/>
      </c>
      <c r="U347" s="84"/>
      <c r="V347" s="61"/>
      <c r="W347" s="61"/>
      <c r="X347" s="61"/>
      <c r="Y347" s="61"/>
      <c r="Z347" s="73" t="str">
        <f t="shared" si="28"/>
        <v/>
      </c>
      <c r="AA347" s="61"/>
      <c r="AB347" s="106" t="str">
        <f t="shared" si="29"/>
        <v/>
      </c>
      <c r="AE347" s="107" t="str">
        <f>IF($S347="","",VLOOKUP($S347,'ORF Accuracy Value LookUp'!$A$4:$B$104,2,TRUE))</f>
        <v/>
      </c>
      <c r="AF347" s="108" t="str">
        <f>IF($Z347="","",VLOOKUP($Z347,'ORF Accuracy Value LookUp'!$D$4:$E$104,2,TRUE))</f>
        <v/>
      </c>
    </row>
    <row r="348" spans="1:32">
      <c r="A348" s="58"/>
      <c r="B348" s="58"/>
      <c r="C348" s="58"/>
      <c r="D348" s="58"/>
      <c r="E348" s="58"/>
      <c r="F348" s="62"/>
      <c r="G348" s="63"/>
      <c r="H348" s="84"/>
      <c r="I348" s="61"/>
      <c r="J348" s="61"/>
      <c r="K348" s="61"/>
      <c r="L348" s="61"/>
      <c r="M348" s="103" t="str">
        <f t="shared" si="25"/>
        <v/>
      </c>
      <c r="N348" s="84"/>
      <c r="O348" s="61"/>
      <c r="P348" s="61"/>
      <c r="Q348" s="213"/>
      <c r="R348" s="64"/>
      <c r="S348" s="65" t="str">
        <f t="shared" si="26"/>
        <v/>
      </c>
      <c r="T348" s="104" t="str">
        <f t="shared" si="27"/>
        <v/>
      </c>
      <c r="U348" s="84"/>
      <c r="V348" s="61"/>
      <c r="W348" s="61"/>
      <c r="X348" s="61"/>
      <c r="Y348" s="61"/>
      <c r="Z348" s="73" t="str">
        <f t="shared" si="28"/>
        <v/>
      </c>
      <c r="AA348" s="61"/>
      <c r="AB348" s="106" t="str">
        <f t="shared" si="29"/>
        <v/>
      </c>
      <c r="AE348" s="107" t="str">
        <f>IF($S348="","",VLOOKUP($S348,'ORF Accuracy Value LookUp'!$A$4:$B$104,2,TRUE))</f>
        <v/>
      </c>
      <c r="AF348" s="108" t="str">
        <f>IF($Z348="","",VLOOKUP($Z348,'ORF Accuracy Value LookUp'!$D$4:$E$104,2,TRUE))</f>
        <v/>
      </c>
    </row>
    <row r="349" spans="1:32">
      <c r="A349" s="58"/>
      <c r="B349" s="58"/>
      <c r="C349" s="58"/>
      <c r="D349" s="58"/>
      <c r="E349" s="58"/>
      <c r="F349" s="62"/>
      <c r="G349" s="63"/>
      <c r="H349" s="84"/>
      <c r="I349" s="61"/>
      <c r="J349" s="61"/>
      <c r="K349" s="61"/>
      <c r="L349" s="61"/>
      <c r="M349" s="103" t="str">
        <f t="shared" si="25"/>
        <v/>
      </c>
      <c r="N349" s="84"/>
      <c r="O349" s="61"/>
      <c r="P349" s="61"/>
      <c r="Q349" s="213"/>
      <c r="R349" s="64"/>
      <c r="S349" s="65" t="str">
        <f t="shared" si="26"/>
        <v/>
      </c>
      <c r="T349" s="104" t="str">
        <f t="shared" si="27"/>
        <v/>
      </c>
      <c r="U349" s="84"/>
      <c r="V349" s="61"/>
      <c r="W349" s="61"/>
      <c r="X349" s="61"/>
      <c r="Y349" s="61"/>
      <c r="Z349" s="73" t="str">
        <f t="shared" si="28"/>
        <v/>
      </c>
      <c r="AA349" s="61"/>
      <c r="AB349" s="106" t="str">
        <f t="shared" si="29"/>
        <v/>
      </c>
      <c r="AE349" s="107" t="str">
        <f>IF($S349="","",VLOOKUP($S349,'ORF Accuracy Value LookUp'!$A$4:$B$104,2,TRUE))</f>
        <v/>
      </c>
      <c r="AF349" s="108" t="str">
        <f>IF($Z349="","",VLOOKUP($Z349,'ORF Accuracy Value LookUp'!$D$4:$E$104,2,TRUE))</f>
        <v/>
      </c>
    </row>
    <row r="350" spans="1:32">
      <c r="A350" s="58"/>
      <c r="B350" s="58"/>
      <c r="C350" s="58"/>
      <c r="D350" s="58"/>
      <c r="E350" s="58"/>
      <c r="F350" s="62"/>
      <c r="G350" s="63"/>
      <c r="H350" s="84"/>
      <c r="I350" s="61"/>
      <c r="J350" s="61"/>
      <c r="K350" s="61"/>
      <c r="L350" s="61"/>
      <c r="M350" s="103" t="str">
        <f t="shared" si="25"/>
        <v/>
      </c>
      <c r="N350" s="84"/>
      <c r="O350" s="61"/>
      <c r="P350" s="61"/>
      <c r="Q350" s="213"/>
      <c r="R350" s="64"/>
      <c r="S350" s="65" t="str">
        <f t="shared" si="26"/>
        <v/>
      </c>
      <c r="T350" s="104" t="str">
        <f t="shared" si="27"/>
        <v/>
      </c>
      <c r="U350" s="84"/>
      <c r="V350" s="61"/>
      <c r="W350" s="61"/>
      <c r="X350" s="61"/>
      <c r="Y350" s="61"/>
      <c r="Z350" s="73" t="str">
        <f t="shared" si="28"/>
        <v/>
      </c>
      <c r="AA350" s="61"/>
      <c r="AB350" s="106" t="str">
        <f t="shared" si="29"/>
        <v/>
      </c>
      <c r="AE350" s="107" t="str">
        <f>IF($S350="","",VLOOKUP($S350,'ORF Accuracy Value LookUp'!$A$4:$B$104,2,TRUE))</f>
        <v/>
      </c>
      <c r="AF350" s="108" t="str">
        <f>IF($Z350="","",VLOOKUP($Z350,'ORF Accuracy Value LookUp'!$D$4:$E$104,2,TRUE))</f>
        <v/>
      </c>
    </row>
    <row r="351" spans="1:32">
      <c r="A351" s="58"/>
      <c r="B351" s="58"/>
      <c r="C351" s="58"/>
      <c r="D351" s="58"/>
      <c r="E351" s="58"/>
      <c r="F351" s="62"/>
      <c r="G351" s="63"/>
      <c r="H351" s="84"/>
      <c r="I351" s="61"/>
      <c r="J351" s="61"/>
      <c r="K351" s="61"/>
      <c r="L351" s="61"/>
      <c r="M351" s="103" t="str">
        <f t="shared" si="25"/>
        <v/>
      </c>
      <c r="N351" s="84"/>
      <c r="O351" s="61"/>
      <c r="P351" s="61"/>
      <c r="Q351" s="213"/>
      <c r="R351" s="64"/>
      <c r="S351" s="65" t="str">
        <f t="shared" si="26"/>
        <v/>
      </c>
      <c r="T351" s="104" t="str">
        <f t="shared" si="27"/>
        <v/>
      </c>
      <c r="U351" s="84"/>
      <c r="V351" s="61"/>
      <c r="W351" s="61"/>
      <c r="X351" s="61"/>
      <c r="Y351" s="61"/>
      <c r="Z351" s="73" t="str">
        <f t="shared" si="28"/>
        <v/>
      </c>
      <c r="AA351" s="61"/>
      <c r="AB351" s="106" t="str">
        <f t="shared" si="29"/>
        <v/>
      </c>
      <c r="AE351" s="107" t="str">
        <f>IF($S351="","",VLOOKUP($S351,'ORF Accuracy Value LookUp'!$A$4:$B$104,2,TRUE))</f>
        <v/>
      </c>
      <c r="AF351" s="108" t="str">
        <f>IF($Z351="","",VLOOKUP($Z351,'ORF Accuracy Value LookUp'!$D$4:$E$104,2,TRUE))</f>
        <v/>
      </c>
    </row>
    <row r="352" spans="1:32">
      <c r="A352" s="58"/>
      <c r="B352" s="58"/>
      <c r="C352" s="58"/>
      <c r="D352" s="58"/>
      <c r="E352" s="58"/>
      <c r="F352" s="62"/>
      <c r="G352" s="63"/>
      <c r="H352" s="84"/>
      <c r="I352" s="61"/>
      <c r="J352" s="61"/>
      <c r="K352" s="61"/>
      <c r="L352" s="61"/>
      <c r="M352" s="103" t="str">
        <f t="shared" si="25"/>
        <v/>
      </c>
      <c r="N352" s="84"/>
      <c r="O352" s="61"/>
      <c r="P352" s="61"/>
      <c r="Q352" s="213"/>
      <c r="R352" s="64"/>
      <c r="S352" s="65" t="str">
        <f t="shared" si="26"/>
        <v/>
      </c>
      <c r="T352" s="104" t="str">
        <f t="shared" si="27"/>
        <v/>
      </c>
      <c r="U352" s="84"/>
      <c r="V352" s="61"/>
      <c r="W352" s="61"/>
      <c r="X352" s="61"/>
      <c r="Y352" s="61"/>
      <c r="Z352" s="73" t="str">
        <f t="shared" si="28"/>
        <v/>
      </c>
      <c r="AA352" s="61"/>
      <c r="AB352" s="106" t="str">
        <f t="shared" si="29"/>
        <v/>
      </c>
      <c r="AE352" s="107" t="str">
        <f>IF($S352="","",VLOOKUP($S352,'ORF Accuracy Value LookUp'!$A$4:$B$104,2,TRUE))</f>
        <v/>
      </c>
      <c r="AF352" s="108" t="str">
        <f>IF($Z352="","",VLOOKUP($Z352,'ORF Accuracy Value LookUp'!$D$4:$E$104,2,TRUE))</f>
        <v/>
      </c>
    </row>
    <row r="353" spans="1:32">
      <c r="A353" s="58"/>
      <c r="B353" s="58"/>
      <c r="C353" s="58"/>
      <c r="D353" s="58"/>
      <c r="E353" s="58"/>
      <c r="F353" s="62"/>
      <c r="G353" s="63"/>
      <c r="H353" s="84"/>
      <c r="I353" s="61"/>
      <c r="J353" s="61"/>
      <c r="K353" s="61"/>
      <c r="L353" s="61"/>
      <c r="M353" s="103" t="str">
        <f t="shared" si="25"/>
        <v/>
      </c>
      <c r="N353" s="84"/>
      <c r="O353" s="61"/>
      <c r="P353" s="61"/>
      <c r="Q353" s="213"/>
      <c r="R353" s="64"/>
      <c r="S353" s="65" t="str">
        <f t="shared" si="26"/>
        <v/>
      </c>
      <c r="T353" s="104" t="str">
        <f t="shared" si="27"/>
        <v/>
      </c>
      <c r="U353" s="84"/>
      <c r="V353" s="61"/>
      <c r="W353" s="61"/>
      <c r="X353" s="61"/>
      <c r="Y353" s="61"/>
      <c r="Z353" s="73" t="str">
        <f t="shared" si="28"/>
        <v/>
      </c>
      <c r="AA353" s="61"/>
      <c r="AB353" s="106" t="str">
        <f t="shared" si="29"/>
        <v/>
      </c>
      <c r="AE353" s="107" t="str">
        <f>IF($S353="","",VLOOKUP($S353,'ORF Accuracy Value LookUp'!$A$4:$B$104,2,TRUE))</f>
        <v/>
      </c>
      <c r="AF353" s="108" t="str">
        <f>IF($Z353="","",VLOOKUP($Z353,'ORF Accuracy Value LookUp'!$D$4:$E$104,2,TRUE))</f>
        <v/>
      </c>
    </row>
    <row r="354" spans="1:32">
      <c r="A354" s="58"/>
      <c r="B354" s="58"/>
      <c r="C354" s="58"/>
      <c r="D354" s="58"/>
      <c r="E354" s="58"/>
      <c r="F354" s="62"/>
      <c r="G354" s="63"/>
      <c r="H354" s="84"/>
      <c r="I354" s="61"/>
      <c r="J354" s="61"/>
      <c r="K354" s="61"/>
      <c r="L354" s="61"/>
      <c r="M354" s="103" t="str">
        <f t="shared" si="25"/>
        <v/>
      </c>
      <c r="N354" s="84"/>
      <c r="O354" s="61"/>
      <c r="P354" s="61"/>
      <c r="Q354" s="213"/>
      <c r="R354" s="64"/>
      <c r="S354" s="65" t="str">
        <f t="shared" si="26"/>
        <v/>
      </c>
      <c r="T354" s="104" t="str">
        <f t="shared" si="27"/>
        <v/>
      </c>
      <c r="U354" s="84"/>
      <c r="V354" s="61"/>
      <c r="W354" s="61"/>
      <c r="X354" s="61"/>
      <c r="Y354" s="61"/>
      <c r="Z354" s="73" t="str">
        <f t="shared" si="28"/>
        <v/>
      </c>
      <c r="AA354" s="61"/>
      <c r="AB354" s="106" t="str">
        <f t="shared" si="29"/>
        <v/>
      </c>
      <c r="AE354" s="107" t="str">
        <f>IF($S354="","",VLOOKUP($S354,'ORF Accuracy Value LookUp'!$A$4:$B$104,2,TRUE))</f>
        <v/>
      </c>
      <c r="AF354" s="108" t="str">
        <f>IF($Z354="","",VLOOKUP($Z354,'ORF Accuracy Value LookUp'!$D$4:$E$104,2,TRUE))</f>
        <v/>
      </c>
    </row>
    <row r="355" spans="1:32">
      <c r="A355" s="58"/>
      <c r="B355" s="58"/>
      <c r="C355" s="58"/>
      <c r="D355" s="58"/>
      <c r="E355" s="58"/>
      <c r="F355" s="62"/>
      <c r="G355" s="63"/>
      <c r="H355" s="84"/>
      <c r="I355" s="61"/>
      <c r="J355" s="61"/>
      <c r="K355" s="61"/>
      <c r="L355" s="61"/>
      <c r="M355" s="103" t="str">
        <f t="shared" si="25"/>
        <v/>
      </c>
      <c r="N355" s="84"/>
      <c r="O355" s="61"/>
      <c r="P355" s="61"/>
      <c r="Q355" s="213"/>
      <c r="R355" s="64"/>
      <c r="S355" s="65" t="str">
        <f t="shared" si="26"/>
        <v/>
      </c>
      <c r="T355" s="104" t="str">
        <f t="shared" si="27"/>
        <v/>
      </c>
      <c r="U355" s="84"/>
      <c r="V355" s="61"/>
      <c r="W355" s="61"/>
      <c r="X355" s="61"/>
      <c r="Y355" s="61"/>
      <c r="Z355" s="73" t="str">
        <f t="shared" si="28"/>
        <v/>
      </c>
      <c r="AA355" s="61"/>
      <c r="AB355" s="106" t="str">
        <f t="shared" si="29"/>
        <v/>
      </c>
      <c r="AE355" s="107" t="str">
        <f>IF($S355="","",VLOOKUP($S355,'ORF Accuracy Value LookUp'!$A$4:$B$104,2,TRUE))</f>
        <v/>
      </c>
      <c r="AF355" s="108" t="str">
        <f>IF($Z355="","",VLOOKUP($Z355,'ORF Accuracy Value LookUp'!$D$4:$E$104,2,TRUE))</f>
        <v/>
      </c>
    </row>
    <row r="356" spans="1:32">
      <c r="A356" s="58"/>
      <c r="B356" s="58"/>
      <c r="C356" s="58"/>
      <c r="D356" s="58"/>
      <c r="E356" s="58"/>
      <c r="F356" s="62"/>
      <c r="G356" s="63"/>
      <c r="H356" s="84"/>
      <c r="I356" s="61"/>
      <c r="J356" s="61"/>
      <c r="K356" s="61"/>
      <c r="L356" s="61"/>
      <c r="M356" s="103" t="str">
        <f t="shared" si="25"/>
        <v/>
      </c>
      <c r="N356" s="84"/>
      <c r="O356" s="61"/>
      <c r="P356" s="61"/>
      <c r="Q356" s="213"/>
      <c r="R356" s="64"/>
      <c r="S356" s="65" t="str">
        <f t="shared" si="26"/>
        <v/>
      </c>
      <c r="T356" s="104" t="str">
        <f t="shared" si="27"/>
        <v/>
      </c>
      <c r="U356" s="84"/>
      <c r="V356" s="61"/>
      <c r="W356" s="61"/>
      <c r="X356" s="61"/>
      <c r="Y356" s="61"/>
      <c r="Z356" s="73" t="str">
        <f t="shared" si="28"/>
        <v/>
      </c>
      <c r="AA356" s="61"/>
      <c r="AB356" s="106" t="str">
        <f t="shared" si="29"/>
        <v/>
      </c>
      <c r="AE356" s="107" t="str">
        <f>IF($S356="","",VLOOKUP($S356,'ORF Accuracy Value LookUp'!$A$4:$B$104,2,TRUE))</f>
        <v/>
      </c>
      <c r="AF356" s="108" t="str">
        <f>IF($Z356="","",VLOOKUP($Z356,'ORF Accuracy Value LookUp'!$D$4:$E$104,2,TRUE))</f>
        <v/>
      </c>
    </row>
    <row r="357" spans="1:32">
      <c r="A357" s="58"/>
      <c r="B357" s="58"/>
      <c r="C357" s="58"/>
      <c r="D357" s="58"/>
      <c r="E357" s="58"/>
      <c r="F357" s="62"/>
      <c r="G357" s="63"/>
      <c r="H357" s="84"/>
      <c r="I357" s="61"/>
      <c r="J357" s="61"/>
      <c r="K357" s="61"/>
      <c r="L357" s="61"/>
      <c r="M357" s="103" t="str">
        <f t="shared" si="25"/>
        <v/>
      </c>
      <c r="N357" s="84"/>
      <c r="O357" s="61"/>
      <c r="P357" s="61"/>
      <c r="Q357" s="213"/>
      <c r="R357" s="64"/>
      <c r="S357" s="65" t="str">
        <f t="shared" si="26"/>
        <v/>
      </c>
      <c r="T357" s="104" t="str">
        <f t="shared" si="27"/>
        <v/>
      </c>
      <c r="U357" s="84"/>
      <c r="V357" s="61"/>
      <c r="W357" s="61"/>
      <c r="X357" s="61"/>
      <c r="Y357" s="61"/>
      <c r="Z357" s="73" t="str">
        <f t="shared" si="28"/>
        <v/>
      </c>
      <c r="AA357" s="61"/>
      <c r="AB357" s="106" t="str">
        <f t="shared" si="29"/>
        <v/>
      </c>
      <c r="AE357" s="107" t="str">
        <f>IF($S357="","",VLOOKUP($S357,'ORF Accuracy Value LookUp'!$A$4:$B$104,2,TRUE))</f>
        <v/>
      </c>
      <c r="AF357" s="108" t="str">
        <f>IF($Z357="","",VLOOKUP($Z357,'ORF Accuracy Value LookUp'!$D$4:$E$104,2,TRUE))</f>
        <v/>
      </c>
    </row>
    <row r="358" spans="1:32">
      <c r="A358" s="58"/>
      <c r="B358" s="58"/>
      <c r="C358" s="58"/>
      <c r="D358" s="58"/>
      <c r="E358" s="58"/>
      <c r="F358" s="62"/>
      <c r="G358" s="63"/>
      <c r="H358" s="84"/>
      <c r="I358" s="61"/>
      <c r="J358" s="61"/>
      <c r="K358" s="61"/>
      <c r="L358" s="61"/>
      <c r="M358" s="103" t="str">
        <f t="shared" si="25"/>
        <v/>
      </c>
      <c r="N358" s="84"/>
      <c r="O358" s="61"/>
      <c r="P358" s="61"/>
      <c r="Q358" s="213"/>
      <c r="R358" s="64"/>
      <c r="S358" s="65" t="str">
        <f t="shared" si="26"/>
        <v/>
      </c>
      <c r="T358" s="104" t="str">
        <f t="shared" si="27"/>
        <v/>
      </c>
      <c r="U358" s="84"/>
      <c r="V358" s="61"/>
      <c r="W358" s="61"/>
      <c r="X358" s="61"/>
      <c r="Y358" s="61"/>
      <c r="Z358" s="73" t="str">
        <f t="shared" si="28"/>
        <v/>
      </c>
      <c r="AA358" s="61"/>
      <c r="AB358" s="106" t="str">
        <f t="shared" si="29"/>
        <v/>
      </c>
      <c r="AE358" s="107" t="str">
        <f>IF($S358="","",VLOOKUP($S358,'ORF Accuracy Value LookUp'!$A$4:$B$104,2,TRUE))</f>
        <v/>
      </c>
      <c r="AF358" s="108" t="str">
        <f>IF($Z358="","",VLOOKUP($Z358,'ORF Accuracy Value LookUp'!$D$4:$E$104,2,TRUE))</f>
        <v/>
      </c>
    </row>
    <row r="359" spans="1:32">
      <c r="A359" s="58"/>
      <c r="B359" s="58"/>
      <c r="C359" s="58"/>
      <c r="D359" s="58"/>
      <c r="E359" s="58"/>
      <c r="F359" s="62"/>
      <c r="G359" s="63"/>
      <c r="H359" s="84"/>
      <c r="I359" s="61"/>
      <c r="J359" s="61"/>
      <c r="K359" s="61"/>
      <c r="L359" s="61"/>
      <c r="M359" s="103" t="str">
        <f t="shared" si="25"/>
        <v/>
      </c>
      <c r="N359" s="84"/>
      <c r="O359" s="61"/>
      <c r="P359" s="61"/>
      <c r="Q359" s="213"/>
      <c r="R359" s="64"/>
      <c r="S359" s="65" t="str">
        <f t="shared" si="26"/>
        <v/>
      </c>
      <c r="T359" s="104" t="str">
        <f t="shared" si="27"/>
        <v/>
      </c>
      <c r="U359" s="84"/>
      <c r="V359" s="61"/>
      <c r="W359" s="61"/>
      <c r="X359" s="61"/>
      <c r="Y359" s="61"/>
      <c r="Z359" s="73" t="str">
        <f t="shared" si="28"/>
        <v/>
      </c>
      <c r="AA359" s="61"/>
      <c r="AB359" s="106" t="str">
        <f t="shared" si="29"/>
        <v/>
      </c>
      <c r="AE359" s="107" t="str">
        <f>IF($S359="","",VLOOKUP($S359,'ORF Accuracy Value LookUp'!$A$4:$B$104,2,TRUE))</f>
        <v/>
      </c>
      <c r="AF359" s="108" t="str">
        <f>IF($Z359="","",VLOOKUP($Z359,'ORF Accuracy Value LookUp'!$D$4:$E$104,2,TRUE))</f>
        <v/>
      </c>
    </row>
    <row r="360" spans="1:32">
      <c r="A360" s="58"/>
      <c r="B360" s="58"/>
      <c r="C360" s="58"/>
      <c r="D360" s="58"/>
      <c r="E360" s="58"/>
      <c r="F360" s="62"/>
      <c r="G360" s="63"/>
      <c r="H360" s="84"/>
      <c r="I360" s="61"/>
      <c r="J360" s="61"/>
      <c r="K360" s="61"/>
      <c r="L360" s="61"/>
      <c r="M360" s="103" t="str">
        <f t="shared" si="25"/>
        <v/>
      </c>
      <c r="N360" s="84"/>
      <c r="O360" s="61"/>
      <c r="P360" s="61"/>
      <c r="Q360" s="213"/>
      <c r="R360" s="64"/>
      <c r="S360" s="65" t="str">
        <f t="shared" si="26"/>
        <v/>
      </c>
      <c r="T360" s="104" t="str">
        <f t="shared" si="27"/>
        <v/>
      </c>
      <c r="U360" s="84"/>
      <c r="V360" s="61"/>
      <c r="W360" s="61"/>
      <c r="X360" s="61"/>
      <c r="Y360" s="61"/>
      <c r="Z360" s="73" t="str">
        <f t="shared" si="28"/>
        <v/>
      </c>
      <c r="AA360" s="61"/>
      <c r="AB360" s="106" t="str">
        <f t="shared" si="29"/>
        <v/>
      </c>
      <c r="AE360" s="107" t="str">
        <f>IF($S360="","",VLOOKUP($S360,'ORF Accuracy Value LookUp'!$A$4:$B$104,2,TRUE))</f>
        <v/>
      </c>
      <c r="AF360" s="108" t="str">
        <f>IF($Z360="","",VLOOKUP($Z360,'ORF Accuracy Value LookUp'!$D$4:$E$104,2,TRUE))</f>
        <v/>
      </c>
    </row>
    <row r="361" spans="1:32">
      <c r="A361" s="58"/>
      <c r="B361" s="58"/>
      <c r="C361" s="58"/>
      <c r="D361" s="58"/>
      <c r="E361" s="58"/>
      <c r="F361" s="62"/>
      <c r="G361" s="63"/>
      <c r="H361" s="84"/>
      <c r="I361" s="61"/>
      <c r="J361" s="61"/>
      <c r="K361" s="61"/>
      <c r="L361" s="61"/>
      <c r="M361" s="103" t="str">
        <f t="shared" si="25"/>
        <v/>
      </c>
      <c r="N361" s="84"/>
      <c r="O361" s="61"/>
      <c r="P361" s="61"/>
      <c r="Q361" s="213"/>
      <c r="R361" s="64"/>
      <c r="S361" s="65" t="str">
        <f t="shared" si="26"/>
        <v/>
      </c>
      <c r="T361" s="104" t="str">
        <f t="shared" si="27"/>
        <v/>
      </c>
      <c r="U361" s="84"/>
      <c r="V361" s="61"/>
      <c r="W361" s="61"/>
      <c r="X361" s="61"/>
      <c r="Y361" s="61"/>
      <c r="Z361" s="73" t="str">
        <f t="shared" si="28"/>
        <v/>
      </c>
      <c r="AA361" s="61"/>
      <c r="AB361" s="106" t="str">
        <f t="shared" si="29"/>
        <v/>
      </c>
      <c r="AE361" s="107" t="str">
        <f>IF($S361="","",VLOOKUP($S361,'ORF Accuracy Value LookUp'!$A$4:$B$104,2,TRUE))</f>
        <v/>
      </c>
      <c r="AF361" s="108" t="str">
        <f>IF($Z361="","",VLOOKUP($Z361,'ORF Accuracy Value LookUp'!$D$4:$E$104,2,TRUE))</f>
        <v/>
      </c>
    </row>
    <row r="362" spans="1:32">
      <c r="A362" s="58"/>
      <c r="B362" s="58"/>
      <c r="C362" s="58"/>
      <c r="D362" s="58"/>
      <c r="E362" s="58"/>
      <c r="F362" s="62"/>
      <c r="G362" s="63"/>
      <c r="H362" s="84"/>
      <c r="I362" s="61"/>
      <c r="J362" s="61"/>
      <c r="K362" s="61"/>
      <c r="L362" s="61"/>
      <c r="M362" s="103" t="str">
        <f t="shared" si="25"/>
        <v/>
      </c>
      <c r="N362" s="84"/>
      <c r="O362" s="61"/>
      <c r="P362" s="61"/>
      <c r="Q362" s="213"/>
      <c r="R362" s="64"/>
      <c r="S362" s="65" t="str">
        <f t="shared" si="26"/>
        <v/>
      </c>
      <c r="T362" s="104" t="str">
        <f t="shared" si="27"/>
        <v/>
      </c>
      <c r="U362" s="84"/>
      <c r="V362" s="61"/>
      <c r="W362" s="61"/>
      <c r="X362" s="61"/>
      <c r="Y362" s="61"/>
      <c r="Z362" s="73" t="str">
        <f t="shared" si="28"/>
        <v/>
      </c>
      <c r="AA362" s="61"/>
      <c r="AB362" s="106" t="str">
        <f t="shared" si="29"/>
        <v/>
      </c>
      <c r="AE362" s="107" t="str">
        <f>IF($S362="","",VLOOKUP($S362,'ORF Accuracy Value LookUp'!$A$4:$B$104,2,TRUE))</f>
        <v/>
      </c>
      <c r="AF362" s="108" t="str">
        <f>IF($Z362="","",VLOOKUP($Z362,'ORF Accuracy Value LookUp'!$D$4:$E$104,2,TRUE))</f>
        <v/>
      </c>
    </row>
    <row r="363" spans="1:32">
      <c r="A363" s="58"/>
      <c r="B363" s="58"/>
      <c r="C363" s="58"/>
      <c r="D363" s="58"/>
      <c r="E363" s="58"/>
      <c r="F363" s="62"/>
      <c r="G363" s="63"/>
      <c r="H363" s="84"/>
      <c r="I363" s="61"/>
      <c r="J363" s="61"/>
      <c r="K363" s="61"/>
      <c r="L363" s="61"/>
      <c r="M363" s="103" t="str">
        <f t="shared" si="25"/>
        <v/>
      </c>
      <c r="N363" s="84"/>
      <c r="O363" s="61"/>
      <c r="P363" s="61"/>
      <c r="Q363" s="213"/>
      <c r="R363" s="64"/>
      <c r="S363" s="65" t="str">
        <f t="shared" si="26"/>
        <v/>
      </c>
      <c r="T363" s="104" t="str">
        <f t="shared" si="27"/>
        <v/>
      </c>
      <c r="U363" s="84"/>
      <c r="V363" s="61"/>
      <c r="W363" s="61"/>
      <c r="X363" s="61"/>
      <c r="Y363" s="61"/>
      <c r="Z363" s="73" t="str">
        <f t="shared" si="28"/>
        <v/>
      </c>
      <c r="AA363" s="61"/>
      <c r="AB363" s="106" t="str">
        <f t="shared" si="29"/>
        <v/>
      </c>
      <c r="AE363" s="107" t="str">
        <f>IF($S363="","",VLOOKUP($S363,'ORF Accuracy Value LookUp'!$A$4:$B$104,2,TRUE))</f>
        <v/>
      </c>
      <c r="AF363" s="108" t="str">
        <f>IF($Z363="","",VLOOKUP($Z363,'ORF Accuracy Value LookUp'!$D$4:$E$104,2,TRUE))</f>
        <v/>
      </c>
    </row>
    <row r="364" spans="1:32">
      <c r="A364" s="58"/>
      <c r="B364" s="58"/>
      <c r="C364" s="58"/>
      <c r="D364" s="58"/>
      <c r="E364" s="58"/>
      <c r="F364" s="62"/>
      <c r="G364" s="63"/>
      <c r="H364" s="84"/>
      <c r="I364" s="61"/>
      <c r="J364" s="61"/>
      <c r="K364" s="61"/>
      <c r="L364" s="61"/>
      <c r="M364" s="103" t="str">
        <f t="shared" si="25"/>
        <v/>
      </c>
      <c r="N364" s="84"/>
      <c r="O364" s="61"/>
      <c r="P364" s="61"/>
      <c r="Q364" s="213"/>
      <c r="R364" s="64"/>
      <c r="S364" s="65" t="str">
        <f t="shared" si="26"/>
        <v/>
      </c>
      <c r="T364" s="104" t="str">
        <f t="shared" si="27"/>
        <v/>
      </c>
      <c r="U364" s="84"/>
      <c r="V364" s="61"/>
      <c r="W364" s="61"/>
      <c r="X364" s="61"/>
      <c r="Y364" s="61"/>
      <c r="Z364" s="73" t="str">
        <f t="shared" si="28"/>
        <v/>
      </c>
      <c r="AA364" s="61"/>
      <c r="AB364" s="106" t="str">
        <f t="shared" si="29"/>
        <v/>
      </c>
      <c r="AE364" s="107" t="str">
        <f>IF($S364="","",VLOOKUP($S364,'ORF Accuracy Value LookUp'!$A$4:$B$104,2,TRUE))</f>
        <v/>
      </c>
      <c r="AF364" s="108" t="str">
        <f>IF($Z364="","",VLOOKUP($Z364,'ORF Accuracy Value LookUp'!$D$4:$E$104,2,TRUE))</f>
        <v/>
      </c>
    </row>
    <row r="365" spans="1:32">
      <c r="A365" s="58"/>
      <c r="B365" s="58"/>
      <c r="C365" s="58"/>
      <c r="D365" s="58"/>
      <c r="E365" s="58"/>
      <c r="F365" s="62"/>
      <c r="G365" s="63"/>
      <c r="H365" s="84"/>
      <c r="I365" s="61"/>
      <c r="J365" s="61"/>
      <c r="K365" s="61"/>
      <c r="L365" s="61"/>
      <c r="M365" s="103" t="str">
        <f t="shared" si="25"/>
        <v/>
      </c>
      <c r="N365" s="84"/>
      <c r="O365" s="61"/>
      <c r="P365" s="61"/>
      <c r="Q365" s="213"/>
      <c r="R365" s="64"/>
      <c r="S365" s="65" t="str">
        <f t="shared" si="26"/>
        <v/>
      </c>
      <c r="T365" s="104" t="str">
        <f t="shared" si="27"/>
        <v/>
      </c>
      <c r="U365" s="84"/>
      <c r="V365" s="61"/>
      <c r="W365" s="61"/>
      <c r="X365" s="61"/>
      <c r="Y365" s="61"/>
      <c r="Z365" s="73" t="str">
        <f t="shared" si="28"/>
        <v/>
      </c>
      <c r="AA365" s="61"/>
      <c r="AB365" s="106" t="str">
        <f t="shared" si="29"/>
        <v/>
      </c>
      <c r="AE365" s="107" t="str">
        <f>IF($S365="","",VLOOKUP($S365,'ORF Accuracy Value LookUp'!$A$4:$B$104,2,TRUE))</f>
        <v/>
      </c>
      <c r="AF365" s="108" t="str">
        <f>IF($Z365="","",VLOOKUP($Z365,'ORF Accuracy Value LookUp'!$D$4:$E$104,2,TRUE))</f>
        <v/>
      </c>
    </row>
    <row r="366" spans="1:32">
      <c r="A366" s="58"/>
      <c r="B366" s="58"/>
      <c r="C366" s="58"/>
      <c r="D366" s="58"/>
      <c r="E366" s="58"/>
      <c r="F366" s="62"/>
      <c r="G366" s="63"/>
      <c r="H366" s="84"/>
      <c r="I366" s="61"/>
      <c r="J366" s="61"/>
      <c r="K366" s="61"/>
      <c r="L366" s="61"/>
      <c r="M366" s="103" t="str">
        <f t="shared" si="25"/>
        <v/>
      </c>
      <c r="N366" s="84"/>
      <c r="O366" s="61"/>
      <c r="P366" s="61"/>
      <c r="Q366" s="213"/>
      <c r="R366" s="64"/>
      <c r="S366" s="65" t="str">
        <f t="shared" si="26"/>
        <v/>
      </c>
      <c r="T366" s="104" t="str">
        <f t="shared" si="27"/>
        <v/>
      </c>
      <c r="U366" s="84"/>
      <c r="V366" s="61"/>
      <c r="W366" s="61"/>
      <c r="X366" s="61"/>
      <c r="Y366" s="61"/>
      <c r="Z366" s="73" t="str">
        <f t="shared" si="28"/>
        <v/>
      </c>
      <c r="AA366" s="61"/>
      <c r="AB366" s="106" t="str">
        <f t="shared" si="29"/>
        <v/>
      </c>
      <c r="AE366" s="107" t="str">
        <f>IF($S366="","",VLOOKUP($S366,'ORF Accuracy Value LookUp'!$A$4:$B$104,2,TRUE))</f>
        <v/>
      </c>
      <c r="AF366" s="108" t="str">
        <f>IF($Z366="","",VLOOKUP($Z366,'ORF Accuracy Value LookUp'!$D$4:$E$104,2,TRUE))</f>
        <v/>
      </c>
    </row>
    <row r="367" spans="1:32">
      <c r="A367" s="58"/>
      <c r="B367" s="58"/>
      <c r="C367" s="58"/>
      <c r="D367" s="58"/>
      <c r="E367" s="58"/>
      <c r="F367" s="62"/>
      <c r="G367" s="63"/>
      <c r="H367" s="84"/>
      <c r="I367" s="61"/>
      <c r="J367" s="61"/>
      <c r="K367" s="61"/>
      <c r="L367" s="61"/>
      <c r="M367" s="103" t="str">
        <f t="shared" si="25"/>
        <v/>
      </c>
      <c r="N367" s="84"/>
      <c r="O367" s="61"/>
      <c r="P367" s="61"/>
      <c r="Q367" s="213"/>
      <c r="R367" s="64"/>
      <c r="S367" s="65" t="str">
        <f t="shared" si="26"/>
        <v/>
      </c>
      <c r="T367" s="104" t="str">
        <f t="shared" si="27"/>
        <v/>
      </c>
      <c r="U367" s="84"/>
      <c r="V367" s="61"/>
      <c r="W367" s="61"/>
      <c r="X367" s="61"/>
      <c r="Y367" s="61"/>
      <c r="Z367" s="73" t="str">
        <f t="shared" si="28"/>
        <v/>
      </c>
      <c r="AA367" s="61"/>
      <c r="AB367" s="106" t="str">
        <f t="shared" si="29"/>
        <v/>
      </c>
      <c r="AE367" s="107" t="str">
        <f>IF($S367="","",VLOOKUP($S367,'ORF Accuracy Value LookUp'!$A$4:$B$104,2,TRUE))</f>
        <v/>
      </c>
      <c r="AF367" s="108" t="str">
        <f>IF($Z367="","",VLOOKUP($Z367,'ORF Accuracy Value LookUp'!$D$4:$E$104,2,TRUE))</f>
        <v/>
      </c>
    </row>
    <row r="368" spans="1:32">
      <c r="A368" s="58"/>
      <c r="B368" s="58"/>
      <c r="C368" s="58"/>
      <c r="D368" s="58"/>
      <c r="E368" s="58"/>
      <c r="F368" s="62"/>
      <c r="G368" s="63"/>
      <c r="H368" s="84"/>
      <c r="I368" s="61"/>
      <c r="J368" s="61"/>
      <c r="K368" s="61"/>
      <c r="L368" s="61"/>
      <c r="M368" s="103" t="str">
        <f t="shared" si="25"/>
        <v/>
      </c>
      <c r="N368" s="84"/>
      <c r="O368" s="61"/>
      <c r="P368" s="61"/>
      <c r="Q368" s="213"/>
      <c r="R368" s="64"/>
      <c r="S368" s="65" t="str">
        <f t="shared" si="26"/>
        <v/>
      </c>
      <c r="T368" s="104" t="str">
        <f t="shared" si="27"/>
        <v/>
      </c>
      <c r="U368" s="84"/>
      <c r="V368" s="61"/>
      <c r="W368" s="61"/>
      <c r="X368" s="61"/>
      <c r="Y368" s="61"/>
      <c r="Z368" s="73" t="str">
        <f t="shared" si="28"/>
        <v/>
      </c>
      <c r="AA368" s="61"/>
      <c r="AB368" s="106" t="str">
        <f t="shared" si="29"/>
        <v/>
      </c>
      <c r="AE368" s="107" t="str">
        <f>IF($S368="","",VLOOKUP($S368,'ORF Accuracy Value LookUp'!$A$4:$B$104,2,TRUE))</f>
        <v/>
      </c>
      <c r="AF368" s="108" t="str">
        <f>IF($Z368="","",VLOOKUP($Z368,'ORF Accuracy Value LookUp'!$D$4:$E$104,2,TRUE))</f>
        <v/>
      </c>
    </row>
    <row r="369" spans="1:32">
      <c r="A369" s="58"/>
      <c r="B369" s="58"/>
      <c r="C369" s="58"/>
      <c r="D369" s="58"/>
      <c r="E369" s="58"/>
      <c r="F369" s="62"/>
      <c r="G369" s="63"/>
      <c r="H369" s="84"/>
      <c r="I369" s="61"/>
      <c r="J369" s="61"/>
      <c r="K369" s="61"/>
      <c r="L369" s="61"/>
      <c r="M369" s="103" t="str">
        <f t="shared" si="25"/>
        <v/>
      </c>
      <c r="N369" s="84"/>
      <c r="O369" s="61"/>
      <c r="P369" s="61"/>
      <c r="Q369" s="213"/>
      <c r="R369" s="64"/>
      <c r="S369" s="65" t="str">
        <f t="shared" si="26"/>
        <v/>
      </c>
      <c r="T369" s="104" t="str">
        <f t="shared" si="27"/>
        <v/>
      </c>
      <c r="U369" s="84"/>
      <c r="V369" s="61"/>
      <c r="W369" s="61"/>
      <c r="X369" s="61"/>
      <c r="Y369" s="61"/>
      <c r="Z369" s="73" t="str">
        <f t="shared" si="28"/>
        <v/>
      </c>
      <c r="AA369" s="61"/>
      <c r="AB369" s="106" t="str">
        <f t="shared" si="29"/>
        <v/>
      </c>
      <c r="AE369" s="107" t="str">
        <f>IF($S369="","",VLOOKUP($S369,'ORF Accuracy Value LookUp'!$A$4:$B$104,2,TRUE))</f>
        <v/>
      </c>
      <c r="AF369" s="108" t="str">
        <f>IF($Z369="","",VLOOKUP($Z369,'ORF Accuracy Value LookUp'!$D$4:$E$104,2,TRUE))</f>
        <v/>
      </c>
    </row>
    <row r="370" spans="1:32">
      <c r="A370" s="58"/>
      <c r="B370" s="58"/>
      <c r="C370" s="58"/>
      <c r="D370" s="58"/>
      <c r="E370" s="58"/>
      <c r="F370" s="62"/>
      <c r="G370" s="63"/>
      <c r="H370" s="84"/>
      <c r="I370" s="61"/>
      <c r="J370" s="61"/>
      <c r="K370" s="61"/>
      <c r="L370" s="61"/>
      <c r="M370" s="103" t="str">
        <f t="shared" si="25"/>
        <v/>
      </c>
      <c r="N370" s="84"/>
      <c r="O370" s="61"/>
      <c r="P370" s="61"/>
      <c r="Q370" s="213"/>
      <c r="R370" s="64"/>
      <c r="S370" s="65" t="str">
        <f t="shared" si="26"/>
        <v/>
      </c>
      <c r="T370" s="104" t="str">
        <f t="shared" si="27"/>
        <v/>
      </c>
      <c r="U370" s="84"/>
      <c r="V370" s="61"/>
      <c r="W370" s="61"/>
      <c r="X370" s="61"/>
      <c r="Y370" s="61"/>
      <c r="Z370" s="73" t="str">
        <f t="shared" si="28"/>
        <v/>
      </c>
      <c r="AA370" s="61"/>
      <c r="AB370" s="106" t="str">
        <f t="shared" si="29"/>
        <v/>
      </c>
      <c r="AE370" s="107" t="str">
        <f>IF($S370="","",VLOOKUP($S370,'ORF Accuracy Value LookUp'!$A$4:$B$104,2,TRUE))</f>
        <v/>
      </c>
      <c r="AF370" s="108" t="str">
        <f>IF($Z370="","",VLOOKUP($Z370,'ORF Accuracy Value LookUp'!$D$4:$E$104,2,TRUE))</f>
        <v/>
      </c>
    </row>
    <row r="371" spans="1:32">
      <c r="A371" s="58"/>
      <c r="B371" s="58"/>
      <c r="C371" s="58"/>
      <c r="D371" s="58"/>
      <c r="E371" s="58"/>
      <c r="F371" s="62"/>
      <c r="G371" s="63"/>
      <c r="H371" s="84"/>
      <c r="I371" s="61"/>
      <c r="J371" s="61"/>
      <c r="K371" s="61"/>
      <c r="L371" s="61"/>
      <c r="M371" s="103" t="str">
        <f t="shared" si="25"/>
        <v/>
      </c>
      <c r="N371" s="84"/>
      <c r="O371" s="61"/>
      <c r="P371" s="61"/>
      <c r="Q371" s="213"/>
      <c r="R371" s="64"/>
      <c r="S371" s="65" t="str">
        <f t="shared" si="26"/>
        <v/>
      </c>
      <c r="T371" s="104" t="str">
        <f t="shared" si="27"/>
        <v/>
      </c>
      <c r="U371" s="84"/>
      <c r="V371" s="61"/>
      <c r="W371" s="61"/>
      <c r="X371" s="61"/>
      <c r="Y371" s="61"/>
      <c r="Z371" s="73" t="str">
        <f t="shared" si="28"/>
        <v/>
      </c>
      <c r="AA371" s="61"/>
      <c r="AB371" s="106" t="str">
        <f t="shared" si="29"/>
        <v/>
      </c>
      <c r="AE371" s="107" t="str">
        <f>IF($S371="","",VLOOKUP($S371,'ORF Accuracy Value LookUp'!$A$4:$B$104,2,TRUE))</f>
        <v/>
      </c>
      <c r="AF371" s="108" t="str">
        <f>IF($Z371="","",VLOOKUP($Z371,'ORF Accuracy Value LookUp'!$D$4:$E$104,2,TRUE))</f>
        <v/>
      </c>
    </row>
    <row r="372" spans="1:32">
      <c r="A372" s="58"/>
      <c r="B372" s="58"/>
      <c r="C372" s="58"/>
      <c r="D372" s="58"/>
      <c r="E372" s="58"/>
      <c r="F372" s="62"/>
      <c r="G372" s="63"/>
      <c r="H372" s="84"/>
      <c r="I372" s="61"/>
      <c r="J372" s="61"/>
      <c r="K372" s="61"/>
      <c r="L372" s="61"/>
      <c r="M372" s="103" t="str">
        <f t="shared" si="25"/>
        <v/>
      </c>
      <c r="N372" s="84"/>
      <c r="O372" s="61"/>
      <c r="P372" s="61"/>
      <c r="Q372" s="213"/>
      <c r="R372" s="64"/>
      <c r="S372" s="65" t="str">
        <f t="shared" si="26"/>
        <v/>
      </c>
      <c r="T372" s="104" t="str">
        <f t="shared" si="27"/>
        <v/>
      </c>
      <c r="U372" s="84"/>
      <c r="V372" s="61"/>
      <c r="W372" s="61"/>
      <c r="X372" s="61"/>
      <c r="Y372" s="61"/>
      <c r="Z372" s="73" t="str">
        <f t="shared" si="28"/>
        <v/>
      </c>
      <c r="AA372" s="61"/>
      <c r="AB372" s="106" t="str">
        <f t="shared" si="29"/>
        <v/>
      </c>
      <c r="AE372" s="107" t="str">
        <f>IF($S372="","",VLOOKUP($S372,'ORF Accuracy Value LookUp'!$A$4:$B$104,2,TRUE))</f>
        <v/>
      </c>
      <c r="AF372" s="108" t="str">
        <f>IF($Z372="","",VLOOKUP($Z372,'ORF Accuracy Value LookUp'!$D$4:$E$104,2,TRUE))</f>
        <v/>
      </c>
    </row>
    <row r="373" spans="1:32">
      <c r="A373" s="58"/>
      <c r="B373" s="58"/>
      <c r="C373" s="58"/>
      <c r="D373" s="58"/>
      <c r="E373" s="58"/>
      <c r="F373" s="62"/>
      <c r="G373" s="63"/>
      <c r="H373" s="84"/>
      <c r="I373" s="61"/>
      <c r="J373" s="61"/>
      <c r="K373" s="61"/>
      <c r="L373" s="61"/>
      <c r="M373" s="103" t="str">
        <f t="shared" si="25"/>
        <v/>
      </c>
      <c r="N373" s="84"/>
      <c r="O373" s="61"/>
      <c r="P373" s="61"/>
      <c r="Q373" s="213"/>
      <c r="R373" s="64"/>
      <c r="S373" s="65" t="str">
        <f t="shared" si="26"/>
        <v/>
      </c>
      <c r="T373" s="104" t="str">
        <f t="shared" si="27"/>
        <v/>
      </c>
      <c r="U373" s="84"/>
      <c r="V373" s="61"/>
      <c r="W373" s="61"/>
      <c r="X373" s="61"/>
      <c r="Y373" s="61"/>
      <c r="Z373" s="73" t="str">
        <f t="shared" si="28"/>
        <v/>
      </c>
      <c r="AA373" s="61"/>
      <c r="AB373" s="106" t="str">
        <f t="shared" si="29"/>
        <v/>
      </c>
      <c r="AE373" s="107" t="str">
        <f>IF($S373="","",VLOOKUP($S373,'ORF Accuracy Value LookUp'!$A$4:$B$104,2,TRUE))</f>
        <v/>
      </c>
      <c r="AF373" s="108" t="str">
        <f>IF($Z373="","",VLOOKUP($Z373,'ORF Accuracy Value LookUp'!$D$4:$E$104,2,TRUE))</f>
        <v/>
      </c>
    </row>
    <row r="374" spans="1:32">
      <c r="A374" s="58"/>
      <c r="B374" s="58"/>
      <c r="C374" s="58"/>
      <c r="D374" s="58"/>
      <c r="E374" s="58"/>
      <c r="F374" s="62"/>
      <c r="G374" s="63"/>
      <c r="H374" s="84"/>
      <c r="I374" s="61"/>
      <c r="J374" s="61"/>
      <c r="K374" s="61"/>
      <c r="L374" s="61"/>
      <c r="M374" s="103" t="str">
        <f t="shared" si="25"/>
        <v/>
      </c>
      <c r="N374" s="84"/>
      <c r="O374" s="61"/>
      <c r="P374" s="61"/>
      <c r="Q374" s="213"/>
      <c r="R374" s="64"/>
      <c r="S374" s="65" t="str">
        <f t="shared" si="26"/>
        <v/>
      </c>
      <c r="T374" s="104" t="str">
        <f t="shared" si="27"/>
        <v/>
      </c>
      <c r="U374" s="84"/>
      <c r="V374" s="61"/>
      <c r="W374" s="61"/>
      <c r="X374" s="61"/>
      <c r="Y374" s="61"/>
      <c r="Z374" s="73" t="str">
        <f t="shared" si="28"/>
        <v/>
      </c>
      <c r="AA374" s="61"/>
      <c r="AB374" s="106" t="str">
        <f t="shared" si="29"/>
        <v/>
      </c>
      <c r="AE374" s="107" t="str">
        <f>IF($S374="","",VLOOKUP($S374,'ORF Accuracy Value LookUp'!$A$4:$B$104,2,TRUE))</f>
        <v/>
      </c>
      <c r="AF374" s="108" t="str">
        <f>IF($Z374="","",VLOOKUP($Z374,'ORF Accuracy Value LookUp'!$D$4:$E$104,2,TRUE))</f>
        <v/>
      </c>
    </row>
    <row r="375" spans="1:32">
      <c r="A375" s="58"/>
      <c r="B375" s="58"/>
      <c r="C375" s="58"/>
      <c r="D375" s="58"/>
      <c r="E375" s="58"/>
      <c r="F375" s="62"/>
      <c r="G375" s="63"/>
      <c r="H375" s="84"/>
      <c r="I375" s="61"/>
      <c r="J375" s="61"/>
      <c r="K375" s="61"/>
      <c r="L375" s="61"/>
      <c r="M375" s="103" t="str">
        <f t="shared" si="25"/>
        <v/>
      </c>
      <c r="N375" s="84"/>
      <c r="O375" s="61"/>
      <c r="P375" s="61"/>
      <c r="Q375" s="213"/>
      <c r="R375" s="64"/>
      <c r="S375" s="65" t="str">
        <f t="shared" si="26"/>
        <v/>
      </c>
      <c r="T375" s="104" t="str">
        <f t="shared" si="27"/>
        <v/>
      </c>
      <c r="U375" s="84"/>
      <c r="V375" s="61"/>
      <c r="W375" s="61"/>
      <c r="X375" s="61"/>
      <c r="Y375" s="61"/>
      <c r="Z375" s="73" t="str">
        <f t="shared" si="28"/>
        <v/>
      </c>
      <c r="AA375" s="61"/>
      <c r="AB375" s="106" t="str">
        <f t="shared" si="29"/>
        <v/>
      </c>
      <c r="AE375" s="107" t="str">
        <f>IF($S375="","",VLOOKUP($S375,'ORF Accuracy Value LookUp'!$A$4:$B$104,2,TRUE))</f>
        <v/>
      </c>
      <c r="AF375" s="108" t="str">
        <f>IF($Z375="","",VLOOKUP($Z375,'ORF Accuracy Value LookUp'!$D$4:$E$104,2,TRUE))</f>
        <v/>
      </c>
    </row>
    <row r="376" spans="1:32">
      <c r="A376" s="58"/>
      <c r="B376" s="58"/>
      <c r="C376" s="58"/>
      <c r="D376" s="58"/>
      <c r="E376" s="58"/>
      <c r="F376" s="62"/>
      <c r="G376" s="63"/>
      <c r="H376" s="84"/>
      <c r="I376" s="61"/>
      <c r="J376" s="61"/>
      <c r="K376" s="61"/>
      <c r="L376" s="61"/>
      <c r="M376" s="103" t="str">
        <f t="shared" si="25"/>
        <v/>
      </c>
      <c r="N376" s="84"/>
      <c r="O376" s="61"/>
      <c r="P376" s="61"/>
      <c r="Q376" s="213"/>
      <c r="R376" s="64"/>
      <c r="S376" s="65" t="str">
        <f t="shared" si="26"/>
        <v/>
      </c>
      <c r="T376" s="104" t="str">
        <f t="shared" si="27"/>
        <v/>
      </c>
      <c r="U376" s="84"/>
      <c r="V376" s="61"/>
      <c r="W376" s="61"/>
      <c r="X376" s="61"/>
      <c r="Y376" s="61"/>
      <c r="Z376" s="73" t="str">
        <f t="shared" si="28"/>
        <v/>
      </c>
      <c r="AA376" s="61"/>
      <c r="AB376" s="106" t="str">
        <f t="shared" si="29"/>
        <v/>
      </c>
      <c r="AE376" s="107" t="str">
        <f>IF($S376="","",VLOOKUP($S376,'ORF Accuracy Value LookUp'!$A$4:$B$104,2,TRUE))</f>
        <v/>
      </c>
      <c r="AF376" s="108" t="str">
        <f>IF($Z376="","",VLOOKUP($Z376,'ORF Accuracy Value LookUp'!$D$4:$E$104,2,TRUE))</f>
        <v/>
      </c>
    </row>
    <row r="377" spans="1:32">
      <c r="A377" s="58"/>
      <c r="B377" s="58"/>
      <c r="C377" s="58"/>
      <c r="D377" s="58"/>
      <c r="E377" s="58"/>
      <c r="F377" s="62"/>
      <c r="G377" s="63"/>
      <c r="H377" s="84"/>
      <c r="I377" s="61"/>
      <c r="J377" s="61"/>
      <c r="K377" s="61"/>
      <c r="L377" s="61"/>
      <c r="M377" s="103" t="str">
        <f t="shared" si="25"/>
        <v/>
      </c>
      <c r="N377" s="84"/>
      <c r="O377" s="61"/>
      <c r="P377" s="61"/>
      <c r="Q377" s="213"/>
      <c r="R377" s="64"/>
      <c r="S377" s="65" t="str">
        <f t="shared" si="26"/>
        <v/>
      </c>
      <c r="T377" s="104" t="str">
        <f t="shared" si="27"/>
        <v/>
      </c>
      <c r="U377" s="84"/>
      <c r="V377" s="61"/>
      <c r="W377" s="61"/>
      <c r="X377" s="61"/>
      <c r="Y377" s="61"/>
      <c r="Z377" s="73" t="str">
        <f t="shared" si="28"/>
        <v/>
      </c>
      <c r="AA377" s="61"/>
      <c r="AB377" s="106" t="str">
        <f t="shared" si="29"/>
        <v/>
      </c>
      <c r="AE377" s="107" t="str">
        <f>IF($S377="","",VLOOKUP($S377,'ORF Accuracy Value LookUp'!$A$4:$B$104,2,TRUE))</f>
        <v/>
      </c>
      <c r="AF377" s="108" t="str">
        <f>IF($Z377="","",VLOOKUP($Z377,'ORF Accuracy Value LookUp'!$D$4:$E$104,2,TRUE))</f>
        <v/>
      </c>
    </row>
    <row r="378" spans="1:32">
      <c r="A378" s="58"/>
      <c r="B378" s="58"/>
      <c r="C378" s="58"/>
      <c r="D378" s="58"/>
      <c r="E378" s="58"/>
      <c r="F378" s="62"/>
      <c r="G378" s="63"/>
      <c r="H378" s="84"/>
      <c r="I378" s="61"/>
      <c r="J378" s="61"/>
      <c r="K378" s="61"/>
      <c r="L378" s="61"/>
      <c r="M378" s="103" t="str">
        <f t="shared" si="25"/>
        <v/>
      </c>
      <c r="N378" s="84"/>
      <c r="O378" s="61"/>
      <c r="P378" s="61"/>
      <c r="Q378" s="213"/>
      <c r="R378" s="64"/>
      <c r="S378" s="65" t="str">
        <f t="shared" si="26"/>
        <v/>
      </c>
      <c r="T378" s="104" t="str">
        <f t="shared" si="27"/>
        <v/>
      </c>
      <c r="U378" s="84"/>
      <c r="V378" s="61"/>
      <c r="W378" s="61"/>
      <c r="X378" s="61"/>
      <c r="Y378" s="61"/>
      <c r="Z378" s="73" t="str">
        <f t="shared" si="28"/>
        <v/>
      </c>
      <c r="AA378" s="61"/>
      <c r="AB378" s="106" t="str">
        <f t="shared" si="29"/>
        <v/>
      </c>
      <c r="AE378" s="107" t="str">
        <f>IF($S378="","",VLOOKUP($S378,'ORF Accuracy Value LookUp'!$A$4:$B$104,2,TRUE))</f>
        <v/>
      </c>
      <c r="AF378" s="108" t="str">
        <f>IF($Z378="","",VLOOKUP($Z378,'ORF Accuracy Value LookUp'!$D$4:$E$104,2,TRUE))</f>
        <v/>
      </c>
    </row>
    <row r="379" spans="1:32">
      <c r="A379" s="58"/>
      <c r="B379" s="58"/>
      <c r="C379" s="58"/>
      <c r="D379" s="58"/>
      <c r="E379" s="58"/>
      <c r="F379" s="62"/>
      <c r="G379" s="63"/>
      <c r="H379" s="84"/>
      <c r="I379" s="61"/>
      <c r="J379" s="61"/>
      <c r="K379" s="61"/>
      <c r="L379" s="61"/>
      <c r="M379" s="103" t="str">
        <f t="shared" si="25"/>
        <v/>
      </c>
      <c r="N379" s="84"/>
      <c r="O379" s="61"/>
      <c r="P379" s="61"/>
      <c r="Q379" s="213"/>
      <c r="R379" s="64"/>
      <c r="S379" s="65" t="str">
        <f t="shared" si="26"/>
        <v/>
      </c>
      <c r="T379" s="104" t="str">
        <f t="shared" si="27"/>
        <v/>
      </c>
      <c r="U379" s="84"/>
      <c r="V379" s="61"/>
      <c r="W379" s="61"/>
      <c r="X379" s="61"/>
      <c r="Y379" s="61"/>
      <c r="Z379" s="73" t="str">
        <f t="shared" si="28"/>
        <v/>
      </c>
      <c r="AA379" s="61"/>
      <c r="AB379" s="106" t="str">
        <f t="shared" si="29"/>
        <v/>
      </c>
      <c r="AE379" s="107" t="str">
        <f>IF($S379="","",VLOOKUP($S379,'ORF Accuracy Value LookUp'!$A$4:$B$104,2,TRUE))</f>
        <v/>
      </c>
      <c r="AF379" s="108" t="str">
        <f>IF($Z379="","",VLOOKUP($Z379,'ORF Accuracy Value LookUp'!$D$4:$E$104,2,TRUE))</f>
        <v/>
      </c>
    </row>
    <row r="380" spans="1:32">
      <c r="A380" s="58"/>
      <c r="B380" s="58"/>
      <c r="C380" s="58"/>
      <c r="D380" s="58"/>
      <c r="E380" s="58"/>
      <c r="F380" s="62"/>
      <c r="G380" s="63"/>
      <c r="H380" s="84"/>
      <c r="I380" s="61"/>
      <c r="J380" s="61"/>
      <c r="K380" s="61"/>
      <c r="L380" s="61"/>
      <c r="M380" s="103" t="str">
        <f t="shared" si="25"/>
        <v/>
      </c>
      <c r="N380" s="84"/>
      <c r="O380" s="61"/>
      <c r="P380" s="61"/>
      <c r="Q380" s="213"/>
      <c r="R380" s="64"/>
      <c r="S380" s="65" t="str">
        <f t="shared" si="26"/>
        <v/>
      </c>
      <c r="T380" s="104" t="str">
        <f t="shared" si="27"/>
        <v/>
      </c>
      <c r="U380" s="84"/>
      <c r="V380" s="61"/>
      <c r="W380" s="61"/>
      <c r="X380" s="61"/>
      <c r="Y380" s="61"/>
      <c r="Z380" s="73" t="str">
        <f t="shared" si="28"/>
        <v/>
      </c>
      <c r="AA380" s="61"/>
      <c r="AB380" s="106" t="str">
        <f t="shared" si="29"/>
        <v/>
      </c>
      <c r="AE380" s="107" t="str">
        <f>IF($S380="","",VLOOKUP($S380,'ORF Accuracy Value LookUp'!$A$4:$B$104,2,TRUE))</f>
        <v/>
      </c>
      <c r="AF380" s="108" t="str">
        <f>IF($Z380="","",VLOOKUP($Z380,'ORF Accuracy Value LookUp'!$D$4:$E$104,2,TRUE))</f>
        <v/>
      </c>
    </row>
    <row r="381" spans="1:32">
      <c r="A381" s="58"/>
      <c r="B381" s="58"/>
      <c r="C381" s="58"/>
      <c r="D381" s="58"/>
      <c r="E381" s="58"/>
      <c r="F381" s="62"/>
      <c r="G381" s="63"/>
      <c r="H381" s="84"/>
      <c r="I381" s="61"/>
      <c r="J381" s="61"/>
      <c r="K381" s="61"/>
      <c r="L381" s="61"/>
      <c r="M381" s="103" t="str">
        <f t="shared" si="25"/>
        <v/>
      </c>
      <c r="N381" s="84"/>
      <c r="O381" s="61"/>
      <c r="P381" s="61"/>
      <c r="Q381" s="213"/>
      <c r="R381" s="64"/>
      <c r="S381" s="65" t="str">
        <f t="shared" si="26"/>
        <v/>
      </c>
      <c r="T381" s="104" t="str">
        <f t="shared" si="27"/>
        <v/>
      </c>
      <c r="U381" s="84"/>
      <c r="V381" s="61"/>
      <c r="W381" s="61"/>
      <c r="X381" s="61"/>
      <c r="Y381" s="61"/>
      <c r="Z381" s="73" t="str">
        <f t="shared" si="28"/>
        <v/>
      </c>
      <c r="AA381" s="61"/>
      <c r="AB381" s="106" t="str">
        <f t="shared" si="29"/>
        <v/>
      </c>
      <c r="AE381" s="107" t="str">
        <f>IF($S381="","",VLOOKUP($S381,'ORF Accuracy Value LookUp'!$A$4:$B$104,2,TRUE))</f>
        <v/>
      </c>
      <c r="AF381" s="108" t="str">
        <f>IF($Z381="","",VLOOKUP($Z381,'ORF Accuracy Value LookUp'!$D$4:$E$104,2,TRUE))</f>
        <v/>
      </c>
    </row>
    <row r="382" spans="1:32">
      <c r="A382" s="58"/>
      <c r="B382" s="58"/>
      <c r="C382" s="58"/>
      <c r="D382" s="58"/>
      <c r="E382" s="58"/>
      <c r="F382" s="62"/>
      <c r="G382" s="63"/>
      <c r="H382" s="84"/>
      <c r="I382" s="61"/>
      <c r="J382" s="61"/>
      <c r="K382" s="61"/>
      <c r="L382" s="61"/>
      <c r="M382" s="103" t="str">
        <f t="shared" si="25"/>
        <v/>
      </c>
      <c r="N382" s="84"/>
      <c r="O382" s="61"/>
      <c r="P382" s="61"/>
      <c r="Q382" s="213"/>
      <c r="R382" s="64"/>
      <c r="S382" s="65" t="str">
        <f t="shared" si="26"/>
        <v/>
      </c>
      <c r="T382" s="104" t="str">
        <f t="shared" si="27"/>
        <v/>
      </c>
      <c r="U382" s="84"/>
      <c r="V382" s="61"/>
      <c r="W382" s="61"/>
      <c r="X382" s="61"/>
      <c r="Y382" s="61"/>
      <c r="Z382" s="73" t="str">
        <f t="shared" si="28"/>
        <v/>
      </c>
      <c r="AA382" s="61"/>
      <c r="AB382" s="106" t="str">
        <f t="shared" si="29"/>
        <v/>
      </c>
      <c r="AE382" s="107" t="str">
        <f>IF($S382="","",VLOOKUP($S382,'ORF Accuracy Value LookUp'!$A$4:$B$104,2,TRUE))</f>
        <v/>
      </c>
      <c r="AF382" s="108" t="str">
        <f>IF($Z382="","",VLOOKUP($Z382,'ORF Accuracy Value LookUp'!$D$4:$E$104,2,TRUE))</f>
        <v/>
      </c>
    </row>
    <row r="383" spans="1:32">
      <c r="A383" s="58"/>
      <c r="B383" s="58"/>
      <c r="C383" s="58"/>
      <c r="D383" s="58"/>
      <c r="E383" s="58"/>
      <c r="F383" s="62"/>
      <c r="G383" s="63"/>
      <c r="H383" s="84"/>
      <c r="I383" s="61"/>
      <c r="J383" s="61"/>
      <c r="K383" s="61"/>
      <c r="L383" s="61"/>
      <c r="M383" s="103" t="str">
        <f t="shared" si="25"/>
        <v/>
      </c>
      <c r="N383" s="84"/>
      <c r="O383" s="61"/>
      <c r="P383" s="61"/>
      <c r="Q383" s="213"/>
      <c r="R383" s="64"/>
      <c r="S383" s="65" t="str">
        <f t="shared" si="26"/>
        <v/>
      </c>
      <c r="T383" s="104" t="str">
        <f t="shared" si="27"/>
        <v/>
      </c>
      <c r="U383" s="84"/>
      <c r="V383" s="61"/>
      <c r="W383" s="61"/>
      <c r="X383" s="61"/>
      <c r="Y383" s="61"/>
      <c r="Z383" s="73" t="str">
        <f t="shared" si="28"/>
        <v/>
      </c>
      <c r="AA383" s="61"/>
      <c r="AB383" s="106" t="str">
        <f t="shared" si="29"/>
        <v/>
      </c>
      <c r="AE383" s="107" t="str">
        <f>IF($S383="","",VLOOKUP($S383,'ORF Accuracy Value LookUp'!$A$4:$B$104,2,TRUE))</f>
        <v/>
      </c>
      <c r="AF383" s="108" t="str">
        <f>IF($Z383="","",VLOOKUP($Z383,'ORF Accuracy Value LookUp'!$D$4:$E$104,2,TRUE))</f>
        <v/>
      </c>
    </row>
    <row r="384" spans="1:32">
      <c r="A384" s="58"/>
      <c r="B384" s="58"/>
      <c r="C384" s="58"/>
      <c r="D384" s="58"/>
      <c r="E384" s="58"/>
      <c r="F384" s="62"/>
      <c r="G384" s="63"/>
      <c r="H384" s="84"/>
      <c r="I384" s="61"/>
      <c r="J384" s="61"/>
      <c r="K384" s="61"/>
      <c r="L384" s="61"/>
      <c r="M384" s="103" t="str">
        <f t="shared" si="25"/>
        <v/>
      </c>
      <c r="N384" s="84"/>
      <c r="O384" s="61"/>
      <c r="P384" s="61"/>
      <c r="Q384" s="213"/>
      <c r="R384" s="64"/>
      <c r="S384" s="65" t="str">
        <f t="shared" si="26"/>
        <v/>
      </c>
      <c r="T384" s="104" t="str">
        <f t="shared" si="27"/>
        <v/>
      </c>
      <c r="U384" s="84"/>
      <c r="V384" s="61"/>
      <c r="W384" s="61"/>
      <c r="X384" s="61"/>
      <c r="Y384" s="61"/>
      <c r="Z384" s="73" t="str">
        <f t="shared" si="28"/>
        <v/>
      </c>
      <c r="AA384" s="61"/>
      <c r="AB384" s="106" t="str">
        <f t="shared" si="29"/>
        <v/>
      </c>
      <c r="AE384" s="107" t="str">
        <f>IF($S384="","",VLOOKUP($S384,'ORF Accuracy Value LookUp'!$A$4:$B$104,2,TRUE))</f>
        <v/>
      </c>
      <c r="AF384" s="108" t="str">
        <f>IF($Z384="","",VLOOKUP($Z384,'ORF Accuracy Value LookUp'!$D$4:$E$104,2,TRUE))</f>
        <v/>
      </c>
    </row>
    <row r="385" spans="1:32">
      <c r="A385" s="58"/>
      <c r="B385" s="58"/>
      <c r="C385" s="58"/>
      <c r="D385" s="58"/>
      <c r="E385" s="58"/>
      <c r="F385" s="62"/>
      <c r="G385" s="63"/>
      <c r="H385" s="84"/>
      <c r="I385" s="61"/>
      <c r="J385" s="61"/>
      <c r="K385" s="61"/>
      <c r="L385" s="61"/>
      <c r="M385" s="103" t="str">
        <f t="shared" si="25"/>
        <v/>
      </c>
      <c r="N385" s="84"/>
      <c r="O385" s="61"/>
      <c r="P385" s="61"/>
      <c r="Q385" s="213"/>
      <c r="R385" s="64"/>
      <c r="S385" s="65" t="str">
        <f t="shared" si="26"/>
        <v/>
      </c>
      <c r="T385" s="104" t="str">
        <f t="shared" si="27"/>
        <v/>
      </c>
      <c r="U385" s="84"/>
      <c r="V385" s="61"/>
      <c r="W385" s="61"/>
      <c r="X385" s="61"/>
      <c r="Y385" s="61"/>
      <c r="Z385" s="73" t="str">
        <f t="shared" si="28"/>
        <v/>
      </c>
      <c r="AA385" s="61"/>
      <c r="AB385" s="106" t="str">
        <f t="shared" si="29"/>
        <v/>
      </c>
      <c r="AE385" s="107" t="str">
        <f>IF($S385="","",VLOOKUP($S385,'ORF Accuracy Value LookUp'!$A$4:$B$104,2,TRUE))</f>
        <v/>
      </c>
      <c r="AF385" s="108" t="str">
        <f>IF($Z385="","",VLOOKUP($Z385,'ORF Accuracy Value LookUp'!$D$4:$E$104,2,TRUE))</f>
        <v/>
      </c>
    </row>
    <row r="386" spans="1:32">
      <c r="A386" s="58"/>
      <c r="B386" s="58"/>
      <c r="C386" s="58"/>
      <c r="D386" s="58"/>
      <c r="E386" s="58"/>
      <c r="F386" s="62"/>
      <c r="G386" s="63"/>
      <c r="H386" s="84"/>
      <c r="I386" s="61"/>
      <c r="J386" s="61"/>
      <c r="K386" s="61"/>
      <c r="L386" s="61"/>
      <c r="M386" s="103" t="str">
        <f t="shared" si="25"/>
        <v/>
      </c>
      <c r="N386" s="84"/>
      <c r="O386" s="61"/>
      <c r="P386" s="61"/>
      <c r="Q386" s="213"/>
      <c r="R386" s="64"/>
      <c r="S386" s="65" t="str">
        <f t="shared" si="26"/>
        <v/>
      </c>
      <c r="T386" s="104" t="str">
        <f t="shared" si="27"/>
        <v/>
      </c>
      <c r="U386" s="84"/>
      <c r="V386" s="61"/>
      <c r="W386" s="61"/>
      <c r="X386" s="61"/>
      <c r="Y386" s="61"/>
      <c r="Z386" s="73" t="str">
        <f t="shared" si="28"/>
        <v/>
      </c>
      <c r="AA386" s="61"/>
      <c r="AB386" s="106" t="str">
        <f t="shared" si="29"/>
        <v/>
      </c>
      <c r="AE386" s="107" t="str">
        <f>IF($S386="","",VLOOKUP($S386,'ORF Accuracy Value LookUp'!$A$4:$B$104,2,TRUE))</f>
        <v/>
      </c>
      <c r="AF386" s="108" t="str">
        <f>IF($Z386="","",VLOOKUP($Z386,'ORF Accuracy Value LookUp'!$D$4:$E$104,2,TRUE))</f>
        <v/>
      </c>
    </row>
    <row r="387" spans="1:32">
      <c r="A387" s="58"/>
      <c r="B387" s="58"/>
      <c r="C387" s="58"/>
      <c r="D387" s="58"/>
      <c r="E387" s="58"/>
      <c r="F387" s="62"/>
      <c r="G387" s="63"/>
      <c r="H387" s="84"/>
      <c r="I387" s="61"/>
      <c r="J387" s="61"/>
      <c r="K387" s="61"/>
      <c r="L387" s="61"/>
      <c r="M387" s="103" t="str">
        <f t="shared" ref="M387:M395" si="30">IF($B387="","",SUM($I387:$K387))</f>
        <v/>
      </c>
      <c r="N387" s="84"/>
      <c r="O387" s="61"/>
      <c r="P387" s="61"/>
      <c r="Q387" s="213"/>
      <c r="R387" s="64"/>
      <c r="S387" s="65" t="str">
        <f t="shared" ref="S387:S395" si="31">IF($Q387="","",SUM($Q387/($Q387+$R387)))</f>
        <v/>
      </c>
      <c r="T387" s="104" t="str">
        <f t="shared" si="27"/>
        <v/>
      </c>
      <c r="U387" s="84"/>
      <c r="V387" s="61"/>
      <c r="W387" s="61"/>
      <c r="X387" s="61"/>
      <c r="Y387" s="61"/>
      <c r="Z387" s="73" t="str">
        <f t="shared" si="28"/>
        <v/>
      </c>
      <c r="AA387" s="61"/>
      <c r="AB387" s="106" t="str">
        <f t="shared" si="29"/>
        <v/>
      </c>
      <c r="AE387" s="107" t="str">
        <f>IF($S387="","",VLOOKUP($S387,'ORF Accuracy Value LookUp'!$A$4:$B$104,2,TRUE))</f>
        <v/>
      </c>
      <c r="AF387" s="108" t="str">
        <f>IF($Z387="","",VLOOKUP($Z387,'ORF Accuracy Value LookUp'!$D$4:$E$104,2,TRUE))</f>
        <v/>
      </c>
    </row>
    <row r="388" spans="1:32">
      <c r="A388" s="58"/>
      <c r="B388" s="58"/>
      <c r="C388" s="58"/>
      <c r="D388" s="58"/>
      <c r="E388" s="58"/>
      <c r="F388" s="62"/>
      <c r="G388" s="63"/>
      <c r="H388" s="84"/>
      <c r="I388" s="61"/>
      <c r="J388" s="61"/>
      <c r="K388" s="61"/>
      <c r="L388" s="61"/>
      <c r="M388" s="103" t="str">
        <f t="shared" si="30"/>
        <v/>
      </c>
      <c r="N388" s="84"/>
      <c r="O388" s="61"/>
      <c r="P388" s="61"/>
      <c r="Q388" s="213"/>
      <c r="R388" s="64"/>
      <c r="S388" s="65" t="str">
        <f t="shared" si="31"/>
        <v/>
      </c>
      <c r="T388" s="104" t="str">
        <f t="shared" ref="T388:T395" si="32">IF($N388="","",SUM($O388:$Q388,$AE389))</f>
        <v/>
      </c>
      <c r="U388" s="84"/>
      <c r="V388" s="61"/>
      <c r="W388" s="61"/>
      <c r="X388" s="61"/>
      <c r="Y388" s="61"/>
      <c r="Z388" s="73" t="str">
        <f t="shared" ref="Z388:Z395" si="33">IF($X388="","",SUM($X388/($X388+$Y388)))</f>
        <v/>
      </c>
      <c r="AA388" s="61"/>
      <c r="AB388" s="106" t="str">
        <f t="shared" ref="AB388:AB395" si="34">IF($U388="","",SUM(($W388*2)+$X388+$AF388))</f>
        <v/>
      </c>
      <c r="AE388" s="107" t="str">
        <f>IF($S388="","",VLOOKUP($S388,'ORF Accuracy Value LookUp'!$A$4:$B$104,2,TRUE))</f>
        <v/>
      </c>
      <c r="AF388" s="108" t="str">
        <f>IF($Z388="","",VLOOKUP($Z388,'ORF Accuracy Value LookUp'!$D$4:$E$104,2,TRUE))</f>
        <v/>
      </c>
    </row>
    <row r="389" spans="1:32">
      <c r="A389" s="58"/>
      <c r="B389" s="58"/>
      <c r="C389" s="58"/>
      <c r="D389" s="58"/>
      <c r="E389" s="58"/>
      <c r="F389" s="62"/>
      <c r="G389" s="63"/>
      <c r="H389" s="84"/>
      <c r="I389" s="61"/>
      <c r="J389" s="61"/>
      <c r="K389" s="61"/>
      <c r="L389" s="61"/>
      <c r="M389" s="103" t="str">
        <f t="shared" si="30"/>
        <v/>
      </c>
      <c r="N389" s="84"/>
      <c r="O389" s="61"/>
      <c r="P389" s="61"/>
      <c r="Q389" s="213"/>
      <c r="R389" s="64"/>
      <c r="S389" s="65" t="str">
        <f t="shared" si="31"/>
        <v/>
      </c>
      <c r="T389" s="104" t="str">
        <f t="shared" si="32"/>
        <v/>
      </c>
      <c r="U389" s="84"/>
      <c r="V389" s="61"/>
      <c r="W389" s="61"/>
      <c r="X389" s="61"/>
      <c r="Y389" s="61"/>
      <c r="Z389" s="73" t="str">
        <f t="shared" si="33"/>
        <v/>
      </c>
      <c r="AA389" s="61"/>
      <c r="AB389" s="106" t="str">
        <f t="shared" si="34"/>
        <v/>
      </c>
      <c r="AE389" s="107" t="str">
        <f>IF($S389="","",VLOOKUP($S389,'ORF Accuracy Value LookUp'!$A$4:$B$104,2,TRUE))</f>
        <v/>
      </c>
      <c r="AF389" s="108" t="str">
        <f>IF($Z389="","",VLOOKUP($Z389,'ORF Accuracy Value LookUp'!$D$4:$E$104,2,TRUE))</f>
        <v/>
      </c>
    </row>
    <row r="390" spans="1:32">
      <c r="A390" s="58"/>
      <c r="B390" s="58"/>
      <c r="C390" s="58"/>
      <c r="D390" s="58"/>
      <c r="E390" s="58"/>
      <c r="F390" s="62"/>
      <c r="G390" s="63"/>
      <c r="H390" s="84"/>
      <c r="I390" s="61"/>
      <c r="J390" s="61"/>
      <c r="K390" s="61"/>
      <c r="L390" s="61"/>
      <c r="M390" s="103" t="str">
        <f t="shared" si="30"/>
        <v/>
      </c>
      <c r="N390" s="84"/>
      <c r="O390" s="61"/>
      <c r="P390" s="61"/>
      <c r="Q390" s="213"/>
      <c r="R390" s="64"/>
      <c r="S390" s="65" t="str">
        <f t="shared" si="31"/>
        <v/>
      </c>
      <c r="T390" s="104" t="str">
        <f t="shared" si="32"/>
        <v/>
      </c>
      <c r="U390" s="84"/>
      <c r="V390" s="61"/>
      <c r="W390" s="61"/>
      <c r="X390" s="61"/>
      <c r="Y390" s="61"/>
      <c r="Z390" s="73" t="str">
        <f t="shared" si="33"/>
        <v/>
      </c>
      <c r="AA390" s="61"/>
      <c r="AB390" s="106" t="str">
        <f t="shared" si="34"/>
        <v/>
      </c>
      <c r="AE390" s="107" t="str">
        <f>IF($S390="","",VLOOKUP($S390,'ORF Accuracy Value LookUp'!$A$4:$B$104,2,TRUE))</f>
        <v/>
      </c>
      <c r="AF390" s="108" t="str">
        <f>IF($Z390="","",VLOOKUP($Z390,'ORF Accuracy Value LookUp'!$D$4:$E$104,2,TRUE))</f>
        <v/>
      </c>
    </row>
    <row r="391" spans="1:32">
      <c r="A391" s="58"/>
      <c r="B391" s="58"/>
      <c r="C391" s="58"/>
      <c r="D391" s="58"/>
      <c r="E391" s="58"/>
      <c r="F391" s="62"/>
      <c r="G391" s="63"/>
      <c r="H391" s="84"/>
      <c r="I391" s="61"/>
      <c r="J391" s="61"/>
      <c r="K391" s="61"/>
      <c r="L391" s="61"/>
      <c r="M391" s="103" t="str">
        <f t="shared" si="30"/>
        <v/>
      </c>
      <c r="N391" s="84"/>
      <c r="O391" s="61"/>
      <c r="P391" s="61"/>
      <c r="Q391" s="213"/>
      <c r="R391" s="64"/>
      <c r="S391" s="65" t="str">
        <f t="shared" si="31"/>
        <v/>
      </c>
      <c r="T391" s="104" t="str">
        <f t="shared" si="32"/>
        <v/>
      </c>
      <c r="U391" s="84"/>
      <c r="V391" s="61"/>
      <c r="W391" s="61"/>
      <c r="X391" s="61"/>
      <c r="Y391" s="61"/>
      <c r="Z391" s="73" t="str">
        <f t="shared" si="33"/>
        <v/>
      </c>
      <c r="AA391" s="61"/>
      <c r="AB391" s="106" t="str">
        <f t="shared" si="34"/>
        <v/>
      </c>
      <c r="AE391" s="107" t="str">
        <f>IF($S391="","",VLOOKUP($S391,'ORF Accuracy Value LookUp'!$A$4:$B$104,2,TRUE))</f>
        <v/>
      </c>
      <c r="AF391" s="108" t="str">
        <f>IF($Z391="","",VLOOKUP($Z391,'ORF Accuracy Value LookUp'!$D$4:$E$104,2,TRUE))</f>
        <v/>
      </c>
    </row>
    <row r="392" spans="1:32">
      <c r="A392" s="58"/>
      <c r="B392" s="58"/>
      <c r="C392" s="58"/>
      <c r="D392" s="58"/>
      <c r="E392" s="58"/>
      <c r="F392" s="62"/>
      <c r="G392" s="63"/>
      <c r="H392" s="84"/>
      <c r="I392" s="61"/>
      <c r="J392" s="61"/>
      <c r="K392" s="61"/>
      <c r="L392" s="61"/>
      <c r="M392" s="103" t="str">
        <f t="shared" si="30"/>
        <v/>
      </c>
      <c r="N392" s="84"/>
      <c r="O392" s="61"/>
      <c r="P392" s="61"/>
      <c r="Q392" s="213"/>
      <c r="R392" s="64"/>
      <c r="S392" s="65" t="str">
        <f t="shared" si="31"/>
        <v/>
      </c>
      <c r="T392" s="104" t="str">
        <f t="shared" si="32"/>
        <v/>
      </c>
      <c r="U392" s="84"/>
      <c r="V392" s="61"/>
      <c r="W392" s="61"/>
      <c r="X392" s="61"/>
      <c r="Y392" s="61"/>
      <c r="Z392" s="73" t="str">
        <f t="shared" si="33"/>
        <v/>
      </c>
      <c r="AA392" s="61"/>
      <c r="AB392" s="106" t="str">
        <f t="shared" si="34"/>
        <v/>
      </c>
      <c r="AE392" s="107" t="str">
        <f>IF($S392="","",VLOOKUP($S392,'ORF Accuracy Value LookUp'!$A$4:$B$104,2,TRUE))</f>
        <v/>
      </c>
      <c r="AF392" s="108" t="str">
        <f>IF($Z392="","",VLOOKUP($Z392,'ORF Accuracy Value LookUp'!$D$4:$E$104,2,TRUE))</f>
        <v/>
      </c>
    </row>
    <row r="393" spans="1:32">
      <c r="A393" s="58"/>
      <c r="B393" s="58"/>
      <c r="C393" s="58"/>
      <c r="D393" s="58"/>
      <c r="E393" s="58"/>
      <c r="F393" s="62"/>
      <c r="G393" s="63"/>
      <c r="H393" s="84"/>
      <c r="I393" s="61"/>
      <c r="J393" s="61"/>
      <c r="K393" s="61"/>
      <c r="L393" s="61"/>
      <c r="M393" s="103" t="str">
        <f t="shared" si="30"/>
        <v/>
      </c>
      <c r="N393" s="84"/>
      <c r="O393" s="61"/>
      <c r="P393" s="61"/>
      <c r="Q393" s="213"/>
      <c r="R393" s="64"/>
      <c r="S393" s="65" t="str">
        <f t="shared" si="31"/>
        <v/>
      </c>
      <c r="T393" s="104" t="str">
        <f t="shared" si="32"/>
        <v/>
      </c>
      <c r="U393" s="84"/>
      <c r="V393" s="61"/>
      <c r="W393" s="61"/>
      <c r="X393" s="61"/>
      <c r="Y393" s="61"/>
      <c r="Z393" s="73" t="str">
        <f t="shared" si="33"/>
        <v/>
      </c>
      <c r="AA393" s="61"/>
      <c r="AB393" s="106" t="str">
        <f t="shared" si="34"/>
        <v/>
      </c>
      <c r="AE393" s="107" t="str">
        <f>IF($S393="","",VLOOKUP($S393,'ORF Accuracy Value LookUp'!$A$4:$B$104,2,TRUE))</f>
        <v/>
      </c>
      <c r="AF393" s="108" t="str">
        <f>IF($Z393="","",VLOOKUP($Z393,'ORF Accuracy Value LookUp'!$D$4:$E$104,2,TRUE))</f>
        <v/>
      </c>
    </row>
    <row r="394" spans="1:32">
      <c r="A394" s="58"/>
      <c r="B394" s="58"/>
      <c r="C394" s="58"/>
      <c r="D394" s="58"/>
      <c r="E394" s="58"/>
      <c r="F394" s="62"/>
      <c r="G394" s="63"/>
      <c r="H394" s="84"/>
      <c r="I394" s="61"/>
      <c r="J394" s="61"/>
      <c r="K394" s="61"/>
      <c r="L394" s="61"/>
      <c r="M394" s="103" t="str">
        <f t="shared" si="30"/>
        <v/>
      </c>
      <c r="N394" s="84"/>
      <c r="O394" s="61"/>
      <c r="P394" s="61"/>
      <c r="Q394" s="213"/>
      <c r="R394" s="64"/>
      <c r="S394" s="65" t="str">
        <f t="shared" si="31"/>
        <v/>
      </c>
      <c r="T394" s="104" t="str">
        <f t="shared" si="32"/>
        <v/>
      </c>
      <c r="U394" s="84"/>
      <c r="V394" s="61"/>
      <c r="W394" s="61"/>
      <c r="X394" s="61"/>
      <c r="Y394" s="61"/>
      <c r="Z394" s="73" t="str">
        <f t="shared" si="33"/>
        <v/>
      </c>
      <c r="AA394" s="61"/>
      <c r="AB394" s="106" t="str">
        <f t="shared" si="34"/>
        <v/>
      </c>
      <c r="AE394" s="107" t="str">
        <f>IF($S394="","",VLOOKUP($S394,'ORF Accuracy Value LookUp'!$A$4:$B$104,2,TRUE))</f>
        <v/>
      </c>
      <c r="AF394" s="108" t="str">
        <f>IF($Z394="","",VLOOKUP($Z394,'ORF Accuracy Value LookUp'!$D$4:$E$104,2,TRUE))</f>
        <v/>
      </c>
    </row>
    <row r="395" spans="1:32" ht="15.75" thickBot="1">
      <c r="A395" s="58"/>
      <c r="B395" s="58"/>
      <c r="C395" s="58"/>
      <c r="D395" s="58"/>
      <c r="E395" s="58"/>
      <c r="F395" s="62"/>
      <c r="G395" s="63"/>
      <c r="H395" s="85"/>
      <c r="I395" s="66"/>
      <c r="J395" s="66"/>
      <c r="K395" s="66"/>
      <c r="L395" s="66"/>
      <c r="M395" s="67" t="str">
        <f t="shared" si="30"/>
        <v/>
      </c>
      <c r="N395" s="85"/>
      <c r="O395" s="66"/>
      <c r="P395" s="66"/>
      <c r="Q395" s="214"/>
      <c r="R395" s="68"/>
      <c r="S395" s="105" t="str">
        <f t="shared" si="31"/>
        <v/>
      </c>
      <c r="T395" s="104" t="str">
        <f t="shared" si="32"/>
        <v/>
      </c>
      <c r="U395" s="85"/>
      <c r="V395" s="66"/>
      <c r="W395" s="66"/>
      <c r="X395" s="66"/>
      <c r="Y395" s="66"/>
      <c r="Z395" s="73" t="str">
        <f t="shared" si="33"/>
        <v/>
      </c>
      <c r="AA395" s="66"/>
      <c r="AB395" s="106" t="str">
        <f t="shared" si="34"/>
        <v/>
      </c>
      <c r="AE395" s="107" t="str">
        <f>IF($S395="","",VLOOKUP($S395,'ORF Accuracy Value LookUp'!$A$4:$B$104,2,TRUE))</f>
        <v/>
      </c>
      <c r="AF395" s="108" t="str">
        <f>IF($Z395="","",VLOOKUP($Z395,'ORF Accuracy Value LookUp'!$D$4:$E$104,2,TRUE))</f>
        <v/>
      </c>
    </row>
    <row r="396" spans="1:32">
      <c r="F396" s="69"/>
    </row>
    <row r="397" spans="1:32">
      <c r="F397" s="69"/>
    </row>
    <row r="398" spans="1:32">
      <c r="F398" s="69"/>
    </row>
    <row r="399" spans="1:32">
      <c r="F399" s="69"/>
    </row>
    <row r="400" spans="1:32">
      <c r="F400" s="69"/>
    </row>
    <row r="401" spans="6:6">
      <c r="F401" s="69"/>
    </row>
    <row r="402" spans="6:6">
      <c r="F402" s="69"/>
    </row>
    <row r="403" spans="6:6">
      <c r="F403" s="69"/>
    </row>
  </sheetData>
  <mergeCells count="13">
    <mergeCell ref="A1:G2"/>
    <mergeCell ref="K6:L6"/>
    <mergeCell ref="O6:P6"/>
    <mergeCell ref="V6:W6"/>
    <mergeCell ref="H5:M5"/>
    <mergeCell ref="I1:Z2"/>
    <mergeCell ref="U5:AB5"/>
    <mergeCell ref="Q6:S6"/>
    <mergeCell ref="N5:T5"/>
    <mergeCell ref="X6:AA6"/>
    <mergeCell ref="H3:M3"/>
    <mergeCell ref="U3:Z3"/>
    <mergeCell ref="N3:T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7F76-070B-9C44-9636-390AC7668447}">
  <dimension ref="A1:AH408"/>
  <sheetViews>
    <sheetView topLeftCell="A5" zoomScaleNormal="100" workbookViewId="0">
      <pane xSplit="7" topLeftCell="H1" activePane="topRight" state="frozen"/>
      <selection pane="topRight" activeCell="A19" sqref="A19:XFD19"/>
    </sheetView>
  </sheetViews>
  <sheetFormatPr defaultColWidth="10" defaultRowHeight="15"/>
  <cols>
    <col min="1" max="1" width="8.7109375" customWidth="1"/>
    <col min="2" max="2" width="9.7109375" customWidth="1"/>
    <col min="3" max="5" width="8.7109375" customWidth="1"/>
    <col min="6" max="6" width="11.85546875" customWidth="1"/>
    <col min="7" max="7" width="8.7109375" customWidth="1"/>
    <col min="8" max="8" width="12" style="6" customWidth="1"/>
    <col min="9" max="9" width="12.140625" style="6" customWidth="1"/>
    <col min="10" max="10" width="13.140625" style="6" customWidth="1"/>
    <col min="11" max="11" width="11.7109375" style="6" customWidth="1"/>
    <col min="12" max="12" width="6.85546875" style="6" bestFit="1" customWidth="1"/>
    <col min="13" max="13" width="11.42578125" style="77" bestFit="1" customWidth="1"/>
    <col min="14" max="14" width="8.7109375" style="6" bestFit="1" customWidth="1"/>
    <col min="15" max="15" width="12" style="6" customWidth="1"/>
    <col min="16" max="16" width="12.42578125" style="17" customWidth="1"/>
    <col min="17" max="17" width="11" style="6" customWidth="1"/>
    <col min="18" max="18" width="9.140625" style="6" bestFit="1" customWidth="1"/>
    <col min="19" max="19" width="11.42578125" style="77" bestFit="1" customWidth="1"/>
    <col min="20" max="20" width="8.7109375" style="6" bestFit="1" customWidth="1"/>
    <col min="21" max="21" width="9.28515625" style="6" customWidth="1"/>
    <col min="22" max="22" width="10.28515625" style="17" customWidth="1"/>
    <col min="23" max="23" width="12.28515625" style="17" customWidth="1"/>
    <col min="24" max="24" width="12" style="6" customWidth="1"/>
    <col min="25" max="25" width="6.85546875" style="6" bestFit="1" customWidth="1"/>
    <col min="26" max="26" width="11.42578125" style="77" bestFit="1" customWidth="1"/>
    <col min="27" max="27" width="8.7109375" style="6" bestFit="1" customWidth="1"/>
    <col min="28" max="28" width="10.140625" style="6" customWidth="1"/>
    <col min="29" max="29" width="10.42578125" style="17" customWidth="1"/>
    <col min="32" max="32" width="10.42578125" style="6" customWidth="1"/>
    <col min="33" max="33" width="9.42578125" style="6" customWidth="1"/>
    <col min="34" max="34" width="10.140625" style="6" customWidth="1"/>
  </cols>
  <sheetData>
    <row r="1" spans="1:34" ht="76.5" customHeight="1">
      <c r="A1" s="244" t="s">
        <v>27</v>
      </c>
      <c r="B1" s="244"/>
      <c r="C1" s="244"/>
      <c r="D1" s="244"/>
      <c r="E1" s="244"/>
      <c r="F1" s="244"/>
      <c r="G1" s="244"/>
      <c r="H1" s="27"/>
      <c r="I1" s="260" t="s">
        <v>46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C1" s="6"/>
      <c r="AF1" s="18"/>
      <c r="AG1" s="18"/>
    </row>
    <row r="2" spans="1:34" ht="43.5" customHeight="1">
      <c r="A2" s="244"/>
      <c r="B2" s="244"/>
      <c r="C2" s="244"/>
      <c r="D2" s="244"/>
      <c r="E2" s="244"/>
      <c r="F2" s="244"/>
      <c r="G2" s="244"/>
      <c r="H2" s="27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C2" s="6"/>
      <c r="AF2" s="18"/>
      <c r="AG2" s="18"/>
    </row>
    <row r="3" spans="1:34" ht="15" customHeight="1" thickBot="1">
      <c r="C3" s="2"/>
      <c r="H3" s="277" t="s">
        <v>48</v>
      </c>
      <c r="I3" s="278"/>
      <c r="J3" s="278"/>
      <c r="K3" s="278"/>
      <c r="L3" s="278"/>
      <c r="M3" s="278"/>
      <c r="N3" s="278"/>
      <c r="O3" s="279"/>
      <c r="P3" s="280" t="s">
        <v>48</v>
      </c>
      <c r="Q3" s="280"/>
      <c r="R3" s="280"/>
      <c r="S3" s="280"/>
      <c r="T3" s="280"/>
      <c r="U3" s="280"/>
      <c r="V3" s="280"/>
      <c r="W3" s="281" t="s">
        <v>48</v>
      </c>
      <c r="X3" s="280"/>
      <c r="Y3" s="280"/>
      <c r="Z3" s="280"/>
      <c r="AA3" s="280"/>
      <c r="AB3" s="280"/>
      <c r="AC3" s="282"/>
    </row>
    <row r="4" spans="1:34" ht="15" customHeight="1" thickBot="1">
      <c r="A4" s="25" t="s">
        <v>4</v>
      </c>
      <c r="B4" s="25" t="s">
        <v>4</v>
      </c>
      <c r="C4" s="25" t="s">
        <v>4</v>
      </c>
      <c r="D4" s="25" t="s">
        <v>4</v>
      </c>
      <c r="E4" s="49" t="s">
        <v>3</v>
      </c>
      <c r="F4" s="25" t="s">
        <v>4</v>
      </c>
      <c r="G4" s="50" t="s">
        <v>3</v>
      </c>
      <c r="H4" s="223" t="s">
        <v>4</v>
      </c>
      <c r="I4" s="224" t="s">
        <v>3</v>
      </c>
      <c r="J4" s="225" t="s">
        <v>4</v>
      </c>
      <c r="K4" s="226" t="s">
        <v>4</v>
      </c>
      <c r="L4" s="224" t="s">
        <v>3</v>
      </c>
      <c r="M4" s="227" t="s">
        <v>4</v>
      </c>
      <c r="N4" s="224" t="s">
        <v>3</v>
      </c>
      <c r="O4" s="226"/>
      <c r="P4" s="223" t="s">
        <v>4</v>
      </c>
      <c r="Q4" s="226" t="s">
        <v>4</v>
      </c>
      <c r="R4" s="224" t="s">
        <v>3</v>
      </c>
      <c r="S4" s="227" t="s">
        <v>4</v>
      </c>
      <c r="T4" s="226" t="s">
        <v>4</v>
      </c>
      <c r="U4" s="224" t="s">
        <v>3</v>
      </c>
      <c r="V4" s="226"/>
      <c r="W4" s="223" t="s">
        <v>4</v>
      </c>
      <c r="X4" s="226" t="s">
        <v>4</v>
      </c>
      <c r="Y4" s="224" t="s">
        <v>3</v>
      </c>
      <c r="Z4" s="227" t="s">
        <v>4</v>
      </c>
      <c r="AA4" s="226" t="s">
        <v>4</v>
      </c>
      <c r="AB4" s="224" t="s">
        <v>3</v>
      </c>
      <c r="AC4" s="226"/>
      <c r="AF4" s="118"/>
      <c r="AG4" s="118"/>
      <c r="AH4" s="118"/>
    </row>
    <row r="5" spans="1:34" s="1" customFormat="1" ht="30.95" customHeight="1" thickBot="1">
      <c r="A5" s="157"/>
      <c r="B5" s="157"/>
      <c r="C5" s="157"/>
      <c r="D5" s="157"/>
      <c r="E5" s="158"/>
      <c r="F5" s="157"/>
      <c r="G5" s="158"/>
      <c r="H5" s="257" t="s">
        <v>23</v>
      </c>
      <c r="I5" s="259"/>
      <c r="J5" s="259"/>
      <c r="K5" s="259"/>
      <c r="L5" s="259"/>
      <c r="M5" s="259"/>
      <c r="N5" s="259"/>
      <c r="O5" s="245"/>
      <c r="P5" s="266" t="s">
        <v>24</v>
      </c>
      <c r="Q5" s="267"/>
      <c r="R5" s="267"/>
      <c r="S5" s="267"/>
      <c r="T5" s="267"/>
      <c r="U5" s="267"/>
      <c r="V5" s="268"/>
      <c r="W5" s="261" t="s">
        <v>25</v>
      </c>
      <c r="X5" s="262"/>
      <c r="Y5" s="262"/>
      <c r="Z5" s="262"/>
      <c r="AA5" s="262"/>
      <c r="AB5" s="262"/>
      <c r="AC5" s="263"/>
      <c r="AF5" s="119"/>
      <c r="AG5" s="119"/>
      <c r="AH5" s="119"/>
    </row>
    <row r="6" spans="1:34" s="1" customFormat="1" ht="33.950000000000003" customHeight="1" thickBot="1">
      <c r="A6" s="154"/>
      <c r="B6" s="155"/>
      <c r="C6" s="154"/>
      <c r="D6" s="155"/>
      <c r="E6" s="156"/>
      <c r="F6" s="155"/>
      <c r="G6" s="161"/>
      <c r="H6" s="177"/>
      <c r="I6" s="274" t="s">
        <v>9</v>
      </c>
      <c r="J6" s="275"/>
      <c r="K6" s="276" t="s">
        <v>10</v>
      </c>
      <c r="L6" s="252"/>
      <c r="M6" s="252"/>
      <c r="N6" s="252"/>
      <c r="O6" s="177"/>
      <c r="P6" s="178"/>
      <c r="Q6" s="265" t="s">
        <v>10</v>
      </c>
      <c r="R6" s="265"/>
      <c r="S6" s="265"/>
      <c r="T6" s="265"/>
      <c r="U6" s="265"/>
      <c r="V6" s="178"/>
      <c r="W6" s="179"/>
      <c r="X6" s="270" t="s">
        <v>10</v>
      </c>
      <c r="Y6" s="270"/>
      <c r="Z6" s="270"/>
      <c r="AA6" s="270"/>
      <c r="AB6" s="270"/>
      <c r="AC6" s="179"/>
      <c r="AF6" s="28" t="s">
        <v>23</v>
      </c>
      <c r="AG6" s="101" t="s">
        <v>24</v>
      </c>
      <c r="AH6" s="100" t="s">
        <v>25</v>
      </c>
    </row>
    <row r="7" spans="1:34" s="16" customFormat="1" ht="75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69" t="s">
        <v>5</v>
      </c>
      <c r="I7" s="197" t="s">
        <v>11</v>
      </c>
      <c r="J7" s="198" t="s">
        <v>12</v>
      </c>
      <c r="K7" s="198" t="s">
        <v>14</v>
      </c>
      <c r="L7" s="193" t="s">
        <v>15</v>
      </c>
      <c r="M7" s="199" t="s">
        <v>36</v>
      </c>
      <c r="N7" s="200" t="s">
        <v>28</v>
      </c>
      <c r="O7" s="184" t="s">
        <v>8</v>
      </c>
      <c r="P7" s="171" t="s">
        <v>5</v>
      </c>
      <c r="Q7" s="191" t="s">
        <v>14</v>
      </c>
      <c r="R7" s="193" t="s">
        <v>15</v>
      </c>
      <c r="S7" s="201" t="s">
        <v>36</v>
      </c>
      <c r="T7" s="29" t="s">
        <v>28</v>
      </c>
      <c r="U7" s="196" t="s">
        <v>29</v>
      </c>
      <c r="V7" s="185" t="s">
        <v>8</v>
      </c>
      <c r="W7" s="172" t="s">
        <v>5</v>
      </c>
      <c r="X7" s="202" t="s">
        <v>14</v>
      </c>
      <c r="Y7" s="193" t="s">
        <v>15</v>
      </c>
      <c r="Z7" s="203" t="s">
        <v>36</v>
      </c>
      <c r="AA7" s="30" t="s">
        <v>28</v>
      </c>
      <c r="AB7" s="196" t="s">
        <v>29</v>
      </c>
      <c r="AC7" s="186" t="s">
        <v>8</v>
      </c>
      <c r="AF7" s="28" t="s">
        <v>26</v>
      </c>
      <c r="AG7" s="29" t="s">
        <v>26</v>
      </c>
      <c r="AH7" s="30" t="s">
        <v>26</v>
      </c>
    </row>
    <row r="8" spans="1:34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175">
        <v>45376</v>
      </c>
      <c r="I8" s="24">
        <v>2</v>
      </c>
      <c r="J8" s="24">
        <v>0</v>
      </c>
      <c r="K8" s="74">
        <v>1</v>
      </c>
      <c r="L8" s="74">
        <v>1</v>
      </c>
      <c r="M8" s="76">
        <v>0.5</v>
      </c>
      <c r="N8" s="147">
        <v>0</v>
      </c>
      <c r="O8" s="111">
        <v>1</v>
      </c>
      <c r="P8" s="176">
        <v>45441</v>
      </c>
      <c r="Q8" s="74">
        <v>1</v>
      </c>
      <c r="R8" s="74">
        <v>1</v>
      </c>
      <c r="S8" s="78">
        <v>0.5</v>
      </c>
      <c r="T8" s="24">
        <v>0</v>
      </c>
      <c r="U8" s="32">
        <v>2</v>
      </c>
      <c r="V8" s="40">
        <v>1</v>
      </c>
      <c r="W8" s="176">
        <v>45580</v>
      </c>
      <c r="X8" s="74">
        <v>1</v>
      </c>
      <c r="Y8" s="74">
        <v>1</v>
      </c>
      <c r="Z8" s="79">
        <v>0.5</v>
      </c>
      <c r="AA8" s="24">
        <v>0</v>
      </c>
      <c r="AB8" s="32">
        <v>2</v>
      </c>
      <c r="AC8" s="31">
        <v>1</v>
      </c>
      <c r="AF8" s="109">
        <f>IF($M8="","",VLOOKUP($M8,'ORF Accuracy Value LookUp'!$D$4:$E$104,2,TRUE))</f>
        <v>0</v>
      </c>
      <c r="AG8" s="47">
        <f>IF($S8="","",VLOOKUP($S8,'ORF Accuracy Value LookUp'!$G$4:$H$104,2,TRUE))</f>
        <v>0</v>
      </c>
      <c r="AH8" s="110">
        <f>IF($Z8="","",VLOOKUP($Z8,'ORF Accuracy Value LookUp'!$G$4:$H$104,2,TRUE))</f>
        <v>0</v>
      </c>
    </row>
    <row r="9" spans="1:34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0">
        <v>45376</v>
      </c>
      <c r="I9" s="24">
        <v>19</v>
      </c>
      <c r="J9" s="24">
        <v>1</v>
      </c>
      <c r="K9" s="74">
        <v>7</v>
      </c>
      <c r="L9" s="74">
        <v>3</v>
      </c>
      <c r="M9" s="76">
        <v>0.7</v>
      </c>
      <c r="N9" s="24">
        <v>2</v>
      </c>
      <c r="O9" s="111">
        <v>24</v>
      </c>
      <c r="P9" s="81">
        <v>45441</v>
      </c>
      <c r="Q9" s="74">
        <v>5</v>
      </c>
      <c r="R9" s="74">
        <v>3</v>
      </c>
      <c r="S9" s="78">
        <v>0.625</v>
      </c>
      <c r="T9" s="24">
        <v>1</v>
      </c>
      <c r="U9" s="32">
        <v>2</v>
      </c>
      <c r="V9" s="40">
        <v>7</v>
      </c>
      <c r="W9" s="81">
        <v>45580</v>
      </c>
      <c r="X9" s="74">
        <v>8</v>
      </c>
      <c r="Y9" s="74">
        <v>3</v>
      </c>
      <c r="Z9" s="79">
        <v>0.72727272727272729</v>
      </c>
      <c r="AA9" s="24">
        <v>1</v>
      </c>
      <c r="AB9" s="32">
        <v>2</v>
      </c>
      <c r="AC9" s="31">
        <v>10</v>
      </c>
      <c r="AF9" s="109">
        <f>IF($M9="","",VLOOKUP($M9,'ORF Accuracy Value LookUp'!$D$4:$E$104,2,TRUE))</f>
        <v>15</v>
      </c>
      <c r="AG9" s="47">
        <f>IF($S9="","",VLOOKUP($S9,'ORF Accuracy Value LookUp'!$G$4:$H$104,2,TRUE))</f>
        <v>0</v>
      </c>
      <c r="AH9" s="110">
        <f>IF($Z9="","",VLOOKUP($Z9,'ORF Accuracy Value LookUp'!$G$4:$H$104,2,TRUE))</f>
        <v>0</v>
      </c>
    </row>
    <row r="10" spans="1:34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0">
        <v>45376</v>
      </c>
      <c r="I10" s="24">
        <v>26</v>
      </c>
      <c r="J10" s="24">
        <v>2</v>
      </c>
      <c r="K10" s="74">
        <v>15</v>
      </c>
      <c r="L10" s="74">
        <v>3</v>
      </c>
      <c r="M10" s="76">
        <v>0.83333333333333337</v>
      </c>
      <c r="N10" s="24">
        <v>7</v>
      </c>
      <c r="O10" s="111">
        <v>76</v>
      </c>
      <c r="P10" s="81">
        <v>45441</v>
      </c>
      <c r="Q10" s="74">
        <v>8</v>
      </c>
      <c r="R10" s="74">
        <v>3</v>
      </c>
      <c r="S10" s="78">
        <v>0.72727272727272729</v>
      </c>
      <c r="T10" s="24">
        <v>2</v>
      </c>
      <c r="U10" s="32">
        <v>2</v>
      </c>
      <c r="V10" s="40">
        <v>12</v>
      </c>
      <c r="W10" s="81">
        <v>45580</v>
      </c>
      <c r="X10" s="74">
        <v>14</v>
      </c>
      <c r="Y10" s="74">
        <v>3</v>
      </c>
      <c r="Z10" s="79">
        <v>0.82352941176470584</v>
      </c>
      <c r="AA10" s="24">
        <v>5</v>
      </c>
      <c r="AB10" s="32">
        <v>2</v>
      </c>
      <c r="AC10" s="31">
        <v>24</v>
      </c>
      <c r="AF10" s="109">
        <f>IF($M10="","",VLOOKUP($M10,'ORF Accuracy Value LookUp'!$D$4:$E$104,2,TRUE))</f>
        <v>57</v>
      </c>
      <c r="AG10" s="47">
        <f>IF($S10="","",VLOOKUP($S10,'ORF Accuracy Value LookUp'!$G$4:$H$104,2,TRUE))</f>
        <v>0</v>
      </c>
      <c r="AH10" s="110">
        <f>IF($Z10="","",VLOOKUP($Z10,'ORF Accuracy Value LookUp'!$G$4:$H$104,2,TRUE))</f>
        <v>0</v>
      </c>
    </row>
    <row r="11" spans="1:34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0">
        <v>45376</v>
      </c>
      <c r="I11" s="24">
        <v>32</v>
      </c>
      <c r="J11" s="24">
        <v>5</v>
      </c>
      <c r="K11" s="74">
        <v>24</v>
      </c>
      <c r="L11" s="74">
        <v>4</v>
      </c>
      <c r="M11" s="76">
        <v>0.8571428571428571</v>
      </c>
      <c r="N11" s="24">
        <v>10</v>
      </c>
      <c r="O11" s="111">
        <v>97</v>
      </c>
      <c r="P11" s="81">
        <v>45441</v>
      </c>
      <c r="Q11" s="74">
        <v>11</v>
      </c>
      <c r="R11" s="74">
        <v>4</v>
      </c>
      <c r="S11" s="78">
        <v>0.73333333333333328</v>
      </c>
      <c r="T11" s="24">
        <v>5</v>
      </c>
      <c r="U11" s="32">
        <v>1</v>
      </c>
      <c r="V11" s="40">
        <v>21</v>
      </c>
      <c r="W11" s="81">
        <v>45580</v>
      </c>
      <c r="X11" s="74">
        <v>20</v>
      </c>
      <c r="Y11" s="74">
        <v>4</v>
      </c>
      <c r="Z11" s="79">
        <v>0.83333333333333337</v>
      </c>
      <c r="AA11" s="24">
        <v>9</v>
      </c>
      <c r="AB11" s="32">
        <v>1</v>
      </c>
      <c r="AC11" s="31">
        <v>38</v>
      </c>
      <c r="AF11" s="109">
        <f>IF($M11="","",VLOOKUP($M11,'ORF Accuracy Value LookUp'!$D$4:$E$104,2,TRUE))</f>
        <v>63</v>
      </c>
      <c r="AG11" s="47">
        <f>IF($S11="","",VLOOKUP($S11,'ORF Accuracy Value LookUp'!$G$4:$H$104,2,TRUE))</f>
        <v>0</v>
      </c>
      <c r="AH11" s="110">
        <f>IF($Z11="","",VLOOKUP($Z11,'ORF Accuracy Value LookUp'!$G$4:$H$104,2,TRUE))</f>
        <v>0</v>
      </c>
    </row>
    <row r="12" spans="1:34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0">
        <v>45376</v>
      </c>
      <c r="I12" s="24">
        <v>37</v>
      </c>
      <c r="J12" s="24">
        <v>7</v>
      </c>
      <c r="K12" s="74">
        <v>30</v>
      </c>
      <c r="L12" s="74">
        <v>3</v>
      </c>
      <c r="M12" s="76">
        <v>0.90909090909090906</v>
      </c>
      <c r="N12" s="24">
        <v>12</v>
      </c>
      <c r="O12" s="111">
        <v>119</v>
      </c>
      <c r="P12" s="81">
        <v>45441</v>
      </c>
      <c r="Q12" s="74">
        <v>13</v>
      </c>
      <c r="R12" s="74">
        <v>3</v>
      </c>
      <c r="S12" s="78">
        <v>0.8125</v>
      </c>
      <c r="T12" s="24">
        <v>6</v>
      </c>
      <c r="U12" s="32">
        <v>0</v>
      </c>
      <c r="V12" s="40">
        <v>25</v>
      </c>
      <c r="W12" s="81">
        <v>45580</v>
      </c>
      <c r="X12" s="74">
        <v>26</v>
      </c>
      <c r="Y12" s="74">
        <v>3</v>
      </c>
      <c r="Z12" s="79">
        <v>0.89655172413793105</v>
      </c>
      <c r="AA12" s="24">
        <v>11</v>
      </c>
      <c r="AB12" s="32">
        <v>0</v>
      </c>
      <c r="AC12" s="31">
        <v>80</v>
      </c>
      <c r="AF12" s="109">
        <f>IF($M12="","",VLOOKUP($M12,'ORF Accuracy Value LookUp'!$D$4:$E$104,2,TRUE))</f>
        <v>75</v>
      </c>
      <c r="AG12" s="47">
        <f>IF($S12="","",VLOOKUP($S12,'ORF Accuracy Value LookUp'!$G$4:$H$104,2,TRUE))</f>
        <v>0</v>
      </c>
      <c r="AH12" s="110">
        <f>IF($Z12="","",VLOOKUP($Z12,'ORF Accuracy Value LookUp'!$G$4:$H$104,2,TRUE))</f>
        <v>32</v>
      </c>
    </row>
    <row r="13" spans="1:34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0">
        <v>45376</v>
      </c>
      <c r="I13" s="24">
        <v>41</v>
      </c>
      <c r="J13" s="24">
        <v>9</v>
      </c>
      <c r="K13" s="74">
        <v>36</v>
      </c>
      <c r="L13" s="74">
        <v>4</v>
      </c>
      <c r="M13" s="76">
        <v>0.9</v>
      </c>
      <c r="N13" s="24">
        <v>14</v>
      </c>
      <c r="O13" s="111">
        <v>129</v>
      </c>
      <c r="P13" s="81">
        <v>45441</v>
      </c>
      <c r="Q13" s="74">
        <v>16</v>
      </c>
      <c r="R13" s="74">
        <v>4</v>
      </c>
      <c r="S13" s="78">
        <v>0.8</v>
      </c>
      <c r="T13" s="24">
        <v>8</v>
      </c>
      <c r="U13" s="32">
        <v>0</v>
      </c>
      <c r="V13" s="40">
        <v>32</v>
      </c>
      <c r="W13" s="81">
        <v>45580</v>
      </c>
      <c r="X13" s="74">
        <v>31</v>
      </c>
      <c r="Y13" s="74">
        <v>4</v>
      </c>
      <c r="Z13" s="79">
        <v>0.88571428571428568</v>
      </c>
      <c r="AA13" s="24">
        <v>13</v>
      </c>
      <c r="AB13" s="32">
        <v>0</v>
      </c>
      <c r="AC13" s="31">
        <v>81</v>
      </c>
      <c r="AF13" s="109">
        <f>IF($M13="","",VLOOKUP($M13,'ORF Accuracy Value LookUp'!$D$4:$E$104,2,TRUE))</f>
        <v>75</v>
      </c>
      <c r="AG13" s="47">
        <f>IF($S13="","",VLOOKUP($S13,'ORF Accuracy Value LookUp'!$G$4:$H$104,2,TRUE))</f>
        <v>0</v>
      </c>
      <c r="AH13" s="110">
        <f>IF($Z13="","",VLOOKUP($Z13,'ORF Accuracy Value LookUp'!$G$4:$H$104,2,TRUE))</f>
        <v>24</v>
      </c>
    </row>
    <row r="14" spans="1:34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0">
        <v>45376</v>
      </c>
      <c r="I14" s="24">
        <v>46</v>
      </c>
      <c r="J14" s="24">
        <v>11</v>
      </c>
      <c r="K14" s="74">
        <v>41</v>
      </c>
      <c r="L14" s="74">
        <v>1</v>
      </c>
      <c r="M14" s="76">
        <v>0.97619047619047616</v>
      </c>
      <c r="N14" s="24">
        <v>16</v>
      </c>
      <c r="O14" s="111">
        <v>162</v>
      </c>
      <c r="P14" s="81">
        <v>45441</v>
      </c>
      <c r="Q14" s="74">
        <v>18</v>
      </c>
      <c r="R14" s="74">
        <v>1</v>
      </c>
      <c r="S14" s="78">
        <v>0.94736842105263153</v>
      </c>
      <c r="T14" s="24">
        <v>10</v>
      </c>
      <c r="U14" s="32">
        <v>2</v>
      </c>
      <c r="V14" s="40">
        <v>110</v>
      </c>
      <c r="W14" s="81">
        <v>45580</v>
      </c>
      <c r="X14" s="74">
        <v>36</v>
      </c>
      <c r="Y14" s="74">
        <v>1</v>
      </c>
      <c r="Z14" s="79">
        <v>0.97297297297297303</v>
      </c>
      <c r="AA14" s="24">
        <v>15</v>
      </c>
      <c r="AB14" s="32">
        <v>2</v>
      </c>
      <c r="AC14" s="31">
        <v>162</v>
      </c>
      <c r="AF14" s="109">
        <f>IF($M14="","",VLOOKUP($M14,'ORF Accuracy Value LookUp'!$D$4:$E$104,2,TRUE))</f>
        <v>99</v>
      </c>
      <c r="AG14" s="47">
        <f>IF($S14="","",VLOOKUP($S14,'ORF Accuracy Value LookUp'!$G$4:$H$104,2,TRUE))</f>
        <v>72</v>
      </c>
      <c r="AH14" s="110">
        <f>IF($Z14="","",VLOOKUP($Z14,'ORF Accuracy Value LookUp'!$G$4:$H$104,2,TRUE))</f>
        <v>96</v>
      </c>
    </row>
    <row r="15" spans="1:34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0">
        <v>45376</v>
      </c>
      <c r="I15" s="24">
        <v>51</v>
      </c>
      <c r="J15" s="24">
        <v>13</v>
      </c>
      <c r="K15" s="74">
        <v>46</v>
      </c>
      <c r="L15" s="74">
        <v>2</v>
      </c>
      <c r="M15" s="76">
        <v>0.95833333333333337</v>
      </c>
      <c r="N15" s="24">
        <v>18</v>
      </c>
      <c r="O15" s="111">
        <v>165</v>
      </c>
      <c r="P15" s="81">
        <v>45441</v>
      </c>
      <c r="Q15" s="74">
        <v>20</v>
      </c>
      <c r="R15" s="74">
        <v>2</v>
      </c>
      <c r="S15" s="78">
        <v>0.90909090909090906</v>
      </c>
      <c r="T15" s="24">
        <v>11</v>
      </c>
      <c r="U15" s="32">
        <v>1</v>
      </c>
      <c r="V15" s="40">
        <v>82</v>
      </c>
      <c r="W15" s="81">
        <v>45580</v>
      </c>
      <c r="X15" s="74">
        <v>42</v>
      </c>
      <c r="Y15" s="74">
        <v>2</v>
      </c>
      <c r="Z15" s="79">
        <v>0.95454545454545459</v>
      </c>
      <c r="AA15" s="24">
        <v>17</v>
      </c>
      <c r="AB15" s="32">
        <v>1</v>
      </c>
      <c r="AC15" s="31">
        <v>156</v>
      </c>
      <c r="AF15" s="109">
        <f>IF($M15="","",VLOOKUP($M15,'ORF Accuracy Value LookUp'!$D$4:$E$104,2,TRUE))</f>
        <v>93</v>
      </c>
      <c r="AG15" s="47">
        <f>IF($S15="","",VLOOKUP($S15,'ORF Accuracy Value LookUp'!$G$4:$H$104,2,TRUE))</f>
        <v>40</v>
      </c>
      <c r="AH15" s="110">
        <f>IF($Z15="","",VLOOKUP($Z15,'ORF Accuracy Value LookUp'!$G$4:$H$104,2,TRUE))</f>
        <v>80</v>
      </c>
    </row>
    <row r="16" spans="1:34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0">
        <v>45376</v>
      </c>
      <c r="I16" s="24">
        <v>56</v>
      </c>
      <c r="J16" s="24">
        <v>15</v>
      </c>
      <c r="K16" s="74">
        <v>51</v>
      </c>
      <c r="L16" s="74">
        <v>5</v>
      </c>
      <c r="M16" s="76">
        <v>0.9107142857142857</v>
      </c>
      <c r="N16" s="24">
        <v>19</v>
      </c>
      <c r="O16" s="111">
        <v>162</v>
      </c>
      <c r="P16" s="81">
        <v>45441</v>
      </c>
      <c r="Q16" s="74">
        <v>23</v>
      </c>
      <c r="R16" s="74">
        <v>5</v>
      </c>
      <c r="S16" s="78">
        <v>0.8214285714285714</v>
      </c>
      <c r="T16" s="24">
        <v>12</v>
      </c>
      <c r="U16" s="32">
        <v>2</v>
      </c>
      <c r="V16" s="40">
        <v>47</v>
      </c>
      <c r="W16" s="81">
        <v>45580</v>
      </c>
      <c r="X16" s="74">
        <v>48</v>
      </c>
      <c r="Y16" s="74">
        <v>5</v>
      </c>
      <c r="Z16" s="79">
        <v>0.90566037735849059</v>
      </c>
      <c r="AA16" s="24">
        <v>18</v>
      </c>
      <c r="AB16" s="32">
        <v>2</v>
      </c>
      <c r="AC16" s="31">
        <v>124</v>
      </c>
      <c r="AF16" s="109">
        <f>IF($M16="","",VLOOKUP($M16,'ORF Accuracy Value LookUp'!$D$4:$E$104,2,TRUE))</f>
        <v>81</v>
      </c>
      <c r="AG16" s="47">
        <f>IF($S16="","",VLOOKUP($S16,'ORF Accuracy Value LookUp'!$G$4:$H$104,2,TRUE))</f>
        <v>0</v>
      </c>
      <c r="AH16" s="110">
        <f>IF($Z16="","",VLOOKUP($Z16,'ORF Accuracy Value LookUp'!$G$4:$H$104,2,TRUE))</f>
        <v>40</v>
      </c>
    </row>
    <row r="17" spans="1:34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0">
        <v>45376</v>
      </c>
      <c r="I17" s="24">
        <v>61</v>
      </c>
      <c r="J17" s="24">
        <v>17</v>
      </c>
      <c r="K17" s="74">
        <v>56</v>
      </c>
      <c r="L17" s="74">
        <v>7</v>
      </c>
      <c r="M17" s="76">
        <v>0.88888888888888884</v>
      </c>
      <c r="N17" s="24">
        <v>21</v>
      </c>
      <c r="O17" s="111">
        <v>159</v>
      </c>
      <c r="P17" s="81">
        <v>45441</v>
      </c>
      <c r="Q17" s="74">
        <v>25</v>
      </c>
      <c r="R17" s="74">
        <v>7</v>
      </c>
      <c r="S17" s="78">
        <v>0.78125</v>
      </c>
      <c r="T17" s="24">
        <v>14</v>
      </c>
      <c r="U17" s="32">
        <v>1</v>
      </c>
      <c r="V17" s="40">
        <v>53</v>
      </c>
      <c r="W17" s="81">
        <v>45580</v>
      </c>
      <c r="X17" s="74">
        <v>54</v>
      </c>
      <c r="Y17" s="74">
        <v>7</v>
      </c>
      <c r="Z17" s="79">
        <v>0.88524590163934425</v>
      </c>
      <c r="AA17" s="24">
        <v>20</v>
      </c>
      <c r="AB17" s="32">
        <v>1</v>
      </c>
      <c r="AC17" s="31">
        <v>118</v>
      </c>
      <c r="AF17" s="109">
        <f>IF($M17="","",VLOOKUP($M17,'ORF Accuracy Value LookUp'!$D$4:$E$104,2,TRUE))</f>
        <v>69</v>
      </c>
      <c r="AG17" s="47">
        <f>IF($S17="","",VLOOKUP($S17,'ORF Accuracy Value LookUp'!$G$4:$H$104,2,TRUE))</f>
        <v>0</v>
      </c>
      <c r="AH17" s="110">
        <f>IF($Z17="","",VLOOKUP($Z17,'ORF Accuracy Value LookUp'!$G$4:$H$104,2,TRUE))</f>
        <v>24</v>
      </c>
    </row>
    <row r="18" spans="1:34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0">
        <v>45376</v>
      </c>
      <c r="I18" s="24">
        <v>67</v>
      </c>
      <c r="J18" s="24">
        <v>19</v>
      </c>
      <c r="K18" s="74">
        <v>60</v>
      </c>
      <c r="L18" s="74">
        <v>9</v>
      </c>
      <c r="M18" s="76">
        <v>0.86956521739130432</v>
      </c>
      <c r="N18" s="24">
        <v>23</v>
      </c>
      <c r="O18" s="111">
        <v>161</v>
      </c>
      <c r="P18" s="81">
        <v>45441</v>
      </c>
      <c r="Q18" s="74">
        <v>28</v>
      </c>
      <c r="R18" s="74">
        <v>9</v>
      </c>
      <c r="S18" s="78">
        <v>0.7567567567567568</v>
      </c>
      <c r="T18" s="24">
        <v>15</v>
      </c>
      <c r="U18" s="32">
        <v>1</v>
      </c>
      <c r="V18" s="40">
        <v>58</v>
      </c>
      <c r="W18" s="81">
        <v>45580</v>
      </c>
      <c r="X18" s="74">
        <v>59</v>
      </c>
      <c r="Y18" s="74">
        <v>9</v>
      </c>
      <c r="Z18" s="79">
        <v>0.86764705882352944</v>
      </c>
      <c r="AA18" s="24">
        <v>21</v>
      </c>
      <c r="AB18" s="32">
        <v>1</v>
      </c>
      <c r="AC18" s="31">
        <v>109</v>
      </c>
      <c r="AF18" s="109">
        <f>IF($M18="","",VLOOKUP($M18,'ORF Accuracy Value LookUp'!$D$4:$E$104,2,TRUE))</f>
        <v>63</v>
      </c>
      <c r="AG18" s="47">
        <f>IF($S18="","",VLOOKUP($S18,'ORF Accuracy Value LookUp'!$G$4:$H$104,2,TRUE))</f>
        <v>0</v>
      </c>
      <c r="AH18" s="110">
        <f>IF($Z18="","",VLOOKUP($Z18,'ORF Accuracy Value LookUp'!$G$4:$H$104,2,TRUE))</f>
        <v>8</v>
      </c>
    </row>
    <row r="19" spans="1:34">
      <c r="A19" s="10"/>
      <c r="B19" s="12"/>
      <c r="C19" s="13"/>
      <c r="D19" s="14"/>
      <c r="E19" s="10"/>
      <c r="F19" s="11"/>
      <c r="G19" s="15"/>
      <c r="H19" s="80"/>
      <c r="I19" s="24"/>
      <c r="J19" s="24"/>
      <c r="K19" s="74"/>
      <c r="L19" s="74"/>
      <c r="M19" s="76" t="str">
        <f t="shared" ref="M19:M70" si="0">IF($K19="","",SUM($K19/($K19+$L19)))</f>
        <v/>
      </c>
      <c r="N19" s="24"/>
      <c r="O19" s="111" t="str">
        <f t="shared" ref="O19:O69" si="1">IF($B19="","",SUM(($J19*2)+$K19+$AF19))</f>
        <v/>
      </c>
      <c r="P19" s="81"/>
      <c r="Q19" s="74"/>
      <c r="R19" s="74"/>
      <c r="S19" s="78" t="str">
        <f t="shared" ref="S19:S70" si="2">IF($Q19="","",SUM($Q19/($Q19+$R19)))</f>
        <v/>
      </c>
      <c r="T19" s="24"/>
      <c r="U19" s="32"/>
      <c r="V19" s="40" t="str">
        <f t="shared" ref="V19:V71" si="3">IF($P19="","",SUM($Q19+$AG19+($T19*2)))</f>
        <v/>
      </c>
      <c r="W19" s="81"/>
      <c r="X19" s="74"/>
      <c r="Y19" s="74"/>
      <c r="Z19" s="79" t="str">
        <f t="shared" ref="Z19:Z70" si="4">IF($X19="","",SUM($X19/($X19+$Y19)))</f>
        <v/>
      </c>
      <c r="AA19" s="24"/>
      <c r="AB19" s="32"/>
      <c r="AC19" s="31" t="str">
        <f t="shared" ref="AC19:AC71" si="5">IF($W19="","",SUM($X19+$AH19+($AA19*2)))</f>
        <v/>
      </c>
      <c r="AF19" s="109" t="str">
        <f>IF($M19="","",VLOOKUP($M19,'ORF Accuracy Value LookUp'!$D$4:$E$104,2,TRUE))</f>
        <v/>
      </c>
      <c r="AG19" s="47" t="str">
        <f>IF($S19="","",VLOOKUP($S19,'ORF Accuracy Value LookUp'!$G$4:$H$104,2,TRUE))</f>
        <v/>
      </c>
      <c r="AH19" s="110" t="str">
        <f>IF($Z19="","",VLOOKUP($Z19,'ORF Accuracy Value LookUp'!$G$4:$H$104,2,TRUE))</f>
        <v/>
      </c>
    </row>
    <row r="20" spans="1:34">
      <c r="A20" s="10"/>
      <c r="B20" s="12"/>
      <c r="C20" s="13"/>
      <c r="D20" s="14"/>
      <c r="E20" s="10"/>
      <c r="F20" s="11"/>
      <c r="G20" s="15"/>
      <c r="H20" s="80"/>
      <c r="I20" s="24"/>
      <c r="J20" s="24"/>
      <c r="K20" s="74"/>
      <c r="L20" s="74"/>
      <c r="M20" s="76" t="str">
        <f t="shared" si="0"/>
        <v/>
      </c>
      <c r="N20" s="24"/>
      <c r="O20" s="111" t="str">
        <f t="shared" si="1"/>
        <v/>
      </c>
      <c r="P20" s="81"/>
      <c r="Q20" s="74"/>
      <c r="R20" s="74"/>
      <c r="S20" s="78" t="str">
        <f t="shared" si="2"/>
        <v/>
      </c>
      <c r="T20" s="24"/>
      <c r="U20" s="32"/>
      <c r="V20" s="40" t="str">
        <f t="shared" si="3"/>
        <v/>
      </c>
      <c r="W20" s="81"/>
      <c r="X20" s="74"/>
      <c r="Y20" s="74"/>
      <c r="Z20" s="79" t="str">
        <f t="shared" si="4"/>
        <v/>
      </c>
      <c r="AA20" s="24"/>
      <c r="AB20" s="32"/>
      <c r="AC20" s="31" t="str">
        <f t="shared" si="5"/>
        <v/>
      </c>
      <c r="AF20" s="109" t="str">
        <f>IF($M20="","",VLOOKUP($M20,'ORF Accuracy Value LookUp'!$D$4:$E$104,2,TRUE))</f>
        <v/>
      </c>
      <c r="AG20" s="47" t="str">
        <f>IF($S20="","",VLOOKUP($S20,'ORF Accuracy Value LookUp'!$G$4:$H$104,2,TRUE))</f>
        <v/>
      </c>
      <c r="AH20" s="110" t="str">
        <f>IF($Z20="","",VLOOKUP($Z20,'ORF Accuracy Value LookUp'!$G$4:$H$104,2,TRUE))</f>
        <v/>
      </c>
    </row>
    <row r="21" spans="1:34">
      <c r="A21" s="10"/>
      <c r="B21" s="12"/>
      <c r="C21" s="13"/>
      <c r="D21" s="14"/>
      <c r="E21" s="10"/>
      <c r="F21" s="11"/>
      <c r="G21" s="15"/>
      <c r="H21" s="80"/>
      <c r="I21" s="24"/>
      <c r="J21" s="24"/>
      <c r="K21" s="74"/>
      <c r="L21" s="74"/>
      <c r="M21" s="76" t="str">
        <f t="shared" si="0"/>
        <v/>
      </c>
      <c r="N21" s="24"/>
      <c r="O21" s="111" t="str">
        <f t="shared" si="1"/>
        <v/>
      </c>
      <c r="P21" s="81"/>
      <c r="Q21" s="74"/>
      <c r="R21" s="74"/>
      <c r="S21" s="78" t="str">
        <f t="shared" si="2"/>
        <v/>
      </c>
      <c r="T21" s="24"/>
      <c r="U21" s="32"/>
      <c r="V21" s="40" t="str">
        <f t="shared" si="3"/>
        <v/>
      </c>
      <c r="W21" s="81"/>
      <c r="X21" s="74"/>
      <c r="Y21" s="74"/>
      <c r="Z21" s="79" t="str">
        <f t="shared" si="4"/>
        <v/>
      </c>
      <c r="AA21" s="24"/>
      <c r="AB21" s="32"/>
      <c r="AC21" s="31" t="str">
        <f t="shared" si="5"/>
        <v/>
      </c>
      <c r="AF21" s="109" t="str">
        <f>IF($M21="","",VLOOKUP($M21,'ORF Accuracy Value LookUp'!$D$4:$E$104,2,TRUE))</f>
        <v/>
      </c>
      <c r="AG21" s="47" t="str">
        <f>IF($S21="","",VLOOKUP($S21,'ORF Accuracy Value LookUp'!$G$4:$H$104,2,TRUE))</f>
        <v/>
      </c>
      <c r="AH21" s="110" t="str">
        <f>IF($Z21="","",VLOOKUP($Z21,'ORF Accuracy Value LookUp'!$G$4:$H$104,2,TRUE))</f>
        <v/>
      </c>
    </row>
    <row r="22" spans="1:34">
      <c r="A22" s="10"/>
      <c r="B22" s="12"/>
      <c r="C22" s="13"/>
      <c r="D22" s="14"/>
      <c r="E22" s="10"/>
      <c r="F22" s="11"/>
      <c r="G22" s="15"/>
      <c r="H22" s="80"/>
      <c r="I22" s="24"/>
      <c r="J22" s="24"/>
      <c r="K22" s="74"/>
      <c r="L22" s="74"/>
      <c r="M22" s="76" t="str">
        <f t="shared" si="0"/>
        <v/>
      </c>
      <c r="N22" s="24"/>
      <c r="O22" s="111" t="str">
        <f t="shared" si="1"/>
        <v/>
      </c>
      <c r="P22" s="81"/>
      <c r="Q22" s="74"/>
      <c r="R22" s="74"/>
      <c r="S22" s="78" t="str">
        <f t="shared" si="2"/>
        <v/>
      </c>
      <c r="T22" s="24"/>
      <c r="U22" s="32"/>
      <c r="V22" s="40" t="str">
        <f t="shared" si="3"/>
        <v/>
      </c>
      <c r="W22" s="81"/>
      <c r="X22" s="74"/>
      <c r="Y22" s="74"/>
      <c r="Z22" s="79" t="str">
        <f t="shared" si="4"/>
        <v/>
      </c>
      <c r="AA22" s="24"/>
      <c r="AB22" s="32"/>
      <c r="AC22" s="31" t="str">
        <f t="shared" si="5"/>
        <v/>
      </c>
      <c r="AF22" s="109" t="str">
        <f>IF($M22="","",VLOOKUP($M22,'ORF Accuracy Value LookUp'!$D$4:$E$104,2,TRUE))</f>
        <v/>
      </c>
      <c r="AG22" s="47" t="str">
        <f>IF($S22="","",VLOOKUP($S22,'ORF Accuracy Value LookUp'!$G$4:$H$104,2,TRUE))</f>
        <v/>
      </c>
      <c r="AH22" s="110" t="str">
        <f>IF($Z22="","",VLOOKUP($Z22,'ORF Accuracy Value LookUp'!$G$4:$H$104,2,TRUE))</f>
        <v/>
      </c>
    </row>
    <row r="23" spans="1:34">
      <c r="A23" s="10"/>
      <c r="B23" s="12"/>
      <c r="C23" s="13"/>
      <c r="D23" s="14"/>
      <c r="E23" s="10"/>
      <c r="F23" s="11"/>
      <c r="G23" s="15"/>
      <c r="H23" s="80"/>
      <c r="I23" s="24"/>
      <c r="J23" s="24"/>
      <c r="K23" s="74"/>
      <c r="L23" s="74"/>
      <c r="M23" s="76" t="str">
        <f t="shared" si="0"/>
        <v/>
      </c>
      <c r="N23" s="24"/>
      <c r="O23" s="111" t="str">
        <f t="shared" si="1"/>
        <v/>
      </c>
      <c r="P23" s="81"/>
      <c r="Q23" s="74"/>
      <c r="R23" s="74"/>
      <c r="S23" s="78" t="str">
        <f t="shared" si="2"/>
        <v/>
      </c>
      <c r="T23" s="24"/>
      <c r="U23" s="32"/>
      <c r="V23" s="40" t="str">
        <f t="shared" si="3"/>
        <v/>
      </c>
      <c r="W23" s="81"/>
      <c r="X23" s="74"/>
      <c r="Y23" s="74"/>
      <c r="Z23" s="79" t="str">
        <f t="shared" si="4"/>
        <v/>
      </c>
      <c r="AA23" s="24"/>
      <c r="AB23" s="32"/>
      <c r="AC23" s="31" t="str">
        <f t="shared" si="5"/>
        <v/>
      </c>
      <c r="AF23" s="109" t="str">
        <f>IF($M23="","",VLOOKUP($M23,'ORF Accuracy Value LookUp'!$D$4:$E$104,2,TRUE))</f>
        <v/>
      </c>
      <c r="AG23" s="47" t="str">
        <f>IF($S23="","",VLOOKUP($S23,'ORF Accuracy Value LookUp'!$G$4:$H$104,2,TRUE))</f>
        <v/>
      </c>
      <c r="AH23" s="110" t="str">
        <f>IF($Z23="","",VLOOKUP($Z23,'ORF Accuracy Value LookUp'!$G$4:$H$104,2,TRUE))</f>
        <v/>
      </c>
    </row>
    <row r="24" spans="1:34">
      <c r="A24" s="10"/>
      <c r="B24" s="12"/>
      <c r="C24" s="13"/>
      <c r="D24" s="14"/>
      <c r="E24" s="10"/>
      <c r="F24" s="11"/>
      <c r="G24" s="15"/>
      <c r="H24" s="80"/>
      <c r="I24" s="24"/>
      <c r="J24" s="24"/>
      <c r="K24" s="74"/>
      <c r="L24" s="74"/>
      <c r="M24" s="76" t="str">
        <f t="shared" si="0"/>
        <v/>
      </c>
      <c r="N24" s="24"/>
      <c r="O24" s="111" t="str">
        <f t="shared" si="1"/>
        <v/>
      </c>
      <c r="P24" s="81"/>
      <c r="Q24" s="74"/>
      <c r="R24" s="74"/>
      <c r="S24" s="78" t="str">
        <f t="shared" si="2"/>
        <v/>
      </c>
      <c r="T24" s="24"/>
      <c r="U24" s="32"/>
      <c r="V24" s="40" t="str">
        <f t="shared" si="3"/>
        <v/>
      </c>
      <c r="W24" s="81"/>
      <c r="X24" s="74"/>
      <c r="Y24" s="74"/>
      <c r="Z24" s="79" t="str">
        <f t="shared" si="4"/>
        <v/>
      </c>
      <c r="AA24" s="24"/>
      <c r="AB24" s="32"/>
      <c r="AC24" s="31" t="str">
        <f t="shared" si="5"/>
        <v/>
      </c>
      <c r="AF24" s="109" t="str">
        <f>IF($M24="","",VLOOKUP($M24,'ORF Accuracy Value LookUp'!$D$4:$E$104,2,TRUE))</f>
        <v/>
      </c>
      <c r="AG24" s="47" t="str">
        <f>IF($S24="","",VLOOKUP($S24,'ORF Accuracy Value LookUp'!$G$4:$H$104,2,TRUE))</f>
        <v/>
      </c>
      <c r="AH24" s="110" t="str">
        <f>IF($Z24="","",VLOOKUP($Z24,'ORF Accuracy Value LookUp'!$G$4:$H$104,2,TRUE))</f>
        <v/>
      </c>
    </row>
    <row r="25" spans="1:34">
      <c r="A25" s="10"/>
      <c r="B25" s="12"/>
      <c r="C25" s="13"/>
      <c r="D25" s="14"/>
      <c r="E25" s="10"/>
      <c r="F25" s="11"/>
      <c r="G25" s="15"/>
      <c r="H25" s="80"/>
      <c r="I25" s="24"/>
      <c r="J25" s="24"/>
      <c r="K25" s="74"/>
      <c r="L25" s="74"/>
      <c r="M25" s="76" t="str">
        <f t="shared" si="0"/>
        <v/>
      </c>
      <c r="N25" s="24"/>
      <c r="O25" s="111" t="str">
        <f t="shared" si="1"/>
        <v/>
      </c>
      <c r="P25" s="81"/>
      <c r="Q25" s="74"/>
      <c r="R25" s="74"/>
      <c r="S25" s="78" t="str">
        <f t="shared" si="2"/>
        <v/>
      </c>
      <c r="T25" s="24"/>
      <c r="U25" s="32"/>
      <c r="V25" s="40" t="str">
        <f t="shared" si="3"/>
        <v/>
      </c>
      <c r="W25" s="81"/>
      <c r="X25" s="74"/>
      <c r="Y25" s="74"/>
      <c r="Z25" s="79" t="str">
        <f t="shared" si="4"/>
        <v/>
      </c>
      <c r="AA25" s="24"/>
      <c r="AB25" s="32"/>
      <c r="AC25" s="31" t="str">
        <f t="shared" si="5"/>
        <v/>
      </c>
      <c r="AF25" s="109" t="str">
        <f>IF($M25="","",VLOOKUP($M25,'ORF Accuracy Value LookUp'!$D$4:$E$104,2,TRUE))</f>
        <v/>
      </c>
      <c r="AG25" s="47" t="str">
        <f>IF($S25="","",VLOOKUP($S25,'ORF Accuracy Value LookUp'!$G$4:$H$104,2,TRUE))</f>
        <v/>
      </c>
      <c r="AH25" s="110" t="str">
        <f>IF($Z25="","",VLOOKUP($Z25,'ORF Accuracy Value LookUp'!$G$4:$H$104,2,TRUE))</f>
        <v/>
      </c>
    </row>
    <row r="26" spans="1:34">
      <c r="A26" s="10"/>
      <c r="B26" s="12"/>
      <c r="C26" s="13"/>
      <c r="D26" s="14"/>
      <c r="E26" s="10"/>
      <c r="F26" s="11"/>
      <c r="G26" s="15"/>
      <c r="H26" s="80"/>
      <c r="I26" s="24"/>
      <c r="J26" s="24"/>
      <c r="K26" s="74"/>
      <c r="L26" s="74"/>
      <c r="M26" s="76" t="str">
        <f t="shared" si="0"/>
        <v/>
      </c>
      <c r="N26" s="24"/>
      <c r="O26" s="111" t="str">
        <f t="shared" si="1"/>
        <v/>
      </c>
      <c r="P26" s="81"/>
      <c r="Q26" s="74"/>
      <c r="R26" s="74"/>
      <c r="S26" s="78" t="str">
        <f t="shared" si="2"/>
        <v/>
      </c>
      <c r="T26" s="24"/>
      <c r="U26" s="32"/>
      <c r="V26" s="40" t="str">
        <f t="shared" si="3"/>
        <v/>
      </c>
      <c r="W26" s="81"/>
      <c r="X26" s="74"/>
      <c r="Y26" s="74"/>
      <c r="Z26" s="79" t="str">
        <f t="shared" si="4"/>
        <v/>
      </c>
      <c r="AA26" s="24"/>
      <c r="AB26" s="32"/>
      <c r="AC26" s="31" t="str">
        <f t="shared" si="5"/>
        <v/>
      </c>
      <c r="AF26" s="109" t="str">
        <f>IF($M26="","",VLOOKUP($M26,'ORF Accuracy Value LookUp'!$D$4:$E$104,2,TRUE))</f>
        <v/>
      </c>
      <c r="AG26" s="47" t="str">
        <f>IF($S26="","",VLOOKUP($S26,'ORF Accuracy Value LookUp'!$G$4:$H$104,2,TRUE))</f>
        <v/>
      </c>
      <c r="AH26" s="110" t="str">
        <f>IF($Z26="","",VLOOKUP($Z26,'ORF Accuracy Value LookUp'!$G$4:$H$104,2,TRUE))</f>
        <v/>
      </c>
    </row>
    <row r="27" spans="1:34">
      <c r="A27" s="10"/>
      <c r="B27" s="12"/>
      <c r="C27" s="13"/>
      <c r="D27" s="14"/>
      <c r="E27" s="10"/>
      <c r="F27" s="11"/>
      <c r="G27" s="15"/>
      <c r="H27" s="80"/>
      <c r="I27" s="24"/>
      <c r="J27" s="24"/>
      <c r="K27" s="74"/>
      <c r="L27" s="74"/>
      <c r="M27" s="76" t="str">
        <f t="shared" si="0"/>
        <v/>
      </c>
      <c r="N27" s="24"/>
      <c r="O27" s="111" t="str">
        <f t="shared" si="1"/>
        <v/>
      </c>
      <c r="P27" s="81"/>
      <c r="Q27" s="74"/>
      <c r="R27" s="74"/>
      <c r="S27" s="78" t="str">
        <f t="shared" si="2"/>
        <v/>
      </c>
      <c r="T27" s="24"/>
      <c r="U27" s="32"/>
      <c r="V27" s="40" t="str">
        <f t="shared" si="3"/>
        <v/>
      </c>
      <c r="W27" s="81"/>
      <c r="X27" s="74"/>
      <c r="Y27" s="74"/>
      <c r="Z27" s="79" t="str">
        <f t="shared" si="4"/>
        <v/>
      </c>
      <c r="AA27" s="24"/>
      <c r="AB27" s="32"/>
      <c r="AC27" s="31" t="str">
        <f t="shared" si="5"/>
        <v/>
      </c>
      <c r="AF27" s="109" t="str">
        <f>IF($M27="","",VLOOKUP($M27,'ORF Accuracy Value LookUp'!$D$4:$E$104,2,TRUE))</f>
        <v/>
      </c>
      <c r="AG27" s="47" t="str">
        <f>IF($S27="","",VLOOKUP($S27,'ORF Accuracy Value LookUp'!$G$4:$H$104,2,TRUE))</f>
        <v/>
      </c>
      <c r="AH27" s="110" t="str">
        <f>IF($Z27="","",VLOOKUP($Z27,'ORF Accuracy Value LookUp'!$G$4:$H$104,2,TRUE))</f>
        <v/>
      </c>
    </row>
    <row r="28" spans="1:34">
      <c r="A28" s="10"/>
      <c r="B28" s="12"/>
      <c r="C28" s="13"/>
      <c r="D28" s="14"/>
      <c r="E28" s="10"/>
      <c r="F28" s="11"/>
      <c r="G28" s="15"/>
      <c r="H28" s="80"/>
      <c r="I28" s="24"/>
      <c r="J28" s="24"/>
      <c r="K28" s="74"/>
      <c r="L28" s="74"/>
      <c r="M28" s="76" t="str">
        <f t="shared" si="0"/>
        <v/>
      </c>
      <c r="N28" s="24"/>
      <c r="O28" s="111" t="str">
        <f t="shared" si="1"/>
        <v/>
      </c>
      <c r="P28" s="81"/>
      <c r="Q28" s="74"/>
      <c r="R28" s="74"/>
      <c r="S28" s="78" t="str">
        <f t="shared" si="2"/>
        <v/>
      </c>
      <c r="T28" s="24"/>
      <c r="U28" s="32"/>
      <c r="V28" s="40" t="str">
        <f t="shared" si="3"/>
        <v/>
      </c>
      <c r="W28" s="81"/>
      <c r="X28" s="74"/>
      <c r="Y28" s="74"/>
      <c r="Z28" s="79" t="str">
        <f t="shared" si="4"/>
        <v/>
      </c>
      <c r="AA28" s="24"/>
      <c r="AB28" s="32"/>
      <c r="AC28" s="31" t="str">
        <f t="shared" si="5"/>
        <v/>
      </c>
      <c r="AF28" s="109" t="str">
        <f>IF($M28="","",VLOOKUP($M28,'ORF Accuracy Value LookUp'!$D$4:$E$104,2,TRUE))</f>
        <v/>
      </c>
      <c r="AG28" s="47" t="str">
        <f>IF($S28="","",VLOOKUP($S28,'ORF Accuracy Value LookUp'!$G$4:$H$104,2,TRUE))</f>
        <v/>
      </c>
      <c r="AH28" s="110" t="str">
        <f>IF($Z28="","",VLOOKUP($Z28,'ORF Accuracy Value LookUp'!$G$4:$H$104,2,TRUE))</f>
        <v/>
      </c>
    </row>
    <row r="29" spans="1:34">
      <c r="A29" s="10"/>
      <c r="B29" s="12"/>
      <c r="C29" s="13"/>
      <c r="D29" s="14"/>
      <c r="E29" s="10"/>
      <c r="F29" s="11"/>
      <c r="G29" s="15"/>
      <c r="H29" s="80"/>
      <c r="I29" s="24"/>
      <c r="J29" s="24"/>
      <c r="K29" s="74"/>
      <c r="L29" s="74"/>
      <c r="M29" s="76" t="str">
        <f t="shared" si="0"/>
        <v/>
      </c>
      <c r="N29" s="24"/>
      <c r="O29" s="111" t="str">
        <f t="shared" si="1"/>
        <v/>
      </c>
      <c r="P29" s="81"/>
      <c r="Q29" s="74"/>
      <c r="R29" s="74"/>
      <c r="S29" s="78" t="str">
        <f t="shared" si="2"/>
        <v/>
      </c>
      <c r="T29" s="24"/>
      <c r="U29" s="32"/>
      <c r="V29" s="40" t="str">
        <f t="shared" si="3"/>
        <v/>
      </c>
      <c r="W29" s="81"/>
      <c r="X29" s="74"/>
      <c r="Y29" s="74"/>
      <c r="Z29" s="79" t="str">
        <f t="shared" si="4"/>
        <v/>
      </c>
      <c r="AA29" s="24"/>
      <c r="AB29" s="32"/>
      <c r="AC29" s="31" t="str">
        <f t="shared" si="5"/>
        <v/>
      </c>
      <c r="AF29" s="109" t="str">
        <f>IF($M29="","",VLOOKUP($M29,'ORF Accuracy Value LookUp'!$D$4:$E$104,2,TRUE))</f>
        <v/>
      </c>
      <c r="AG29" s="47" t="str">
        <f>IF($S29="","",VLOOKUP($S29,'ORF Accuracy Value LookUp'!$G$4:$H$104,2,TRUE))</f>
        <v/>
      </c>
      <c r="AH29" s="110" t="str">
        <f>IF($Z29="","",VLOOKUP($Z29,'ORF Accuracy Value LookUp'!$G$4:$H$104,2,TRUE))</f>
        <v/>
      </c>
    </row>
    <row r="30" spans="1:34">
      <c r="A30" s="10"/>
      <c r="B30" s="12"/>
      <c r="C30" s="13"/>
      <c r="D30" s="14"/>
      <c r="E30" s="10"/>
      <c r="F30" s="11"/>
      <c r="G30" s="15"/>
      <c r="H30" s="80"/>
      <c r="I30" s="24"/>
      <c r="J30" s="24"/>
      <c r="K30" s="74"/>
      <c r="L30" s="74"/>
      <c r="M30" s="76" t="str">
        <f t="shared" si="0"/>
        <v/>
      </c>
      <c r="N30" s="24"/>
      <c r="O30" s="111" t="str">
        <f t="shared" si="1"/>
        <v/>
      </c>
      <c r="P30" s="81"/>
      <c r="Q30" s="74"/>
      <c r="R30" s="74"/>
      <c r="S30" s="78" t="str">
        <f t="shared" si="2"/>
        <v/>
      </c>
      <c r="T30" s="24"/>
      <c r="U30" s="32"/>
      <c r="V30" s="40" t="str">
        <f t="shared" si="3"/>
        <v/>
      </c>
      <c r="W30" s="81"/>
      <c r="X30" s="74"/>
      <c r="Y30" s="74"/>
      <c r="Z30" s="79" t="str">
        <f t="shared" si="4"/>
        <v/>
      </c>
      <c r="AA30" s="24"/>
      <c r="AB30" s="32"/>
      <c r="AC30" s="31" t="str">
        <f t="shared" si="5"/>
        <v/>
      </c>
      <c r="AF30" s="109" t="str">
        <f>IF($M30="","",VLOOKUP($M30,'ORF Accuracy Value LookUp'!$D$4:$E$104,2,TRUE))</f>
        <v/>
      </c>
      <c r="AG30" s="47" t="str">
        <f>IF($S30="","",VLOOKUP($S30,'ORF Accuracy Value LookUp'!$G$4:$H$104,2,TRUE))</f>
        <v/>
      </c>
      <c r="AH30" s="110" t="str">
        <f>IF($Z30="","",VLOOKUP($Z30,'ORF Accuracy Value LookUp'!$G$4:$H$104,2,TRUE))</f>
        <v/>
      </c>
    </row>
    <row r="31" spans="1:34">
      <c r="A31" s="10"/>
      <c r="B31" s="12"/>
      <c r="C31" s="13"/>
      <c r="D31" s="14"/>
      <c r="E31" s="10"/>
      <c r="F31" s="11"/>
      <c r="G31" s="15"/>
      <c r="H31" s="80"/>
      <c r="I31" s="24"/>
      <c r="J31" s="24"/>
      <c r="K31" s="74"/>
      <c r="L31" s="74"/>
      <c r="M31" s="76" t="str">
        <f t="shared" si="0"/>
        <v/>
      </c>
      <c r="N31" s="24"/>
      <c r="O31" s="111" t="str">
        <f t="shared" si="1"/>
        <v/>
      </c>
      <c r="P31" s="81"/>
      <c r="Q31" s="74"/>
      <c r="R31" s="74"/>
      <c r="S31" s="78" t="str">
        <f t="shared" si="2"/>
        <v/>
      </c>
      <c r="T31" s="24"/>
      <c r="U31" s="32"/>
      <c r="V31" s="40" t="str">
        <f t="shared" si="3"/>
        <v/>
      </c>
      <c r="W31" s="81"/>
      <c r="X31" s="74"/>
      <c r="Y31" s="74"/>
      <c r="Z31" s="79" t="str">
        <f t="shared" si="4"/>
        <v/>
      </c>
      <c r="AA31" s="24"/>
      <c r="AB31" s="32"/>
      <c r="AC31" s="31" t="str">
        <f t="shared" si="5"/>
        <v/>
      </c>
      <c r="AF31" s="109" t="str">
        <f>IF($M31="","",VLOOKUP($M31,'ORF Accuracy Value LookUp'!$D$4:$E$104,2,TRUE))</f>
        <v/>
      </c>
      <c r="AG31" s="47" t="str">
        <f>IF($S31="","",VLOOKUP($S31,'ORF Accuracy Value LookUp'!$G$4:$H$104,2,TRUE))</f>
        <v/>
      </c>
      <c r="AH31" s="110" t="str">
        <f>IF($Z31="","",VLOOKUP($Z31,'ORF Accuracy Value LookUp'!$G$4:$H$104,2,TRUE))</f>
        <v/>
      </c>
    </row>
    <row r="32" spans="1:34">
      <c r="A32" s="10"/>
      <c r="B32" s="12"/>
      <c r="C32" s="13"/>
      <c r="D32" s="14"/>
      <c r="E32" s="10"/>
      <c r="F32" s="11"/>
      <c r="G32" s="15"/>
      <c r="H32" s="80"/>
      <c r="I32" s="24"/>
      <c r="J32" s="24"/>
      <c r="K32" s="74"/>
      <c r="L32" s="74"/>
      <c r="M32" s="76" t="str">
        <f t="shared" si="0"/>
        <v/>
      </c>
      <c r="N32" s="24"/>
      <c r="O32" s="111" t="str">
        <f t="shared" si="1"/>
        <v/>
      </c>
      <c r="P32" s="81"/>
      <c r="Q32" s="74"/>
      <c r="R32" s="74"/>
      <c r="S32" s="78" t="str">
        <f t="shared" si="2"/>
        <v/>
      </c>
      <c r="T32" s="24"/>
      <c r="U32" s="32"/>
      <c r="V32" s="40" t="str">
        <f t="shared" si="3"/>
        <v/>
      </c>
      <c r="W32" s="81"/>
      <c r="X32" s="74"/>
      <c r="Y32" s="74"/>
      <c r="Z32" s="79" t="str">
        <f t="shared" si="4"/>
        <v/>
      </c>
      <c r="AA32" s="24"/>
      <c r="AB32" s="32"/>
      <c r="AC32" s="31" t="str">
        <f t="shared" si="5"/>
        <v/>
      </c>
      <c r="AF32" s="109" t="str">
        <f>IF($M32="","",VLOOKUP($M32,'ORF Accuracy Value LookUp'!$D$4:$E$104,2,TRUE))</f>
        <v/>
      </c>
      <c r="AG32" s="47" t="str">
        <f>IF($S32="","",VLOOKUP($S32,'ORF Accuracy Value LookUp'!$G$4:$H$104,2,TRUE))</f>
        <v/>
      </c>
      <c r="AH32" s="110" t="str">
        <f>IF($Z32="","",VLOOKUP($Z32,'ORF Accuracy Value LookUp'!$G$4:$H$104,2,TRUE))</f>
        <v/>
      </c>
    </row>
    <row r="33" spans="1:34">
      <c r="A33" s="10"/>
      <c r="B33" s="12"/>
      <c r="C33" s="13"/>
      <c r="D33" s="14"/>
      <c r="E33" s="10"/>
      <c r="F33" s="11"/>
      <c r="G33" s="15"/>
      <c r="H33" s="80"/>
      <c r="I33" s="24"/>
      <c r="J33" s="24"/>
      <c r="K33" s="74"/>
      <c r="L33" s="74"/>
      <c r="M33" s="76" t="str">
        <f t="shared" si="0"/>
        <v/>
      </c>
      <c r="N33" s="24"/>
      <c r="O33" s="111" t="str">
        <f t="shared" si="1"/>
        <v/>
      </c>
      <c r="P33" s="81"/>
      <c r="Q33" s="74"/>
      <c r="R33" s="74"/>
      <c r="S33" s="78" t="str">
        <f t="shared" si="2"/>
        <v/>
      </c>
      <c r="T33" s="24"/>
      <c r="U33" s="32"/>
      <c r="V33" s="40" t="str">
        <f t="shared" si="3"/>
        <v/>
      </c>
      <c r="W33" s="81"/>
      <c r="X33" s="74"/>
      <c r="Y33" s="74"/>
      <c r="Z33" s="79" t="str">
        <f t="shared" si="4"/>
        <v/>
      </c>
      <c r="AA33" s="24"/>
      <c r="AB33" s="32"/>
      <c r="AC33" s="31" t="str">
        <f t="shared" si="5"/>
        <v/>
      </c>
      <c r="AF33" s="109" t="str">
        <f>IF($M33="","",VLOOKUP($M33,'ORF Accuracy Value LookUp'!$D$4:$E$104,2,TRUE))</f>
        <v/>
      </c>
      <c r="AG33" s="47" t="str">
        <f>IF($S33="","",VLOOKUP($S33,'ORF Accuracy Value LookUp'!$G$4:$H$104,2,TRUE))</f>
        <v/>
      </c>
      <c r="AH33" s="110" t="str">
        <f>IF($Z33="","",VLOOKUP($Z33,'ORF Accuracy Value LookUp'!$G$4:$H$104,2,TRUE))</f>
        <v/>
      </c>
    </row>
    <row r="34" spans="1:34">
      <c r="A34" s="10"/>
      <c r="B34" s="12"/>
      <c r="C34" s="13"/>
      <c r="D34" s="14"/>
      <c r="E34" s="10"/>
      <c r="F34" s="11"/>
      <c r="G34" s="15"/>
      <c r="H34" s="80"/>
      <c r="I34" s="24"/>
      <c r="J34" s="24"/>
      <c r="K34" s="74"/>
      <c r="L34" s="74"/>
      <c r="M34" s="76" t="str">
        <f t="shared" si="0"/>
        <v/>
      </c>
      <c r="N34" s="24"/>
      <c r="O34" s="111" t="str">
        <f t="shared" si="1"/>
        <v/>
      </c>
      <c r="P34" s="81"/>
      <c r="Q34" s="74"/>
      <c r="R34" s="74"/>
      <c r="S34" s="78" t="str">
        <f t="shared" si="2"/>
        <v/>
      </c>
      <c r="T34" s="24"/>
      <c r="U34" s="32"/>
      <c r="V34" s="40" t="str">
        <f t="shared" si="3"/>
        <v/>
      </c>
      <c r="W34" s="81"/>
      <c r="X34" s="74"/>
      <c r="Y34" s="74"/>
      <c r="Z34" s="79" t="str">
        <f t="shared" si="4"/>
        <v/>
      </c>
      <c r="AA34" s="24"/>
      <c r="AB34" s="32"/>
      <c r="AC34" s="31" t="str">
        <f t="shared" si="5"/>
        <v/>
      </c>
      <c r="AF34" s="109" t="str">
        <f>IF($M34="","",VLOOKUP($M34,'ORF Accuracy Value LookUp'!$D$4:$E$104,2,TRUE))</f>
        <v/>
      </c>
      <c r="AG34" s="47" t="str">
        <f>IF($S34="","",VLOOKUP($S34,'ORF Accuracy Value LookUp'!$G$4:$H$104,2,TRUE))</f>
        <v/>
      </c>
      <c r="AH34" s="110" t="str">
        <f>IF($Z34="","",VLOOKUP($Z34,'ORF Accuracy Value LookUp'!$G$4:$H$104,2,TRUE))</f>
        <v/>
      </c>
    </row>
    <row r="35" spans="1:34">
      <c r="A35" s="10"/>
      <c r="B35" s="12"/>
      <c r="C35" s="13"/>
      <c r="D35" s="14"/>
      <c r="E35" s="10"/>
      <c r="F35" s="11"/>
      <c r="G35" s="15"/>
      <c r="H35" s="80"/>
      <c r="I35" s="24"/>
      <c r="J35" s="24"/>
      <c r="K35" s="74"/>
      <c r="L35" s="74"/>
      <c r="M35" s="76" t="str">
        <f t="shared" si="0"/>
        <v/>
      </c>
      <c r="N35" s="24"/>
      <c r="O35" s="111" t="str">
        <f t="shared" si="1"/>
        <v/>
      </c>
      <c r="P35" s="81"/>
      <c r="Q35" s="74"/>
      <c r="R35" s="74"/>
      <c r="S35" s="78" t="str">
        <f t="shared" si="2"/>
        <v/>
      </c>
      <c r="T35" s="24"/>
      <c r="U35" s="32"/>
      <c r="V35" s="40" t="str">
        <f t="shared" si="3"/>
        <v/>
      </c>
      <c r="W35" s="81"/>
      <c r="X35" s="74"/>
      <c r="Y35" s="74"/>
      <c r="Z35" s="79" t="str">
        <f t="shared" si="4"/>
        <v/>
      </c>
      <c r="AA35" s="24"/>
      <c r="AB35" s="32"/>
      <c r="AC35" s="31" t="str">
        <f t="shared" si="5"/>
        <v/>
      </c>
      <c r="AF35" s="109" t="str">
        <f>IF($M35="","",VLOOKUP($M35,'ORF Accuracy Value LookUp'!$D$4:$E$104,2,TRUE))</f>
        <v/>
      </c>
      <c r="AG35" s="47" t="str">
        <f>IF($S35="","",VLOOKUP($S35,'ORF Accuracy Value LookUp'!$G$4:$H$104,2,TRUE))</f>
        <v/>
      </c>
      <c r="AH35" s="110" t="str">
        <f>IF($Z35="","",VLOOKUP($Z35,'ORF Accuracy Value LookUp'!$G$4:$H$104,2,TRUE))</f>
        <v/>
      </c>
    </row>
    <row r="36" spans="1:34">
      <c r="A36" s="10"/>
      <c r="B36" s="12"/>
      <c r="C36" s="13"/>
      <c r="D36" s="14"/>
      <c r="E36" s="10"/>
      <c r="F36" s="11"/>
      <c r="G36" s="15"/>
      <c r="H36" s="80"/>
      <c r="I36" s="24"/>
      <c r="J36" s="24"/>
      <c r="K36" s="74"/>
      <c r="L36" s="74"/>
      <c r="M36" s="76" t="str">
        <f t="shared" si="0"/>
        <v/>
      </c>
      <c r="N36" s="24"/>
      <c r="O36" s="111" t="str">
        <f t="shared" si="1"/>
        <v/>
      </c>
      <c r="P36" s="81"/>
      <c r="Q36" s="74"/>
      <c r="R36" s="74"/>
      <c r="S36" s="78" t="str">
        <f t="shared" si="2"/>
        <v/>
      </c>
      <c r="T36" s="24"/>
      <c r="U36" s="32"/>
      <c r="V36" s="40" t="str">
        <f t="shared" si="3"/>
        <v/>
      </c>
      <c r="W36" s="81"/>
      <c r="X36" s="74"/>
      <c r="Y36" s="74"/>
      <c r="Z36" s="79" t="str">
        <f t="shared" si="4"/>
        <v/>
      </c>
      <c r="AA36" s="24"/>
      <c r="AB36" s="32"/>
      <c r="AC36" s="31" t="str">
        <f t="shared" si="5"/>
        <v/>
      </c>
      <c r="AF36" s="109" t="str">
        <f>IF($M36="","",VLOOKUP($M36,'ORF Accuracy Value LookUp'!$D$4:$E$104,2,TRUE))</f>
        <v/>
      </c>
      <c r="AG36" s="47" t="str">
        <f>IF($S36="","",VLOOKUP($S36,'ORF Accuracy Value LookUp'!$G$4:$H$104,2,TRUE))</f>
        <v/>
      </c>
      <c r="AH36" s="110" t="str">
        <f>IF($Z36="","",VLOOKUP($Z36,'ORF Accuracy Value LookUp'!$G$4:$H$104,2,TRUE))</f>
        <v/>
      </c>
    </row>
    <row r="37" spans="1:34">
      <c r="A37" s="10"/>
      <c r="B37" s="12"/>
      <c r="C37" s="13"/>
      <c r="D37" s="14"/>
      <c r="E37" s="10"/>
      <c r="F37" s="11"/>
      <c r="G37" s="15"/>
      <c r="H37" s="80"/>
      <c r="I37" s="24"/>
      <c r="J37" s="24"/>
      <c r="K37" s="74"/>
      <c r="L37" s="74"/>
      <c r="M37" s="76" t="str">
        <f t="shared" si="0"/>
        <v/>
      </c>
      <c r="N37" s="24"/>
      <c r="O37" s="111" t="str">
        <f t="shared" si="1"/>
        <v/>
      </c>
      <c r="P37" s="81"/>
      <c r="Q37" s="74"/>
      <c r="R37" s="74"/>
      <c r="S37" s="78" t="str">
        <f t="shared" si="2"/>
        <v/>
      </c>
      <c r="T37" s="24"/>
      <c r="U37" s="32"/>
      <c r="V37" s="40" t="str">
        <f t="shared" si="3"/>
        <v/>
      </c>
      <c r="W37" s="81"/>
      <c r="X37" s="74"/>
      <c r="Y37" s="74"/>
      <c r="Z37" s="79" t="str">
        <f t="shared" si="4"/>
        <v/>
      </c>
      <c r="AA37" s="24"/>
      <c r="AB37" s="32"/>
      <c r="AC37" s="31" t="str">
        <f t="shared" si="5"/>
        <v/>
      </c>
      <c r="AF37" s="109" t="str">
        <f>IF($M37="","",VLOOKUP($M37,'ORF Accuracy Value LookUp'!$D$4:$E$104,2,TRUE))</f>
        <v/>
      </c>
      <c r="AG37" s="47" t="str">
        <f>IF($S37="","",VLOOKUP($S37,'ORF Accuracy Value LookUp'!$G$4:$H$104,2,TRUE))</f>
        <v/>
      </c>
      <c r="AH37" s="110" t="str">
        <f>IF($Z37="","",VLOOKUP($Z37,'ORF Accuracy Value LookUp'!$G$4:$H$104,2,TRUE))</f>
        <v/>
      </c>
    </row>
    <row r="38" spans="1:34">
      <c r="A38" s="10"/>
      <c r="B38" s="12"/>
      <c r="C38" s="13"/>
      <c r="D38" s="14"/>
      <c r="E38" s="10"/>
      <c r="F38" s="11"/>
      <c r="G38" s="15"/>
      <c r="H38" s="80"/>
      <c r="I38" s="24"/>
      <c r="J38" s="24"/>
      <c r="K38" s="74"/>
      <c r="L38" s="74"/>
      <c r="M38" s="76" t="str">
        <f t="shared" si="0"/>
        <v/>
      </c>
      <c r="N38" s="24"/>
      <c r="O38" s="111" t="str">
        <f t="shared" si="1"/>
        <v/>
      </c>
      <c r="P38" s="81"/>
      <c r="Q38" s="74"/>
      <c r="R38" s="74"/>
      <c r="S38" s="78" t="str">
        <f t="shared" si="2"/>
        <v/>
      </c>
      <c r="T38" s="24"/>
      <c r="U38" s="32"/>
      <c r="V38" s="40" t="str">
        <f t="shared" si="3"/>
        <v/>
      </c>
      <c r="W38" s="81"/>
      <c r="X38" s="74"/>
      <c r="Y38" s="74"/>
      <c r="Z38" s="79" t="str">
        <f t="shared" si="4"/>
        <v/>
      </c>
      <c r="AA38" s="24"/>
      <c r="AB38" s="32"/>
      <c r="AC38" s="31" t="str">
        <f t="shared" si="5"/>
        <v/>
      </c>
      <c r="AF38" s="109" t="str">
        <f>IF($M38="","",VLOOKUP($M38,'ORF Accuracy Value LookUp'!$D$4:$E$104,2,TRUE))</f>
        <v/>
      </c>
      <c r="AG38" s="47" t="str">
        <f>IF($S38="","",VLOOKUP($S38,'ORF Accuracy Value LookUp'!$G$4:$H$104,2,TRUE))</f>
        <v/>
      </c>
      <c r="AH38" s="110" t="str">
        <f>IF($Z38="","",VLOOKUP($Z38,'ORF Accuracy Value LookUp'!$G$4:$H$104,2,TRUE))</f>
        <v/>
      </c>
    </row>
    <row r="39" spans="1:34">
      <c r="A39" s="10"/>
      <c r="B39" s="12"/>
      <c r="C39" s="13"/>
      <c r="D39" s="14"/>
      <c r="E39" s="10"/>
      <c r="F39" s="11"/>
      <c r="G39" s="15"/>
      <c r="H39" s="80"/>
      <c r="I39" s="24"/>
      <c r="J39" s="24"/>
      <c r="K39" s="74"/>
      <c r="L39" s="74"/>
      <c r="M39" s="76" t="str">
        <f t="shared" si="0"/>
        <v/>
      </c>
      <c r="N39" s="24"/>
      <c r="O39" s="111" t="str">
        <f t="shared" si="1"/>
        <v/>
      </c>
      <c r="P39" s="81"/>
      <c r="Q39" s="74"/>
      <c r="R39" s="74"/>
      <c r="S39" s="78" t="str">
        <f t="shared" si="2"/>
        <v/>
      </c>
      <c r="T39" s="24"/>
      <c r="U39" s="32"/>
      <c r="V39" s="40" t="str">
        <f t="shared" si="3"/>
        <v/>
      </c>
      <c r="W39" s="81"/>
      <c r="X39" s="74"/>
      <c r="Y39" s="74"/>
      <c r="Z39" s="79" t="str">
        <f t="shared" si="4"/>
        <v/>
      </c>
      <c r="AA39" s="24"/>
      <c r="AB39" s="32"/>
      <c r="AC39" s="31" t="str">
        <f t="shared" si="5"/>
        <v/>
      </c>
      <c r="AF39" s="109" t="str">
        <f>IF($M39="","",VLOOKUP($M39,'ORF Accuracy Value LookUp'!$D$4:$E$104,2,TRUE))</f>
        <v/>
      </c>
      <c r="AG39" s="47" t="str">
        <f>IF($S39="","",VLOOKUP($S39,'ORF Accuracy Value LookUp'!$G$4:$H$104,2,TRUE))</f>
        <v/>
      </c>
      <c r="AH39" s="110" t="str">
        <f>IF($Z39="","",VLOOKUP($Z39,'ORF Accuracy Value LookUp'!$G$4:$H$104,2,TRUE))</f>
        <v/>
      </c>
    </row>
    <row r="40" spans="1:34">
      <c r="A40" s="10"/>
      <c r="B40" s="12"/>
      <c r="C40" s="13"/>
      <c r="D40" s="14"/>
      <c r="E40" s="10"/>
      <c r="F40" s="11"/>
      <c r="G40" s="15"/>
      <c r="H40" s="80"/>
      <c r="I40" s="24"/>
      <c r="J40" s="24"/>
      <c r="K40" s="74"/>
      <c r="L40" s="74"/>
      <c r="M40" s="76" t="str">
        <f t="shared" si="0"/>
        <v/>
      </c>
      <c r="N40" s="24"/>
      <c r="O40" s="111" t="str">
        <f t="shared" si="1"/>
        <v/>
      </c>
      <c r="P40" s="81"/>
      <c r="Q40" s="74"/>
      <c r="R40" s="74"/>
      <c r="S40" s="78" t="str">
        <f t="shared" si="2"/>
        <v/>
      </c>
      <c r="T40" s="24"/>
      <c r="U40" s="32"/>
      <c r="V40" s="40" t="str">
        <f t="shared" si="3"/>
        <v/>
      </c>
      <c r="W40" s="81"/>
      <c r="X40" s="74"/>
      <c r="Y40" s="74"/>
      <c r="Z40" s="79" t="str">
        <f t="shared" si="4"/>
        <v/>
      </c>
      <c r="AA40" s="24"/>
      <c r="AB40" s="32"/>
      <c r="AC40" s="31" t="str">
        <f t="shared" si="5"/>
        <v/>
      </c>
      <c r="AF40" s="109" t="str">
        <f>IF($M40="","",VLOOKUP($M40,'ORF Accuracy Value LookUp'!$D$4:$E$104,2,TRUE))</f>
        <v/>
      </c>
      <c r="AG40" s="47" t="str">
        <f>IF($S40="","",VLOOKUP($S40,'ORF Accuracy Value LookUp'!$G$4:$H$104,2,TRUE))</f>
        <v/>
      </c>
      <c r="AH40" s="110" t="str">
        <f>IF($Z40="","",VLOOKUP($Z40,'ORF Accuracy Value LookUp'!$G$4:$H$104,2,TRUE))</f>
        <v/>
      </c>
    </row>
    <row r="41" spans="1:34">
      <c r="A41" s="10"/>
      <c r="B41" s="12"/>
      <c r="C41" s="13"/>
      <c r="D41" s="14"/>
      <c r="E41" s="10"/>
      <c r="F41" s="11"/>
      <c r="G41" s="15"/>
      <c r="H41" s="80"/>
      <c r="I41" s="24"/>
      <c r="J41" s="24"/>
      <c r="K41" s="74"/>
      <c r="L41" s="74"/>
      <c r="M41" s="76" t="str">
        <f t="shared" si="0"/>
        <v/>
      </c>
      <c r="N41" s="24"/>
      <c r="O41" s="111" t="str">
        <f t="shared" si="1"/>
        <v/>
      </c>
      <c r="P41" s="81"/>
      <c r="Q41" s="74"/>
      <c r="R41" s="74"/>
      <c r="S41" s="78" t="str">
        <f t="shared" si="2"/>
        <v/>
      </c>
      <c r="T41" s="24"/>
      <c r="U41" s="32"/>
      <c r="V41" s="40" t="str">
        <f t="shared" si="3"/>
        <v/>
      </c>
      <c r="W41" s="81"/>
      <c r="X41" s="74"/>
      <c r="Y41" s="74"/>
      <c r="Z41" s="79" t="str">
        <f t="shared" si="4"/>
        <v/>
      </c>
      <c r="AA41" s="24"/>
      <c r="AB41" s="32"/>
      <c r="AC41" s="31" t="str">
        <f t="shared" si="5"/>
        <v/>
      </c>
      <c r="AF41" s="109" t="str">
        <f>IF($M41="","",VLOOKUP($M41,'ORF Accuracy Value LookUp'!$D$4:$E$104,2,TRUE))</f>
        <v/>
      </c>
      <c r="AG41" s="47" t="str">
        <f>IF($S41="","",VLOOKUP($S41,'ORF Accuracy Value LookUp'!$G$4:$H$104,2,TRUE))</f>
        <v/>
      </c>
      <c r="AH41" s="110" t="str">
        <f>IF($Z41="","",VLOOKUP($Z41,'ORF Accuracy Value LookUp'!$G$4:$H$104,2,TRUE))</f>
        <v/>
      </c>
    </row>
    <row r="42" spans="1:34">
      <c r="A42" s="10"/>
      <c r="B42" s="12"/>
      <c r="C42" s="13"/>
      <c r="D42" s="14"/>
      <c r="E42" s="10"/>
      <c r="F42" s="11"/>
      <c r="G42" s="15"/>
      <c r="H42" s="80"/>
      <c r="I42" s="24"/>
      <c r="J42" s="24"/>
      <c r="K42" s="74"/>
      <c r="L42" s="74"/>
      <c r="M42" s="76" t="str">
        <f t="shared" si="0"/>
        <v/>
      </c>
      <c r="N42" s="24"/>
      <c r="O42" s="111" t="str">
        <f t="shared" si="1"/>
        <v/>
      </c>
      <c r="P42" s="81"/>
      <c r="Q42" s="74"/>
      <c r="R42" s="74"/>
      <c r="S42" s="78" t="str">
        <f t="shared" si="2"/>
        <v/>
      </c>
      <c r="T42" s="24"/>
      <c r="U42" s="32"/>
      <c r="V42" s="40" t="str">
        <f t="shared" si="3"/>
        <v/>
      </c>
      <c r="W42" s="81"/>
      <c r="X42" s="74"/>
      <c r="Y42" s="74"/>
      <c r="Z42" s="79" t="str">
        <f t="shared" si="4"/>
        <v/>
      </c>
      <c r="AA42" s="24"/>
      <c r="AB42" s="32"/>
      <c r="AC42" s="31" t="str">
        <f t="shared" si="5"/>
        <v/>
      </c>
      <c r="AF42" s="109" t="str">
        <f>IF($M42="","",VLOOKUP($M42,'ORF Accuracy Value LookUp'!$D$4:$E$104,2,TRUE))</f>
        <v/>
      </c>
      <c r="AG42" s="47" t="str">
        <f>IF($S42="","",VLOOKUP($S42,'ORF Accuracy Value LookUp'!$G$4:$H$104,2,TRUE))</f>
        <v/>
      </c>
      <c r="AH42" s="110" t="str">
        <f>IF($Z42="","",VLOOKUP($Z42,'ORF Accuracy Value LookUp'!$G$4:$H$104,2,TRUE))</f>
        <v/>
      </c>
    </row>
    <row r="43" spans="1:34">
      <c r="A43" s="10"/>
      <c r="B43" s="12"/>
      <c r="C43" s="13"/>
      <c r="D43" s="14"/>
      <c r="E43" s="10"/>
      <c r="F43" s="11"/>
      <c r="G43" s="15"/>
      <c r="H43" s="80"/>
      <c r="I43" s="24"/>
      <c r="J43" s="24"/>
      <c r="K43" s="74"/>
      <c r="L43" s="74"/>
      <c r="M43" s="76" t="str">
        <f t="shared" si="0"/>
        <v/>
      </c>
      <c r="N43" s="24"/>
      <c r="O43" s="111" t="str">
        <f t="shared" si="1"/>
        <v/>
      </c>
      <c r="P43" s="81"/>
      <c r="Q43" s="74"/>
      <c r="R43" s="74"/>
      <c r="S43" s="78" t="str">
        <f t="shared" si="2"/>
        <v/>
      </c>
      <c r="T43" s="24"/>
      <c r="U43" s="32"/>
      <c r="V43" s="40" t="str">
        <f t="shared" si="3"/>
        <v/>
      </c>
      <c r="W43" s="81"/>
      <c r="X43" s="74"/>
      <c r="Y43" s="74"/>
      <c r="Z43" s="79" t="str">
        <f t="shared" si="4"/>
        <v/>
      </c>
      <c r="AA43" s="24"/>
      <c r="AB43" s="32"/>
      <c r="AC43" s="31" t="str">
        <f t="shared" si="5"/>
        <v/>
      </c>
      <c r="AF43" s="109" t="str">
        <f>IF($M43="","",VLOOKUP($M43,'ORF Accuracy Value LookUp'!$D$4:$E$104,2,TRUE))</f>
        <v/>
      </c>
      <c r="AG43" s="47" t="str">
        <f>IF($S43="","",VLOOKUP($S43,'ORF Accuracy Value LookUp'!$G$4:$H$104,2,TRUE))</f>
        <v/>
      </c>
      <c r="AH43" s="110" t="str">
        <f>IF($Z43="","",VLOOKUP($Z43,'ORF Accuracy Value LookUp'!$G$4:$H$104,2,TRUE))</f>
        <v/>
      </c>
    </row>
    <row r="44" spans="1:34">
      <c r="A44" s="10"/>
      <c r="B44" s="12"/>
      <c r="C44" s="13"/>
      <c r="D44" s="14"/>
      <c r="E44" s="10"/>
      <c r="F44" s="11"/>
      <c r="G44" s="15"/>
      <c r="H44" s="80"/>
      <c r="I44" s="24"/>
      <c r="J44" s="24"/>
      <c r="K44" s="74"/>
      <c r="L44" s="74"/>
      <c r="M44" s="76" t="str">
        <f t="shared" si="0"/>
        <v/>
      </c>
      <c r="N44" s="24"/>
      <c r="O44" s="111" t="str">
        <f t="shared" si="1"/>
        <v/>
      </c>
      <c r="P44" s="81"/>
      <c r="Q44" s="74"/>
      <c r="R44" s="74"/>
      <c r="S44" s="78" t="str">
        <f t="shared" si="2"/>
        <v/>
      </c>
      <c r="T44" s="24"/>
      <c r="U44" s="32"/>
      <c r="V44" s="40" t="str">
        <f t="shared" si="3"/>
        <v/>
      </c>
      <c r="W44" s="81"/>
      <c r="X44" s="74"/>
      <c r="Y44" s="74"/>
      <c r="Z44" s="79" t="str">
        <f t="shared" si="4"/>
        <v/>
      </c>
      <c r="AA44" s="24"/>
      <c r="AB44" s="32"/>
      <c r="AC44" s="31" t="str">
        <f t="shared" si="5"/>
        <v/>
      </c>
      <c r="AF44" s="109" t="str">
        <f>IF($M44="","",VLOOKUP($M44,'ORF Accuracy Value LookUp'!$D$4:$E$104,2,TRUE))</f>
        <v/>
      </c>
      <c r="AG44" s="47" t="str">
        <f>IF($S44="","",VLOOKUP($S44,'ORF Accuracy Value LookUp'!$G$4:$H$104,2,TRUE))</f>
        <v/>
      </c>
      <c r="AH44" s="110" t="str">
        <f>IF($Z44="","",VLOOKUP($Z44,'ORF Accuracy Value LookUp'!$G$4:$H$104,2,TRUE))</f>
        <v/>
      </c>
    </row>
    <row r="45" spans="1:34">
      <c r="A45" s="10"/>
      <c r="B45" s="12"/>
      <c r="C45" s="13"/>
      <c r="D45" s="14"/>
      <c r="E45" s="10"/>
      <c r="F45" s="11"/>
      <c r="G45" s="15"/>
      <c r="H45" s="80"/>
      <c r="I45" s="24"/>
      <c r="J45" s="24"/>
      <c r="K45" s="74"/>
      <c r="L45" s="74"/>
      <c r="M45" s="76" t="str">
        <f t="shared" si="0"/>
        <v/>
      </c>
      <c r="N45" s="24"/>
      <c r="O45" s="111" t="str">
        <f t="shared" si="1"/>
        <v/>
      </c>
      <c r="P45" s="81"/>
      <c r="Q45" s="74"/>
      <c r="R45" s="74"/>
      <c r="S45" s="78" t="str">
        <f t="shared" si="2"/>
        <v/>
      </c>
      <c r="T45" s="24"/>
      <c r="U45" s="32"/>
      <c r="V45" s="40" t="str">
        <f t="shared" si="3"/>
        <v/>
      </c>
      <c r="W45" s="81"/>
      <c r="X45" s="74"/>
      <c r="Y45" s="74"/>
      <c r="Z45" s="79" t="str">
        <f t="shared" si="4"/>
        <v/>
      </c>
      <c r="AA45" s="24"/>
      <c r="AB45" s="32"/>
      <c r="AC45" s="31" t="str">
        <f t="shared" si="5"/>
        <v/>
      </c>
      <c r="AF45" s="109" t="str">
        <f>IF($M45="","",VLOOKUP($M45,'ORF Accuracy Value LookUp'!$D$4:$E$104,2,TRUE))</f>
        <v/>
      </c>
      <c r="AG45" s="47" t="str">
        <f>IF($S45="","",VLOOKUP($S45,'ORF Accuracy Value LookUp'!$G$4:$H$104,2,TRUE))</f>
        <v/>
      </c>
      <c r="AH45" s="110" t="str">
        <f>IF($Z45="","",VLOOKUP($Z45,'ORF Accuracy Value LookUp'!$G$4:$H$104,2,TRUE))</f>
        <v/>
      </c>
    </row>
    <row r="46" spans="1:34">
      <c r="A46" s="10"/>
      <c r="B46" s="12"/>
      <c r="C46" s="13"/>
      <c r="D46" s="14"/>
      <c r="E46" s="10"/>
      <c r="F46" s="11"/>
      <c r="G46" s="15"/>
      <c r="H46" s="80"/>
      <c r="I46" s="24"/>
      <c r="J46" s="24"/>
      <c r="K46" s="74"/>
      <c r="L46" s="74"/>
      <c r="M46" s="76" t="str">
        <f t="shared" si="0"/>
        <v/>
      </c>
      <c r="N46" s="24"/>
      <c r="O46" s="111" t="str">
        <f t="shared" si="1"/>
        <v/>
      </c>
      <c r="P46" s="81"/>
      <c r="Q46" s="74"/>
      <c r="R46" s="74"/>
      <c r="S46" s="78" t="str">
        <f t="shared" si="2"/>
        <v/>
      </c>
      <c r="T46" s="24"/>
      <c r="U46" s="32"/>
      <c r="V46" s="40" t="str">
        <f t="shared" si="3"/>
        <v/>
      </c>
      <c r="W46" s="81"/>
      <c r="X46" s="74"/>
      <c r="Y46" s="74"/>
      <c r="Z46" s="79" t="str">
        <f t="shared" si="4"/>
        <v/>
      </c>
      <c r="AA46" s="24"/>
      <c r="AB46" s="32"/>
      <c r="AC46" s="31" t="str">
        <f t="shared" si="5"/>
        <v/>
      </c>
      <c r="AF46" s="109" t="str">
        <f>IF($M46="","",VLOOKUP($M46,'ORF Accuracy Value LookUp'!$D$4:$E$104,2,TRUE))</f>
        <v/>
      </c>
      <c r="AG46" s="47" t="str">
        <f>IF($S46="","",VLOOKUP($S46,'ORF Accuracy Value LookUp'!$G$4:$H$104,2,TRUE))</f>
        <v/>
      </c>
      <c r="AH46" s="110" t="str">
        <f>IF($Z46="","",VLOOKUP($Z46,'ORF Accuracy Value LookUp'!$G$4:$H$104,2,TRUE))</f>
        <v/>
      </c>
    </row>
    <row r="47" spans="1:34">
      <c r="A47" s="10"/>
      <c r="B47" s="12"/>
      <c r="C47" s="13"/>
      <c r="D47" s="14"/>
      <c r="E47" s="10"/>
      <c r="F47" s="11"/>
      <c r="G47" s="15"/>
      <c r="H47" s="80"/>
      <c r="I47" s="24"/>
      <c r="J47" s="24"/>
      <c r="K47" s="74"/>
      <c r="L47" s="74"/>
      <c r="M47" s="76" t="str">
        <f t="shared" si="0"/>
        <v/>
      </c>
      <c r="N47" s="24"/>
      <c r="O47" s="111" t="str">
        <f t="shared" si="1"/>
        <v/>
      </c>
      <c r="P47" s="81"/>
      <c r="Q47" s="74"/>
      <c r="R47" s="74"/>
      <c r="S47" s="78" t="str">
        <f t="shared" si="2"/>
        <v/>
      </c>
      <c r="T47" s="24"/>
      <c r="U47" s="32"/>
      <c r="V47" s="40" t="str">
        <f t="shared" si="3"/>
        <v/>
      </c>
      <c r="W47" s="81"/>
      <c r="X47" s="74"/>
      <c r="Y47" s="74"/>
      <c r="Z47" s="79" t="str">
        <f t="shared" si="4"/>
        <v/>
      </c>
      <c r="AA47" s="24"/>
      <c r="AB47" s="32"/>
      <c r="AC47" s="31" t="str">
        <f t="shared" si="5"/>
        <v/>
      </c>
      <c r="AF47" s="109" t="str">
        <f>IF($M47="","",VLOOKUP($M47,'ORF Accuracy Value LookUp'!$D$4:$E$104,2,TRUE))</f>
        <v/>
      </c>
      <c r="AG47" s="47" t="str">
        <f>IF($S47="","",VLOOKUP($S47,'ORF Accuracy Value LookUp'!$G$4:$H$104,2,TRUE))</f>
        <v/>
      </c>
      <c r="AH47" s="110" t="str">
        <f>IF($Z47="","",VLOOKUP($Z47,'ORF Accuracy Value LookUp'!$G$4:$H$104,2,TRUE))</f>
        <v/>
      </c>
    </row>
    <row r="48" spans="1:34">
      <c r="A48" s="10"/>
      <c r="B48" s="12"/>
      <c r="C48" s="13"/>
      <c r="D48" s="14"/>
      <c r="E48" s="10"/>
      <c r="F48" s="11"/>
      <c r="G48" s="15"/>
      <c r="H48" s="80"/>
      <c r="I48" s="24"/>
      <c r="J48" s="24"/>
      <c r="K48" s="74"/>
      <c r="L48" s="74"/>
      <c r="M48" s="76" t="str">
        <f t="shared" si="0"/>
        <v/>
      </c>
      <c r="N48" s="24"/>
      <c r="O48" s="111" t="str">
        <f t="shared" si="1"/>
        <v/>
      </c>
      <c r="P48" s="81"/>
      <c r="Q48" s="74"/>
      <c r="R48" s="74"/>
      <c r="S48" s="78" t="str">
        <f t="shared" si="2"/>
        <v/>
      </c>
      <c r="T48" s="24"/>
      <c r="U48" s="32"/>
      <c r="V48" s="40" t="str">
        <f t="shared" si="3"/>
        <v/>
      </c>
      <c r="W48" s="81"/>
      <c r="X48" s="74"/>
      <c r="Y48" s="74"/>
      <c r="Z48" s="79" t="str">
        <f t="shared" si="4"/>
        <v/>
      </c>
      <c r="AA48" s="24"/>
      <c r="AB48" s="32"/>
      <c r="AC48" s="31" t="str">
        <f t="shared" si="5"/>
        <v/>
      </c>
      <c r="AF48" s="109" t="str">
        <f>IF($M48="","",VLOOKUP($M48,'ORF Accuracy Value LookUp'!$D$4:$E$104,2,TRUE))</f>
        <v/>
      </c>
      <c r="AG48" s="47" t="str">
        <f>IF($S48="","",VLOOKUP($S48,'ORF Accuracy Value LookUp'!$G$4:$H$104,2,TRUE))</f>
        <v/>
      </c>
      <c r="AH48" s="110" t="str">
        <f>IF($Z48="","",VLOOKUP($Z48,'ORF Accuracy Value LookUp'!$G$4:$H$104,2,TRUE))</f>
        <v/>
      </c>
    </row>
    <row r="49" spans="1:34">
      <c r="A49" s="10"/>
      <c r="B49" s="12"/>
      <c r="C49" s="13"/>
      <c r="D49" s="14"/>
      <c r="E49" s="10"/>
      <c r="F49" s="11"/>
      <c r="G49" s="15"/>
      <c r="H49" s="80"/>
      <c r="I49" s="24"/>
      <c r="J49" s="24"/>
      <c r="K49" s="74"/>
      <c r="L49" s="74"/>
      <c r="M49" s="76" t="str">
        <f t="shared" si="0"/>
        <v/>
      </c>
      <c r="N49" s="24"/>
      <c r="O49" s="111" t="str">
        <f t="shared" si="1"/>
        <v/>
      </c>
      <c r="P49" s="81"/>
      <c r="Q49" s="74"/>
      <c r="R49" s="74"/>
      <c r="S49" s="78" t="str">
        <f t="shared" si="2"/>
        <v/>
      </c>
      <c r="T49" s="24"/>
      <c r="U49" s="32"/>
      <c r="V49" s="40" t="str">
        <f t="shared" si="3"/>
        <v/>
      </c>
      <c r="W49" s="81"/>
      <c r="X49" s="74"/>
      <c r="Y49" s="74"/>
      <c r="Z49" s="79" t="str">
        <f t="shared" si="4"/>
        <v/>
      </c>
      <c r="AA49" s="24"/>
      <c r="AB49" s="32"/>
      <c r="AC49" s="31" t="str">
        <f t="shared" si="5"/>
        <v/>
      </c>
      <c r="AF49" s="109" t="str">
        <f>IF($M49="","",VLOOKUP($M49,'ORF Accuracy Value LookUp'!$D$4:$E$104,2,TRUE))</f>
        <v/>
      </c>
      <c r="AG49" s="47" t="str">
        <f>IF($S49="","",VLOOKUP($S49,'ORF Accuracy Value LookUp'!$G$4:$H$104,2,TRUE))</f>
        <v/>
      </c>
      <c r="AH49" s="110" t="str">
        <f>IF($Z49="","",VLOOKUP($Z49,'ORF Accuracy Value LookUp'!$G$4:$H$104,2,TRUE))</f>
        <v/>
      </c>
    </row>
    <row r="50" spans="1:34">
      <c r="A50" s="10"/>
      <c r="B50" s="12"/>
      <c r="C50" s="13"/>
      <c r="D50" s="14"/>
      <c r="E50" s="10"/>
      <c r="F50" s="11"/>
      <c r="G50" s="15"/>
      <c r="H50" s="80"/>
      <c r="I50" s="24"/>
      <c r="J50" s="24"/>
      <c r="K50" s="74"/>
      <c r="L50" s="74"/>
      <c r="M50" s="76" t="str">
        <f t="shared" si="0"/>
        <v/>
      </c>
      <c r="N50" s="24"/>
      <c r="O50" s="111" t="str">
        <f t="shared" si="1"/>
        <v/>
      </c>
      <c r="P50" s="81"/>
      <c r="Q50" s="74"/>
      <c r="R50" s="74"/>
      <c r="S50" s="78" t="str">
        <f t="shared" si="2"/>
        <v/>
      </c>
      <c r="T50" s="24"/>
      <c r="U50" s="32"/>
      <c r="V50" s="40" t="str">
        <f t="shared" si="3"/>
        <v/>
      </c>
      <c r="W50" s="81"/>
      <c r="X50" s="74"/>
      <c r="Y50" s="74"/>
      <c r="Z50" s="79" t="str">
        <f t="shared" si="4"/>
        <v/>
      </c>
      <c r="AA50" s="24"/>
      <c r="AB50" s="32"/>
      <c r="AC50" s="31" t="str">
        <f t="shared" si="5"/>
        <v/>
      </c>
      <c r="AF50" s="109" t="str">
        <f>IF($M50="","",VLOOKUP($M50,'ORF Accuracy Value LookUp'!$D$4:$E$104,2,TRUE))</f>
        <v/>
      </c>
      <c r="AG50" s="47" t="str">
        <f>IF($S50="","",VLOOKUP($S50,'ORF Accuracy Value LookUp'!$G$4:$H$104,2,TRUE))</f>
        <v/>
      </c>
      <c r="AH50" s="110" t="str">
        <f>IF($Z50="","",VLOOKUP($Z50,'ORF Accuracy Value LookUp'!$G$4:$H$104,2,TRUE))</f>
        <v/>
      </c>
    </row>
    <row r="51" spans="1:34">
      <c r="A51" s="10"/>
      <c r="B51" s="12"/>
      <c r="C51" s="13"/>
      <c r="D51" s="14"/>
      <c r="E51" s="10"/>
      <c r="F51" s="11"/>
      <c r="G51" s="15"/>
      <c r="H51" s="80"/>
      <c r="I51" s="24"/>
      <c r="J51" s="24"/>
      <c r="K51" s="74"/>
      <c r="L51" s="74"/>
      <c r="M51" s="76" t="str">
        <f t="shared" si="0"/>
        <v/>
      </c>
      <c r="N51" s="24"/>
      <c r="O51" s="111" t="str">
        <f t="shared" si="1"/>
        <v/>
      </c>
      <c r="P51" s="81"/>
      <c r="Q51" s="74"/>
      <c r="R51" s="74"/>
      <c r="S51" s="78" t="str">
        <f t="shared" si="2"/>
        <v/>
      </c>
      <c r="T51" s="24"/>
      <c r="U51" s="32"/>
      <c r="V51" s="40" t="str">
        <f t="shared" si="3"/>
        <v/>
      </c>
      <c r="W51" s="81"/>
      <c r="X51" s="74"/>
      <c r="Y51" s="74"/>
      <c r="Z51" s="79" t="str">
        <f t="shared" si="4"/>
        <v/>
      </c>
      <c r="AA51" s="24"/>
      <c r="AB51" s="32"/>
      <c r="AC51" s="31" t="str">
        <f t="shared" si="5"/>
        <v/>
      </c>
      <c r="AF51" s="109" t="str">
        <f>IF($M51="","",VLOOKUP($M51,'ORF Accuracy Value LookUp'!$D$4:$E$104,2,TRUE))</f>
        <v/>
      </c>
      <c r="AG51" s="47" t="str">
        <f>IF($S51="","",VLOOKUP($S51,'ORF Accuracy Value LookUp'!$G$4:$H$104,2,TRUE))</f>
        <v/>
      </c>
      <c r="AH51" s="110" t="str">
        <f>IF($Z51="","",VLOOKUP($Z51,'ORF Accuracy Value LookUp'!$G$4:$H$104,2,TRUE))</f>
        <v/>
      </c>
    </row>
    <row r="52" spans="1:34">
      <c r="A52" s="10"/>
      <c r="B52" s="12"/>
      <c r="C52" s="13"/>
      <c r="D52" s="14"/>
      <c r="E52" s="10"/>
      <c r="F52" s="11"/>
      <c r="G52" s="15"/>
      <c r="H52" s="80"/>
      <c r="I52" s="24"/>
      <c r="J52" s="24"/>
      <c r="K52" s="74"/>
      <c r="L52" s="74"/>
      <c r="M52" s="76" t="str">
        <f t="shared" si="0"/>
        <v/>
      </c>
      <c r="N52" s="24"/>
      <c r="O52" s="111" t="str">
        <f t="shared" si="1"/>
        <v/>
      </c>
      <c r="P52" s="81"/>
      <c r="Q52" s="74"/>
      <c r="R52" s="74"/>
      <c r="S52" s="78" t="str">
        <f t="shared" si="2"/>
        <v/>
      </c>
      <c r="T52" s="24"/>
      <c r="U52" s="32"/>
      <c r="V52" s="40" t="str">
        <f t="shared" si="3"/>
        <v/>
      </c>
      <c r="W52" s="81"/>
      <c r="X52" s="74"/>
      <c r="Y52" s="74"/>
      <c r="Z52" s="79" t="str">
        <f t="shared" si="4"/>
        <v/>
      </c>
      <c r="AA52" s="24"/>
      <c r="AB52" s="32"/>
      <c r="AC52" s="31" t="str">
        <f t="shared" si="5"/>
        <v/>
      </c>
      <c r="AF52" s="109" t="str">
        <f>IF($M52="","",VLOOKUP($M52,'ORF Accuracy Value LookUp'!$D$4:$E$104,2,TRUE))</f>
        <v/>
      </c>
      <c r="AG52" s="47" t="str">
        <f>IF($S52="","",VLOOKUP($S52,'ORF Accuracy Value LookUp'!$G$4:$H$104,2,TRUE))</f>
        <v/>
      </c>
      <c r="AH52" s="110" t="str">
        <f>IF($Z52="","",VLOOKUP($Z52,'ORF Accuracy Value LookUp'!$G$4:$H$104,2,TRUE))</f>
        <v/>
      </c>
    </row>
    <row r="53" spans="1:34">
      <c r="A53" s="10"/>
      <c r="B53" s="12"/>
      <c r="C53" s="13"/>
      <c r="D53" s="14"/>
      <c r="E53" s="10"/>
      <c r="F53" s="11"/>
      <c r="G53" s="15"/>
      <c r="H53" s="80"/>
      <c r="I53" s="24"/>
      <c r="J53" s="24"/>
      <c r="K53" s="74"/>
      <c r="L53" s="74"/>
      <c r="M53" s="76" t="str">
        <f t="shared" si="0"/>
        <v/>
      </c>
      <c r="N53" s="24"/>
      <c r="O53" s="111" t="str">
        <f t="shared" si="1"/>
        <v/>
      </c>
      <c r="P53" s="81"/>
      <c r="Q53" s="74"/>
      <c r="R53" s="74"/>
      <c r="S53" s="78" t="str">
        <f t="shared" si="2"/>
        <v/>
      </c>
      <c r="T53" s="24"/>
      <c r="U53" s="32"/>
      <c r="V53" s="40" t="str">
        <f t="shared" si="3"/>
        <v/>
      </c>
      <c r="W53" s="81"/>
      <c r="X53" s="74"/>
      <c r="Y53" s="74"/>
      <c r="Z53" s="79" t="str">
        <f t="shared" si="4"/>
        <v/>
      </c>
      <c r="AA53" s="24"/>
      <c r="AB53" s="32"/>
      <c r="AC53" s="31" t="str">
        <f t="shared" si="5"/>
        <v/>
      </c>
      <c r="AF53" s="109" t="str">
        <f>IF($M53="","",VLOOKUP($M53,'ORF Accuracy Value LookUp'!$D$4:$E$104,2,TRUE))</f>
        <v/>
      </c>
      <c r="AG53" s="47" t="str">
        <f>IF($S53="","",VLOOKUP($S53,'ORF Accuracy Value LookUp'!$G$4:$H$104,2,TRUE))</f>
        <v/>
      </c>
      <c r="AH53" s="110" t="str">
        <f>IF($Z53="","",VLOOKUP($Z53,'ORF Accuracy Value LookUp'!$G$4:$H$104,2,TRUE))</f>
        <v/>
      </c>
    </row>
    <row r="54" spans="1:34">
      <c r="A54" s="10"/>
      <c r="B54" s="12"/>
      <c r="C54" s="13"/>
      <c r="D54" s="14"/>
      <c r="E54" s="10"/>
      <c r="F54" s="11"/>
      <c r="G54" s="15"/>
      <c r="H54" s="80"/>
      <c r="I54" s="24"/>
      <c r="J54" s="24"/>
      <c r="K54" s="74"/>
      <c r="L54" s="74"/>
      <c r="M54" s="76" t="str">
        <f t="shared" si="0"/>
        <v/>
      </c>
      <c r="N54" s="24"/>
      <c r="O54" s="111" t="str">
        <f t="shared" si="1"/>
        <v/>
      </c>
      <c r="P54" s="81"/>
      <c r="Q54" s="74"/>
      <c r="R54" s="74"/>
      <c r="S54" s="78" t="str">
        <f t="shared" si="2"/>
        <v/>
      </c>
      <c r="T54" s="24"/>
      <c r="U54" s="32"/>
      <c r="V54" s="40" t="str">
        <f t="shared" si="3"/>
        <v/>
      </c>
      <c r="W54" s="81"/>
      <c r="X54" s="74"/>
      <c r="Y54" s="74"/>
      <c r="Z54" s="79" t="str">
        <f t="shared" si="4"/>
        <v/>
      </c>
      <c r="AA54" s="24"/>
      <c r="AB54" s="32"/>
      <c r="AC54" s="31" t="str">
        <f t="shared" si="5"/>
        <v/>
      </c>
      <c r="AF54" s="109" t="str">
        <f>IF($M54="","",VLOOKUP($M54,'ORF Accuracy Value LookUp'!$D$4:$E$104,2,TRUE))</f>
        <v/>
      </c>
      <c r="AG54" s="47" t="str">
        <f>IF($S54="","",VLOOKUP($S54,'ORF Accuracy Value LookUp'!$G$4:$H$104,2,TRUE))</f>
        <v/>
      </c>
      <c r="AH54" s="110" t="str">
        <f>IF($Z54="","",VLOOKUP($Z54,'ORF Accuracy Value LookUp'!$G$4:$H$104,2,TRUE))</f>
        <v/>
      </c>
    </row>
    <row r="55" spans="1:34">
      <c r="A55" s="10"/>
      <c r="B55" s="12"/>
      <c r="C55" s="13"/>
      <c r="D55" s="14"/>
      <c r="E55" s="10"/>
      <c r="F55" s="11"/>
      <c r="G55" s="15"/>
      <c r="H55" s="80"/>
      <c r="I55" s="24"/>
      <c r="J55" s="24"/>
      <c r="K55" s="74"/>
      <c r="L55" s="74"/>
      <c r="M55" s="76" t="str">
        <f t="shared" si="0"/>
        <v/>
      </c>
      <c r="N55" s="24"/>
      <c r="O55" s="111" t="str">
        <f t="shared" si="1"/>
        <v/>
      </c>
      <c r="P55" s="81"/>
      <c r="Q55" s="74"/>
      <c r="R55" s="74"/>
      <c r="S55" s="78" t="str">
        <f t="shared" si="2"/>
        <v/>
      </c>
      <c r="T55" s="24"/>
      <c r="U55" s="32"/>
      <c r="V55" s="40" t="str">
        <f t="shared" si="3"/>
        <v/>
      </c>
      <c r="W55" s="81"/>
      <c r="X55" s="74"/>
      <c r="Y55" s="74"/>
      <c r="Z55" s="79" t="str">
        <f t="shared" si="4"/>
        <v/>
      </c>
      <c r="AA55" s="24"/>
      <c r="AB55" s="32"/>
      <c r="AC55" s="31" t="str">
        <f t="shared" si="5"/>
        <v/>
      </c>
      <c r="AF55" s="109" t="str">
        <f>IF($M55="","",VLOOKUP($M55,'ORF Accuracy Value LookUp'!$D$4:$E$104,2,TRUE))</f>
        <v/>
      </c>
      <c r="AG55" s="47" t="str">
        <f>IF($S55="","",VLOOKUP($S55,'ORF Accuracy Value LookUp'!$G$4:$H$104,2,TRUE))</f>
        <v/>
      </c>
      <c r="AH55" s="110" t="str">
        <f>IF($Z55="","",VLOOKUP($Z55,'ORF Accuracy Value LookUp'!$G$4:$H$104,2,TRUE))</f>
        <v/>
      </c>
    </row>
    <row r="56" spans="1:34">
      <c r="A56" s="10"/>
      <c r="B56" s="12"/>
      <c r="C56" s="13"/>
      <c r="D56" s="14"/>
      <c r="E56" s="10"/>
      <c r="F56" s="11"/>
      <c r="G56" s="15"/>
      <c r="H56" s="80"/>
      <c r="I56" s="24"/>
      <c r="J56" s="24"/>
      <c r="K56" s="74"/>
      <c r="L56" s="74"/>
      <c r="M56" s="76" t="str">
        <f t="shared" si="0"/>
        <v/>
      </c>
      <c r="N56" s="24"/>
      <c r="O56" s="111" t="str">
        <f t="shared" si="1"/>
        <v/>
      </c>
      <c r="P56" s="81"/>
      <c r="Q56" s="74"/>
      <c r="R56" s="74"/>
      <c r="S56" s="78" t="str">
        <f t="shared" si="2"/>
        <v/>
      </c>
      <c r="T56" s="24"/>
      <c r="U56" s="32"/>
      <c r="V56" s="40" t="str">
        <f t="shared" si="3"/>
        <v/>
      </c>
      <c r="W56" s="81"/>
      <c r="X56" s="74"/>
      <c r="Y56" s="74"/>
      <c r="Z56" s="79" t="str">
        <f t="shared" si="4"/>
        <v/>
      </c>
      <c r="AA56" s="24"/>
      <c r="AB56" s="32"/>
      <c r="AC56" s="31" t="str">
        <f t="shared" si="5"/>
        <v/>
      </c>
      <c r="AF56" s="109" t="str">
        <f>IF($M56="","",VLOOKUP($M56,'ORF Accuracy Value LookUp'!$D$4:$E$104,2,TRUE))</f>
        <v/>
      </c>
      <c r="AG56" s="47" t="str">
        <f>IF($S56="","",VLOOKUP($S56,'ORF Accuracy Value LookUp'!$G$4:$H$104,2,TRUE))</f>
        <v/>
      </c>
      <c r="AH56" s="110" t="str">
        <f>IF($Z56="","",VLOOKUP($Z56,'ORF Accuracy Value LookUp'!$G$4:$H$104,2,TRUE))</f>
        <v/>
      </c>
    </row>
    <row r="57" spans="1:34">
      <c r="A57" s="10"/>
      <c r="B57" s="12"/>
      <c r="C57" s="13"/>
      <c r="D57" s="14"/>
      <c r="E57" s="10"/>
      <c r="F57" s="11"/>
      <c r="G57" s="15"/>
      <c r="H57" s="80"/>
      <c r="I57" s="24"/>
      <c r="J57" s="24"/>
      <c r="K57" s="74"/>
      <c r="L57" s="74"/>
      <c r="M57" s="76" t="str">
        <f t="shared" si="0"/>
        <v/>
      </c>
      <c r="N57" s="24"/>
      <c r="O57" s="111" t="str">
        <f t="shared" si="1"/>
        <v/>
      </c>
      <c r="P57" s="81"/>
      <c r="Q57" s="74"/>
      <c r="R57" s="74"/>
      <c r="S57" s="78" t="str">
        <f t="shared" si="2"/>
        <v/>
      </c>
      <c r="T57" s="24"/>
      <c r="U57" s="32"/>
      <c r="V57" s="40" t="str">
        <f t="shared" si="3"/>
        <v/>
      </c>
      <c r="W57" s="81"/>
      <c r="X57" s="74"/>
      <c r="Y57" s="74"/>
      <c r="Z57" s="79" t="str">
        <f t="shared" si="4"/>
        <v/>
      </c>
      <c r="AA57" s="24"/>
      <c r="AB57" s="32"/>
      <c r="AC57" s="31" t="str">
        <f t="shared" si="5"/>
        <v/>
      </c>
      <c r="AF57" s="109" t="str">
        <f>IF($M57="","",VLOOKUP($M57,'ORF Accuracy Value LookUp'!$D$4:$E$104,2,TRUE))</f>
        <v/>
      </c>
      <c r="AG57" s="47" t="str">
        <f>IF($S57="","",VLOOKUP($S57,'ORF Accuracy Value LookUp'!$G$4:$H$104,2,TRUE))</f>
        <v/>
      </c>
      <c r="AH57" s="110" t="str">
        <f>IF($Z57="","",VLOOKUP($Z57,'ORF Accuracy Value LookUp'!$G$4:$H$104,2,TRUE))</f>
        <v/>
      </c>
    </row>
    <row r="58" spans="1:34">
      <c r="A58" s="10"/>
      <c r="B58" s="12"/>
      <c r="C58" s="13"/>
      <c r="D58" s="14"/>
      <c r="E58" s="10"/>
      <c r="F58" s="11"/>
      <c r="G58" s="15"/>
      <c r="H58" s="80"/>
      <c r="I58" s="24"/>
      <c r="J58" s="24"/>
      <c r="K58" s="74"/>
      <c r="L58" s="74"/>
      <c r="M58" s="76" t="str">
        <f t="shared" si="0"/>
        <v/>
      </c>
      <c r="N58" s="24"/>
      <c r="O58" s="111" t="str">
        <f t="shared" si="1"/>
        <v/>
      </c>
      <c r="P58" s="81"/>
      <c r="Q58" s="74"/>
      <c r="R58" s="74"/>
      <c r="S58" s="78" t="str">
        <f t="shared" si="2"/>
        <v/>
      </c>
      <c r="T58" s="24"/>
      <c r="U58" s="32"/>
      <c r="V58" s="40" t="str">
        <f t="shared" si="3"/>
        <v/>
      </c>
      <c r="W58" s="81"/>
      <c r="X58" s="74"/>
      <c r="Y58" s="74"/>
      <c r="Z58" s="79" t="str">
        <f t="shared" si="4"/>
        <v/>
      </c>
      <c r="AA58" s="24"/>
      <c r="AB58" s="32"/>
      <c r="AC58" s="31" t="str">
        <f t="shared" si="5"/>
        <v/>
      </c>
      <c r="AF58" s="109" t="str">
        <f>IF($M58="","",VLOOKUP($M58,'ORF Accuracy Value LookUp'!$D$4:$E$104,2,TRUE))</f>
        <v/>
      </c>
      <c r="AG58" s="47" t="str">
        <f>IF($S58="","",VLOOKUP($S58,'ORF Accuracy Value LookUp'!$G$4:$H$104,2,TRUE))</f>
        <v/>
      </c>
      <c r="AH58" s="110" t="str">
        <f>IF($Z58="","",VLOOKUP($Z58,'ORF Accuracy Value LookUp'!$G$4:$H$104,2,TRUE))</f>
        <v/>
      </c>
    </row>
    <row r="59" spans="1:34">
      <c r="A59" s="10"/>
      <c r="B59" s="12"/>
      <c r="C59" s="13"/>
      <c r="D59" s="14"/>
      <c r="E59" s="10"/>
      <c r="F59" s="11"/>
      <c r="G59" s="15"/>
      <c r="H59" s="80"/>
      <c r="I59" s="24"/>
      <c r="J59" s="24"/>
      <c r="K59" s="74"/>
      <c r="L59" s="74"/>
      <c r="M59" s="76" t="str">
        <f t="shared" si="0"/>
        <v/>
      </c>
      <c r="N59" s="24"/>
      <c r="O59" s="111" t="str">
        <f t="shared" si="1"/>
        <v/>
      </c>
      <c r="P59" s="81"/>
      <c r="Q59" s="74"/>
      <c r="R59" s="74"/>
      <c r="S59" s="78" t="str">
        <f t="shared" si="2"/>
        <v/>
      </c>
      <c r="T59" s="24"/>
      <c r="U59" s="32"/>
      <c r="V59" s="40" t="str">
        <f t="shared" si="3"/>
        <v/>
      </c>
      <c r="W59" s="81"/>
      <c r="X59" s="74"/>
      <c r="Y59" s="74"/>
      <c r="Z59" s="79" t="str">
        <f t="shared" si="4"/>
        <v/>
      </c>
      <c r="AA59" s="24"/>
      <c r="AB59" s="32"/>
      <c r="AC59" s="31" t="str">
        <f t="shared" si="5"/>
        <v/>
      </c>
      <c r="AF59" s="109" t="str">
        <f>IF($M59="","",VLOOKUP($M59,'ORF Accuracy Value LookUp'!$D$4:$E$104,2,TRUE))</f>
        <v/>
      </c>
      <c r="AG59" s="47" t="str">
        <f>IF($S59="","",VLOOKUP($S59,'ORF Accuracy Value LookUp'!$G$4:$H$104,2,TRUE))</f>
        <v/>
      </c>
      <c r="AH59" s="110" t="str">
        <f>IF($Z59="","",VLOOKUP($Z59,'ORF Accuracy Value LookUp'!$G$4:$H$104,2,TRUE))</f>
        <v/>
      </c>
    </row>
    <row r="60" spans="1:34">
      <c r="A60" s="10"/>
      <c r="B60" s="12"/>
      <c r="C60" s="13"/>
      <c r="D60" s="14"/>
      <c r="E60" s="10"/>
      <c r="F60" s="11"/>
      <c r="G60" s="15"/>
      <c r="H60" s="80"/>
      <c r="I60" s="24"/>
      <c r="J60" s="24"/>
      <c r="K60" s="74"/>
      <c r="L60" s="74"/>
      <c r="M60" s="76" t="str">
        <f t="shared" si="0"/>
        <v/>
      </c>
      <c r="N60" s="24"/>
      <c r="O60" s="111" t="str">
        <f t="shared" si="1"/>
        <v/>
      </c>
      <c r="P60" s="81"/>
      <c r="Q60" s="74"/>
      <c r="R60" s="74"/>
      <c r="S60" s="78" t="str">
        <f t="shared" si="2"/>
        <v/>
      </c>
      <c r="T60" s="24"/>
      <c r="U60" s="32"/>
      <c r="V60" s="40" t="str">
        <f t="shared" si="3"/>
        <v/>
      </c>
      <c r="W60" s="81"/>
      <c r="X60" s="74"/>
      <c r="Y60" s="74"/>
      <c r="Z60" s="79" t="str">
        <f t="shared" si="4"/>
        <v/>
      </c>
      <c r="AA60" s="24"/>
      <c r="AB60" s="32"/>
      <c r="AC60" s="31" t="str">
        <f t="shared" si="5"/>
        <v/>
      </c>
      <c r="AF60" s="109" t="str">
        <f>IF($M60="","",VLOOKUP($M60,'ORF Accuracy Value LookUp'!$D$4:$E$104,2,TRUE))</f>
        <v/>
      </c>
      <c r="AG60" s="47" t="str">
        <f>IF($S60="","",VLOOKUP($S60,'ORF Accuracy Value LookUp'!$G$4:$H$104,2,TRUE))</f>
        <v/>
      </c>
      <c r="AH60" s="110" t="str">
        <f>IF($Z60="","",VLOOKUP($Z60,'ORF Accuracy Value LookUp'!$G$4:$H$104,2,TRUE))</f>
        <v/>
      </c>
    </row>
    <row r="61" spans="1:34">
      <c r="A61" s="10"/>
      <c r="B61" s="12"/>
      <c r="C61" s="13"/>
      <c r="D61" s="14"/>
      <c r="E61" s="10"/>
      <c r="F61" s="11"/>
      <c r="G61" s="15"/>
      <c r="H61" s="80"/>
      <c r="I61" s="24"/>
      <c r="J61" s="24"/>
      <c r="K61" s="74"/>
      <c r="L61" s="74"/>
      <c r="M61" s="76" t="str">
        <f t="shared" si="0"/>
        <v/>
      </c>
      <c r="N61" s="24"/>
      <c r="O61" s="111" t="str">
        <f t="shared" si="1"/>
        <v/>
      </c>
      <c r="P61" s="81"/>
      <c r="Q61" s="74"/>
      <c r="R61" s="74"/>
      <c r="S61" s="78" t="str">
        <f t="shared" si="2"/>
        <v/>
      </c>
      <c r="T61" s="24"/>
      <c r="U61" s="32"/>
      <c r="V61" s="40" t="str">
        <f t="shared" si="3"/>
        <v/>
      </c>
      <c r="W61" s="81"/>
      <c r="X61" s="74"/>
      <c r="Y61" s="74"/>
      <c r="Z61" s="79" t="str">
        <f t="shared" si="4"/>
        <v/>
      </c>
      <c r="AA61" s="24"/>
      <c r="AB61" s="32"/>
      <c r="AC61" s="31" t="str">
        <f t="shared" si="5"/>
        <v/>
      </c>
      <c r="AF61" s="109" t="str">
        <f>IF($M61="","",VLOOKUP($M61,'ORF Accuracy Value LookUp'!$D$4:$E$104,2,TRUE))</f>
        <v/>
      </c>
      <c r="AG61" s="47" t="str">
        <f>IF($S61="","",VLOOKUP($S61,'ORF Accuracy Value LookUp'!$G$4:$H$104,2,TRUE))</f>
        <v/>
      </c>
      <c r="AH61" s="110" t="str">
        <f>IF($Z61="","",VLOOKUP($Z61,'ORF Accuracy Value LookUp'!$G$4:$H$104,2,TRUE))</f>
        <v/>
      </c>
    </row>
    <row r="62" spans="1:34">
      <c r="A62" s="10"/>
      <c r="B62" s="12"/>
      <c r="C62" s="13"/>
      <c r="D62" s="14"/>
      <c r="E62" s="10"/>
      <c r="F62" s="11"/>
      <c r="G62" s="15"/>
      <c r="H62" s="80"/>
      <c r="I62" s="24"/>
      <c r="J62" s="24"/>
      <c r="K62" s="74"/>
      <c r="L62" s="74"/>
      <c r="M62" s="76" t="str">
        <f t="shared" si="0"/>
        <v/>
      </c>
      <c r="N62" s="24"/>
      <c r="O62" s="111" t="str">
        <f t="shared" si="1"/>
        <v/>
      </c>
      <c r="P62" s="81"/>
      <c r="Q62" s="74"/>
      <c r="R62" s="74"/>
      <c r="S62" s="78" t="str">
        <f t="shared" si="2"/>
        <v/>
      </c>
      <c r="T62" s="24"/>
      <c r="U62" s="32"/>
      <c r="V62" s="40" t="str">
        <f t="shared" si="3"/>
        <v/>
      </c>
      <c r="W62" s="81"/>
      <c r="X62" s="74"/>
      <c r="Y62" s="74"/>
      <c r="Z62" s="79" t="str">
        <f t="shared" si="4"/>
        <v/>
      </c>
      <c r="AA62" s="24"/>
      <c r="AB62" s="32"/>
      <c r="AC62" s="31" t="str">
        <f t="shared" si="5"/>
        <v/>
      </c>
      <c r="AF62" s="109" t="str">
        <f>IF($M62="","",VLOOKUP($M62,'ORF Accuracy Value LookUp'!$D$4:$E$104,2,TRUE))</f>
        <v/>
      </c>
      <c r="AG62" s="47" t="str">
        <f>IF($S62="","",VLOOKUP($S62,'ORF Accuracy Value LookUp'!$G$4:$H$104,2,TRUE))</f>
        <v/>
      </c>
      <c r="AH62" s="110" t="str">
        <f>IF($Z62="","",VLOOKUP($Z62,'ORF Accuracy Value LookUp'!$G$4:$H$104,2,TRUE))</f>
        <v/>
      </c>
    </row>
    <row r="63" spans="1:34">
      <c r="A63" s="10"/>
      <c r="B63" s="12"/>
      <c r="C63" s="13"/>
      <c r="D63" s="14"/>
      <c r="E63" s="10"/>
      <c r="F63" s="11"/>
      <c r="G63" s="15"/>
      <c r="H63" s="80"/>
      <c r="I63" s="24"/>
      <c r="J63" s="24"/>
      <c r="K63" s="74"/>
      <c r="L63" s="74"/>
      <c r="M63" s="76" t="str">
        <f t="shared" si="0"/>
        <v/>
      </c>
      <c r="N63" s="24"/>
      <c r="O63" s="111" t="str">
        <f t="shared" si="1"/>
        <v/>
      </c>
      <c r="P63" s="81"/>
      <c r="Q63" s="74"/>
      <c r="R63" s="74"/>
      <c r="S63" s="78" t="str">
        <f t="shared" si="2"/>
        <v/>
      </c>
      <c r="T63" s="24"/>
      <c r="U63" s="32"/>
      <c r="V63" s="40" t="str">
        <f t="shared" si="3"/>
        <v/>
      </c>
      <c r="W63" s="81"/>
      <c r="X63" s="74"/>
      <c r="Y63" s="74"/>
      <c r="Z63" s="79" t="str">
        <f t="shared" si="4"/>
        <v/>
      </c>
      <c r="AA63" s="24"/>
      <c r="AB63" s="32"/>
      <c r="AC63" s="31" t="str">
        <f t="shared" si="5"/>
        <v/>
      </c>
      <c r="AF63" s="109" t="str">
        <f>IF($M63="","",VLOOKUP($M63,'ORF Accuracy Value LookUp'!$D$4:$E$104,2,TRUE))</f>
        <v/>
      </c>
      <c r="AG63" s="47" t="str">
        <f>IF($S63="","",VLOOKUP($S63,'ORF Accuracy Value LookUp'!$G$4:$H$104,2,TRUE))</f>
        <v/>
      </c>
      <c r="AH63" s="110" t="str">
        <f>IF($Z63="","",VLOOKUP($Z63,'ORF Accuracy Value LookUp'!$G$4:$H$104,2,TRUE))</f>
        <v/>
      </c>
    </row>
    <row r="64" spans="1:34">
      <c r="A64" s="10"/>
      <c r="B64" s="12"/>
      <c r="C64" s="13"/>
      <c r="D64" s="14"/>
      <c r="E64" s="10"/>
      <c r="F64" s="11"/>
      <c r="G64" s="15"/>
      <c r="H64" s="80"/>
      <c r="I64" s="24"/>
      <c r="J64" s="24"/>
      <c r="K64" s="74"/>
      <c r="L64" s="74"/>
      <c r="M64" s="76" t="str">
        <f t="shared" si="0"/>
        <v/>
      </c>
      <c r="N64" s="24"/>
      <c r="O64" s="111" t="str">
        <f t="shared" si="1"/>
        <v/>
      </c>
      <c r="P64" s="81"/>
      <c r="Q64" s="74"/>
      <c r="R64" s="74"/>
      <c r="S64" s="78" t="str">
        <f t="shared" si="2"/>
        <v/>
      </c>
      <c r="T64" s="24"/>
      <c r="U64" s="32"/>
      <c r="V64" s="40" t="str">
        <f t="shared" si="3"/>
        <v/>
      </c>
      <c r="W64" s="81"/>
      <c r="X64" s="74"/>
      <c r="Y64" s="74"/>
      <c r="Z64" s="79" t="str">
        <f t="shared" si="4"/>
        <v/>
      </c>
      <c r="AA64" s="24"/>
      <c r="AB64" s="32"/>
      <c r="AC64" s="31" t="str">
        <f t="shared" si="5"/>
        <v/>
      </c>
      <c r="AF64" s="109" t="str">
        <f>IF($M64="","",VLOOKUP($M64,'ORF Accuracy Value LookUp'!$D$4:$E$104,2,TRUE))</f>
        <v/>
      </c>
      <c r="AG64" s="47" t="str">
        <f>IF($S64="","",VLOOKUP($S64,'ORF Accuracy Value LookUp'!$G$4:$H$104,2,TRUE))</f>
        <v/>
      </c>
      <c r="AH64" s="110" t="str">
        <f>IF($Z64="","",VLOOKUP($Z64,'ORF Accuracy Value LookUp'!$G$4:$H$104,2,TRUE))</f>
        <v/>
      </c>
    </row>
    <row r="65" spans="1:34">
      <c r="A65" s="10"/>
      <c r="B65" s="12"/>
      <c r="C65" s="13"/>
      <c r="D65" s="14"/>
      <c r="E65" s="10"/>
      <c r="F65" s="11"/>
      <c r="G65" s="15"/>
      <c r="H65" s="80"/>
      <c r="I65" s="24"/>
      <c r="J65" s="24"/>
      <c r="K65" s="74"/>
      <c r="L65" s="74"/>
      <c r="M65" s="76" t="str">
        <f t="shared" si="0"/>
        <v/>
      </c>
      <c r="N65" s="24"/>
      <c r="O65" s="111" t="str">
        <f t="shared" si="1"/>
        <v/>
      </c>
      <c r="P65" s="81"/>
      <c r="Q65" s="74"/>
      <c r="R65" s="74"/>
      <c r="S65" s="78" t="str">
        <f t="shared" si="2"/>
        <v/>
      </c>
      <c r="T65" s="24"/>
      <c r="U65" s="32"/>
      <c r="V65" s="40" t="str">
        <f t="shared" si="3"/>
        <v/>
      </c>
      <c r="W65" s="81"/>
      <c r="X65" s="74"/>
      <c r="Y65" s="74"/>
      <c r="Z65" s="79" t="str">
        <f t="shared" si="4"/>
        <v/>
      </c>
      <c r="AA65" s="24"/>
      <c r="AB65" s="32"/>
      <c r="AC65" s="31" t="str">
        <f t="shared" si="5"/>
        <v/>
      </c>
      <c r="AF65" s="109" t="str">
        <f>IF($M65="","",VLOOKUP($M65,'ORF Accuracy Value LookUp'!$D$4:$E$104,2,TRUE))</f>
        <v/>
      </c>
      <c r="AG65" s="47" t="str">
        <f>IF($S65="","",VLOOKUP($S65,'ORF Accuracy Value LookUp'!$G$4:$H$104,2,TRUE))</f>
        <v/>
      </c>
      <c r="AH65" s="110" t="str">
        <f>IF($Z65="","",VLOOKUP($Z65,'ORF Accuracy Value LookUp'!$G$4:$H$104,2,TRUE))</f>
        <v/>
      </c>
    </row>
    <row r="66" spans="1:34">
      <c r="A66" s="10"/>
      <c r="B66" s="12"/>
      <c r="C66" s="13"/>
      <c r="D66" s="14"/>
      <c r="E66" s="10"/>
      <c r="F66" s="11"/>
      <c r="G66" s="15"/>
      <c r="H66" s="80"/>
      <c r="I66" s="24"/>
      <c r="J66" s="24"/>
      <c r="K66" s="74"/>
      <c r="L66" s="74"/>
      <c r="M66" s="76" t="str">
        <f t="shared" si="0"/>
        <v/>
      </c>
      <c r="N66" s="24"/>
      <c r="O66" s="111" t="str">
        <f t="shared" si="1"/>
        <v/>
      </c>
      <c r="P66" s="81"/>
      <c r="Q66" s="74"/>
      <c r="R66" s="74"/>
      <c r="S66" s="78" t="str">
        <f t="shared" si="2"/>
        <v/>
      </c>
      <c r="T66" s="24"/>
      <c r="U66" s="32"/>
      <c r="V66" s="40" t="str">
        <f t="shared" si="3"/>
        <v/>
      </c>
      <c r="W66" s="81"/>
      <c r="X66" s="74"/>
      <c r="Y66" s="74"/>
      <c r="Z66" s="79" t="str">
        <f t="shared" si="4"/>
        <v/>
      </c>
      <c r="AA66" s="24"/>
      <c r="AB66" s="32"/>
      <c r="AC66" s="31" t="str">
        <f t="shared" si="5"/>
        <v/>
      </c>
      <c r="AF66" s="109" t="str">
        <f>IF($M66="","",VLOOKUP($M66,'ORF Accuracy Value LookUp'!$D$4:$E$104,2,TRUE))</f>
        <v/>
      </c>
      <c r="AG66" s="47" t="str">
        <f>IF($S66="","",VLOOKUP($S66,'ORF Accuracy Value LookUp'!$G$4:$H$104,2,TRUE))</f>
        <v/>
      </c>
      <c r="AH66" s="110" t="str">
        <f>IF($Z66="","",VLOOKUP($Z66,'ORF Accuracy Value LookUp'!$G$4:$H$104,2,TRUE))</f>
        <v/>
      </c>
    </row>
    <row r="67" spans="1:34">
      <c r="A67" s="10"/>
      <c r="B67" s="12"/>
      <c r="C67" s="13"/>
      <c r="D67" s="14"/>
      <c r="E67" s="10"/>
      <c r="F67" s="11"/>
      <c r="G67" s="15"/>
      <c r="H67" s="80"/>
      <c r="I67" s="24"/>
      <c r="J67" s="24"/>
      <c r="K67" s="74"/>
      <c r="L67" s="74"/>
      <c r="M67" s="76" t="str">
        <f t="shared" si="0"/>
        <v/>
      </c>
      <c r="N67" s="24"/>
      <c r="O67" s="111" t="str">
        <f t="shared" si="1"/>
        <v/>
      </c>
      <c r="P67" s="81"/>
      <c r="Q67" s="74"/>
      <c r="R67" s="74"/>
      <c r="S67" s="78" t="str">
        <f t="shared" si="2"/>
        <v/>
      </c>
      <c r="T67" s="24"/>
      <c r="U67" s="32"/>
      <c r="V67" s="40" t="str">
        <f t="shared" si="3"/>
        <v/>
      </c>
      <c r="W67" s="81"/>
      <c r="X67" s="74"/>
      <c r="Y67" s="74"/>
      <c r="Z67" s="79" t="str">
        <f t="shared" si="4"/>
        <v/>
      </c>
      <c r="AA67" s="24"/>
      <c r="AB67" s="32"/>
      <c r="AC67" s="31" t="str">
        <f t="shared" si="5"/>
        <v/>
      </c>
      <c r="AF67" s="109" t="str">
        <f>IF($M67="","",VLOOKUP($M67,'ORF Accuracy Value LookUp'!$D$4:$E$104,2,TRUE))</f>
        <v/>
      </c>
      <c r="AG67" s="47" t="str">
        <f>IF($S67="","",VLOOKUP($S67,'ORF Accuracy Value LookUp'!$G$4:$H$104,2,TRUE))</f>
        <v/>
      </c>
      <c r="AH67" s="110" t="str">
        <f>IF($Z67="","",VLOOKUP($Z67,'ORF Accuracy Value LookUp'!$G$4:$H$104,2,TRUE))</f>
        <v/>
      </c>
    </row>
    <row r="68" spans="1:34">
      <c r="A68" s="10"/>
      <c r="B68" s="12"/>
      <c r="C68" s="13"/>
      <c r="D68" s="14"/>
      <c r="E68" s="10"/>
      <c r="F68" s="11"/>
      <c r="G68" s="15"/>
      <c r="H68" s="80"/>
      <c r="I68" s="24"/>
      <c r="J68" s="24"/>
      <c r="K68" s="74"/>
      <c r="L68" s="74"/>
      <c r="M68" s="76" t="str">
        <f t="shared" si="0"/>
        <v/>
      </c>
      <c r="N68" s="24"/>
      <c r="O68" s="111" t="str">
        <f t="shared" si="1"/>
        <v/>
      </c>
      <c r="P68" s="81"/>
      <c r="Q68" s="74"/>
      <c r="R68" s="74"/>
      <c r="S68" s="78" t="str">
        <f t="shared" si="2"/>
        <v/>
      </c>
      <c r="T68" s="24"/>
      <c r="U68" s="32"/>
      <c r="V68" s="40" t="str">
        <f t="shared" si="3"/>
        <v/>
      </c>
      <c r="W68" s="81"/>
      <c r="X68" s="74"/>
      <c r="Y68" s="74"/>
      <c r="Z68" s="79" t="str">
        <f t="shared" si="4"/>
        <v/>
      </c>
      <c r="AA68" s="24"/>
      <c r="AB68" s="32"/>
      <c r="AC68" s="31" t="str">
        <f t="shared" si="5"/>
        <v/>
      </c>
      <c r="AF68" s="109" t="str">
        <f>IF($M68="","",VLOOKUP($M68,'ORF Accuracy Value LookUp'!$D$4:$E$104,2,TRUE))</f>
        <v/>
      </c>
      <c r="AG68" s="47" t="str">
        <f>IF($S68="","",VLOOKUP($S68,'ORF Accuracy Value LookUp'!$G$4:$H$104,2,TRUE))</f>
        <v/>
      </c>
      <c r="AH68" s="110" t="str">
        <f>IF($Z68="","",VLOOKUP($Z68,'ORF Accuracy Value LookUp'!$G$4:$H$104,2,TRUE))</f>
        <v/>
      </c>
    </row>
    <row r="69" spans="1:34">
      <c r="A69" s="10"/>
      <c r="B69" s="12"/>
      <c r="C69" s="13"/>
      <c r="D69" s="14"/>
      <c r="E69" s="10"/>
      <c r="F69" s="11"/>
      <c r="G69" s="15"/>
      <c r="H69" s="80"/>
      <c r="I69" s="24"/>
      <c r="J69" s="24"/>
      <c r="K69" s="74"/>
      <c r="L69" s="74"/>
      <c r="M69" s="76" t="str">
        <f t="shared" si="0"/>
        <v/>
      </c>
      <c r="N69" s="24"/>
      <c r="O69" s="111" t="str">
        <f t="shared" si="1"/>
        <v/>
      </c>
      <c r="P69" s="81"/>
      <c r="Q69" s="74"/>
      <c r="R69" s="74"/>
      <c r="S69" s="78" t="str">
        <f t="shared" si="2"/>
        <v/>
      </c>
      <c r="T69" s="24"/>
      <c r="U69" s="32"/>
      <c r="V69" s="40" t="str">
        <f t="shared" si="3"/>
        <v/>
      </c>
      <c r="W69" s="81"/>
      <c r="X69" s="74"/>
      <c r="Y69" s="74"/>
      <c r="Z69" s="79" t="str">
        <f t="shared" si="4"/>
        <v/>
      </c>
      <c r="AA69" s="24"/>
      <c r="AB69" s="32"/>
      <c r="AC69" s="31" t="str">
        <f t="shared" si="5"/>
        <v/>
      </c>
      <c r="AF69" s="109" t="str">
        <f>IF($M69="","",VLOOKUP($M69,'ORF Accuracy Value LookUp'!$D$4:$E$104,2,TRUE))</f>
        <v/>
      </c>
      <c r="AG69" s="47" t="str">
        <f>IF($S69="","",VLOOKUP($S69,'ORF Accuracy Value LookUp'!$G$4:$H$104,2,TRUE))</f>
        <v/>
      </c>
      <c r="AH69" s="110" t="str">
        <f>IF($Z69="","",VLOOKUP($Z69,'ORF Accuracy Value LookUp'!$G$4:$H$104,2,TRUE))</f>
        <v/>
      </c>
    </row>
    <row r="70" spans="1:34">
      <c r="A70" s="10"/>
      <c r="B70" s="12"/>
      <c r="C70" s="13"/>
      <c r="D70" s="14"/>
      <c r="E70" s="10"/>
      <c r="F70" s="11"/>
      <c r="G70" s="15"/>
      <c r="H70" s="80"/>
      <c r="I70" s="24"/>
      <c r="J70" s="24"/>
      <c r="K70" s="74"/>
      <c r="L70" s="74"/>
      <c r="M70" s="76" t="str">
        <f t="shared" si="0"/>
        <v/>
      </c>
      <c r="N70" s="24"/>
      <c r="O70" s="111" t="str">
        <f t="shared" ref="O70:O133" si="6">IF($B70="","",SUM(($J70*2)+$K70+$AF70))</f>
        <v/>
      </c>
      <c r="P70" s="81"/>
      <c r="Q70" s="74"/>
      <c r="R70" s="74"/>
      <c r="S70" s="78" t="str">
        <f t="shared" si="2"/>
        <v/>
      </c>
      <c r="T70" s="24"/>
      <c r="U70" s="32"/>
      <c r="V70" s="40" t="str">
        <f t="shared" si="3"/>
        <v/>
      </c>
      <c r="W70" s="81"/>
      <c r="X70" s="74"/>
      <c r="Y70" s="74"/>
      <c r="Z70" s="79" t="str">
        <f t="shared" si="4"/>
        <v/>
      </c>
      <c r="AA70" s="24"/>
      <c r="AB70" s="32"/>
      <c r="AC70" s="31" t="str">
        <f t="shared" si="5"/>
        <v/>
      </c>
      <c r="AF70" s="109" t="str">
        <f>IF($M70="","",VLOOKUP($M70,'ORF Accuracy Value LookUp'!$D$4:$E$104,2,TRUE))</f>
        <v/>
      </c>
      <c r="AG70" s="47" t="str">
        <f>IF($S70="","",VLOOKUP($S70,'ORF Accuracy Value LookUp'!$G$4:$H$104,2,TRUE))</f>
        <v/>
      </c>
      <c r="AH70" s="110" t="str">
        <f>IF($Z70="","",VLOOKUP($Z70,'ORF Accuracy Value LookUp'!$G$4:$H$104,2,TRUE))</f>
        <v/>
      </c>
    </row>
    <row r="71" spans="1:34">
      <c r="A71" s="10"/>
      <c r="B71" s="12"/>
      <c r="C71" s="13"/>
      <c r="D71" s="14"/>
      <c r="E71" s="10"/>
      <c r="F71" s="11"/>
      <c r="G71" s="15"/>
      <c r="H71" s="80"/>
      <c r="I71" s="24"/>
      <c r="J71" s="24"/>
      <c r="K71" s="74"/>
      <c r="L71" s="74"/>
      <c r="M71" s="76" t="str">
        <f t="shared" ref="M71:M134" si="7">IF($K71="","",SUM($K71/($K71+$L71)))</f>
        <v/>
      </c>
      <c r="N71" s="24"/>
      <c r="O71" s="111" t="str">
        <f t="shared" si="6"/>
        <v/>
      </c>
      <c r="P71" s="81"/>
      <c r="Q71" s="74"/>
      <c r="R71" s="74"/>
      <c r="S71" s="78" t="str">
        <f t="shared" ref="S71:S134" si="8">IF($Q71="","",SUM($Q71/($Q71+$R71)))</f>
        <v/>
      </c>
      <c r="T71" s="24"/>
      <c r="U71" s="32"/>
      <c r="V71" s="40" t="str">
        <f t="shared" si="3"/>
        <v/>
      </c>
      <c r="W71" s="81"/>
      <c r="X71" s="74"/>
      <c r="Y71" s="74"/>
      <c r="Z71" s="79" t="str">
        <f t="shared" ref="Z71:Z134" si="9">IF($X71="","",SUM($X71/($X71+$Y71)))</f>
        <v/>
      </c>
      <c r="AA71" s="24"/>
      <c r="AB71" s="32"/>
      <c r="AC71" s="31" t="str">
        <f t="shared" si="5"/>
        <v/>
      </c>
      <c r="AF71" s="109" t="str">
        <f>IF($M71="","",VLOOKUP($M71,'ORF Accuracy Value LookUp'!$D$4:$E$104,2,TRUE))</f>
        <v/>
      </c>
      <c r="AG71" s="47" t="str">
        <f>IF($S71="","",VLOOKUP($S71,'ORF Accuracy Value LookUp'!$G$4:$H$104,2,TRUE))</f>
        <v/>
      </c>
      <c r="AH71" s="110" t="str">
        <f>IF($Z71="","",VLOOKUP($Z71,'ORF Accuracy Value LookUp'!$G$4:$H$104,2,TRUE))</f>
        <v/>
      </c>
    </row>
    <row r="72" spans="1:34">
      <c r="A72" s="10"/>
      <c r="B72" s="12"/>
      <c r="C72" s="13"/>
      <c r="D72" s="14"/>
      <c r="E72" s="10"/>
      <c r="F72" s="11"/>
      <c r="G72" s="15"/>
      <c r="H72" s="80"/>
      <c r="I72" s="24"/>
      <c r="J72" s="24"/>
      <c r="K72" s="74"/>
      <c r="L72" s="74"/>
      <c r="M72" s="76" t="str">
        <f t="shared" si="7"/>
        <v/>
      </c>
      <c r="N72" s="24"/>
      <c r="O72" s="111" t="str">
        <f t="shared" si="6"/>
        <v/>
      </c>
      <c r="P72" s="81"/>
      <c r="Q72" s="74"/>
      <c r="R72" s="74"/>
      <c r="S72" s="78" t="str">
        <f t="shared" si="8"/>
        <v/>
      </c>
      <c r="T72" s="24"/>
      <c r="U72" s="32"/>
      <c r="V72" s="40" t="str">
        <f t="shared" ref="V72:V135" si="10">IF($P72="","",SUM($Q72+$AG72+($T72*2)))</f>
        <v/>
      </c>
      <c r="W72" s="81"/>
      <c r="X72" s="74"/>
      <c r="Y72" s="74"/>
      <c r="Z72" s="79" t="str">
        <f t="shared" si="9"/>
        <v/>
      </c>
      <c r="AA72" s="24"/>
      <c r="AB72" s="32"/>
      <c r="AC72" s="31" t="str">
        <f t="shared" ref="AC72:AC135" si="11">IF($W72="","",SUM($X72+$AH72+($AA72*2)))</f>
        <v/>
      </c>
      <c r="AF72" s="109" t="str">
        <f>IF($M72="","",VLOOKUP($M72,'ORF Accuracy Value LookUp'!$D$4:$E$104,2,TRUE))</f>
        <v/>
      </c>
      <c r="AG72" s="47" t="str">
        <f>IF($S72="","",VLOOKUP($S72,'ORF Accuracy Value LookUp'!$G$4:$H$104,2,TRUE))</f>
        <v/>
      </c>
      <c r="AH72" s="110" t="str">
        <f>IF($Z72="","",VLOOKUP($Z72,'ORF Accuracy Value LookUp'!$G$4:$H$104,2,TRUE))</f>
        <v/>
      </c>
    </row>
    <row r="73" spans="1:34">
      <c r="A73" s="10"/>
      <c r="B73" s="12"/>
      <c r="C73" s="13"/>
      <c r="D73" s="14"/>
      <c r="E73" s="10"/>
      <c r="F73" s="11"/>
      <c r="G73" s="15"/>
      <c r="H73" s="80"/>
      <c r="I73" s="24"/>
      <c r="J73" s="24"/>
      <c r="K73" s="74"/>
      <c r="L73" s="74"/>
      <c r="M73" s="76" t="str">
        <f t="shared" si="7"/>
        <v/>
      </c>
      <c r="N73" s="24"/>
      <c r="O73" s="111" t="str">
        <f t="shared" si="6"/>
        <v/>
      </c>
      <c r="P73" s="81"/>
      <c r="Q73" s="74"/>
      <c r="R73" s="74"/>
      <c r="S73" s="78" t="str">
        <f t="shared" si="8"/>
        <v/>
      </c>
      <c r="T73" s="24"/>
      <c r="U73" s="32"/>
      <c r="V73" s="40" t="str">
        <f t="shared" si="10"/>
        <v/>
      </c>
      <c r="W73" s="81"/>
      <c r="X73" s="74"/>
      <c r="Y73" s="74"/>
      <c r="Z73" s="79" t="str">
        <f t="shared" si="9"/>
        <v/>
      </c>
      <c r="AA73" s="24"/>
      <c r="AB73" s="32"/>
      <c r="AC73" s="31" t="str">
        <f t="shared" si="11"/>
        <v/>
      </c>
      <c r="AF73" s="109" t="str">
        <f>IF($M73="","",VLOOKUP($M73,'ORF Accuracy Value LookUp'!$D$4:$E$104,2,TRUE))</f>
        <v/>
      </c>
      <c r="AG73" s="47" t="str">
        <f>IF($S73="","",VLOOKUP($S73,'ORF Accuracy Value LookUp'!$G$4:$H$104,2,TRUE))</f>
        <v/>
      </c>
      <c r="AH73" s="110" t="str">
        <f>IF($Z73="","",VLOOKUP($Z73,'ORF Accuracy Value LookUp'!$G$4:$H$104,2,TRUE))</f>
        <v/>
      </c>
    </row>
    <row r="74" spans="1:34">
      <c r="A74" s="10"/>
      <c r="B74" s="12"/>
      <c r="C74" s="13"/>
      <c r="D74" s="14"/>
      <c r="E74" s="10"/>
      <c r="F74" s="11"/>
      <c r="G74" s="15"/>
      <c r="H74" s="80"/>
      <c r="I74" s="24"/>
      <c r="J74" s="24"/>
      <c r="K74" s="74"/>
      <c r="L74" s="74"/>
      <c r="M74" s="76" t="str">
        <f t="shared" si="7"/>
        <v/>
      </c>
      <c r="N74" s="24"/>
      <c r="O74" s="111" t="str">
        <f t="shared" si="6"/>
        <v/>
      </c>
      <c r="P74" s="81"/>
      <c r="Q74" s="74"/>
      <c r="R74" s="74"/>
      <c r="S74" s="78" t="str">
        <f t="shared" si="8"/>
        <v/>
      </c>
      <c r="T74" s="24"/>
      <c r="U74" s="32"/>
      <c r="V74" s="40" t="str">
        <f t="shared" si="10"/>
        <v/>
      </c>
      <c r="W74" s="81"/>
      <c r="X74" s="74"/>
      <c r="Y74" s="74"/>
      <c r="Z74" s="79" t="str">
        <f t="shared" si="9"/>
        <v/>
      </c>
      <c r="AA74" s="24"/>
      <c r="AB74" s="32"/>
      <c r="AC74" s="31" t="str">
        <f t="shared" si="11"/>
        <v/>
      </c>
      <c r="AF74" s="109" t="str">
        <f>IF($M74="","",VLOOKUP($M74,'ORF Accuracy Value LookUp'!$D$4:$E$104,2,TRUE))</f>
        <v/>
      </c>
      <c r="AG74" s="47" t="str">
        <f>IF($S74="","",VLOOKUP($S74,'ORF Accuracy Value LookUp'!$G$4:$H$104,2,TRUE))</f>
        <v/>
      </c>
      <c r="AH74" s="110" t="str">
        <f>IF($Z74="","",VLOOKUP($Z74,'ORF Accuracy Value LookUp'!$G$4:$H$104,2,TRUE))</f>
        <v/>
      </c>
    </row>
    <row r="75" spans="1:34">
      <c r="A75" s="10"/>
      <c r="B75" s="12"/>
      <c r="C75" s="13"/>
      <c r="D75" s="14"/>
      <c r="E75" s="10"/>
      <c r="F75" s="11"/>
      <c r="G75" s="15"/>
      <c r="H75" s="80"/>
      <c r="I75" s="24"/>
      <c r="J75" s="24"/>
      <c r="K75" s="74"/>
      <c r="L75" s="74"/>
      <c r="M75" s="76" t="str">
        <f t="shared" si="7"/>
        <v/>
      </c>
      <c r="N75" s="24"/>
      <c r="O75" s="111" t="str">
        <f t="shared" si="6"/>
        <v/>
      </c>
      <c r="P75" s="81"/>
      <c r="Q75" s="74"/>
      <c r="R75" s="74"/>
      <c r="S75" s="78" t="str">
        <f t="shared" si="8"/>
        <v/>
      </c>
      <c r="T75" s="24"/>
      <c r="U75" s="32"/>
      <c r="V75" s="40" t="str">
        <f t="shared" si="10"/>
        <v/>
      </c>
      <c r="W75" s="81"/>
      <c r="X75" s="74"/>
      <c r="Y75" s="74"/>
      <c r="Z75" s="79" t="str">
        <f t="shared" si="9"/>
        <v/>
      </c>
      <c r="AA75" s="24"/>
      <c r="AB75" s="32"/>
      <c r="AC75" s="31" t="str">
        <f t="shared" si="11"/>
        <v/>
      </c>
      <c r="AF75" s="109" t="str">
        <f>IF($M75="","",VLOOKUP($M75,'ORF Accuracy Value LookUp'!$D$4:$E$104,2,TRUE))</f>
        <v/>
      </c>
      <c r="AG75" s="47" t="str">
        <f>IF($S75="","",VLOOKUP($S75,'ORF Accuracy Value LookUp'!$G$4:$H$104,2,TRUE))</f>
        <v/>
      </c>
      <c r="AH75" s="110" t="str">
        <f>IF($Z75="","",VLOOKUP($Z75,'ORF Accuracy Value LookUp'!$G$4:$H$104,2,TRUE))</f>
        <v/>
      </c>
    </row>
    <row r="76" spans="1:34">
      <c r="A76" s="10"/>
      <c r="B76" s="12"/>
      <c r="C76" s="13"/>
      <c r="D76" s="14"/>
      <c r="E76" s="10"/>
      <c r="F76" s="11"/>
      <c r="G76" s="15"/>
      <c r="H76" s="80"/>
      <c r="I76" s="24"/>
      <c r="J76" s="24"/>
      <c r="K76" s="74"/>
      <c r="L76" s="74"/>
      <c r="M76" s="76" t="str">
        <f t="shared" si="7"/>
        <v/>
      </c>
      <c r="N76" s="24"/>
      <c r="O76" s="111" t="str">
        <f t="shared" si="6"/>
        <v/>
      </c>
      <c r="P76" s="81"/>
      <c r="Q76" s="74"/>
      <c r="R76" s="74"/>
      <c r="S76" s="78" t="str">
        <f t="shared" si="8"/>
        <v/>
      </c>
      <c r="T76" s="24"/>
      <c r="U76" s="32"/>
      <c r="V76" s="40" t="str">
        <f t="shared" si="10"/>
        <v/>
      </c>
      <c r="W76" s="81"/>
      <c r="X76" s="74"/>
      <c r="Y76" s="74"/>
      <c r="Z76" s="79" t="str">
        <f t="shared" si="9"/>
        <v/>
      </c>
      <c r="AA76" s="24"/>
      <c r="AB76" s="32"/>
      <c r="AC76" s="31" t="str">
        <f t="shared" si="11"/>
        <v/>
      </c>
      <c r="AF76" s="109" t="str">
        <f>IF($M76="","",VLOOKUP($M76,'ORF Accuracy Value LookUp'!$D$4:$E$104,2,TRUE))</f>
        <v/>
      </c>
      <c r="AG76" s="47" t="str">
        <f>IF($S76="","",VLOOKUP($S76,'ORF Accuracy Value LookUp'!$G$4:$H$104,2,TRUE))</f>
        <v/>
      </c>
      <c r="AH76" s="110" t="str">
        <f>IF($Z76="","",VLOOKUP($Z76,'ORF Accuracy Value LookUp'!$G$4:$H$104,2,TRUE))</f>
        <v/>
      </c>
    </row>
    <row r="77" spans="1:34">
      <c r="A77" s="10"/>
      <c r="B77" s="12"/>
      <c r="C77" s="13"/>
      <c r="D77" s="14"/>
      <c r="E77" s="10"/>
      <c r="F77" s="11"/>
      <c r="G77" s="15"/>
      <c r="H77" s="80"/>
      <c r="I77" s="24"/>
      <c r="J77" s="24"/>
      <c r="K77" s="74"/>
      <c r="L77" s="74"/>
      <c r="M77" s="76" t="str">
        <f t="shared" si="7"/>
        <v/>
      </c>
      <c r="N77" s="24"/>
      <c r="O77" s="111" t="str">
        <f t="shared" si="6"/>
        <v/>
      </c>
      <c r="P77" s="81"/>
      <c r="Q77" s="74"/>
      <c r="R77" s="74"/>
      <c r="S77" s="78" t="str">
        <f t="shared" si="8"/>
        <v/>
      </c>
      <c r="T77" s="24"/>
      <c r="U77" s="32"/>
      <c r="V77" s="40" t="str">
        <f t="shared" si="10"/>
        <v/>
      </c>
      <c r="W77" s="81"/>
      <c r="X77" s="74"/>
      <c r="Y77" s="74"/>
      <c r="Z77" s="79" t="str">
        <f t="shared" si="9"/>
        <v/>
      </c>
      <c r="AA77" s="24"/>
      <c r="AB77" s="32"/>
      <c r="AC77" s="31" t="str">
        <f t="shared" si="11"/>
        <v/>
      </c>
      <c r="AF77" s="109" t="str">
        <f>IF($M77="","",VLOOKUP($M77,'ORF Accuracy Value LookUp'!$D$4:$E$104,2,TRUE))</f>
        <v/>
      </c>
      <c r="AG77" s="47" t="str">
        <f>IF($S77="","",VLOOKUP($S77,'ORF Accuracy Value LookUp'!$G$4:$H$104,2,TRUE))</f>
        <v/>
      </c>
      <c r="AH77" s="110" t="str">
        <f>IF($Z77="","",VLOOKUP($Z77,'ORF Accuracy Value LookUp'!$G$4:$H$104,2,TRUE))</f>
        <v/>
      </c>
    </row>
    <row r="78" spans="1:34">
      <c r="A78" s="10"/>
      <c r="B78" s="12"/>
      <c r="C78" s="13"/>
      <c r="D78" s="14"/>
      <c r="E78" s="10"/>
      <c r="F78" s="11"/>
      <c r="G78" s="15"/>
      <c r="H78" s="80"/>
      <c r="I78" s="24"/>
      <c r="J78" s="24"/>
      <c r="K78" s="74"/>
      <c r="L78" s="74"/>
      <c r="M78" s="76" t="str">
        <f t="shared" si="7"/>
        <v/>
      </c>
      <c r="N78" s="24"/>
      <c r="O78" s="111" t="str">
        <f t="shared" si="6"/>
        <v/>
      </c>
      <c r="P78" s="81"/>
      <c r="Q78" s="74"/>
      <c r="R78" s="74"/>
      <c r="S78" s="78" t="str">
        <f t="shared" si="8"/>
        <v/>
      </c>
      <c r="T78" s="24"/>
      <c r="U78" s="32"/>
      <c r="V78" s="40" t="str">
        <f t="shared" si="10"/>
        <v/>
      </c>
      <c r="W78" s="81"/>
      <c r="X78" s="74"/>
      <c r="Y78" s="74"/>
      <c r="Z78" s="79" t="str">
        <f t="shared" si="9"/>
        <v/>
      </c>
      <c r="AA78" s="24"/>
      <c r="AB78" s="32"/>
      <c r="AC78" s="31" t="str">
        <f t="shared" si="11"/>
        <v/>
      </c>
      <c r="AF78" s="109" t="str">
        <f>IF($M78="","",VLOOKUP($M78,'ORF Accuracy Value LookUp'!$D$4:$E$104,2,TRUE))</f>
        <v/>
      </c>
      <c r="AG78" s="47" t="str">
        <f>IF($S78="","",VLOOKUP($S78,'ORF Accuracy Value LookUp'!$G$4:$H$104,2,TRUE))</f>
        <v/>
      </c>
      <c r="AH78" s="110" t="str">
        <f>IF($Z78="","",VLOOKUP($Z78,'ORF Accuracy Value LookUp'!$G$4:$H$104,2,TRUE))</f>
        <v/>
      </c>
    </row>
    <row r="79" spans="1:34">
      <c r="A79" s="10"/>
      <c r="B79" s="12"/>
      <c r="C79" s="13"/>
      <c r="D79" s="14"/>
      <c r="E79" s="10"/>
      <c r="F79" s="11"/>
      <c r="G79" s="15"/>
      <c r="H79" s="80"/>
      <c r="I79" s="24"/>
      <c r="J79" s="24"/>
      <c r="K79" s="74"/>
      <c r="L79" s="74"/>
      <c r="M79" s="76" t="str">
        <f t="shared" si="7"/>
        <v/>
      </c>
      <c r="N79" s="24"/>
      <c r="O79" s="111" t="str">
        <f t="shared" si="6"/>
        <v/>
      </c>
      <c r="P79" s="81"/>
      <c r="Q79" s="74"/>
      <c r="R79" s="74"/>
      <c r="S79" s="78" t="str">
        <f t="shared" si="8"/>
        <v/>
      </c>
      <c r="T79" s="24"/>
      <c r="U79" s="32"/>
      <c r="V79" s="40" t="str">
        <f t="shared" si="10"/>
        <v/>
      </c>
      <c r="W79" s="81"/>
      <c r="X79" s="74"/>
      <c r="Y79" s="74"/>
      <c r="Z79" s="79" t="str">
        <f t="shared" si="9"/>
        <v/>
      </c>
      <c r="AA79" s="24"/>
      <c r="AB79" s="32"/>
      <c r="AC79" s="31" t="str">
        <f t="shared" si="11"/>
        <v/>
      </c>
      <c r="AF79" s="109" t="str">
        <f>IF($M79="","",VLOOKUP($M79,'ORF Accuracy Value LookUp'!$D$4:$E$104,2,TRUE))</f>
        <v/>
      </c>
      <c r="AG79" s="47" t="str">
        <f>IF($S79="","",VLOOKUP($S79,'ORF Accuracy Value LookUp'!$G$4:$H$104,2,TRUE))</f>
        <v/>
      </c>
      <c r="AH79" s="110" t="str">
        <f>IF($Z79="","",VLOOKUP($Z79,'ORF Accuracy Value LookUp'!$G$4:$H$104,2,TRUE))</f>
        <v/>
      </c>
    </row>
    <row r="80" spans="1:34">
      <c r="A80" s="10"/>
      <c r="B80" s="12"/>
      <c r="C80" s="13"/>
      <c r="D80" s="14"/>
      <c r="E80" s="10"/>
      <c r="F80" s="11"/>
      <c r="G80" s="15"/>
      <c r="H80" s="80"/>
      <c r="I80" s="24"/>
      <c r="J80" s="24"/>
      <c r="K80" s="74"/>
      <c r="L80" s="74"/>
      <c r="M80" s="76" t="str">
        <f t="shared" si="7"/>
        <v/>
      </c>
      <c r="N80" s="24"/>
      <c r="O80" s="111" t="str">
        <f t="shared" si="6"/>
        <v/>
      </c>
      <c r="P80" s="81"/>
      <c r="Q80" s="74"/>
      <c r="R80" s="74"/>
      <c r="S80" s="78" t="str">
        <f t="shared" si="8"/>
        <v/>
      </c>
      <c r="T80" s="24"/>
      <c r="U80" s="32"/>
      <c r="V80" s="40" t="str">
        <f t="shared" si="10"/>
        <v/>
      </c>
      <c r="W80" s="81"/>
      <c r="X80" s="74"/>
      <c r="Y80" s="74"/>
      <c r="Z80" s="79" t="str">
        <f t="shared" si="9"/>
        <v/>
      </c>
      <c r="AA80" s="24"/>
      <c r="AB80" s="32"/>
      <c r="AC80" s="31" t="str">
        <f t="shared" si="11"/>
        <v/>
      </c>
      <c r="AF80" s="109" t="str">
        <f>IF($M80="","",VLOOKUP($M80,'ORF Accuracy Value LookUp'!$D$4:$E$104,2,TRUE))</f>
        <v/>
      </c>
      <c r="AG80" s="47" t="str">
        <f>IF($S80="","",VLOOKUP($S80,'ORF Accuracy Value LookUp'!$G$4:$H$104,2,TRUE))</f>
        <v/>
      </c>
      <c r="AH80" s="110" t="str">
        <f>IF($Z80="","",VLOOKUP($Z80,'ORF Accuracy Value LookUp'!$G$4:$H$104,2,TRUE))</f>
        <v/>
      </c>
    </row>
    <row r="81" spans="1:34">
      <c r="A81" s="10"/>
      <c r="B81" s="12"/>
      <c r="C81" s="13"/>
      <c r="D81" s="14"/>
      <c r="E81" s="10"/>
      <c r="F81" s="11"/>
      <c r="G81" s="15"/>
      <c r="H81" s="80"/>
      <c r="I81" s="24"/>
      <c r="J81" s="24"/>
      <c r="K81" s="74"/>
      <c r="L81" s="74"/>
      <c r="M81" s="76" t="str">
        <f t="shared" si="7"/>
        <v/>
      </c>
      <c r="N81" s="24"/>
      <c r="O81" s="111" t="str">
        <f t="shared" si="6"/>
        <v/>
      </c>
      <c r="P81" s="81"/>
      <c r="Q81" s="74"/>
      <c r="R81" s="74"/>
      <c r="S81" s="78" t="str">
        <f t="shared" si="8"/>
        <v/>
      </c>
      <c r="T81" s="24"/>
      <c r="U81" s="32"/>
      <c r="V81" s="40" t="str">
        <f t="shared" si="10"/>
        <v/>
      </c>
      <c r="W81" s="81"/>
      <c r="X81" s="74"/>
      <c r="Y81" s="74"/>
      <c r="Z81" s="79" t="str">
        <f t="shared" si="9"/>
        <v/>
      </c>
      <c r="AA81" s="24"/>
      <c r="AB81" s="32"/>
      <c r="AC81" s="31" t="str">
        <f t="shared" si="11"/>
        <v/>
      </c>
      <c r="AF81" s="109" t="str">
        <f>IF($M81="","",VLOOKUP($M81,'ORF Accuracy Value LookUp'!$D$4:$E$104,2,TRUE))</f>
        <v/>
      </c>
      <c r="AG81" s="47" t="str">
        <f>IF($S81="","",VLOOKUP($S81,'ORF Accuracy Value LookUp'!$G$4:$H$104,2,TRUE))</f>
        <v/>
      </c>
      <c r="AH81" s="110" t="str">
        <f>IF($Z81="","",VLOOKUP($Z81,'ORF Accuracy Value LookUp'!$G$4:$H$104,2,TRUE))</f>
        <v/>
      </c>
    </row>
    <row r="82" spans="1:34">
      <c r="A82" s="10"/>
      <c r="B82" s="12"/>
      <c r="C82" s="13"/>
      <c r="D82" s="14"/>
      <c r="E82" s="10"/>
      <c r="F82" s="11"/>
      <c r="G82" s="15"/>
      <c r="H82" s="80"/>
      <c r="I82" s="24"/>
      <c r="J82" s="24"/>
      <c r="K82" s="74"/>
      <c r="L82" s="74"/>
      <c r="M82" s="76" t="str">
        <f t="shared" si="7"/>
        <v/>
      </c>
      <c r="N82" s="24"/>
      <c r="O82" s="111" t="str">
        <f t="shared" si="6"/>
        <v/>
      </c>
      <c r="P82" s="81"/>
      <c r="Q82" s="74"/>
      <c r="R82" s="74"/>
      <c r="S82" s="78" t="str">
        <f t="shared" si="8"/>
        <v/>
      </c>
      <c r="T82" s="24"/>
      <c r="U82" s="32"/>
      <c r="V82" s="40" t="str">
        <f t="shared" si="10"/>
        <v/>
      </c>
      <c r="W82" s="81"/>
      <c r="X82" s="74"/>
      <c r="Y82" s="74"/>
      <c r="Z82" s="79" t="str">
        <f t="shared" si="9"/>
        <v/>
      </c>
      <c r="AA82" s="24"/>
      <c r="AB82" s="32"/>
      <c r="AC82" s="31" t="str">
        <f t="shared" si="11"/>
        <v/>
      </c>
      <c r="AF82" s="109" t="str">
        <f>IF($M82="","",VLOOKUP($M82,'ORF Accuracy Value LookUp'!$D$4:$E$104,2,TRUE))</f>
        <v/>
      </c>
      <c r="AG82" s="47" t="str">
        <f>IF($S82="","",VLOOKUP($S82,'ORF Accuracy Value LookUp'!$G$4:$H$104,2,TRUE))</f>
        <v/>
      </c>
      <c r="AH82" s="110" t="str">
        <f>IF($Z82="","",VLOOKUP($Z82,'ORF Accuracy Value LookUp'!$G$4:$H$104,2,TRUE))</f>
        <v/>
      </c>
    </row>
    <row r="83" spans="1:34">
      <c r="A83" s="10"/>
      <c r="B83" s="12"/>
      <c r="C83" s="13"/>
      <c r="D83" s="14"/>
      <c r="E83" s="10"/>
      <c r="F83" s="11"/>
      <c r="G83" s="15"/>
      <c r="H83" s="80"/>
      <c r="I83" s="24"/>
      <c r="J83" s="24"/>
      <c r="K83" s="74"/>
      <c r="L83" s="74"/>
      <c r="M83" s="76" t="str">
        <f t="shared" si="7"/>
        <v/>
      </c>
      <c r="N83" s="24"/>
      <c r="O83" s="111" t="str">
        <f t="shared" si="6"/>
        <v/>
      </c>
      <c r="P83" s="81"/>
      <c r="Q83" s="74"/>
      <c r="R83" s="74"/>
      <c r="S83" s="78" t="str">
        <f t="shared" si="8"/>
        <v/>
      </c>
      <c r="T83" s="24"/>
      <c r="U83" s="32"/>
      <c r="V83" s="40" t="str">
        <f t="shared" si="10"/>
        <v/>
      </c>
      <c r="W83" s="81"/>
      <c r="X83" s="74"/>
      <c r="Y83" s="74"/>
      <c r="Z83" s="79" t="str">
        <f t="shared" si="9"/>
        <v/>
      </c>
      <c r="AA83" s="24"/>
      <c r="AB83" s="32"/>
      <c r="AC83" s="31" t="str">
        <f t="shared" si="11"/>
        <v/>
      </c>
      <c r="AF83" s="109" t="str">
        <f>IF($M83="","",VLOOKUP($M83,'ORF Accuracy Value LookUp'!$D$4:$E$104,2,TRUE))</f>
        <v/>
      </c>
      <c r="AG83" s="47" t="str">
        <f>IF($S83="","",VLOOKUP($S83,'ORF Accuracy Value LookUp'!$G$4:$H$104,2,TRUE))</f>
        <v/>
      </c>
      <c r="AH83" s="110" t="str">
        <f>IF($Z83="","",VLOOKUP($Z83,'ORF Accuracy Value LookUp'!$G$4:$H$104,2,TRUE))</f>
        <v/>
      </c>
    </row>
    <row r="84" spans="1:34">
      <c r="A84" s="10"/>
      <c r="B84" s="12"/>
      <c r="C84" s="13"/>
      <c r="D84" s="14"/>
      <c r="E84" s="10"/>
      <c r="F84" s="11"/>
      <c r="G84" s="15"/>
      <c r="H84" s="80"/>
      <c r="I84" s="24"/>
      <c r="J84" s="24"/>
      <c r="K84" s="74"/>
      <c r="L84" s="74"/>
      <c r="M84" s="76" t="str">
        <f t="shared" si="7"/>
        <v/>
      </c>
      <c r="N84" s="24"/>
      <c r="O84" s="111" t="str">
        <f t="shared" si="6"/>
        <v/>
      </c>
      <c r="P84" s="81"/>
      <c r="Q84" s="74"/>
      <c r="R84" s="74"/>
      <c r="S84" s="78" t="str">
        <f t="shared" si="8"/>
        <v/>
      </c>
      <c r="T84" s="24"/>
      <c r="U84" s="32"/>
      <c r="V84" s="40" t="str">
        <f t="shared" si="10"/>
        <v/>
      </c>
      <c r="W84" s="81"/>
      <c r="X84" s="74"/>
      <c r="Y84" s="74"/>
      <c r="Z84" s="79" t="str">
        <f t="shared" si="9"/>
        <v/>
      </c>
      <c r="AA84" s="24"/>
      <c r="AB84" s="32"/>
      <c r="AC84" s="31" t="str">
        <f t="shared" si="11"/>
        <v/>
      </c>
      <c r="AF84" s="109" t="str">
        <f>IF($M84="","",VLOOKUP($M84,'ORF Accuracy Value LookUp'!$D$4:$E$104,2,TRUE))</f>
        <v/>
      </c>
      <c r="AG84" s="47" t="str">
        <f>IF($S84="","",VLOOKUP($S84,'ORF Accuracy Value LookUp'!$G$4:$H$104,2,TRUE))</f>
        <v/>
      </c>
      <c r="AH84" s="110" t="str">
        <f>IF($Z84="","",VLOOKUP($Z84,'ORF Accuracy Value LookUp'!$G$4:$H$104,2,TRUE))</f>
        <v/>
      </c>
    </row>
    <row r="85" spans="1:34">
      <c r="A85" s="10"/>
      <c r="B85" s="12"/>
      <c r="C85" s="13"/>
      <c r="D85" s="14"/>
      <c r="E85" s="10"/>
      <c r="F85" s="11"/>
      <c r="G85" s="15"/>
      <c r="H85" s="80"/>
      <c r="I85" s="24"/>
      <c r="J85" s="24"/>
      <c r="K85" s="74"/>
      <c r="L85" s="74"/>
      <c r="M85" s="76" t="str">
        <f t="shared" si="7"/>
        <v/>
      </c>
      <c r="N85" s="24"/>
      <c r="O85" s="111" t="str">
        <f t="shared" si="6"/>
        <v/>
      </c>
      <c r="P85" s="81"/>
      <c r="Q85" s="74"/>
      <c r="R85" s="74"/>
      <c r="S85" s="78" t="str">
        <f t="shared" si="8"/>
        <v/>
      </c>
      <c r="T85" s="24"/>
      <c r="U85" s="32"/>
      <c r="V85" s="40" t="str">
        <f t="shared" si="10"/>
        <v/>
      </c>
      <c r="W85" s="81"/>
      <c r="X85" s="74"/>
      <c r="Y85" s="74"/>
      <c r="Z85" s="79" t="str">
        <f t="shared" si="9"/>
        <v/>
      </c>
      <c r="AA85" s="24"/>
      <c r="AB85" s="32"/>
      <c r="AC85" s="31" t="str">
        <f t="shared" si="11"/>
        <v/>
      </c>
      <c r="AF85" s="109" t="str">
        <f>IF($M85="","",VLOOKUP($M85,'ORF Accuracy Value LookUp'!$D$4:$E$104,2,TRUE))</f>
        <v/>
      </c>
      <c r="AG85" s="47" t="str">
        <f>IF($S85="","",VLOOKUP($S85,'ORF Accuracy Value LookUp'!$G$4:$H$104,2,TRUE))</f>
        <v/>
      </c>
      <c r="AH85" s="110" t="str">
        <f>IF($Z85="","",VLOOKUP($Z85,'ORF Accuracy Value LookUp'!$G$4:$H$104,2,TRUE))</f>
        <v/>
      </c>
    </row>
    <row r="86" spans="1:34">
      <c r="A86" s="10"/>
      <c r="B86" s="12"/>
      <c r="C86" s="13"/>
      <c r="D86" s="14"/>
      <c r="E86" s="10"/>
      <c r="F86" s="11"/>
      <c r="G86" s="15"/>
      <c r="H86" s="80"/>
      <c r="I86" s="24"/>
      <c r="J86" s="24"/>
      <c r="K86" s="74"/>
      <c r="L86" s="74"/>
      <c r="M86" s="76" t="str">
        <f t="shared" si="7"/>
        <v/>
      </c>
      <c r="N86" s="24"/>
      <c r="O86" s="111" t="str">
        <f t="shared" si="6"/>
        <v/>
      </c>
      <c r="P86" s="81"/>
      <c r="Q86" s="74"/>
      <c r="R86" s="74"/>
      <c r="S86" s="78" t="str">
        <f t="shared" si="8"/>
        <v/>
      </c>
      <c r="T86" s="24"/>
      <c r="U86" s="32"/>
      <c r="V86" s="40" t="str">
        <f t="shared" si="10"/>
        <v/>
      </c>
      <c r="W86" s="81"/>
      <c r="X86" s="74"/>
      <c r="Y86" s="74"/>
      <c r="Z86" s="79" t="str">
        <f t="shared" si="9"/>
        <v/>
      </c>
      <c r="AA86" s="24"/>
      <c r="AB86" s="32"/>
      <c r="AC86" s="31" t="str">
        <f t="shared" si="11"/>
        <v/>
      </c>
      <c r="AF86" s="109" t="str">
        <f>IF($M86="","",VLOOKUP($M86,'ORF Accuracy Value LookUp'!$D$4:$E$104,2,TRUE))</f>
        <v/>
      </c>
      <c r="AG86" s="47" t="str">
        <f>IF($S86="","",VLOOKUP($S86,'ORF Accuracy Value LookUp'!$G$4:$H$104,2,TRUE))</f>
        <v/>
      </c>
      <c r="AH86" s="110" t="str">
        <f>IF($Z86="","",VLOOKUP($Z86,'ORF Accuracy Value LookUp'!$G$4:$H$104,2,TRUE))</f>
        <v/>
      </c>
    </row>
    <row r="87" spans="1:34">
      <c r="A87" s="10"/>
      <c r="B87" s="12"/>
      <c r="C87" s="13"/>
      <c r="D87" s="14"/>
      <c r="E87" s="10"/>
      <c r="F87" s="11"/>
      <c r="G87" s="15"/>
      <c r="H87" s="80"/>
      <c r="I87" s="24"/>
      <c r="J87" s="24"/>
      <c r="K87" s="74"/>
      <c r="L87" s="74"/>
      <c r="M87" s="76" t="str">
        <f t="shared" si="7"/>
        <v/>
      </c>
      <c r="N87" s="24"/>
      <c r="O87" s="111" t="str">
        <f t="shared" si="6"/>
        <v/>
      </c>
      <c r="P87" s="81"/>
      <c r="Q87" s="74"/>
      <c r="R87" s="74"/>
      <c r="S87" s="78" t="str">
        <f t="shared" si="8"/>
        <v/>
      </c>
      <c r="T87" s="24"/>
      <c r="U87" s="32"/>
      <c r="V87" s="40" t="str">
        <f t="shared" si="10"/>
        <v/>
      </c>
      <c r="W87" s="81"/>
      <c r="X87" s="74"/>
      <c r="Y87" s="74"/>
      <c r="Z87" s="79" t="str">
        <f t="shared" si="9"/>
        <v/>
      </c>
      <c r="AA87" s="24"/>
      <c r="AB87" s="32"/>
      <c r="AC87" s="31" t="str">
        <f t="shared" si="11"/>
        <v/>
      </c>
      <c r="AF87" s="109" t="str">
        <f>IF($M87="","",VLOOKUP($M87,'ORF Accuracy Value LookUp'!$D$4:$E$104,2,TRUE))</f>
        <v/>
      </c>
      <c r="AG87" s="47" t="str">
        <f>IF($S87="","",VLOOKUP($S87,'ORF Accuracy Value LookUp'!$G$4:$H$104,2,TRUE))</f>
        <v/>
      </c>
      <c r="AH87" s="110" t="str">
        <f>IF($Z87="","",VLOOKUP($Z87,'ORF Accuracy Value LookUp'!$G$4:$H$104,2,TRUE))</f>
        <v/>
      </c>
    </row>
    <row r="88" spans="1:34">
      <c r="A88" s="10"/>
      <c r="B88" s="12"/>
      <c r="C88" s="13"/>
      <c r="D88" s="14"/>
      <c r="E88" s="10"/>
      <c r="F88" s="11"/>
      <c r="G88" s="15"/>
      <c r="H88" s="80"/>
      <c r="I88" s="24"/>
      <c r="J88" s="24"/>
      <c r="K88" s="74"/>
      <c r="L88" s="74"/>
      <c r="M88" s="76" t="str">
        <f t="shared" si="7"/>
        <v/>
      </c>
      <c r="N88" s="24"/>
      <c r="O88" s="111" t="str">
        <f t="shared" si="6"/>
        <v/>
      </c>
      <c r="P88" s="81"/>
      <c r="Q88" s="74"/>
      <c r="R88" s="74"/>
      <c r="S88" s="78" t="str">
        <f t="shared" si="8"/>
        <v/>
      </c>
      <c r="T88" s="24"/>
      <c r="U88" s="32"/>
      <c r="V88" s="40" t="str">
        <f t="shared" si="10"/>
        <v/>
      </c>
      <c r="W88" s="81"/>
      <c r="X88" s="74"/>
      <c r="Y88" s="74"/>
      <c r="Z88" s="79" t="str">
        <f t="shared" si="9"/>
        <v/>
      </c>
      <c r="AA88" s="24"/>
      <c r="AB88" s="32"/>
      <c r="AC88" s="31" t="str">
        <f t="shared" si="11"/>
        <v/>
      </c>
      <c r="AF88" s="109" t="str">
        <f>IF($M88="","",VLOOKUP($M88,'ORF Accuracy Value LookUp'!$D$4:$E$104,2,TRUE))</f>
        <v/>
      </c>
      <c r="AG88" s="47" t="str">
        <f>IF($S88="","",VLOOKUP($S88,'ORF Accuracy Value LookUp'!$G$4:$H$104,2,TRUE))</f>
        <v/>
      </c>
      <c r="AH88" s="110" t="str">
        <f>IF($Z88="","",VLOOKUP($Z88,'ORF Accuracy Value LookUp'!$G$4:$H$104,2,TRUE))</f>
        <v/>
      </c>
    </row>
    <row r="89" spans="1:34">
      <c r="A89" s="10"/>
      <c r="B89" s="12"/>
      <c r="C89" s="13"/>
      <c r="D89" s="14"/>
      <c r="E89" s="10"/>
      <c r="F89" s="11"/>
      <c r="G89" s="15"/>
      <c r="H89" s="80"/>
      <c r="I89" s="24"/>
      <c r="J89" s="24"/>
      <c r="K89" s="74"/>
      <c r="L89" s="74"/>
      <c r="M89" s="76" t="str">
        <f t="shared" si="7"/>
        <v/>
      </c>
      <c r="N89" s="24"/>
      <c r="O89" s="111" t="str">
        <f t="shared" si="6"/>
        <v/>
      </c>
      <c r="P89" s="81"/>
      <c r="Q89" s="74"/>
      <c r="R89" s="74"/>
      <c r="S89" s="78" t="str">
        <f t="shared" si="8"/>
        <v/>
      </c>
      <c r="T89" s="24"/>
      <c r="U89" s="32"/>
      <c r="V89" s="40" t="str">
        <f t="shared" si="10"/>
        <v/>
      </c>
      <c r="W89" s="81"/>
      <c r="X89" s="74"/>
      <c r="Y89" s="74"/>
      <c r="Z89" s="79" t="str">
        <f t="shared" si="9"/>
        <v/>
      </c>
      <c r="AA89" s="24"/>
      <c r="AB89" s="32"/>
      <c r="AC89" s="31" t="str">
        <f t="shared" si="11"/>
        <v/>
      </c>
      <c r="AF89" s="109" t="str">
        <f>IF($M89="","",VLOOKUP($M89,'ORF Accuracy Value LookUp'!$D$4:$E$104,2,TRUE))</f>
        <v/>
      </c>
      <c r="AG89" s="47" t="str">
        <f>IF($S89="","",VLOOKUP($S89,'ORF Accuracy Value LookUp'!$G$4:$H$104,2,TRUE))</f>
        <v/>
      </c>
      <c r="AH89" s="110" t="str">
        <f>IF($Z89="","",VLOOKUP($Z89,'ORF Accuracy Value LookUp'!$G$4:$H$104,2,TRUE))</f>
        <v/>
      </c>
    </row>
    <row r="90" spans="1:34">
      <c r="A90" s="10"/>
      <c r="B90" s="12"/>
      <c r="C90" s="13"/>
      <c r="D90" s="14"/>
      <c r="E90" s="10"/>
      <c r="F90" s="11"/>
      <c r="G90" s="15"/>
      <c r="H90" s="80"/>
      <c r="I90" s="24"/>
      <c r="J90" s="24"/>
      <c r="K90" s="74"/>
      <c r="L90" s="74"/>
      <c r="M90" s="76" t="str">
        <f t="shared" si="7"/>
        <v/>
      </c>
      <c r="N90" s="24"/>
      <c r="O90" s="111" t="str">
        <f t="shared" si="6"/>
        <v/>
      </c>
      <c r="P90" s="81"/>
      <c r="Q90" s="74"/>
      <c r="R90" s="74"/>
      <c r="S90" s="78" t="str">
        <f t="shared" si="8"/>
        <v/>
      </c>
      <c r="T90" s="24"/>
      <c r="U90" s="32"/>
      <c r="V90" s="40" t="str">
        <f t="shared" si="10"/>
        <v/>
      </c>
      <c r="W90" s="81"/>
      <c r="X90" s="74"/>
      <c r="Y90" s="74"/>
      <c r="Z90" s="79" t="str">
        <f t="shared" si="9"/>
        <v/>
      </c>
      <c r="AA90" s="24"/>
      <c r="AB90" s="32"/>
      <c r="AC90" s="31" t="str">
        <f t="shared" si="11"/>
        <v/>
      </c>
      <c r="AF90" s="109" t="str">
        <f>IF($M90="","",VLOOKUP($M90,'ORF Accuracy Value LookUp'!$D$4:$E$104,2,TRUE))</f>
        <v/>
      </c>
      <c r="AG90" s="47" t="str">
        <f>IF($S90="","",VLOOKUP($S90,'ORF Accuracy Value LookUp'!$G$4:$H$104,2,TRUE))</f>
        <v/>
      </c>
      <c r="AH90" s="110" t="str">
        <f>IF($Z90="","",VLOOKUP($Z90,'ORF Accuracy Value LookUp'!$G$4:$H$104,2,TRUE))</f>
        <v/>
      </c>
    </row>
    <row r="91" spans="1:34">
      <c r="A91" s="10"/>
      <c r="B91" s="12"/>
      <c r="C91" s="13"/>
      <c r="D91" s="14"/>
      <c r="E91" s="10"/>
      <c r="F91" s="11"/>
      <c r="G91" s="15"/>
      <c r="H91" s="80"/>
      <c r="I91" s="24"/>
      <c r="J91" s="24"/>
      <c r="K91" s="74"/>
      <c r="L91" s="74"/>
      <c r="M91" s="76" t="str">
        <f t="shared" si="7"/>
        <v/>
      </c>
      <c r="N91" s="24"/>
      <c r="O91" s="111" t="str">
        <f t="shared" si="6"/>
        <v/>
      </c>
      <c r="P91" s="81"/>
      <c r="Q91" s="74"/>
      <c r="R91" s="74"/>
      <c r="S91" s="78" t="str">
        <f t="shared" si="8"/>
        <v/>
      </c>
      <c r="T91" s="24"/>
      <c r="U91" s="32"/>
      <c r="V91" s="40" t="str">
        <f t="shared" si="10"/>
        <v/>
      </c>
      <c r="W91" s="81"/>
      <c r="X91" s="74"/>
      <c r="Y91" s="74"/>
      <c r="Z91" s="79" t="str">
        <f t="shared" si="9"/>
        <v/>
      </c>
      <c r="AA91" s="24"/>
      <c r="AB91" s="32"/>
      <c r="AC91" s="31" t="str">
        <f t="shared" si="11"/>
        <v/>
      </c>
      <c r="AF91" s="109" t="str">
        <f>IF($M91="","",VLOOKUP($M91,'ORF Accuracy Value LookUp'!$D$4:$E$104,2,TRUE))</f>
        <v/>
      </c>
      <c r="AG91" s="47" t="str">
        <f>IF($S91="","",VLOOKUP($S91,'ORF Accuracy Value LookUp'!$G$4:$H$104,2,TRUE))</f>
        <v/>
      </c>
      <c r="AH91" s="110" t="str">
        <f>IF($Z91="","",VLOOKUP($Z91,'ORF Accuracy Value LookUp'!$G$4:$H$104,2,TRUE))</f>
        <v/>
      </c>
    </row>
    <row r="92" spans="1:34">
      <c r="A92" s="10"/>
      <c r="B92" s="12"/>
      <c r="C92" s="13"/>
      <c r="D92" s="14"/>
      <c r="E92" s="10"/>
      <c r="F92" s="11"/>
      <c r="G92" s="15"/>
      <c r="H92" s="80"/>
      <c r="I92" s="24"/>
      <c r="J92" s="24"/>
      <c r="K92" s="74"/>
      <c r="L92" s="74"/>
      <c r="M92" s="76" t="str">
        <f t="shared" si="7"/>
        <v/>
      </c>
      <c r="N92" s="24"/>
      <c r="O92" s="111" t="str">
        <f t="shared" si="6"/>
        <v/>
      </c>
      <c r="P92" s="81"/>
      <c r="Q92" s="74"/>
      <c r="R92" s="74"/>
      <c r="S92" s="78" t="str">
        <f t="shared" si="8"/>
        <v/>
      </c>
      <c r="T92" s="24"/>
      <c r="U92" s="32"/>
      <c r="V92" s="40" t="str">
        <f t="shared" si="10"/>
        <v/>
      </c>
      <c r="W92" s="81"/>
      <c r="X92" s="74"/>
      <c r="Y92" s="74"/>
      <c r="Z92" s="79" t="str">
        <f t="shared" si="9"/>
        <v/>
      </c>
      <c r="AA92" s="24"/>
      <c r="AB92" s="32"/>
      <c r="AC92" s="31" t="str">
        <f t="shared" si="11"/>
        <v/>
      </c>
      <c r="AF92" s="109" t="str">
        <f>IF($M92="","",VLOOKUP($M92,'ORF Accuracy Value LookUp'!$D$4:$E$104,2,TRUE))</f>
        <v/>
      </c>
      <c r="AG92" s="47" t="str">
        <f>IF($S92="","",VLOOKUP($S92,'ORF Accuracy Value LookUp'!$G$4:$H$104,2,TRUE))</f>
        <v/>
      </c>
      <c r="AH92" s="110" t="str">
        <f>IF($Z92="","",VLOOKUP($Z92,'ORF Accuracy Value LookUp'!$G$4:$H$104,2,TRUE))</f>
        <v/>
      </c>
    </row>
    <row r="93" spans="1:34">
      <c r="A93" s="10"/>
      <c r="B93" s="12"/>
      <c r="C93" s="13"/>
      <c r="D93" s="14"/>
      <c r="E93" s="10"/>
      <c r="F93" s="11"/>
      <c r="G93" s="15"/>
      <c r="H93" s="80"/>
      <c r="I93" s="24"/>
      <c r="J93" s="24"/>
      <c r="K93" s="74"/>
      <c r="L93" s="74"/>
      <c r="M93" s="76" t="str">
        <f t="shared" si="7"/>
        <v/>
      </c>
      <c r="N93" s="24"/>
      <c r="O93" s="111" t="str">
        <f t="shared" si="6"/>
        <v/>
      </c>
      <c r="P93" s="81"/>
      <c r="Q93" s="74"/>
      <c r="R93" s="74"/>
      <c r="S93" s="78" t="str">
        <f t="shared" si="8"/>
        <v/>
      </c>
      <c r="T93" s="24"/>
      <c r="U93" s="32"/>
      <c r="V93" s="40" t="str">
        <f t="shared" si="10"/>
        <v/>
      </c>
      <c r="W93" s="81"/>
      <c r="X93" s="74"/>
      <c r="Y93" s="74"/>
      <c r="Z93" s="79" t="str">
        <f t="shared" si="9"/>
        <v/>
      </c>
      <c r="AA93" s="24"/>
      <c r="AB93" s="32"/>
      <c r="AC93" s="31" t="str">
        <f t="shared" si="11"/>
        <v/>
      </c>
      <c r="AF93" s="109" t="str">
        <f>IF($M93="","",VLOOKUP($M93,'ORF Accuracy Value LookUp'!$D$4:$E$104,2,TRUE))</f>
        <v/>
      </c>
      <c r="AG93" s="47" t="str">
        <f>IF($S93="","",VLOOKUP($S93,'ORF Accuracy Value LookUp'!$G$4:$H$104,2,TRUE))</f>
        <v/>
      </c>
      <c r="AH93" s="110" t="str">
        <f>IF($Z93="","",VLOOKUP($Z93,'ORF Accuracy Value LookUp'!$G$4:$H$104,2,TRUE))</f>
        <v/>
      </c>
    </row>
    <row r="94" spans="1:34">
      <c r="A94" s="10"/>
      <c r="B94" s="12"/>
      <c r="C94" s="13"/>
      <c r="D94" s="14"/>
      <c r="E94" s="10"/>
      <c r="F94" s="11"/>
      <c r="G94" s="15"/>
      <c r="H94" s="80"/>
      <c r="I94" s="24"/>
      <c r="J94" s="24"/>
      <c r="K94" s="74"/>
      <c r="L94" s="74"/>
      <c r="M94" s="76" t="str">
        <f t="shared" si="7"/>
        <v/>
      </c>
      <c r="N94" s="24"/>
      <c r="O94" s="111" t="str">
        <f t="shared" si="6"/>
        <v/>
      </c>
      <c r="P94" s="81"/>
      <c r="Q94" s="74"/>
      <c r="R94" s="74"/>
      <c r="S94" s="78" t="str">
        <f t="shared" si="8"/>
        <v/>
      </c>
      <c r="T94" s="24"/>
      <c r="U94" s="32"/>
      <c r="V94" s="40" t="str">
        <f t="shared" si="10"/>
        <v/>
      </c>
      <c r="W94" s="81"/>
      <c r="X94" s="74"/>
      <c r="Y94" s="74"/>
      <c r="Z94" s="79" t="str">
        <f t="shared" si="9"/>
        <v/>
      </c>
      <c r="AA94" s="24"/>
      <c r="AB94" s="32"/>
      <c r="AC94" s="31" t="str">
        <f t="shared" si="11"/>
        <v/>
      </c>
      <c r="AF94" s="109" t="str">
        <f>IF($M94="","",VLOOKUP($M94,'ORF Accuracy Value LookUp'!$D$4:$E$104,2,TRUE))</f>
        <v/>
      </c>
      <c r="AG94" s="47" t="str">
        <f>IF($S94="","",VLOOKUP($S94,'ORF Accuracy Value LookUp'!$G$4:$H$104,2,TRUE))</f>
        <v/>
      </c>
      <c r="AH94" s="110" t="str">
        <f>IF($Z94="","",VLOOKUP($Z94,'ORF Accuracy Value LookUp'!$G$4:$H$104,2,TRUE))</f>
        <v/>
      </c>
    </row>
    <row r="95" spans="1:34">
      <c r="A95" s="10"/>
      <c r="B95" s="12"/>
      <c r="C95" s="13"/>
      <c r="D95" s="14"/>
      <c r="E95" s="10"/>
      <c r="F95" s="11"/>
      <c r="G95" s="15"/>
      <c r="H95" s="80"/>
      <c r="I95" s="24"/>
      <c r="J95" s="24"/>
      <c r="K95" s="74"/>
      <c r="L95" s="74"/>
      <c r="M95" s="76" t="str">
        <f t="shared" si="7"/>
        <v/>
      </c>
      <c r="N95" s="24"/>
      <c r="O95" s="111" t="str">
        <f t="shared" si="6"/>
        <v/>
      </c>
      <c r="P95" s="81"/>
      <c r="Q95" s="74"/>
      <c r="R95" s="74"/>
      <c r="S95" s="78" t="str">
        <f t="shared" si="8"/>
        <v/>
      </c>
      <c r="T95" s="24"/>
      <c r="U95" s="32"/>
      <c r="V95" s="40" t="str">
        <f t="shared" si="10"/>
        <v/>
      </c>
      <c r="W95" s="81"/>
      <c r="X95" s="74"/>
      <c r="Y95" s="74"/>
      <c r="Z95" s="79" t="str">
        <f t="shared" si="9"/>
        <v/>
      </c>
      <c r="AA95" s="24"/>
      <c r="AB95" s="32"/>
      <c r="AC95" s="31" t="str">
        <f t="shared" si="11"/>
        <v/>
      </c>
      <c r="AF95" s="109" t="str">
        <f>IF($M95="","",VLOOKUP($M95,'ORF Accuracy Value LookUp'!$D$4:$E$104,2,TRUE))</f>
        <v/>
      </c>
      <c r="AG95" s="47" t="str">
        <f>IF($S95="","",VLOOKUP($S95,'ORF Accuracy Value LookUp'!$G$4:$H$104,2,TRUE))</f>
        <v/>
      </c>
      <c r="AH95" s="110" t="str">
        <f>IF($Z95="","",VLOOKUP($Z95,'ORF Accuracy Value LookUp'!$G$4:$H$104,2,TRUE))</f>
        <v/>
      </c>
    </row>
    <row r="96" spans="1:34">
      <c r="A96" s="10"/>
      <c r="B96" s="12"/>
      <c r="C96" s="13"/>
      <c r="D96" s="14"/>
      <c r="E96" s="10"/>
      <c r="F96" s="11"/>
      <c r="G96" s="15"/>
      <c r="H96" s="80"/>
      <c r="I96" s="24"/>
      <c r="J96" s="24"/>
      <c r="K96" s="74"/>
      <c r="L96" s="74"/>
      <c r="M96" s="76" t="str">
        <f t="shared" si="7"/>
        <v/>
      </c>
      <c r="N96" s="24"/>
      <c r="O96" s="111" t="str">
        <f t="shared" si="6"/>
        <v/>
      </c>
      <c r="P96" s="81"/>
      <c r="Q96" s="74"/>
      <c r="R96" s="74"/>
      <c r="S96" s="78" t="str">
        <f t="shared" si="8"/>
        <v/>
      </c>
      <c r="T96" s="24"/>
      <c r="U96" s="32"/>
      <c r="V96" s="40" t="str">
        <f t="shared" si="10"/>
        <v/>
      </c>
      <c r="W96" s="81"/>
      <c r="X96" s="74"/>
      <c r="Y96" s="74"/>
      <c r="Z96" s="79" t="str">
        <f t="shared" si="9"/>
        <v/>
      </c>
      <c r="AA96" s="24"/>
      <c r="AB96" s="32"/>
      <c r="AC96" s="31" t="str">
        <f t="shared" si="11"/>
        <v/>
      </c>
      <c r="AF96" s="109" t="str">
        <f>IF($M96="","",VLOOKUP($M96,'ORF Accuracy Value LookUp'!$D$4:$E$104,2,TRUE))</f>
        <v/>
      </c>
      <c r="AG96" s="47" t="str">
        <f>IF($S96="","",VLOOKUP($S96,'ORF Accuracy Value LookUp'!$G$4:$H$104,2,TRUE))</f>
        <v/>
      </c>
      <c r="AH96" s="110" t="str">
        <f>IF($Z96="","",VLOOKUP($Z96,'ORF Accuracy Value LookUp'!$G$4:$H$104,2,TRUE))</f>
        <v/>
      </c>
    </row>
    <row r="97" spans="1:34">
      <c r="A97" s="10"/>
      <c r="B97" s="12"/>
      <c r="C97" s="13"/>
      <c r="D97" s="14"/>
      <c r="E97" s="10"/>
      <c r="F97" s="11"/>
      <c r="G97" s="15"/>
      <c r="H97" s="80"/>
      <c r="I97" s="24"/>
      <c r="J97" s="24"/>
      <c r="K97" s="74"/>
      <c r="L97" s="74"/>
      <c r="M97" s="76" t="str">
        <f t="shared" si="7"/>
        <v/>
      </c>
      <c r="N97" s="24"/>
      <c r="O97" s="111" t="str">
        <f t="shared" si="6"/>
        <v/>
      </c>
      <c r="P97" s="81"/>
      <c r="Q97" s="74"/>
      <c r="R97" s="74"/>
      <c r="S97" s="78" t="str">
        <f t="shared" si="8"/>
        <v/>
      </c>
      <c r="T97" s="24"/>
      <c r="U97" s="32"/>
      <c r="V97" s="40" t="str">
        <f t="shared" si="10"/>
        <v/>
      </c>
      <c r="W97" s="81"/>
      <c r="X97" s="74"/>
      <c r="Y97" s="74"/>
      <c r="Z97" s="79" t="str">
        <f t="shared" si="9"/>
        <v/>
      </c>
      <c r="AA97" s="24"/>
      <c r="AB97" s="32"/>
      <c r="AC97" s="31" t="str">
        <f t="shared" si="11"/>
        <v/>
      </c>
      <c r="AF97" s="109" t="str">
        <f>IF($M97="","",VLOOKUP($M97,'ORF Accuracy Value LookUp'!$D$4:$E$104,2,TRUE))</f>
        <v/>
      </c>
      <c r="AG97" s="47" t="str">
        <f>IF($S97="","",VLOOKUP($S97,'ORF Accuracy Value LookUp'!$G$4:$H$104,2,TRUE))</f>
        <v/>
      </c>
      <c r="AH97" s="110" t="str">
        <f>IF($Z97="","",VLOOKUP($Z97,'ORF Accuracy Value LookUp'!$G$4:$H$104,2,TRUE))</f>
        <v/>
      </c>
    </row>
    <row r="98" spans="1:34">
      <c r="A98" s="10"/>
      <c r="B98" s="12"/>
      <c r="C98" s="13"/>
      <c r="D98" s="14"/>
      <c r="E98" s="10"/>
      <c r="F98" s="11"/>
      <c r="G98" s="15"/>
      <c r="H98" s="80"/>
      <c r="I98" s="24"/>
      <c r="J98" s="24"/>
      <c r="K98" s="74"/>
      <c r="L98" s="74"/>
      <c r="M98" s="76" t="str">
        <f t="shared" si="7"/>
        <v/>
      </c>
      <c r="N98" s="24"/>
      <c r="O98" s="111" t="str">
        <f t="shared" si="6"/>
        <v/>
      </c>
      <c r="P98" s="81"/>
      <c r="Q98" s="74"/>
      <c r="R98" s="74"/>
      <c r="S98" s="78" t="str">
        <f t="shared" si="8"/>
        <v/>
      </c>
      <c r="T98" s="24"/>
      <c r="U98" s="32"/>
      <c r="V98" s="40" t="str">
        <f t="shared" si="10"/>
        <v/>
      </c>
      <c r="W98" s="81"/>
      <c r="X98" s="74"/>
      <c r="Y98" s="74"/>
      <c r="Z98" s="79" t="str">
        <f t="shared" si="9"/>
        <v/>
      </c>
      <c r="AA98" s="24"/>
      <c r="AB98" s="32"/>
      <c r="AC98" s="31" t="str">
        <f t="shared" si="11"/>
        <v/>
      </c>
      <c r="AF98" s="109" t="str">
        <f>IF($M98="","",VLOOKUP($M98,'ORF Accuracy Value LookUp'!$D$4:$E$104,2,TRUE))</f>
        <v/>
      </c>
      <c r="AG98" s="47" t="str">
        <f>IF($S98="","",VLOOKUP($S98,'ORF Accuracy Value LookUp'!$G$4:$H$104,2,TRUE))</f>
        <v/>
      </c>
      <c r="AH98" s="110" t="str">
        <f>IF($Z98="","",VLOOKUP($Z98,'ORF Accuracy Value LookUp'!$G$4:$H$104,2,TRUE))</f>
        <v/>
      </c>
    </row>
    <row r="99" spans="1:34">
      <c r="A99" s="10"/>
      <c r="B99" s="12"/>
      <c r="C99" s="13"/>
      <c r="D99" s="14"/>
      <c r="E99" s="10"/>
      <c r="F99" s="11"/>
      <c r="G99" s="15"/>
      <c r="H99" s="80"/>
      <c r="I99" s="24"/>
      <c r="J99" s="24"/>
      <c r="K99" s="74"/>
      <c r="L99" s="74"/>
      <c r="M99" s="76" t="str">
        <f t="shared" si="7"/>
        <v/>
      </c>
      <c r="N99" s="24"/>
      <c r="O99" s="111" t="str">
        <f t="shared" si="6"/>
        <v/>
      </c>
      <c r="P99" s="81"/>
      <c r="Q99" s="74"/>
      <c r="R99" s="74"/>
      <c r="S99" s="78" t="str">
        <f t="shared" si="8"/>
        <v/>
      </c>
      <c r="T99" s="24"/>
      <c r="U99" s="32"/>
      <c r="V99" s="40" t="str">
        <f t="shared" si="10"/>
        <v/>
      </c>
      <c r="W99" s="81"/>
      <c r="X99" s="74"/>
      <c r="Y99" s="74"/>
      <c r="Z99" s="79" t="str">
        <f t="shared" si="9"/>
        <v/>
      </c>
      <c r="AA99" s="24"/>
      <c r="AB99" s="32"/>
      <c r="AC99" s="31" t="str">
        <f t="shared" si="11"/>
        <v/>
      </c>
      <c r="AF99" s="109" t="str">
        <f>IF($M99="","",VLOOKUP($M99,'ORF Accuracy Value LookUp'!$D$4:$E$104,2,TRUE))</f>
        <v/>
      </c>
      <c r="AG99" s="47" t="str">
        <f>IF($S99="","",VLOOKUP($S99,'ORF Accuracy Value LookUp'!$G$4:$H$104,2,TRUE))</f>
        <v/>
      </c>
      <c r="AH99" s="110" t="str">
        <f>IF($Z99="","",VLOOKUP($Z99,'ORF Accuracy Value LookUp'!$G$4:$H$104,2,TRUE))</f>
        <v/>
      </c>
    </row>
    <row r="100" spans="1:34">
      <c r="A100" s="10"/>
      <c r="B100" s="12"/>
      <c r="C100" s="13"/>
      <c r="D100" s="14"/>
      <c r="E100" s="10"/>
      <c r="F100" s="11"/>
      <c r="G100" s="15"/>
      <c r="H100" s="80"/>
      <c r="I100" s="24"/>
      <c r="J100" s="24"/>
      <c r="K100" s="74"/>
      <c r="L100" s="74"/>
      <c r="M100" s="76" t="str">
        <f t="shared" si="7"/>
        <v/>
      </c>
      <c r="N100" s="24"/>
      <c r="O100" s="111" t="str">
        <f t="shared" si="6"/>
        <v/>
      </c>
      <c r="P100" s="81"/>
      <c r="Q100" s="74"/>
      <c r="R100" s="74"/>
      <c r="S100" s="78" t="str">
        <f t="shared" si="8"/>
        <v/>
      </c>
      <c r="T100" s="24"/>
      <c r="U100" s="32"/>
      <c r="V100" s="40" t="str">
        <f t="shared" si="10"/>
        <v/>
      </c>
      <c r="W100" s="81"/>
      <c r="X100" s="74"/>
      <c r="Y100" s="74"/>
      <c r="Z100" s="79" t="str">
        <f t="shared" si="9"/>
        <v/>
      </c>
      <c r="AA100" s="24"/>
      <c r="AB100" s="32"/>
      <c r="AC100" s="31" t="str">
        <f t="shared" si="11"/>
        <v/>
      </c>
      <c r="AF100" s="109" t="str">
        <f>IF($M100="","",VLOOKUP($M100,'ORF Accuracy Value LookUp'!$D$4:$E$104,2,TRUE))</f>
        <v/>
      </c>
      <c r="AG100" s="47" t="str">
        <f>IF($S100="","",VLOOKUP($S100,'ORF Accuracy Value LookUp'!$G$4:$H$104,2,TRUE))</f>
        <v/>
      </c>
      <c r="AH100" s="110" t="str">
        <f>IF($Z100="","",VLOOKUP($Z100,'ORF Accuracy Value LookUp'!$G$4:$H$104,2,TRUE))</f>
        <v/>
      </c>
    </row>
    <row r="101" spans="1:34">
      <c r="A101" s="10"/>
      <c r="B101" s="12"/>
      <c r="C101" s="13"/>
      <c r="D101" s="14"/>
      <c r="E101" s="10"/>
      <c r="F101" s="11"/>
      <c r="G101" s="15"/>
      <c r="H101" s="80"/>
      <c r="I101" s="24"/>
      <c r="J101" s="24"/>
      <c r="K101" s="74"/>
      <c r="L101" s="74"/>
      <c r="M101" s="76" t="str">
        <f t="shared" si="7"/>
        <v/>
      </c>
      <c r="N101" s="24"/>
      <c r="O101" s="111" t="str">
        <f t="shared" si="6"/>
        <v/>
      </c>
      <c r="P101" s="81"/>
      <c r="Q101" s="74"/>
      <c r="R101" s="74"/>
      <c r="S101" s="78" t="str">
        <f t="shared" si="8"/>
        <v/>
      </c>
      <c r="T101" s="24"/>
      <c r="U101" s="32"/>
      <c r="V101" s="40" t="str">
        <f t="shared" si="10"/>
        <v/>
      </c>
      <c r="W101" s="81"/>
      <c r="X101" s="74"/>
      <c r="Y101" s="74"/>
      <c r="Z101" s="79" t="str">
        <f t="shared" si="9"/>
        <v/>
      </c>
      <c r="AA101" s="24"/>
      <c r="AB101" s="32"/>
      <c r="AC101" s="31" t="str">
        <f t="shared" si="11"/>
        <v/>
      </c>
      <c r="AF101" s="109" t="str">
        <f>IF($M101="","",VLOOKUP($M101,'ORF Accuracy Value LookUp'!$D$4:$E$104,2,TRUE))</f>
        <v/>
      </c>
      <c r="AG101" s="47" t="str">
        <f>IF($S101="","",VLOOKUP($S101,'ORF Accuracy Value LookUp'!$G$4:$H$104,2,TRUE))</f>
        <v/>
      </c>
      <c r="AH101" s="110" t="str">
        <f>IF($Z101="","",VLOOKUP($Z101,'ORF Accuracy Value LookUp'!$G$4:$H$104,2,TRUE))</f>
        <v/>
      </c>
    </row>
    <row r="102" spans="1:34">
      <c r="A102" s="10"/>
      <c r="B102" s="12"/>
      <c r="C102" s="13"/>
      <c r="D102" s="14"/>
      <c r="E102" s="10"/>
      <c r="F102" s="11"/>
      <c r="G102" s="15"/>
      <c r="H102" s="80"/>
      <c r="I102" s="24"/>
      <c r="J102" s="24"/>
      <c r="K102" s="74"/>
      <c r="L102" s="74"/>
      <c r="M102" s="76" t="str">
        <f t="shared" si="7"/>
        <v/>
      </c>
      <c r="N102" s="24"/>
      <c r="O102" s="111" t="str">
        <f t="shared" si="6"/>
        <v/>
      </c>
      <c r="P102" s="81"/>
      <c r="Q102" s="74"/>
      <c r="R102" s="74"/>
      <c r="S102" s="78" t="str">
        <f t="shared" si="8"/>
        <v/>
      </c>
      <c r="T102" s="24"/>
      <c r="U102" s="32"/>
      <c r="V102" s="40" t="str">
        <f t="shared" si="10"/>
        <v/>
      </c>
      <c r="W102" s="81"/>
      <c r="X102" s="74"/>
      <c r="Y102" s="74"/>
      <c r="Z102" s="79" t="str">
        <f t="shared" si="9"/>
        <v/>
      </c>
      <c r="AA102" s="24"/>
      <c r="AB102" s="32"/>
      <c r="AC102" s="31" t="str">
        <f t="shared" si="11"/>
        <v/>
      </c>
      <c r="AF102" s="109" t="str">
        <f>IF($M102="","",VLOOKUP($M102,'ORF Accuracy Value LookUp'!$D$4:$E$104,2,TRUE))</f>
        <v/>
      </c>
      <c r="AG102" s="47" t="str">
        <f>IF($S102="","",VLOOKUP($S102,'ORF Accuracy Value LookUp'!$G$4:$H$104,2,TRUE))</f>
        <v/>
      </c>
      <c r="AH102" s="110" t="str">
        <f>IF($Z102="","",VLOOKUP($Z102,'ORF Accuracy Value LookUp'!$G$4:$H$104,2,TRUE))</f>
        <v/>
      </c>
    </row>
    <row r="103" spans="1:34">
      <c r="A103" s="10"/>
      <c r="B103" s="12"/>
      <c r="C103" s="13"/>
      <c r="D103" s="14"/>
      <c r="E103" s="10"/>
      <c r="F103" s="11"/>
      <c r="G103" s="15"/>
      <c r="H103" s="80"/>
      <c r="I103" s="24"/>
      <c r="J103" s="24"/>
      <c r="K103" s="74"/>
      <c r="L103" s="74"/>
      <c r="M103" s="76" t="str">
        <f t="shared" si="7"/>
        <v/>
      </c>
      <c r="N103" s="24"/>
      <c r="O103" s="111" t="str">
        <f t="shared" si="6"/>
        <v/>
      </c>
      <c r="P103" s="81"/>
      <c r="Q103" s="74"/>
      <c r="R103" s="74"/>
      <c r="S103" s="78" t="str">
        <f t="shared" si="8"/>
        <v/>
      </c>
      <c r="T103" s="24"/>
      <c r="U103" s="32"/>
      <c r="V103" s="40" t="str">
        <f t="shared" si="10"/>
        <v/>
      </c>
      <c r="W103" s="81"/>
      <c r="X103" s="74"/>
      <c r="Y103" s="74"/>
      <c r="Z103" s="79" t="str">
        <f t="shared" si="9"/>
        <v/>
      </c>
      <c r="AA103" s="24"/>
      <c r="AB103" s="32"/>
      <c r="AC103" s="31" t="str">
        <f t="shared" si="11"/>
        <v/>
      </c>
      <c r="AF103" s="109" t="str">
        <f>IF($M103="","",VLOOKUP($M103,'ORF Accuracy Value LookUp'!$D$4:$E$104,2,TRUE))</f>
        <v/>
      </c>
      <c r="AG103" s="47" t="str">
        <f>IF($S103="","",VLOOKUP($S103,'ORF Accuracy Value LookUp'!$G$4:$H$104,2,TRUE))</f>
        <v/>
      </c>
      <c r="AH103" s="110" t="str">
        <f>IF($Z103="","",VLOOKUP($Z103,'ORF Accuracy Value LookUp'!$G$4:$H$104,2,TRUE))</f>
        <v/>
      </c>
    </row>
    <row r="104" spans="1:34">
      <c r="A104" s="10"/>
      <c r="B104" s="12"/>
      <c r="C104" s="13"/>
      <c r="D104" s="14"/>
      <c r="E104" s="10"/>
      <c r="F104" s="11"/>
      <c r="G104" s="15"/>
      <c r="H104" s="80"/>
      <c r="I104" s="24"/>
      <c r="J104" s="24"/>
      <c r="K104" s="74"/>
      <c r="L104" s="74"/>
      <c r="M104" s="76" t="str">
        <f t="shared" si="7"/>
        <v/>
      </c>
      <c r="N104" s="24"/>
      <c r="O104" s="111" t="str">
        <f t="shared" si="6"/>
        <v/>
      </c>
      <c r="P104" s="81"/>
      <c r="Q104" s="74"/>
      <c r="R104" s="74"/>
      <c r="S104" s="78" t="str">
        <f t="shared" si="8"/>
        <v/>
      </c>
      <c r="T104" s="24"/>
      <c r="U104" s="32"/>
      <c r="V104" s="40" t="str">
        <f t="shared" si="10"/>
        <v/>
      </c>
      <c r="W104" s="81"/>
      <c r="X104" s="74"/>
      <c r="Y104" s="74"/>
      <c r="Z104" s="79" t="str">
        <f t="shared" si="9"/>
        <v/>
      </c>
      <c r="AA104" s="24"/>
      <c r="AB104" s="32"/>
      <c r="AC104" s="31" t="str">
        <f t="shared" si="11"/>
        <v/>
      </c>
      <c r="AF104" s="109" t="str">
        <f>IF($M104="","",VLOOKUP($M104,'ORF Accuracy Value LookUp'!$D$4:$E$104,2,TRUE))</f>
        <v/>
      </c>
      <c r="AG104" s="47" t="str">
        <f>IF($S104="","",VLOOKUP($S104,'ORF Accuracy Value LookUp'!$G$4:$H$104,2,TRUE))</f>
        <v/>
      </c>
      <c r="AH104" s="110" t="str">
        <f>IF($Z104="","",VLOOKUP($Z104,'ORF Accuracy Value LookUp'!$G$4:$H$104,2,TRUE))</f>
        <v/>
      </c>
    </row>
    <row r="105" spans="1:34">
      <c r="A105" s="10"/>
      <c r="B105" s="12"/>
      <c r="C105" s="13"/>
      <c r="D105" s="14"/>
      <c r="E105" s="10"/>
      <c r="F105" s="11"/>
      <c r="G105" s="15"/>
      <c r="H105" s="80"/>
      <c r="I105" s="24"/>
      <c r="J105" s="24"/>
      <c r="K105" s="74"/>
      <c r="L105" s="74"/>
      <c r="M105" s="76" t="str">
        <f t="shared" si="7"/>
        <v/>
      </c>
      <c r="N105" s="24"/>
      <c r="O105" s="111" t="str">
        <f t="shared" si="6"/>
        <v/>
      </c>
      <c r="P105" s="81"/>
      <c r="Q105" s="74"/>
      <c r="R105" s="74"/>
      <c r="S105" s="78" t="str">
        <f t="shared" si="8"/>
        <v/>
      </c>
      <c r="T105" s="24"/>
      <c r="U105" s="32"/>
      <c r="V105" s="40" t="str">
        <f t="shared" si="10"/>
        <v/>
      </c>
      <c r="W105" s="81"/>
      <c r="X105" s="74"/>
      <c r="Y105" s="74"/>
      <c r="Z105" s="79" t="str">
        <f t="shared" si="9"/>
        <v/>
      </c>
      <c r="AA105" s="24"/>
      <c r="AB105" s="32"/>
      <c r="AC105" s="31" t="str">
        <f t="shared" si="11"/>
        <v/>
      </c>
      <c r="AF105" s="109" t="str">
        <f>IF($M105="","",VLOOKUP($M105,'ORF Accuracy Value LookUp'!$D$4:$E$104,2,TRUE))</f>
        <v/>
      </c>
      <c r="AG105" s="47" t="str">
        <f>IF($S105="","",VLOOKUP($S105,'ORF Accuracy Value LookUp'!$G$4:$H$104,2,TRUE))</f>
        <v/>
      </c>
      <c r="AH105" s="110" t="str">
        <f>IF($Z105="","",VLOOKUP($Z105,'ORF Accuracy Value LookUp'!$G$4:$H$104,2,TRUE))</f>
        <v/>
      </c>
    </row>
    <row r="106" spans="1:34">
      <c r="A106" s="10"/>
      <c r="B106" s="12"/>
      <c r="C106" s="13"/>
      <c r="D106" s="14"/>
      <c r="E106" s="10"/>
      <c r="F106" s="11"/>
      <c r="G106" s="15"/>
      <c r="H106" s="80"/>
      <c r="I106" s="24"/>
      <c r="J106" s="24"/>
      <c r="K106" s="74"/>
      <c r="L106" s="74"/>
      <c r="M106" s="76" t="str">
        <f t="shared" si="7"/>
        <v/>
      </c>
      <c r="N106" s="24"/>
      <c r="O106" s="111" t="str">
        <f t="shared" si="6"/>
        <v/>
      </c>
      <c r="P106" s="81"/>
      <c r="Q106" s="74"/>
      <c r="R106" s="74"/>
      <c r="S106" s="78" t="str">
        <f t="shared" si="8"/>
        <v/>
      </c>
      <c r="T106" s="24"/>
      <c r="U106" s="32"/>
      <c r="V106" s="40" t="str">
        <f t="shared" si="10"/>
        <v/>
      </c>
      <c r="W106" s="81"/>
      <c r="X106" s="74"/>
      <c r="Y106" s="74"/>
      <c r="Z106" s="79" t="str">
        <f t="shared" si="9"/>
        <v/>
      </c>
      <c r="AA106" s="24"/>
      <c r="AB106" s="32"/>
      <c r="AC106" s="31" t="str">
        <f t="shared" si="11"/>
        <v/>
      </c>
      <c r="AF106" s="109" t="str">
        <f>IF($M106="","",VLOOKUP($M106,'ORF Accuracy Value LookUp'!$D$4:$E$104,2,TRUE))</f>
        <v/>
      </c>
      <c r="AG106" s="47" t="str">
        <f>IF($S106="","",VLOOKUP($S106,'ORF Accuracy Value LookUp'!$G$4:$H$104,2,TRUE))</f>
        <v/>
      </c>
      <c r="AH106" s="110" t="str">
        <f>IF($Z106="","",VLOOKUP($Z106,'ORF Accuracy Value LookUp'!$G$4:$H$104,2,TRUE))</f>
        <v/>
      </c>
    </row>
    <row r="107" spans="1:34">
      <c r="A107" s="10"/>
      <c r="B107" s="12"/>
      <c r="C107" s="13"/>
      <c r="D107" s="14"/>
      <c r="E107" s="10"/>
      <c r="F107" s="11"/>
      <c r="G107" s="15"/>
      <c r="H107" s="80"/>
      <c r="I107" s="24"/>
      <c r="J107" s="24"/>
      <c r="K107" s="74"/>
      <c r="L107" s="74"/>
      <c r="M107" s="76" t="str">
        <f t="shared" si="7"/>
        <v/>
      </c>
      <c r="N107" s="24"/>
      <c r="O107" s="111" t="str">
        <f t="shared" si="6"/>
        <v/>
      </c>
      <c r="P107" s="81"/>
      <c r="Q107" s="74"/>
      <c r="R107" s="74"/>
      <c r="S107" s="78" t="str">
        <f t="shared" si="8"/>
        <v/>
      </c>
      <c r="T107" s="24"/>
      <c r="U107" s="32"/>
      <c r="V107" s="40" t="str">
        <f t="shared" si="10"/>
        <v/>
      </c>
      <c r="W107" s="81"/>
      <c r="X107" s="74"/>
      <c r="Y107" s="74"/>
      <c r="Z107" s="79" t="str">
        <f t="shared" si="9"/>
        <v/>
      </c>
      <c r="AA107" s="24"/>
      <c r="AB107" s="32"/>
      <c r="AC107" s="31" t="str">
        <f t="shared" si="11"/>
        <v/>
      </c>
      <c r="AF107" s="109" t="str">
        <f>IF($M107="","",VLOOKUP($M107,'ORF Accuracy Value LookUp'!$D$4:$E$104,2,TRUE))</f>
        <v/>
      </c>
      <c r="AG107" s="47" t="str">
        <f>IF($S107="","",VLOOKUP($S107,'ORF Accuracy Value LookUp'!$G$4:$H$104,2,TRUE))</f>
        <v/>
      </c>
      <c r="AH107" s="110" t="str">
        <f>IF($Z107="","",VLOOKUP($Z107,'ORF Accuracy Value LookUp'!$G$4:$H$104,2,TRUE))</f>
        <v/>
      </c>
    </row>
    <row r="108" spans="1:34">
      <c r="A108" s="10"/>
      <c r="B108" s="12"/>
      <c r="C108" s="13"/>
      <c r="D108" s="14"/>
      <c r="E108" s="10"/>
      <c r="F108" s="11"/>
      <c r="G108" s="15"/>
      <c r="H108" s="80"/>
      <c r="I108" s="24"/>
      <c r="J108" s="24"/>
      <c r="K108" s="74"/>
      <c r="L108" s="74"/>
      <c r="M108" s="76" t="str">
        <f t="shared" si="7"/>
        <v/>
      </c>
      <c r="N108" s="24"/>
      <c r="O108" s="111" t="str">
        <f t="shared" si="6"/>
        <v/>
      </c>
      <c r="P108" s="81"/>
      <c r="Q108" s="74"/>
      <c r="R108" s="74"/>
      <c r="S108" s="78" t="str">
        <f t="shared" si="8"/>
        <v/>
      </c>
      <c r="T108" s="24"/>
      <c r="U108" s="32"/>
      <c r="V108" s="40" t="str">
        <f t="shared" si="10"/>
        <v/>
      </c>
      <c r="W108" s="81"/>
      <c r="X108" s="74"/>
      <c r="Y108" s="74"/>
      <c r="Z108" s="79" t="str">
        <f t="shared" si="9"/>
        <v/>
      </c>
      <c r="AA108" s="24"/>
      <c r="AB108" s="32"/>
      <c r="AC108" s="31" t="str">
        <f t="shared" si="11"/>
        <v/>
      </c>
      <c r="AF108" s="109" t="str">
        <f>IF($M108="","",VLOOKUP($M108,'ORF Accuracy Value LookUp'!$D$4:$E$104,2,TRUE))</f>
        <v/>
      </c>
      <c r="AG108" s="47" t="str">
        <f>IF($S108="","",VLOOKUP($S108,'ORF Accuracy Value LookUp'!$G$4:$H$104,2,TRUE))</f>
        <v/>
      </c>
      <c r="AH108" s="110" t="str">
        <f>IF($Z108="","",VLOOKUP($Z108,'ORF Accuracy Value LookUp'!$G$4:$H$104,2,TRUE))</f>
        <v/>
      </c>
    </row>
    <row r="109" spans="1:34">
      <c r="A109" s="10"/>
      <c r="B109" s="12"/>
      <c r="C109" s="13"/>
      <c r="D109" s="14"/>
      <c r="E109" s="10"/>
      <c r="F109" s="11"/>
      <c r="G109" s="15"/>
      <c r="H109" s="80"/>
      <c r="I109" s="24"/>
      <c r="J109" s="24"/>
      <c r="K109" s="74"/>
      <c r="L109" s="74"/>
      <c r="M109" s="76" t="str">
        <f t="shared" si="7"/>
        <v/>
      </c>
      <c r="N109" s="24"/>
      <c r="O109" s="111" t="str">
        <f t="shared" si="6"/>
        <v/>
      </c>
      <c r="P109" s="81"/>
      <c r="Q109" s="74"/>
      <c r="R109" s="74"/>
      <c r="S109" s="78" t="str">
        <f t="shared" si="8"/>
        <v/>
      </c>
      <c r="T109" s="24"/>
      <c r="U109" s="32"/>
      <c r="V109" s="40" t="str">
        <f t="shared" si="10"/>
        <v/>
      </c>
      <c r="W109" s="81"/>
      <c r="X109" s="74"/>
      <c r="Y109" s="74"/>
      <c r="Z109" s="79" t="str">
        <f t="shared" si="9"/>
        <v/>
      </c>
      <c r="AA109" s="24"/>
      <c r="AB109" s="32"/>
      <c r="AC109" s="31" t="str">
        <f t="shared" si="11"/>
        <v/>
      </c>
      <c r="AF109" s="109" t="str">
        <f>IF($M109="","",VLOOKUP($M109,'ORF Accuracy Value LookUp'!$D$4:$E$104,2,TRUE))</f>
        <v/>
      </c>
      <c r="AG109" s="47" t="str">
        <f>IF($S109="","",VLOOKUP($S109,'ORF Accuracy Value LookUp'!$G$4:$H$104,2,TRUE))</f>
        <v/>
      </c>
      <c r="AH109" s="110" t="str">
        <f>IF($Z109="","",VLOOKUP($Z109,'ORF Accuracy Value LookUp'!$G$4:$H$104,2,TRUE))</f>
        <v/>
      </c>
    </row>
    <row r="110" spans="1:34">
      <c r="A110" s="10"/>
      <c r="B110" s="9"/>
      <c r="C110" s="9"/>
      <c r="D110" s="9"/>
      <c r="E110" s="10"/>
      <c r="F110" s="11"/>
      <c r="G110" s="15"/>
      <c r="H110" s="81"/>
      <c r="I110" s="24"/>
      <c r="J110" s="24"/>
      <c r="K110" s="74"/>
      <c r="L110" s="74"/>
      <c r="M110" s="76" t="str">
        <f t="shared" si="7"/>
        <v/>
      </c>
      <c r="N110" s="24"/>
      <c r="O110" s="111" t="str">
        <f t="shared" si="6"/>
        <v/>
      </c>
      <c r="P110" s="81"/>
      <c r="Q110" s="74"/>
      <c r="R110" s="74"/>
      <c r="S110" s="78" t="str">
        <f t="shared" si="8"/>
        <v/>
      </c>
      <c r="T110" s="24"/>
      <c r="U110" s="32"/>
      <c r="V110" s="40" t="str">
        <f t="shared" si="10"/>
        <v/>
      </c>
      <c r="W110" s="81"/>
      <c r="X110" s="74"/>
      <c r="Y110" s="74"/>
      <c r="Z110" s="79" t="str">
        <f t="shared" si="9"/>
        <v/>
      </c>
      <c r="AA110" s="24"/>
      <c r="AB110" s="32"/>
      <c r="AC110" s="31" t="str">
        <f t="shared" si="11"/>
        <v/>
      </c>
      <c r="AF110" s="109" t="str">
        <f>IF($M110="","",VLOOKUP($M110,'ORF Accuracy Value LookUp'!$D$4:$E$104,2,TRUE))</f>
        <v/>
      </c>
      <c r="AG110" s="47" t="str">
        <f>IF($S110="","",VLOOKUP($S110,'ORF Accuracy Value LookUp'!$G$4:$H$104,2,TRUE))</f>
        <v/>
      </c>
      <c r="AH110" s="110" t="str">
        <f>IF($Z110="","",VLOOKUP($Z110,'ORF Accuracy Value LookUp'!$G$4:$H$104,2,TRUE))</f>
        <v/>
      </c>
    </row>
    <row r="111" spans="1:34">
      <c r="A111" s="10"/>
      <c r="B111" s="9"/>
      <c r="C111" s="9"/>
      <c r="D111" s="9"/>
      <c r="E111" s="10"/>
      <c r="F111" s="11"/>
      <c r="G111" s="15"/>
      <c r="H111" s="81"/>
      <c r="I111" s="24"/>
      <c r="J111" s="24"/>
      <c r="K111" s="74"/>
      <c r="L111" s="74"/>
      <c r="M111" s="76" t="str">
        <f t="shared" si="7"/>
        <v/>
      </c>
      <c r="N111" s="24"/>
      <c r="O111" s="111" t="str">
        <f t="shared" si="6"/>
        <v/>
      </c>
      <c r="P111" s="81"/>
      <c r="Q111" s="74"/>
      <c r="R111" s="74"/>
      <c r="S111" s="78" t="str">
        <f t="shared" si="8"/>
        <v/>
      </c>
      <c r="T111" s="24"/>
      <c r="U111" s="32"/>
      <c r="V111" s="40" t="str">
        <f t="shared" si="10"/>
        <v/>
      </c>
      <c r="W111" s="81"/>
      <c r="X111" s="74"/>
      <c r="Y111" s="74"/>
      <c r="Z111" s="79" t="str">
        <f t="shared" si="9"/>
        <v/>
      </c>
      <c r="AA111" s="24"/>
      <c r="AB111" s="32"/>
      <c r="AC111" s="31" t="str">
        <f t="shared" si="11"/>
        <v/>
      </c>
      <c r="AF111" s="109" t="str">
        <f>IF($M111="","",VLOOKUP($M111,'ORF Accuracy Value LookUp'!$D$4:$E$104,2,TRUE))</f>
        <v/>
      </c>
      <c r="AG111" s="47" t="str">
        <f>IF($S111="","",VLOOKUP($S111,'ORF Accuracy Value LookUp'!$G$4:$H$104,2,TRUE))</f>
        <v/>
      </c>
      <c r="AH111" s="110" t="str">
        <f>IF($Z111="","",VLOOKUP($Z111,'ORF Accuracy Value LookUp'!$G$4:$H$104,2,TRUE))</f>
        <v/>
      </c>
    </row>
    <row r="112" spans="1:34">
      <c r="A112" s="10"/>
      <c r="B112" s="9"/>
      <c r="C112" s="9"/>
      <c r="D112" s="9"/>
      <c r="E112" s="10"/>
      <c r="F112" s="11"/>
      <c r="G112" s="15"/>
      <c r="H112" s="81"/>
      <c r="I112" s="24"/>
      <c r="J112" s="24"/>
      <c r="K112" s="74"/>
      <c r="L112" s="74"/>
      <c r="M112" s="76" t="str">
        <f t="shared" si="7"/>
        <v/>
      </c>
      <c r="N112" s="24"/>
      <c r="O112" s="111" t="str">
        <f t="shared" si="6"/>
        <v/>
      </c>
      <c r="P112" s="81"/>
      <c r="Q112" s="74"/>
      <c r="R112" s="74"/>
      <c r="S112" s="78" t="str">
        <f t="shared" si="8"/>
        <v/>
      </c>
      <c r="T112" s="24"/>
      <c r="U112" s="32"/>
      <c r="V112" s="40" t="str">
        <f t="shared" si="10"/>
        <v/>
      </c>
      <c r="W112" s="81"/>
      <c r="X112" s="74"/>
      <c r="Y112" s="74"/>
      <c r="Z112" s="79" t="str">
        <f t="shared" si="9"/>
        <v/>
      </c>
      <c r="AA112" s="24"/>
      <c r="AB112" s="32"/>
      <c r="AC112" s="31" t="str">
        <f t="shared" si="11"/>
        <v/>
      </c>
      <c r="AF112" s="109" t="str">
        <f>IF($M112="","",VLOOKUP($M112,'ORF Accuracy Value LookUp'!$D$4:$E$104,2,TRUE))</f>
        <v/>
      </c>
      <c r="AG112" s="47" t="str">
        <f>IF($S112="","",VLOOKUP($S112,'ORF Accuracy Value LookUp'!$G$4:$H$104,2,TRUE))</f>
        <v/>
      </c>
      <c r="AH112" s="110" t="str">
        <f>IF($Z112="","",VLOOKUP($Z112,'ORF Accuracy Value LookUp'!$G$4:$H$104,2,TRUE))</f>
        <v/>
      </c>
    </row>
    <row r="113" spans="1:34">
      <c r="A113" s="10"/>
      <c r="B113" s="9"/>
      <c r="C113" s="9"/>
      <c r="D113" s="9"/>
      <c r="E113" s="10"/>
      <c r="F113" s="11"/>
      <c r="G113" s="15"/>
      <c r="H113" s="81"/>
      <c r="I113" s="24"/>
      <c r="J113" s="24"/>
      <c r="K113" s="74"/>
      <c r="L113" s="74"/>
      <c r="M113" s="76" t="str">
        <f t="shared" si="7"/>
        <v/>
      </c>
      <c r="N113" s="24"/>
      <c r="O113" s="111" t="str">
        <f t="shared" si="6"/>
        <v/>
      </c>
      <c r="P113" s="81"/>
      <c r="Q113" s="74"/>
      <c r="R113" s="74"/>
      <c r="S113" s="78" t="str">
        <f t="shared" si="8"/>
        <v/>
      </c>
      <c r="T113" s="24"/>
      <c r="U113" s="32"/>
      <c r="V113" s="40" t="str">
        <f t="shared" si="10"/>
        <v/>
      </c>
      <c r="W113" s="81"/>
      <c r="X113" s="74"/>
      <c r="Y113" s="74"/>
      <c r="Z113" s="79" t="str">
        <f t="shared" si="9"/>
        <v/>
      </c>
      <c r="AA113" s="24"/>
      <c r="AB113" s="32"/>
      <c r="AC113" s="31" t="str">
        <f t="shared" si="11"/>
        <v/>
      </c>
      <c r="AF113" s="109" t="str">
        <f>IF($M113="","",VLOOKUP($M113,'ORF Accuracy Value LookUp'!$D$4:$E$104,2,TRUE))</f>
        <v/>
      </c>
      <c r="AG113" s="47" t="str">
        <f>IF($S113="","",VLOOKUP($S113,'ORF Accuracy Value LookUp'!$G$4:$H$104,2,TRUE))</f>
        <v/>
      </c>
      <c r="AH113" s="110" t="str">
        <f>IF($Z113="","",VLOOKUP($Z113,'ORF Accuracy Value LookUp'!$G$4:$H$104,2,TRUE))</f>
        <v/>
      </c>
    </row>
    <row r="114" spans="1:34">
      <c r="A114" s="10"/>
      <c r="B114" s="9"/>
      <c r="C114" s="9"/>
      <c r="D114" s="9"/>
      <c r="E114" s="10"/>
      <c r="F114" s="11"/>
      <c r="G114" s="15"/>
      <c r="H114" s="81"/>
      <c r="I114" s="24"/>
      <c r="J114" s="24"/>
      <c r="K114" s="74"/>
      <c r="L114" s="74"/>
      <c r="M114" s="76" t="str">
        <f t="shared" si="7"/>
        <v/>
      </c>
      <c r="N114" s="24"/>
      <c r="O114" s="111" t="str">
        <f t="shared" si="6"/>
        <v/>
      </c>
      <c r="P114" s="81"/>
      <c r="Q114" s="74"/>
      <c r="R114" s="74"/>
      <c r="S114" s="78" t="str">
        <f t="shared" si="8"/>
        <v/>
      </c>
      <c r="T114" s="24"/>
      <c r="U114" s="32"/>
      <c r="V114" s="40" t="str">
        <f t="shared" si="10"/>
        <v/>
      </c>
      <c r="W114" s="81"/>
      <c r="X114" s="74"/>
      <c r="Y114" s="74"/>
      <c r="Z114" s="79" t="str">
        <f t="shared" si="9"/>
        <v/>
      </c>
      <c r="AA114" s="24"/>
      <c r="AB114" s="32"/>
      <c r="AC114" s="31" t="str">
        <f t="shared" si="11"/>
        <v/>
      </c>
      <c r="AF114" s="109" t="str">
        <f>IF($M114="","",VLOOKUP($M114,'ORF Accuracy Value LookUp'!$D$4:$E$104,2,TRUE))</f>
        <v/>
      </c>
      <c r="AG114" s="47" t="str">
        <f>IF($S114="","",VLOOKUP($S114,'ORF Accuracy Value LookUp'!$G$4:$H$104,2,TRUE))</f>
        <v/>
      </c>
      <c r="AH114" s="110" t="str">
        <f>IF($Z114="","",VLOOKUP($Z114,'ORF Accuracy Value LookUp'!$G$4:$H$104,2,TRUE))</f>
        <v/>
      </c>
    </row>
    <row r="115" spans="1:34">
      <c r="A115" s="10"/>
      <c r="B115" s="9"/>
      <c r="C115" s="9"/>
      <c r="D115" s="9"/>
      <c r="E115" s="10"/>
      <c r="F115" s="11"/>
      <c r="G115" s="15"/>
      <c r="H115" s="81"/>
      <c r="I115" s="24"/>
      <c r="J115" s="24"/>
      <c r="K115" s="74"/>
      <c r="L115" s="74"/>
      <c r="M115" s="76" t="str">
        <f t="shared" si="7"/>
        <v/>
      </c>
      <c r="N115" s="24"/>
      <c r="O115" s="111" t="str">
        <f t="shared" si="6"/>
        <v/>
      </c>
      <c r="P115" s="81"/>
      <c r="Q115" s="74"/>
      <c r="R115" s="74"/>
      <c r="S115" s="78" t="str">
        <f t="shared" si="8"/>
        <v/>
      </c>
      <c r="T115" s="24"/>
      <c r="U115" s="32"/>
      <c r="V115" s="40" t="str">
        <f t="shared" si="10"/>
        <v/>
      </c>
      <c r="W115" s="81"/>
      <c r="X115" s="74"/>
      <c r="Y115" s="74"/>
      <c r="Z115" s="79" t="str">
        <f t="shared" si="9"/>
        <v/>
      </c>
      <c r="AA115" s="24"/>
      <c r="AB115" s="32"/>
      <c r="AC115" s="31" t="str">
        <f t="shared" si="11"/>
        <v/>
      </c>
      <c r="AF115" s="109" t="str">
        <f>IF($M115="","",VLOOKUP($M115,'ORF Accuracy Value LookUp'!$D$4:$E$104,2,TRUE))</f>
        <v/>
      </c>
      <c r="AG115" s="47" t="str">
        <f>IF($S115="","",VLOOKUP($S115,'ORF Accuracy Value LookUp'!$G$4:$H$104,2,TRUE))</f>
        <v/>
      </c>
      <c r="AH115" s="110" t="str">
        <f>IF($Z115="","",VLOOKUP($Z115,'ORF Accuracy Value LookUp'!$G$4:$H$104,2,TRUE))</f>
        <v/>
      </c>
    </row>
    <row r="116" spans="1:34">
      <c r="A116" s="10"/>
      <c r="B116" s="9"/>
      <c r="C116" s="9"/>
      <c r="D116" s="9"/>
      <c r="E116" s="10"/>
      <c r="F116" s="11"/>
      <c r="G116" s="15"/>
      <c r="H116" s="81"/>
      <c r="I116" s="24"/>
      <c r="J116" s="24"/>
      <c r="K116" s="74"/>
      <c r="L116" s="74"/>
      <c r="M116" s="76" t="str">
        <f t="shared" si="7"/>
        <v/>
      </c>
      <c r="N116" s="24"/>
      <c r="O116" s="111" t="str">
        <f t="shared" si="6"/>
        <v/>
      </c>
      <c r="P116" s="81"/>
      <c r="Q116" s="74"/>
      <c r="R116" s="74"/>
      <c r="S116" s="78" t="str">
        <f t="shared" si="8"/>
        <v/>
      </c>
      <c r="T116" s="24"/>
      <c r="U116" s="32"/>
      <c r="V116" s="40" t="str">
        <f t="shared" si="10"/>
        <v/>
      </c>
      <c r="W116" s="81"/>
      <c r="X116" s="74"/>
      <c r="Y116" s="74"/>
      <c r="Z116" s="79" t="str">
        <f t="shared" si="9"/>
        <v/>
      </c>
      <c r="AA116" s="24"/>
      <c r="AB116" s="32"/>
      <c r="AC116" s="31" t="str">
        <f t="shared" si="11"/>
        <v/>
      </c>
      <c r="AF116" s="109" t="str">
        <f>IF($M116="","",VLOOKUP($M116,'ORF Accuracy Value LookUp'!$D$4:$E$104,2,TRUE))</f>
        <v/>
      </c>
      <c r="AG116" s="47" t="str">
        <f>IF($S116="","",VLOOKUP($S116,'ORF Accuracy Value LookUp'!$G$4:$H$104,2,TRUE))</f>
        <v/>
      </c>
      <c r="AH116" s="110" t="str">
        <f>IF($Z116="","",VLOOKUP($Z116,'ORF Accuracy Value LookUp'!$G$4:$H$104,2,TRUE))</f>
        <v/>
      </c>
    </row>
    <row r="117" spans="1:34">
      <c r="A117" s="10"/>
      <c r="B117" s="9"/>
      <c r="C117" s="9"/>
      <c r="D117" s="9"/>
      <c r="E117" s="10"/>
      <c r="F117" s="11"/>
      <c r="G117" s="15"/>
      <c r="H117" s="81"/>
      <c r="I117" s="24"/>
      <c r="J117" s="24"/>
      <c r="K117" s="74"/>
      <c r="L117" s="74"/>
      <c r="M117" s="76" t="str">
        <f t="shared" si="7"/>
        <v/>
      </c>
      <c r="N117" s="24"/>
      <c r="O117" s="111" t="str">
        <f t="shared" si="6"/>
        <v/>
      </c>
      <c r="P117" s="81"/>
      <c r="Q117" s="74"/>
      <c r="R117" s="74"/>
      <c r="S117" s="78" t="str">
        <f t="shared" si="8"/>
        <v/>
      </c>
      <c r="T117" s="24"/>
      <c r="U117" s="32"/>
      <c r="V117" s="40" t="str">
        <f t="shared" si="10"/>
        <v/>
      </c>
      <c r="W117" s="81"/>
      <c r="X117" s="74"/>
      <c r="Y117" s="74"/>
      <c r="Z117" s="79" t="str">
        <f t="shared" si="9"/>
        <v/>
      </c>
      <c r="AA117" s="24"/>
      <c r="AB117" s="32"/>
      <c r="AC117" s="31" t="str">
        <f t="shared" si="11"/>
        <v/>
      </c>
      <c r="AF117" s="109" t="str">
        <f>IF($M117="","",VLOOKUP($M117,'ORF Accuracy Value LookUp'!$D$4:$E$104,2,TRUE))</f>
        <v/>
      </c>
      <c r="AG117" s="47" t="str">
        <f>IF($S117="","",VLOOKUP($S117,'ORF Accuracy Value LookUp'!$G$4:$H$104,2,TRUE))</f>
        <v/>
      </c>
      <c r="AH117" s="110" t="str">
        <f>IF($Z117="","",VLOOKUP($Z117,'ORF Accuracy Value LookUp'!$G$4:$H$104,2,TRUE))</f>
        <v/>
      </c>
    </row>
    <row r="118" spans="1:34">
      <c r="A118" s="10"/>
      <c r="B118" s="9"/>
      <c r="C118" s="9"/>
      <c r="D118" s="9"/>
      <c r="E118" s="10"/>
      <c r="F118" s="11"/>
      <c r="G118" s="15"/>
      <c r="H118" s="81"/>
      <c r="I118" s="24"/>
      <c r="J118" s="24"/>
      <c r="K118" s="74"/>
      <c r="L118" s="74"/>
      <c r="M118" s="76" t="str">
        <f t="shared" si="7"/>
        <v/>
      </c>
      <c r="N118" s="24"/>
      <c r="O118" s="111" t="str">
        <f t="shared" si="6"/>
        <v/>
      </c>
      <c r="P118" s="81"/>
      <c r="Q118" s="74"/>
      <c r="R118" s="74"/>
      <c r="S118" s="78" t="str">
        <f t="shared" si="8"/>
        <v/>
      </c>
      <c r="T118" s="24"/>
      <c r="U118" s="32"/>
      <c r="V118" s="40" t="str">
        <f t="shared" si="10"/>
        <v/>
      </c>
      <c r="W118" s="81"/>
      <c r="X118" s="74"/>
      <c r="Y118" s="74"/>
      <c r="Z118" s="79" t="str">
        <f t="shared" si="9"/>
        <v/>
      </c>
      <c r="AA118" s="24"/>
      <c r="AB118" s="32"/>
      <c r="AC118" s="31" t="str">
        <f t="shared" si="11"/>
        <v/>
      </c>
      <c r="AF118" s="109" t="str">
        <f>IF($M118="","",VLOOKUP($M118,'ORF Accuracy Value LookUp'!$D$4:$E$104,2,TRUE))</f>
        <v/>
      </c>
      <c r="AG118" s="47" t="str">
        <f>IF($S118="","",VLOOKUP($S118,'ORF Accuracy Value LookUp'!$G$4:$H$104,2,TRUE))</f>
        <v/>
      </c>
      <c r="AH118" s="110" t="str">
        <f>IF($Z118="","",VLOOKUP($Z118,'ORF Accuracy Value LookUp'!$G$4:$H$104,2,TRUE))</f>
        <v/>
      </c>
    </row>
    <row r="119" spans="1:34">
      <c r="A119" s="10"/>
      <c r="B119" s="9"/>
      <c r="C119" s="9"/>
      <c r="D119" s="9"/>
      <c r="E119" s="10"/>
      <c r="F119" s="11"/>
      <c r="G119" s="15"/>
      <c r="H119" s="81"/>
      <c r="I119" s="24"/>
      <c r="J119" s="24"/>
      <c r="K119" s="74"/>
      <c r="L119" s="74"/>
      <c r="M119" s="76" t="str">
        <f t="shared" si="7"/>
        <v/>
      </c>
      <c r="N119" s="24"/>
      <c r="O119" s="111" t="str">
        <f t="shared" si="6"/>
        <v/>
      </c>
      <c r="P119" s="81"/>
      <c r="Q119" s="74"/>
      <c r="R119" s="74"/>
      <c r="S119" s="78" t="str">
        <f t="shared" si="8"/>
        <v/>
      </c>
      <c r="T119" s="24"/>
      <c r="U119" s="32"/>
      <c r="V119" s="40" t="str">
        <f t="shared" si="10"/>
        <v/>
      </c>
      <c r="W119" s="81"/>
      <c r="X119" s="74"/>
      <c r="Y119" s="74"/>
      <c r="Z119" s="79" t="str">
        <f t="shared" si="9"/>
        <v/>
      </c>
      <c r="AA119" s="24"/>
      <c r="AB119" s="32"/>
      <c r="AC119" s="31" t="str">
        <f t="shared" si="11"/>
        <v/>
      </c>
      <c r="AF119" s="109" t="str">
        <f>IF($M119="","",VLOOKUP($M119,'ORF Accuracy Value LookUp'!$D$4:$E$104,2,TRUE))</f>
        <v/>
      </c>
      <c r="AG119" s="47" t="str">
        <f>IF($S119="","",VLOOKUP($S119,'ORF Accuracy Value LookUp'!$G$4:$H$104,2,TRUE))</f>
        <v/>
      </c>
      <c r="AH119" s="110" t="str">
        <f>IF($Z119="","",VLOOKUP($Z119,'ORF Accuracy Value LookUp'!$G$4:$H$104,2,TRUE))</f>
        <v/>
      </c>
    </row>
    <row r="120" spans="1:34">
      <c r="A120" s="10"/>
      <c r="B120" s="9"/>
      <c r="C120" s="9"/>
      <c r="D120" s="9"/>
      <c r="E120" s="10"/>
      <c r="F120" s="11"/>
      <c r="G120" s="15"/>
      <c r="H120" s="81"/>
      <c r="I120" s="24"/>
      <c r="J120" s="24"/>
      <c r="K120" s="74"/>
      <c r="L120" s="74"/>
      <c r="M120" s="76" t="str">
        <f t="shared" si="7"/>
        <v/>
      </c>
      <c r="N120" s="24"/>
      <c r="O120" s="111" t="str">
        <f t="shared" si="6"/>
        <v/>
      </c>
      <c r="P120" s="81"/>
      <c r="Q120" s="74"/>
      <c r="R120" s="74"/>
      <c r="S120" s="78" t="str">
        <f t="shared" si="8"/>
        <v/>
      </c>
      <c r="T120" s="24"/>
      <c r="U120" s="32"/>
      <c r="V120" s="40" t="str">
        <f t="shared" si="10"/>
        <v/>
      </c>
      <c r="W120" s="81"/>
      <c r="X120" s="74"/>
      <c r="Y120" s="74"/>
      <c r="Z120" s="79" t="str">
        <f t="shared" si="9"/>
        <v/>
      </c>
      <c r="AA120" s="24"/>
      <c r="AB120" s="32"/>
      <c r="AC120" s="31" t="str">
        <f t="shared" si="11"/>
        <v/>
      </c>
      <c r="AF120" s="109" t="str">
        <f>IF($M120="","",VLOOKUP($M120,'ORF Accuracy Value LookUp'!$D$4:$E$104,2,TRUE))</f>
        <v/>
      </c>
      <c r="AG120" s="47" t="str">
        <f>IF($S120="","",VLOOKUP($S120,'ORF Accuracy Value LookUp'!$G$4:$H$104,2,TRUE))</f>
        <v/>
      </c>
      <c r="AH120" s="110" t="str">
        <f>IF($Z120="","",VLOOKUP($Z120,'ORF Accuracy Value LookUp'!$G$4:$H$104,2,TRUE))</f>
        <v/>
      </c>
    </row>
    <row r="121" spans="1:34">
      <c r="A121" s="10"/>
      <c r="B121" s="9"/>
      <c r="C121" s="9"/>
      <c r="D121" s="9"/>
      <c r="E121" s="10"/>
      <c r="F121" s="11"/>
      <c r="G121" s="15"/>
      <c r="H121" s="81"/>
      <c r="I121" s="24"/>
      <c r="J121" s="24"/>
      <c r="K121" s="74"/>
      <c r="L121" s="74"/>
      <c r="M121" s="76" t="str">
        <f t="shared" si="7"/>
        <v/>
      </c>
      <c r="N121" s="24"/>
      <c r="O121" s="111" t="str">
        <f t="shared" si="6"/>
        <v/>
      </c>
      <c r="P121" s="81"/>
      <c r="Q121" s="74"/>
      <c r="R121" s="74"/>
      <c r="S121" s="78" t="str">
        <f t="shared" si="8"/>
        <v/>
      </c>
      <c r="T121" s="24"/>
      <c r="U121" s="32"/>
      <c r="V121" s="40" t="str">
        <f t="shared" si="10"/>
        <v/>
      </c>
      <c r="W121" s="81"/>
      <c r="X121" s="74"/>
      <c r="Y121" s="74"/>
      <c r="Z121" s="79" t="str">
        <f t="shared" si="9"/>
        <v/>
      </c>
      <c r="AA121" s="24"/>
      <c r="AB121" s="32"/>
      <c r="AC121" s="31" t="str">
        <f t="shared" si="11"/>
        <v/>
      </c>
      <c r="AF121" s="109" t="str">
        <f>IF($M121="","",VLOOKUP($M121,'ORF Accuracy Value LookUp'!$D$4:$E$104,2,TRUE))</f>
        <v/>
      </c>
      <c r="AG121" s="47" t="str">
        <f>IF($S121="","",VLOOKUP($S121,'ORF Accuracy Value LookUp'!$G$4:$H$104,2,TRUE))</f>
        <v/>
      </c>
      <c r="AH121" s="110" t="str">
        <f>IF($Z121="","",VLOOKUP($Z121,'ORF Accuracy Value LookUp'!$G$4:$H$104,2,TRUE))</f>
        <v/>
      </c>
    </row>
    <row r="122" spans="1:34">
      <c r="A122" s="10"/>
      <c r="B122" s="9"/>
      <c r="C122" s="9"/>
      <c r="D122" s="9"/>
      <c r="E122" s="10"/>
      <c r="F122" s="11"/>
      <c r="G122" s="15"/>
      <c r="H122" s="81"/>
      <c r="I122" s="24"/>
      <c r="J122" s="24"/>
      <c r="K122" s="74"/>
      <c r="L122" s="74"/>
      <c r="M122" s="76" t="str">
        <f t="shared" si="7"/>
        <v/>
      </c>
      <c r="N122" s="24"/>
      <c r="O122" s="111" t="str">
        <f t="shared" si="6"/>
        <v/>
      </c>
      <c r="P122" s="81"/>
      <c r="Q122" s="74"/>
      <c r="R122" s="74"/>
      <c r="S122" s="78" t="str">
        <f t="shared" si="8"/>
        <v/>
      </c>
      <c r="T122" s="24"/>
      <c r="U122" s="32"/>
      <c r="V122" s="40" t="str">
        <f t="shared" si="10"/>
        <v/>
      </c>
      <c r="W122" s="81"/>
      <c r="X122" s="74"/>
      <c r="Y122" s="74"/>
      <c r="Z122" s="79" t="str">
        <f t="shared" si="9"/>
        <v/>
      </c>
      <c r="AA122" s="24"/>
      <c r="AB122" s="32"/>
      <c r="AC122" s="31" t="str">
        <f t="shared" si="11"/>
        <v/>
      </c>
      <c r="AF122" s="109" t="str">
        <f>IF($M122="","",VLOOKUP($M122,'ORF Accuracy Value LookUp'!$D$4:$E$104,2,TRUE))</f>
        <v/>
      </c>
      <c r="AG122" s="47" t="str">
        <f>IF($S122="","",VLOOKUP($S122,'ORF Accuracy Value LookUp'!$G$4:$H$104,2,TRUE))</f>
        <v/>
      </c>
      <c r="AH122" s="110" t="str">
        <f>IF($Z122="","",VLOOKUP($Z122,'ORF Accuracy Value LookUp'!$G$4:$H$104,2,TRUE))</f>
        <v/>
      </c>
    </row>
    <row r="123" spans="1:34">
      <c r="A123" s="10"/>
      <c r="B123" s="9"/>
      <c r="C123" s="9"/>
      <c r="D123" s="9"/>
      <c r="E123" s="10"/>
      <c r="F123" s="11"/>
      <c r="G123" s="15"/>
      <c r="H123" s="81"/>
      <c r="I123" s="24"/>
      <c r="J123" s="24"/>
      <c r="K123" s="74"/>
      <c r="L123" s="74"/>
      <c r="M123" s="76" t="str">
        <f t="shared" si="7"/>
        <v/>
      </c>
      <c r="N123" s="24"/>
      <c r="O123" s="111" t="str">
        <f t="shared" si="6"/>
        <v/>
      </c>
      <c r="P123" s="81"/>
      <c r="Q123" s="74"/>
      <c r="R123" s="74"/>
      <c r="S123" s="78" t="str">
        <f t="shared" si="8"/>
        <v/>
      </c>
      <c r="T123" s="24"/>
      <c r="U123" s="32"/>
      <c r="V123" s="40" t="str">
        <f t="shared" si="10"/>
        <v/>
      </c>
      <c r="W123" s="81"/>
      <c r="X123" s="74"/>
      <c r="Y123" s="74"/>
      <c r="Z123" s="79" t="str">
        <f t="shared" si="9"/>
        <v/>
      </c>
      <c r="AA123" s="24"/>
      <c r="AB123" s="32"/>
      <c r="AC123" s="31" t="str">
        <f t="shared" si="11"/>
        <v/>
      </c>
      <c r="AF123" s="109" t="str">
        <f>IF($M123="","",VLOOKUP($M123,'ORF Accuracy Value LookUp'!$D$4:$E$104,2,TRUE))</f>
        <v/>
      </c>
      <c r="AG123" s="47" t="str">
        <f>IF($S123="","",VLOOKUP($S123,'ORF Accuracy Value LookUp'!$G$4:$H$104,2,TRUE))</f>
        <v/>
      </c>
      <c r="AH123" s="110" t="str">
        <f>IF($Z123="","",VLOOKUP($Z123,'ORF Accuracy Value LookUp'!$G$4:$H$104,2,TRUE))</f>
        <v/>
      </c>
    </row>
    <row r="124" spans="1:34">
      <c r="A124" s="10"/>
      <c r="B124" s="9"/>
      <c r="C124" s="9"/>
      <c r="D124" s="9"/>
      <c r="E124" s="10"/>
      <c r="F124" s="11"/>
      <c r="G124" s="15"/>
      <c r="H124" s="81"/>
      <c r="I124" s="24"/>
      <c r="J124" s="24"/>
      <c r="K124" s="74"/>
      <c r="L124" s="74"/>
      <c r="M124" s="76" t="str">
        <f t="shared" si="7"/>
        <v/>
      </c>
      <c r="N124" s="24"/>
      <c r="O124" s="111" t="str">
        <f t="shared" si="6"/>
        <v/>
      </c>
      <c r="P124" s="81"/>
      <c r="Q124" s="74"/>
      <c r="R124" s="74"/>
      <c r="S124" s="78" t="str">
        <f t="shared" si="8"/>
        <v/>
      </c>
      <c r="T124" s="24"/>
      <c r="U124" s="32"/>
      <c r="V124" s="40" t="str">
        <f t="shared" si="10"/>
        <v/>
      </c>
      <c r="W124" s="81"/>
      <c r="X124" s="74"/>
      <c r="Y124" s="74"/>
      <c r="Z124" s="79" t="str">
        <f t="shared" si="9"/>
        <v/>
      </c>
      <c r="AA124" s="24"/>
      <c r="AB124" s="32"/>
      <c r="AC124" s="31" t="str">
        <f t="shared" si="11"/>
        <v/>
      </c>
      <c r="AF124" s="109" t="str">
        <f>IF($M124="","",VLOOKUP($M124,'ORF Accuracy Value LookUp'!$D$4:$E$104,2,TRUE))</f>
        <v/>
      </c>
      <c r="AG124" s="47" t="str">
        <f>IF($S124="","",VLOOKUP($S124,'ORF Accuracy Value LookUp'!$G$4:$H$104,2,TRUE))</f>
        <v/>
      </c>
      <c r="AH124" s="110" t="str">
        <f>IF($Z124="","",VLOOKUP($Z124,'ORF Accuracy Value LookUp'!$G$4:$H$104,2,TRUE))</f>
        <v/>
      </c>
    </row>
    <row r="125" spans="1:34">
      <c r="A125" s="10"/>
      <c r="B125" s="9"/>
      <c r="C125" s="9"/>
      <c r="D125" s="9"/>
      <c r="E125" s="10"/>
      <c r="F125" s="11"/>
      <c r="G125" s="15"/>
      <c r="H125" s="81"/>
      <c r="I125" s="24"/>
      <c r="J125" s="24"/>
      <c r="K125" s="74"/>
      <c r="L125" s="74"/>
      <c r="M125" s="76" t="str">
        <f t="shared" si="7"/>
        <v/>
      </c>
      <c r="N125" s="24"/>
      <c r="O125" s="111" t="str">
        <f t="shared" si="6"/>
        <v/>
      </c>
      <c r="P125" s="81"/>
      <c r="Q125" s="74"/>
      <c r="R125" s="74"/>
      <c r="S125" s="78" t="str">
        <f t="shared" si="8"/>
        <v/>
      </c>
      <c r="T125" s="24"/>
      <c r="U125" s="32"/>
      <c r="V125" s="40" t="str">
        <f t="shared" si="10"/>
        <v/>
      </c>
      <c r="W125" s="81"/>
      <c r="X125" s="74"/>
      <c r="Y125" s="74"/>
      <c r="Z125" s="79" t="str">
        <f t="shared" si="9"/>
        <v/>
      </c>
      <c r="AA125" s="24"/>
      <c r="AB125" s="32"/>
      <c r="AC125" s="31" t="str">
        <f t="shared" si="11"/>
        <v/>
      </c>
      <c r="AF125" s="109" t="str">
        <f>IF($M125="","",VLOOKUP($M125,'ORF Accuracy Value LookUp'!$D$4:$E$104,2,TRUE))</f>
        <v/>
      </c>
      <c r="AG125" s="47" t="str">
        <f>IF($S125="","",VLOOKUP($S125,'ORF Accuracy Value LookUp'!$G$4:$H$104,2,TRUE))</f>
        <v/>
      </c>
      <c r="AH125" s="110" t="str">
        <f>IF($Z125="","",VLOOKUP($Z125,'ORF Accuracy Value LookUp'!$G$4:$H$104,2,TRUE))</f>
        <v/>
      </c>
    </row>
    <row r="126" spans="1:34">
      <c r="A126" s="10"/>
      <c r="B126" s="9"/>
      <c r="C126" s="9"/>
      <c r="D126" s="9"/>
      <c r="E126" s="10"/>
      <c r="F126" s="11"/>
      <c r="G126" s="15"/>
      <c r="H126" s="81"/>
      <c r="I126" s="24"/>
      <c r="J126" s="24"/>
      <c r="K126" s="74"/>
      <c r="L126" s="74"/>
      <c r="M126" s="76" t="str">
        <f t="shared" si="7"/>
        <v/>
      </c>
      <c r="N126" s="24"/>
      <c r="O126" s="111" t="str">
        <f t="shared" si="6"/>
        <v/>
      </c>
      <c r="P126" s="81"/>
      <c r="Q126" s="74"/>
      <c r="R126" s="74"/>
      <c r="S126" s="78" t="str">
        <f t="shared" si="8"/>
        <v/>
      </c>
      <c r="T126" s="24"/>
      <c r="U126" s="32"/>
      <c r="V126" s="40" t="str">
        <f t="shared" si="10"/>
        <v/>
      </c>
      <c r="W126" s="81"/>
      <c r="X126" s="74"/>
      <c r="Y126" s="74"/>
      <c r="Z126" s="79" t="str">
        <f t="shared" si="9"/>
        <v/>
      </c>
      <c r="AA126" s="24"/>
      <c r="AB126" s="32"/>
      <c r="AC126" s="31" t="str">
        <f t="shared" si="11"/>
        <v/>
      </c>
      <c r="AF126" s="109" t="str">
        <f>IF($M126="","",VLOOKUP($M126,'ORF Accuracy Value LookUp'!$D$4:$E$104,2,TRUE))</f>
        <v/>
      </c>
      <c r="AG126" s="47" t="str">
        <f>IF($S126="","",VLOOKUP($S126,'ORF Accuracy Value LookUp'!$G$4:$H$104,2,TRUE))</f>
        <v/>
      </c>
      <c r="AH126" s="110" t="str">
        <f>IF($Z126="","",VLOOKUP($Z126,'ORF Accuracy Value LookUp'!$G$4:$H$104,2,TRUE))</f>
        <v/>
      </c>
    </row>
    <row r="127" spans="1:34">
      <c r="A127" s="10"/>
      <c r="B127" s="9"/>
      <c r="C127" s="9"/>
      <c r="D127" s="9"/>
      <c r="E127" s="10"/>
      <c r="F127" s="11"/>
      <c r="G127" s="15"/>
      <c r="H127" s="81"/>
      <c r="I127" s="24"/>
      <c r="J127" s="24"/>
      <c r="K127" s="74"/>
      <c r="L127" s="74"/>
      <c r="M127" s="76" t="str">
        <f t="shared" si="7"/>
        <v/>
      </c>
      <c r="N127" s="24"/>
      <c r="O127" s="111" t="str">
        <f t="shared" si="6"/>
        <v/>
      </c>
      <c r="P127" s="81"/>
      <c r="Q127" s="74"/>
      <c r="R127" s="74"/>
      <c r="S127" s="78" t="str">
        <f t="shared" si="8"/>
        <v/>
      </c>
      <c r="T127" s="24"/>
      <c r="U127" s="32"/>
      <c r="V127" s="40" t="str">
        <f t="shared" si="10"/>
        <v/>
      </c>
      <c r="W127" s="81"/>
      <c r="X127" s="74"/>
      <c r="Y127" s="74"/>
      <c r="Z127" s="79" t="str">
        <f t="shared" si="9"/>
        <v/>
      </c>
      <c r="AA127" s="24"/>
      <c r="AB127" s="32"/>
      <c r="AC127" s="31" t="str">
        <f t="shared" si="11"/>
        <v/>
      </c>
      <c r="AF127" s="109" t="str">
        <f>IF($M127="","",VLOOKUP($M127,'ORF Accuracy Value LookUp'!$D$4:$E$104,2,TRUE))</f>
        <v/>
      </c>
      <c r="AG127" s="47" t="str">
        <f>IF($S127="","",VLOOKUP($S127,'ORF Accuracy Value LookUp'!$G$4:$H$104,2,TRUE))</f>
        <v/>
      </c>
      <c r="AH127" s="110" t="str">
        <f>IF($Z127="","",VLOOKUP($Z127,'ORF Accuracy Value LookUp'!$G$4:$H$104,2,TRUE))</f>
        <v/>
      </c>
    </row>
    <row r="128" spans="1:34">
      <c r="A128" s="10"/>
      <c r="B128" s="9"/>
      <c r="C128" s="9"/>
      <c r="D128" s="9"/>
      <c r="E128" s="10"/>
      <c r="F128" s="11"/>
      <c r="G128" s="15"/>
      <c r="H128" s="81"/>
      <c r="I128" s="24"/>
      <c r="J128" s="24"/>
      <c r="K128" s="74"/>
      <c r="L128" s="74"/>
      <c r="M128" s="76" t="str">
        <f t="shared" si="7"/>
        <v/>
      </c>
      <c r="N128" s="24"/>
      <c r="O128" s="111" t="str">
        <f t="shared" si="6"/>
        <v/>
      </c>
      <c r="P128" s="81"/>
      <c r="Q128" s="74"/>
      <c r="R128" s="74"/>
      <c r="S128" s="78" t="str">
        <f t="shared" si="8"/>
        <v/>
      </c>
      <c r="T128" s="24"/>
      <c r="U128" s="32"/>
      <c r="V128" s="40" t="str">
        <f t="shared" si="10"/>
        <v/>
      </c>
      <c r="W128" s="81"/>
      <c r="X128" s="74"/>
      <c r="Y128" s="74"/>
      <c r="Z128" s="79" t="str">
        <f t="shared" si="9"/>
        <v/>
      </c>
      <c r="AA128" s="24"/>
      <c r="AB128" s="32"/>
      <c r="AC128" s="31" t="str">
        <f t="shared" si="11"/>
        <v/>
      </c>
      <c r="AF128" s="109" t="str">
        <f>IF($M128="","",VLOOKUP($M128,'ORF Accuracy Value LookUp'!$D$4:$E$104,2,TRUE))</f>
        <v/>
      </c>
      <c r="AG128" s="47" t="str">
        <f>IF($S128="","",VLOOKUP($S128,'ORF Accuracy Value LookUp'!$G$4:$H$104,2,TRUE))</f>
        <v/>
      </c>
      <c r="AH128" s="110" t="str">
        <f>IF($Z128="","",VLOOKUP($Z128,'ORF Accuracy Value LookUp'!$G$4:$H$104,2,TRUE))</f>
        <v/>
      </c>
    </row>
    <row r="129" spans="1:34">
      <c r="A129" s="10"/>
      <c r="B129" s="9"/>
      <c r="C129" s="9"/>
      <c r="D129" s="9"/>
      <c r="E129" s="10"/>
      <c r="F129" s="11"/>
      <c r="G129" s="15"/>
      <c r="H129" s="81"/>
      <c r="I129" s="24"/>
      <c r="J129" s="24"/>
      <c r="K129" s="74"/>
      <c r="L129" s="74"/>
      <c r="M129" s="76" t="str">
        <f t="shared" si="7"/>
        <v/>
      </c>
      <c r="N129" s="24"/>
      <c r="O129" s="111" t="str">
        <f t="shared" si="6"/>
        <v/>
      </c>
      <c r="P129" s="81"/>
      <c r="Q129" s="74"/>
      <c r="R129" s="74"/>
      <c r="S129" s="78" t="str">
        <f t="shared" si="8"/>
        <v/>
      </c>
      <c r="T129" s="24"/>
      <c r="U129" s="32"/>
      <c r="V129" s="40" t="str">
        <f t="shared" si="10"/>
        <v/>
      </c>
      <c r="W129" s="81"/>
      <c r="X129" s="74"/>
      <c r="Y129" s="74"/>
      <c r="Z129" s="79" t="str">
        <f t="shared" si="9"/>
        <v/>
      </c>
      <c r="AA129" s="24"/>
      <c r="AB129" s="32"/>
      <c r="AC129" s="31" t="str">
        <f t="shared" si="11"/>
        <v/>
      </c>
      <c r="AF129" s="109" t="str">
        <f>IF($M129="","",VLOOKUP($M129,'ORF Accuracy Value LookUp'!$D$4:$E$104,2,TRUE))</f>
        <v/>
      </c>
      <c r="AG129" s="47" t="str">
        <f>IF($S129="","",VLOOKUP($S129,'ORF Accuracy Value LookUp'!$G$4:$H$104,2,TRUE))</f>
        <v/>
      </c>
      <c r="AH129" s="110" t="str">
        <f>IF($Z129="","",VLOOKUP($Z129,'ORF Accuracy Value LookUp'!$G$4:$H$104,2,TRUE))</f>
        <v/>
      </c>
    </row>
    <row r="130" spans="1:34">
      <c r="A130" s="10"/>
      <c r="B130" s="9"/>
      <c r="C130" s="9"/>
      <c r="D130" s="9"/>
      <c r="E130" s="10"/>
      <c r="F130" s="11"/>
      <c r="G130" s="15"/>
      <c r="H130" s="81"/>
      <c r="I130" s="24"/>
      <c r="J130" s="24"/>
      <c r="K130" s="74"/>
      <c r="L130" s="74"/>
      <c r="M130" s="76" t="str">
        <f t="shared" si="7"/>
        <v/>
      </c>
      <c r="N130" s="24"/>
      <c r="O130" s="111" t="str">
        <f t="shared" si="6"/>
        <v/>
      </c>
      <c r="P130" s="81"/>
      <c r="Q130" s="74"/>
      <c r="R130" s="74"/>
      <c r="S130" s="78" t="str">
        <f t="shared" si="8"/>
        <v/>
      </c>
      <c r="T130" s="24"/>
      <c r="U130" s="32"/>
      <c r="V130" s="40" t="str">
        <f t="shared" si="10"/>
        <v/>
      </c>
      <c r="W130" s="81"/>
      <c r="X130" s="74"/>
      <c r="Y130" s="74"/>
      <c r="Z130" s="79" t="str">
        <f t="shared" si="9"/>
        <v/>
      </c>
      <c r="AA130" s="24"/>
      <c r="AB130" s="32"/>
      <c r="AC130" s="31" t="str">
        <f t="shared" si="11"/>
        <v/>
      </c>
      <c r="AF130" s="109" t="str">
        <f>IF($M130="","",VLOOKUP($M130,'ORF Accuracy Value LookUp'!$D$4:$E$104,2,TRUE))</f>
        <v/>
      </c>
      <c r="AG130" s="47" t="str">
        <f>IF($S130="","",VLOOKUP($S130,'ORF Accuracy Value LookUp'!$G$4:$H$104,2,TRUE))</f>
        <v/>
      </c>
      <c r="AH130" s="110" t="str">
        <f>IF($Z130="","",VLOOKUP($Z130,'ORF Accuracy Value LookUp'!$G$4:$H$104,2,TRUE))</f>
        <v/>
      </c>
    </row>
    <row r="131" spans="1:34">
      <c r="A131" s="10"/>
      <c r="B131" s="9"/>
      <c r="C131" s="9"/>
      <c r="D131" s="9"/>
      <c r="E131" s="10"/>
      <c r="F131" s="11"/>
      <c r="G131" s="15"/>
      <c r="H131" s="81"/>
      <c r="I131" s="24"/>
      <c r="J131" s="24"/>
      <c r="K131" s="74"/>
      <c r="L131" s="74"/>
      <c r="M131" s="76" t="str">
        <f t="shared" si="7"/>
        <v/>
      </c>
      <c r="N131" s="24"/>
      <c r="O131" s="111" t="str">
        <f t="shared" si="6"/>
        <v/>
      </c>
      <c r="P131" s="81"/>
      <c r="Q131" s="74"/>
      <c r="R131" s="74"/>
      <c r="S131" s="78" t="str">
        <f t="shared" si="8"/>
        <v/>
      </c>
      <c r="T131" s="24"/>
      <c r="U131" s="32"/>
      <c r="V131" s="40" t="str">
        <f t="shared" si="10"/>
        <v/>
      </c>
      <c r="W131" s="81"/>
      <c r="X131" s="74"/>
      <c r="Y131" s="74"/>
      <c r="Z131" s="79" t="str">
        <f t="shared" si="9"/>
        <v/>
      </c>
      <c r="AA131" s="24"/>
      <c r="AB131" s="32"/>
      <c r="AC131" s="31" t="str">
        <f t="shared" si="11"/>
        <v/>
      </c>
      <c r="AF131" s="109" t="str">
        <f>IF($M131="","",VLOOKUP($M131,'ORF Accuracy Value LookUp'!$D$4:$E$104,2,TRUE))</f>
        <v/>
      </c>
      <c r="AG131" s="47" t="str">
        <f>IF($S131="","",VLOOKUP($S131,'ORF Accuracy Value LookUp'!$G$4:$H$104,2,TRUE))</f>
        <v/>
      </c>
      <c r="AH131" s="110" t="str">
        <f>IF($Z131="","",VLOOKUP($Z131,'ORF Accuracy Value LookUp'!$G$4:$H$104,2,TRUE))</f>
        <v/>
      </c>
    </row>
    <row r="132" spans="1:34">
      <c r="A132" s="10"/>
      <c r="B132" s="9"/>
      <c r="C132" s="9"/>
      <c r="D132" s="9"/>
      <c r="E132" s="10"/>
      <c r="F132" s="11"/>
      <c r="G132" s="15"/>
      <c r="H132" s="81"/>
      <c r="I132" s="24"/>
      <c r="J132" s="24"/>
      <c r="K132" s="74"/>
      <c r="L132" s="74"/>
      <c r="M132" s="76" t="str">
        <f t="shared" si="7"/>
        <v/>
      </c>
      <c r="N132" s="24"/>
      <c r="O132" s="111" t="str">
        <f t="shared" si="6"/>
        <v/>
      </c>
      <c r="P132" s="81"/>
      <c r="Q132" s="74"/>
      <c r="R132" s="74"/>
      <c r="S132" s="78" t="str">
        <f t="shared" si="8"/>
        <v/>
      </c>
      <c r="T132" s="24"/>
      <c r="U132" s="32"/>
      <c r="V132" s="40" t="str">
        <f t="shared" si="10"/>
        <v/>
      </c>
      <c r="W132" s="81"/>
      <c r="X132" s="74"/>
      <c r="Y132" s="74"/>
      <c r="Z132" s="79" t="str">
        <f t="shared" si="9"/>
        <v/>
      </c>
      <c r="AA132" s="24"/>
      <c r="AB132" s="32"/>
      <c r="AC132" s="31" t="str">
        <f t="shared" si="11"/>
        <v/>
      </c>
      <c r="AF132" s="109" t="str">
        <f>IF($M132="","",VLOOKUP($M132,'ORF Accuracy Value LookUp'!$D$4:$E$104,2,TRUE))</f>
        <v/>
      </c>
      <c r="AG132" s="47" t="str">
        <f>IF($S132="","",VLOOKUP($S132,'ORF Accuracy Value LookUp'!$G$4:$H$104,2,TRUE))</f>
        <v/>
      </c>
      <c r="AH132" s="110" t="str">
        <f>IF($Z132="","",VLOOKUP($Z132,'ORF Accuracy Value LookUp'!$G$4:$H$104,2,TRUE))</f>
        <v/>
      </c>
    </row>
    <row r="133" spans="1:34">
      <c r="A133" s="10"/>
      <c r="B133" s="9"/>
      <c r="C133" s="9"/>
      <c r="D133" s="9"/>
      <c r="E133" s="10"/>
      <c r="F133" s="11"/>
      <c r="G133" s="15"/>
      <c r="H133" s="81"/>
      <c r="I133" s="24"/>
      <c r="J133" s="24"/>
      <c r="K133" s="74"/>
      <c r="L133" s="74"/>
      <c r="M133" s="76" t="str">
        <f t="shared" si="7"/>
        <v/>
      </c>
      <c r="N133" s="24"/>
      <c r="O133" s="111" t="str">
        <f t="shared" si="6"/>
        <v/>
      </c>
      <c r="P133" s="81"/>
      <c r="Q133" s="74"/>
      <c r="R133" s="74"/>
      <c r="S133" s="78" t="str">
        <f t="shared" si="8"/>
        <v/>
      </c>
      <c r="T133" s="24"/>
      <c r="U133" s="32"/>
      <c r="V133" s="40" t="str">
        <f t="shared" si="10"/>
        <v/>
      </c>
      <c r="W133" s="81"/>
      <c r="X133" s="74"/>
      <c r="Y133" s="74"/>
      <c r="Z133" s="79" t="str">
        <f t="shared" si="9"/>
        <v/>
      </c>
      <c r="AA133" s="24"/>
      <c r="AB133" s="32"/>
      <c r="AC133" s="31" t="str">
        <f t="shared" si="11"/>
        <v/>
      </c>
      <c r="AF133" s="109" t="str">
        <f>IF($M133="","",VLOOKUP($M133,'ORF Accuracy Value LookUp'!$D$4:$E$104,2,TRUE))</f>
        <v/>
      </c>
      <c r="AG133" s="47" t="str">
        <f>IF($S133="","",VLOOKUP($S133,'ORF Accuracy Value LookUp'!$G$4:$H$104,2,TRUE))</f>
        <v/>
      </c>
      <c r="AH133" s="110" t="str">
        <f>IF($Z133="","",VLOOKUP($Z133,'ORF Accuracy Value LookUp'!$G$4:$H$104,2,TRUE))</f>
        <v/>
      </c>
    </row>
    <row r="134" spans="1:34">
      <c r="A134" s="10"/>
      <c r="B134" s="9"/>
      <c r="C134" s="9"/>
      <c r="D134" s="9"/>
      <c r="E134" s="10"/>
      <c r="F134" s="11"/>
      <c r="G134" s="15"/>
      <c r="H134" s="81"/>
      <c r="I134" s="24"/>
      <c r="J134" s="24"/>
      <c r="K134" s="74"/>
      <c r="L134" s="74"/>
      <c r="M134" s="76" t="str">
        <f t="shared" si="7"/>
        <v/>
      </c>
      <c r="N134" s="24"/>
      <c r="O134" s="111" t="str">
        <f t="shared" ref="O134:O197" si="12">IF($B134="","",SUM(($J134*2)+$K134+$AF134))</f>
        <v/>
      </c>
      <c r="P134" s="81"/>
      <c r="Q134" s="74"/>
      <c r="R134" s="74"/>
      <c r="S134" s="78" t="str">
        <f t="shared" si="8"/>
        <v/>
      </c>
      <c r="T134" s="24"/>
      <c r="U134" s="32"/>
      <c r="V134" s="40" t="str">
        <f t="shared" si="10"/>
        <v/>
      </c>
      <c r="W134" s="81"/>
      <c r="X134" s="74"/>
      <c r="Y134" s="74"/>
      <c r="Z134" s="79" t="str">
        <f t="shared" si="9"/>
        <v/>
      </c>
      <c r="AA134" s="24"/>
      <c r="AB134" s="32"/>
      <c r="AC134" s="31" t="str">
        <f t="shared" si="11"/>
        <v/>
      </c>
      <c r="AF134" s="109" t="str">
        <f>IF($M134="","",VLOOKUP($M134,'ORF Accuracy Value LookUp'!$D$4:$E$104,2,TRUE))</f>
        <v/>
      </c>
      <c r="AG134" s="47" t="str">
        <f>IF($S134="","",VLOOKUP($S134,'ORF Accuracy Value LookUp'!$G$4:$H$104,2,TRUE))</f>
        <v/>
      </c>
      <c r="AH134" s="110" t="str">
        <f>IF($Z134="","",VLOOKUP($Z134,'ORF Accuracy Value LookUp'!$G$4:$H$104,2,TRUE))</f>
        <v/>
      </c>
    </row>
    <row r="135" spans="1:34">
      <c r="A135" s="10"/>
      <c r="B135" s="9"/>
      <c r="C135" s="9"/>
      <c r="D135" s="9"/>
      <c r="E135" s="10"/>
      <c r="F135" s="11"/>
      <c r="G135" s="15"/>
      <c r="H135" s="81"/>
      <c r="I135" s="24"/>
      <c r="J135" s="24"/>
      <c r="K135" s="74"/>
      <c r="L135" s="74"/>
      <c r="M135" s="76" t="str">
        <f t="shared" ref="M135:M198" si="13">IF($K135="","",SUM($K135/($K135+$L135)))</f>
        <v/>
      </c>
      <c r="N135" s="24"/>
      <c r="O135" s="111" t="str">
        <f t="shared" si="12"/>
        <v/>
      </c>
      <c r="P135" s="81"/>
      <c r="Q135" s="74"/>
      <c r="R135" s="74"/>
      <c r="S135" s="78" t="str">
        <f t="shared" ref="S135:S198" si="14">IF($Q135="","",SUM($Q135/($Q135+$R135)))</f>
        <v/>
      </c>
      <c r="T135" s="24"/>
      <c r="U135" s="32"/>
      <c r="V135" s="40" t="str">
        <f t="shared" si="10"/>
        <v/>
      </c>
      <c r="W135" s="81"/>
      <c r="X135" s="74"/>
      <c r="Y135" s="74"/>
      <c r="Z135" s="79" t="str">
        <f t="shared" ref="Z135:Z198" si="15">IF($X135="","",SUM($X135/($X135+$Y135)))</f>
        <v/>
      </c>
      <c r="AA135" s="24"/>
      <c r="AB135" s="32"/>
      <c r="AC135" s="31" t="str">
        <f t="shared" si="11"/>
        <v/>
      </c>
      <c r="AF135" s="109" t="str">
        <f>IF($M135="","",VLOOKUP($M135,'ORF Accuracy Value LookUp'!$D$4:$E$104,2,TRUE))</f>
        <v/>
      </c>
      <c r="AG135" s="47" t="str">
        <f>IF($S135="","",VLOOKUP($S135,'ORF Accuracy Value LookUp'!$G$4:$H$104,2,TRUE))</f>
        <v/>
      </c>
      <c r="AH135" s="110" t="str">
        <f>IF($Z135="","",VLOOKUP($Z135,'ORF Accuracy Value LookUp'!$G$4:$H$104,2,TRUE))</f>
        <v/>
      </c>
    </row>
    <row r="136" spans="1:34">
      <c r="A136" s="10"/>
      <c r="B136" s="9"/>
      <c r="C136" s="9"/>
      <c r="D136" s="9"/>
      <c r="E136" s="10"/>
      <c r="F136" s="11"/>
      <c r="G136" s="15"/>
      <c r="H136" s="81"/>
      <c r="I136" s="24"/>
      <c r="J136" s="24"/>
      <c r="K136" s="74"/>
      <c r="L136" s="74"/>
      <c r="M136" s="76" t="str">
        <f t="shared" si="13"/>
        <v/>
      </c>
      <c r="N136" s="24"/>
      <c r="O136" s="111" t="str">
        <f t="shared" si="12"/>
        <v/>
      </c>
      <c r="P136" s="81"/>
      <c r="Q136" s="74"/>
      <c r="R136" s="74"/>
      <c r="S136" s="78" t="str">
        <f t="shared" si="14"/>
        <v/>
      </c>
      <c r="T136" s="24"/>
      <c r="U136" s="32"/>
      <c r="V136" s="40" t="str">
        <f t="shared" ref="V136:V199" si="16">IF($P136="","",SUM($Q136+$AG136+($T136*2)))</f>
        <v/>
      </c>
      <c r="W136" s="81"/>
      <c r="X136" s="74"/>
      <c r="Y136" s="74"/>
      <c r="Z136" s="79" t="str">
        <f t="shared" si="15"/>
        <v/>
      </c>
      <c r="AA136" s="24"/>
      <c r="AB136" s="32"/>
      <c r="AC136" s="31" t="str">
        <f t="shared" ref="AC136:AC199" si="17">IF($W136="","",SUM($X136+$AH136+($AA136*2)))</f>
        <v/>
      </c>
      <c r="AF136" s="109" t="str">
        <f>IF($M136="","",VLOOKUP($M136,'ORF Accuracy Value LookUp'!$D$4:$E$104,2,TRUE))</f>
        <v/>
      </c>
      <c r="AG136" s="47" t="str">
        <f>IF($S136="","",VLOOKUP($S136,'ORF Accuracy Value LookUp'!$G$4:$H$104,2,TRUE))</f>
        <v/>
      </c>
      <c r="AH136" s="110" t="str">
        <f>IF($Z136="","",VLOOKUP($Z136,'ORF Accuracy Value LookUp'!$G$4:$H$104,2,TRUE))</f>
        <v/>
      </c>
    </row>
    <row r="137" spans="1:34">
      <c r="A137" s="10"/>
      <c r="B137" s="9"/>
      <c r="C137" s="9"/>
      <c r="D137" s="9"/>
      <c r="E137" s="10"/>
      <c r="F137" s="11"/>
      <c r="G137" s="15"/>
      <c r="H137" s="81"/>
      <c r="I137" s="24"/>
      <c r="J137" s="24"/>
      <c r="K137" s="74"/>
      <c r="L137" s="74"/>
      <c r="M137" s="76" t="str">
        <f t="shared" si="13"/>
        <v/>
      </c>
      <c r="N137" s="24"/>
      <c r="O137" s="111" t="str">
        <f t="shared" si="12"/>
        <v/>
      </c>
      <c r="P137" s="81"/>
      <c r="Q137" s="74"/>
      <c r="R137" s="74"/>
      <c r="S137" s="78" t="str">
        <f t="shared" si="14"/>
        <v/>
      </c>
      <c r="T137" s="24"/>
      <c r="U137" s="32"/>
      <c r="V137" s="40" t="str">
        <f t="shared" si="16"/>
        <v/>
      </c>
      <c r="W137" s="81"/>
      <c r="X137" s="74"/>
      <c r="Y137" s="74"/>
      <c r="Z137" s="79" t="str">
        <f t="shared" si="15"/>
        <v/>
      </c>
      <c r="AA137" s="24"/>
      <c r="AB137" s="32"/>
      <c r="AC137" s="31" t="str">
        <f t="shared" si="17"/>
        <v/>
      </c>
      <c r="AF137" s="109" t="str">
        <f>IF($M137="","",VLOOKUP($M137,'ORF Accuracy Value LookUp'!$D$4:$E$104,2,TRUE))</f>
        <v/>
      </c>
      <c r="AG137" s="47" t="str">
        <f>IF($S137="","",VLOOKUP($S137,'ORF Accuracy Value LookUp'!$G$4:$H$104,2,TRUE))</f>
        <v/>
      </c>
      <c r="AH137" s="110" t="str">
        <f>IF($Z137="","",VLOOKUP($Z137,'ORF Accuracy Value LookUp'!$G$4:$H$104,2,TRUE))</f>
        <v/>
      </c>
    </row>
    <row r="138" spans="1:34">
      <c r="A138" s="10"/>
      <c r="B138" s="9"/>
      <c r="C138" s="9"/>
      <c r="D138" s="9"/>
      <c r="E138" s="10"/>
      <c r="F138" s="11"/>
      <c r="G138" s="15"/>
      <c r="H138" s="81"/>
      <c r="I138" s="24"/>
      <c r="J138" s="24"/>
      <c r="K138" s="74"/>
      <c r="L138" s="74"/>
      <c r="M138" s="76" t="str">
        <f t="shared" si="13"/>
        <v/>
      </c>
      <c r="N138" s="24"/>
      <c r="O138" s="111" t="str">
        <f t="shared" si="12"/>
        <v/>
      </c>
      <c r="P138" s="81"/>
      <c r="Q138" s="74"/>
      <c r="R138" s="74"/>
      <c r="S138" s="78" t="str">
        <f t="shared" si="14"/>
        <v/>
      </c>
      <c r="T138" s="24"/>
      <c r="U138" s="32"/>
      <c r="V138" s="40" t="str">
        <f t="shared" si="16"/>
        <v/>
      </c>
      <c r="W138" s="81"/>
      <c r="X138" s="74"/>
      <c r="Y138" s="74"/>
      <c r="Z138" s="79" t="str">
        <f t="shared" si="15"/>
        <v/>
      </c>
      <c r="AA138" s="24"/>
      <c r="AB138" s="32"/>
      <c r="AC138" s="31" t="str">
        <f t="shared" si="17"/>
        <v/>
      </c>
      <c r="AF138" s="109" t="str">
        <f>IF($M138="","",VLOOKUP($M138,'ORF Accuracy Value LookUp'!$D$4:$E$104,2,TRUE))</f>
        <v/>
      </c>
      <c r="AG138" s="47" t="str">
        <f>IF($S138="","",VLOOKUP($S138,'ORF Accuracy Value LookUp'!$G$4:$H$104,2,TRUE))</f>
        <v/>
      </c>
      <c r="AH138" s="110" t="str">
        <f>IF($Z138="","",VLOOKUP($Z138,'ORF Accuracy Value LookUp'!$G$4:$H$104,2,TRUE))</f>
        <v/>
      </c>
    </row>
    <row r="139" spans="1:34">
      <c r="A139" s="10"/>
      <c r="B139" s="9"/>
      <c r="C139" s="9"/>
      <c r="D139" s="9"/>
      <c r="E139" s="10"/>
      <c r="F139" s="11"/>
      <c r="G139" s="15"/>
      <c r="H139" s="81"/>
      <c r="I139" s="24"/>
      <c r="J139" s="24"/>
      <c r="K139" s="74"/>
      <c r="L139" s="74"/>
      <c r="M139" s="76" t="str">
        <f t="shared" si="13"/>
        <v/>
      </c>
      <c r="N139" s="24"/>
      <c r="O139" s="111" t="str">
        <f t="shared" si="12"/>
        <v/>
      </c>
      <c r="P139" s="81"/>
      <c r="Q139" s="74"/>
      <c r="R139" s="74"/>
      <c r="S139" s="78" t="str">
        <f t="shared" si="14"/>
        <v/>
      </c>
      <c r="T139" s="24"/>
      <c r="U139" s="32"/>
      <c r="V139" s="40" t="str">
        <f t="shared" si="16"/>
        <v/>
      </c>
      <c r="W139" s="81"/>
      <c r="X139" s="74"/>
      <c r="Y139" s="74"/>
      <c r="Z139" s="79" t="str">
        <f t="shared" si="15"/>
        <v/>
      </c>
      <c r="AA139" s="24"/>
      <c r="AB139" s="32"/>
      <c r="AC139" s="31" t="str">
        <f t="shared" si="17"/>
        <v/>
      </c>
      <c r="AF139" s="109" t="str">
        <f>IF($M139="","",VLOOKUP($M139,'ORF Accuracy Value LookUp'!$D$4:$E$104,2,TRUE))</f>
        <v/>
      </c>
      <c r="AG139" s="47" t="str">
        <f>IF($S139="","",VLOOKUP($S139,'ORF Accuracy Value LookUp'!$G$4:$H$104,2,TRUE))</f>
        <v/>
      </c>
      <c r="AH139" s="110" t="str">
        <f>IF($Z139="","",VLOOKUP($Z139,'ORF Accuracy Value LookUp'!$G$4:$H$104,2,TRUE))</f>
        <v/>
      </c>
    </row>
    <row r="140" spans="1:34">
      <c r="A140" s="10"/>
      <c r="B140" s="9"/>
      <c r="C140" s="9"/>
      <c r="D140" s="9"/>
      <c r="E140" s="10"/>
      <c r="F140" s="11"/>
      <c r="G140" s="15"/>
      <c r="H140" s="81"/>
      <c r="I140" s="24"/>
      <c r="J140" s="24"/>
      <c r="K140" s="74"/>
      <c r="L140" s="74"/>
      <c r="M140" s="76" t="str">
        <f t="shared" si="13"/>
        <v/>
      </c>
      <c r="N140" s="24"/>
      <c r="O140" s="111" t="str">
        <f t="shared" si="12"/>
        <v/>
      </c>
      <c r="P140" s="81"/>
      <c r="Q140" s="74"/>
      <c r="R140" s="74"/>
      <c r="S140" s="78" t="str">
        <f t="shared" si="14"/>
        <v/>
      </c>
      <c r="T140" s="24"/>
      <c r="U140" s="32"/>
      <c r="V140" s="40" t="str">
        <f t="shared" si="16"/>
        <v/>
      </c>
      <c r="W140" s="81"/>
      <c r="X140" s="74"/>
      <c r="Y140" s="74"/>
      <c r="Z140" s="79" t="str">
        <f t="shared" si="15"/>
        <v/>
      </c>
      <c r="AA140" s="24"/>
      <c r="AB140" s="32"/>
      <c r="AC140" s="31" t="str">
        <f t="shared" si="17"/>
        <v/>
      </c>
      <c r="AF140" s="109" t="str">
        <f>IF($M140="","",VLOOKUP($M140,'ORF Accuracy Value LookUp'!$D$4:$E$104,2,TRUE))</f>
        <v/>
      </c>
      <c r="AG140" s="47" t="str">
        <f>IF($S140="","",VLOOKUP($S140,'ORF Accuracy Value LookUp'!$G$4:$H$104,2,TRUE))</f>
        <v/>
      </c>
      <c r="AH140" s="110" t="str">
        <f>IF($Z140="","",VLOOKUP($Z140,'ORF Accuracy Value LookUp'!$G$4:$H$104,2,TRUE))</f>
        <v/>
      </c>
    </row>
    <row r="141" spans="1:34">
      <c r="A141" s="10"/>
      <c r="B141" s="9"/>
      <c r="C141" s="9"/>
      <c r="D141" s="9"/>
      <c r="E141" s="10"/>
      <c r="F141" s="11"/>
      <c r="G141" s="15"/>
      <c r="H141" s="81"/>
      <c r="I141" s="24"/>
      <c r="J141" s="24"/>
      <c r="K141" s="74"/>
      <c r="L141" s="74"/>
      <c r="M141" s="76" t="str">
        <f t="shared" si="13"/>
        <v/>
      </c>
      <c r="N141" s="24"/>
      <c r="O141" s="111" t="str">
        <f t="shared" si="12"/>
        <v/>
      </c>
      <c r="P141" s="81"/>
      <c r="Q141" s="74"/>
      <c r="R141" s="74"/>
      <c r="S141" s="78" t="str">
        <f t="shared" si="14"/>
        <v/>
      </c>
      <c r="T141" s="24"/>
      <c r="U141" s="32"/>
      <c r="V141" s="40" t="str">
        <f t="shared" si="16"/>
        <v/>
      </c>
      <c r="W141" s="81"/>
      <c r="X141" s="74"/>
      <c r="Y141" s="74"/>
      <c r="Z141" s="79" t="str">
        <f t="shared" si="15"/>
        <v/>
      </c>
      <c r="AA141" s="24"/>
      <c r="AB141" s="32"/>
      <c r="AC141" s="31" t="str">
        <f t="shared" si="17"/>
        <v/>
      </c>
      <c r="AF141" s="109" t="str">
        <f>IF($M141="","",VLOOKUP($M141,'ORF Accuracy Value LookUp'!$D$4:$E$104,2,TRUE))</f>
        <v/>
      </c>
      <c r="AG141" s="47" t="str">
        <f>IF($S141="","",VLOOKUP($S141,'ORF Accuracy Value LookUp'!$G$4:$H$104,2,TRUE))</f>
        <v/>
      </c>
      <c r="AH141" s="110" t="str">
        <f>IF($Z141="","",VLOOKUP($Z141,'ORF Accuracy Value LookUp'!$G$4:$H$104,2,TRUE))</f>
        <v/>
      </c>
    </row>
    <row r="142" spans="1:34">
      <c r="A142" s="10"/>
      <c r="B142" s="9"/>
      <c r="C142" s="9"/>
      <c r="D142" s="9"/>
      <c r="E142" s="10"/>
      <c r="F142" s="11"/>
      <c r="G142" s="15"/>
      <c r="H142" s="81"/>
      <c r="I142" s="24"/>
      <c r="J142" s="24"/>
      <c r="K142" s="74"/>
      <c r="L142" s="74"/>
      <c r="M142" s="76" t="str">
        <f t="shared" si="13"/>
        <v/>
      </c>
      <c r="N142" s="24"/>
      <c r="O142" s="111" t="str">
        <f t="shared" si="12"/>
        <v/>
      </c>
      <c r="P142" s="81"/>
      <c r="Q142" s="74"/>
      <c r="R142" s="74"/>
      <c r="S142" s="78" t="str">
        <f t="shared" si="14"/>
        <v/>
      </c>
      <c r="T142" s="24"/>
      <c r="U142" s="32"/>
      <c r="V142" s="40" t="str">
        <f t="shared" si="16"/>
        <v/>
      </c>
      <c r="W142" s="81"/>
      <c r="X142" s="74"/>
      <c r="Y142" s="74"/>
      <c r="Z142" s="79" t="str">
        <f t="shared" si="15"/>
        <v/>
      </c>
      <c r="AA142" s="24"/>
      <c r="AB142" s="32"/>
      <c r="AC142" s="31" t="str">
        <f t="shared" si="17"/>
        <v/>
      </c>
      <c r="AF142" s="109" t="str">
        <f>IF($M142="","",VLOOKUP($M142,'ORF Accuracy Value LookUp'!$D$4:$E$104,2,TRUE))</f>
        <v/>
      </c>
      <c r="AG142" s="47" t="str">
        <f>IF($S142="","",VLOOKUP($S142,'ORF Accuracy Value LookUp'!$G$4:$H$104,2,TRUE))</f>
        <v/>
      </c>
      <c r="AH142" s="110" t="str">
        <f>IF($Z142="","",VLOOKUP($Z142,'ORF Accuracy Value LookUp'!$G$4:$H$104,2,TRUE))</f>
        <v/>
      </c>
    </row>
    <row r="143" spans="1:34">
      <c r="A143" s="10"/>
      <c r="B143" s="9"/>
      <c r="C143" s="9"/>
      <c r="D143" s="9"/>
      <c r="E143" s="10"/>
      <c r="F143" s="11"/>
      <c r="G143" s="15"/>
      <c r="H143" s="81"/>
      <c r="I143" s="24"/>
      <c r="J143" s="24"/>
      <c r="K143" s="74"/>
      <c r="L143" s="74"/>
      <c r="M143" s="76" t="str">
        <f t="shared" si="13"/>
        <v/>
      </c>
      <c r="N143" s="24"/>
      <c r="O143" s="111" t="str">
        <f t="shared" si="12"/>
        <v/>
      </c>
      <c r="P143" s="81"/>
      <c r="Q143" s="74"/>
      <c r="R143" s="74"/>
      <c r="S143" s="78" t="str">
        <f t="shared" si="14"/>
        <v/>
      </c>
      <c r="T143" s="24"/>
      <c r="U143" s="32"/>
      <c r="V143" s="40" t="str">
        <f t="shared" si="16"/>
        <v/>
      </c>
      <c r="W143" s="81"/>
      <c r="X143" s="74"/>
      <c r="Y143" s="74"/>
      <c r="Z143" s="79" t="str">
        <f t="shared" si="15"/>
        <v/>
      </c>
      <c r="AA143" s="24"/>
      <c r="AB143" s="32"/>
      <c r="AC143" s="31" t="str">
        <f t="shared" si="17"/>
        <v/>
      </c>
      <c r="AF143" s="109" t="str">
        <f>IF($M143="","",VLOOKUP($M143,'ORF Accuracy Value LookUp'!$D$4:$E$104,2,TRUE))</f>
        <v/>
      </c>
      <c r="AG143" s="47" t="str">
        <f>IF($S143="","",VLOOKUP($S143,'ORF Accuracy Value LookUp'!$G$4:$H$104,2,TRUE))</f>
        <v/>
      </c>
      <c r="AH143" s="110" t="str">
        <f>IF($Z143="","",VLOOKUP($Z143,'ORF Accuracy Value LookUp'!$G$4:$H$104,2,TRUE))</f>
        <v/>
      </c>
    </row>
    <row r="144" spans="1:34">
      <c r="A144" s="10"/>
      <c r="B144" s="9"/>
      <c r="C144" s="9"/>
      <c r="D144" s="9"/>
      <c r="E144" s="10"/>
      <c r="F144" s="11"/>
      <c r="G144" s="15"/>
      <c r="H144" s="81"/>
      <c r="I144" s="24"/>
      <c r="J144" s="24"/>
      <c r="K144" s="74"/>
      <c r="L144" s="74"/>
      <c r="M144" s="76" t="str">
        <f t="shared" si="13"/>
        <v/>
      </c>
      <c r="N144" s="24"/>
      <c r="O144" s="111" t="str">
        <f t="shared" si="12"/>
        <v/>
      </c>
      <c r="P144" s="81"/>
      <c r="Q144" s="74"/>
      <c r="R144" s="74"/>
      <c r="S144" s="78" t="str">
        <f t="shared" si="14"/>
        <v/>
      </c>
      <c r="T144" s="24"/>
      <c r="U144" s="32"/>
      <c r="V144" s="40" t="str">
        <f t="shared" si="16"/>
        <v/>
      </c>
      <c r="W144" s="81"/>
      <c r="X144" s="74"/>
      <c r="Y144" s="74"/>
      <c r="Z144" s="79" t="str">
        <f t="shared" si="15"/>
        <v/>
      </c>
      <c r="AA144" s="24"/>
      <c r="AB144" s="32"/>
      <c r="AC144" s="31" t="str">
        <f t="shared" si="17"/>
        <v/>
      </c>
      <c r="AF144" s="109" t="str">
        <f>IF($M144="","",VLOOKUP($M144,'ORF Accuracy Value LookUp'!$D$4:$E$104,2,TRUE))</f>
        <v/>
      </c>
      <c r="AG144" s="47" t="str">
        <f>IF($S144="","",VLOOKUP($S144,'ORF Accuracy Value LookUp'!$G$4:$H$104,2,TRUE))</f>
        <v/>
      </c>
      <c r="AH144" s="110" t="str">
        <f>IF($Z144="","",VLOOKUP($Z144,'ORF Accuracy Value LookUp'!$G$4:$H$104,2,TRUE))</f>
        <v/>
      </c>
    </row>
    <row r="145" spans="1:34">
      <c r="A145" s="10"/>
      <c r="B145" s="9"/>
      <c r="C145" s="9"/>
      <c r="D145" s="9"/>
      <c r="E145" s="10"/>
      <c r="F145" s="11"/>
      <c r="G145" s="15"/>
      <c r="H145" s="81"/>
      <c r="I145" s="24"/>
      <c r="J145" s="24"/>
      <c r="K145" s="74"/>
      <c r="L145" s="74"/>
      <c r="M145" s="76" t="str">
        <f t="shared" si="13"/>
        <v/>
      </c>
      <c r="N145" s="24"/>
      <c r="O145" s="111" t="str">
        <f t="shared" si="12"/>
        <v/>
      </c>
      <c r="P145" s="81"/>
      <c r="Q145" s="74"/>
      <c r="R145" s="74"/>
      <c r="S145" s="78" t="str">
        <f t="shared" si="14"/>
        <v/>
      </c>
      <c r="T145" s="24"/>
      <c r="U145" s="32"/>
      <c r="V145" s="40" t="str">
        <f t="shared" si="16"/>
        <v/>
      </c>
      <c r="W145" s="81"/>
      <c r="X145" s="74"/>
      <c r="Y145" s="74"/>
      <c r="Z145" s="79" t="str">
        <f t="shared" si="15"/>
        <v/>
      </c>
      <c r="AA145" s="24"/>
      <c r="AB145" s="32"/>
      <c r="AC145" s="31" t="str">
        <f t="shared" si="17"/>
        <v/>
      </c>
      <c r="AF145" s="109" t="str">
        <f>IF($M145="","",VLOOKUP($M145,'ORF Accuracy Value LookUp'!$D$4:$E$104,2,TRUE))</f>
        <v/>
      </c>
      <c r="AG145" s="47" t="str">
        <f>IF($S145="","",VLOOKUP($S145,'ORF Accuracy Value LookUp'!$G$4:$H$104,2,TRUE))</f>
        <v/>
      </c>
      <c r="AH145" s="110" t="str">
        <f>IF($Z145="","",VLOOKUP($Z145,'ORF Accuracy Value LookUp'!$G$4:$H$104,2,TRUE))</f>
        <v/>
      </c>
    </row>
    <row r="146" spans="1:34">
      <c r="A146" s="10"/>
      <c r="B146" s="9"/>
      <c r="C146" s="9"/>
      <c r="D146" s="9"/>
      <c r="E146" s="10"/>
      <c r="F146" s="11"/>
      <c r="G146" s="15"/>
      <c r="H146" s="81"/>
      <c r="I146" s="24"/>
      <c r="J146" s="24"/>
      <c r="K146" s="74"/>
      <c r="L146" s="74"/>
      <c r="M146" s="76" t="str">
        <f t="shared" si="13"/>
        <v/>
      </c>
      <c r="N146" s="24"/>
      <c r="O146" s="111" t="str">
        <f t="shared" si="12"/>
        <v/>
      </c>
      <c r="P146" s="81"/>
      <c r="Q146" s="74"/>
      <c r="R146" s="74"/>
      <c r="S146" s="78" t="str">
        <f t="shared" si="14"/>
        <v/>
      </c>
      <c r="T146" s="24"/>
      <c r="U146" s="32"/>
      <c r="V146" s="40" t="str">
        <f t="shared" si="16"/>
        <v/>
      </c>
      <c r="W146" s="81"/>
      <c r="X146" s="74"/>
      <c r="Y146" s="74"/>
      <c r="Z146" s="79" t="str">
        <f t="shared" si="15"/>
        <v/>
      </c>
      <c r="AA146" s="24"/>
      <c r="AB146" s="32"/>
      <c r="AC146" s="31" t="str">
        <f t="shared" si="17"/>
        <v/>
      </c>
      <c r="AF146" s="109" t="str">
        <f>IF($M146="","",VLOOKUP($M146,'ORF Accuracy Value LookUp'!$D$4:$E$104,2,TRUE))</f>
        <v/>
      </c>
      <c r="AG146" s="47" t="str">
        <f>IF($S146="","",VLOOKUP($S146,'ORF Accuracy Value LookUp'!$G$4:$H$104,2,TRUE))</f>
        <v/>
      </c>
      <c r="AH146" s="110" t="str">
        <f>IF($Z146="","",VLOOKUP($Z146,'ORF Accuracy Value LookUp'!$G$4:$H$104,2,TRUE))</f>
        <v/>
      </c>
    </row>
    <row r="147" spans="1:34">
      <c r="A147" s="10"/>
      <c r="B147" s="9"/>
      <c r="C147" s="9"/>
      <c r="D147" s="9"/>
      <c r="E147" s="10"/>
      <c r="F147" s="11"/>
      <c r="G147" s="15"/>
      <c r="H147" s="81"/>
      <c r="I147" s="24"/>
      <c r="J147" s="24"/>
      <c r="K147" s="74"/>
      <c r="L147" s="74"/>
      <c r="M147" s="76" t="str">
        <f t="shared" si="13"/>
        <v/>
      </c>
      <c r="N147" s="24"/>
      <c r="O147" s="111" t="str">
        <f t="shared" si="12"/>
        <v/>
      </c>
      <c r="P147" s="81"/>
      <c r="Q147" s="74"/>
      <c r="R147" s="74"/>
      <c r="S147" s="78" t="str">
        <f t="shared" si="14"/>
        <v/>
      </c>
      <c r="T147" s="24"/>
      <c r="U147" s="32"/>
      <c r="V147" s="40" t="str">
        <f t="shared" si="16"/>
        <v/>
      </c>
      <c r="W147" s="81"/>
      <c r="X147" s="74"/>
      <c r="Y147" s="74"/>
      <c r="Z147" s="79" t="str">
        <f t="shared" si="15"/>
        <v/>
      </c>
      <c r="AA147" s="24"/>
      <c r="AB147" s="32"/>
      <c r="AC147" s="31" t="str">
        <f t="shared" si="17"/>
        <v/>
      </c>
      <c r="AF147" s="109" t="str">
        <f>IF($M147="","",VLOOKUP($M147,'ORF Accuracy Value LookUp'!$D$4:$E$104,2,TRUE))</f>
        <v/>
      </c>
      <c r="AG147" s="47" t="str">
        <f>IF($S147="","",VLOOKUP($S147,'ORF Accuracy Value LookUp'!$G$4:$H$104,2,TRUE))</f>
        <v/>
      </c>
      <c r="AH147" s="110" t="str">
        <f>IF($Z147="","",VLOOKUP($Z147,'ORF Accuracy Value LookUp'!$G$4:$H$104,2,TRUE))</f>
        <v/>
      </c>
    </row>
    <row r="148" spans="1:34">
      <c r="A148" s="10"/>
      <c r="B148" s="9"/>
      <c r="C148" s="9"/>
      <c r="D148" s="9"/>
      <c r="E148" s="10"/>
      <c r="F148" s="11"/>
      <c r="G148" s="15"/>
      <c r="H148" s="81"/>
      <c r="I148" s="24"/>
      <c r="J148" s="24"/>
      <c r="K148" s="74"/>
      <c r="L148" s="74"/>
      <c r="M148" s="76" t="str">
        <f t="shared" si="13"/>
        <v/>
      </c>
      <c r="N148" s="24"/>
      <c r="O148" s="111" t="str">
        <f t="shared" si="12"/>
        <v/>
      </c>
      <c r="P148" s="81"/>
      <c r="Q148" s="74"/>
      <c r="R148" s="74"/>
      <c r="S148" s="78" t="str">
        <f t="shared" si="14"/>
        <v/>
      </c>
      <c r="T148" s="24"/>
      <c r="U148" s="32"/>
      <c r="V148" s="40" t="str">
        <f t="shared" si="16"/>
        <v/>
      </c>
      <c r="W148" s="81"/>
      <c r="X148" s="74"/>
      <c r="Y148" s="74"/>
      <c r="Z148" s="79" t="str">
        <f t="shared" si="15"/>
        <v/>
      </c>
      <c r="AA148" s="24"/>
      <c r="AB148" s="32"/>
      <c r="AC148" s="31" t="str">
        <f t="shared" si="17"/>
        <v/>
      </c>
      <c r="AF148" s="109" t="str">
        <f>IF($M148="","",VLOOKUP($M148,'ORF Accuracy Value LookUp'!$D$4:$E$104,2,TRUE))</f>
        <v/>
      </c>
      <c r="AG148" s="47" t="str">
        <f>IF($S148="","",VLOOKUP($S148,'ORF Accuracy Value LookUp'!$G$4:$H$104,2,TRUE))</f>
        <v/>
      </c>
      <c r="AH148" s="110" t="str">
        <f>IF($Z148="","",VLOOKUP($Z148,'ORF Accuracy Value LookUp'!$G$4:$H$104,2,TRUE))</f>
        <v/>
      </c>
    </row>
    <row r="149" spans="1:34">
      <c r="A149" s="10"/>
      <c r="B149" s="9"/>
      <c r="C149" s="9"/>
      <c r="D149" s="9"/>
      <c r="E149" s="10"/>
      <c r="F149" s="11"/>
      <c r="G149" s="15"/>
      <c r="H149" s="81"/>
      <c r="I149" s="24"/>
      <c r="J149" s="24"/>
      <c r="K149" s="74"/>
      <c r="L149" s="74"/>
      <c r="M149" s="76" t="str">
        <f t="shared" si="13"/>
        <v/>
      </c>
      <c r="N149" s="24"/>
      <c r="O149" s="111" t="str">
        <f t="shared" si="12"/>
        <v/>
      </c>
      <c r="P149" s="81"/>
      <c r="Q149" s="74"/>
      <c r="R149" s="74"/>
      <c r="S149" s="78" t="str">
        <f t="shared" si="14"/>
        <v/>
      </c>
      <c r="T149" s="24"/>
      <c r="U149" s="32"/>
      <c r="V149" s="40" t="str">
        <f t="shared" si="16"/>
        <v/>
      </c>
      <c r="W149" s="81"/>
      <c r="X149" s="74"/>
      <c r="Y149" s="74"/>
      <c r="Z149" s="79" t="str">
        <f t="shared" si="15"/>
        <v/>
      </c>
      <c r="AA149" s="24"/>
      <c r="AB149" s="32"/>
      <c r="AC149" s="31" t="str">
        <f t="shared" si="17"/>
        <v/>
      </c>
      <c r="AF149" s="109" t="str">
        <f>IF($M149="","",VLOOKUP($M149,'ORF Accuracy Value LookUp'!$D$4:$E$104,2,TRUE))</f>
        <v/>
      </c>
      <c r="AG149" s="47" t="str">
        <f>IF($S149="","",VLOOKUP($S149,'ORF Accuracy Value LookUp'!$G$4:$H$104,2,TRUE))</f>
        <v/>
      </c>
      <c r="AH149" s="110" t="str">
        <f>IF($Z149="","",VLOOKUP($Z149,'ORF Accuracy Value LookUp'!$G$4:$H$104,2,TRUE))</f>
        <v/>
      </c>
    </row>
    <row r="150" spans="1:34">
      <c r="A150" s="10"/>
      <c r="B150" s="9"/>
      <c r="C150" s="9"/>
      <c r="D150" s="9"/>
      <c r="E150" s="10"/>
      <c r="F150" s="11"/>
      <c r="G150" s="15"/>
      <c r="H150" s="81"/>
      <c r="I150" s="24"/>
      <c r="J150" s="24"/>
      <c r="K150" s="74"/>
      <c r="L150" s="74"/>
      <c r="M150" s="76" t="str">
        <f t="shared" si="13"/>
        <v/>
      </c>
      <c r="N150" s="24"/>
      <c r="O150" s="111" t="str">
        <f t="shared" si="12"/>
        <v/>
      </c>
      <c r="P150" s="81"/>
      <c r="Q150" s="74"/>
      <c r="R150" s="74"/>
      <c r="S150" s="78" t="str">
        <f t="shared" si="14"/>
        <v/>
      </c>
      <c r="T150" s="24"/>
      <c r="U150" s="32"/>
      <c r="V150" s="40" t="str">
        <f t="shared" si="16"/>
        <v/>
      </c>
      <c r="W150" s="81"/>
      <c r="X150" s="74"/>
      <c r="Y150" s="74"/>
      <c r="Z150" s="79" t="str">
        <f t="shared" si="15"/>
        <v/>
      </c>
      <c r="AA150" s="24"/>
      <c r="AB150" s="32"/>
      <c r="AC150" s="31" t="str">
        <f t="shared" si="17"/>
        <v/>
      </c>
      <c r="AF150" s="109" t="str">
        <f>IF($M150="","",VLOOKUP($M150,'ORF Accuracy Value LookUp'!$D$4:$E$104,2,TRUE))</f>
        <v/>
      </c>
      <c r="AG150" s="47" t="str">
        <f>IF($S150="","",VLOOKUP($S150,'ORF Accuracy Value LookUp'!$G$4:$H$104,2,TRUE))</f>
        <v/>
      </c>
      <c r="AH150" s="110" t="str">
        <f>IF($Z150="","",VLOOKUP($Z150,'ORF Accuracy Value LookUp'!$G$4:$H$104,2,TRUE))</f>
        <v/>
      </c>
    </row>
    <row r="151" spans="1:34">
      <c r="A151" s="10"/>
      <c r="B151" s="9"/>
      <c r="C151" s="9"/>
      <c r="D151" s="9"/>
      <c r="E151" s="10"/>
      <c r="F151" s="11"/>
      <c r="G151" s="15"/>
      <c r="H151" s="81"/>
      <c r="I151" s="24"/>
      <c r="J151" s="24"/>
      <c r="K151" s="74"/>
      <c r="L151" s="74"/>
      <c r="M151" s="76" t="str">
        <f t="shared" si="13"/>
        <v/>
      </c>
      <c r="N151" s="24"/>
      <c r="O151" s="111" t="str">
        <f t="shared" si="12"/>
        <v/>
      </c>
      <c r="P151" s="81"/>
      <c r="Q151" s="74"/>
      <c r="R151" s="74"/>
      <c r="S151" s="78" t="str">
        <f t="shared" si="14"/>
        <v/>
      </c>
      <c r="T151" s="24"/>
      <c r="U151" s="32"/>
      <c r="V151" s="40" t="str">
        <f t="shared" si="16"/>
        <v/>
      </c>
      <c r="W151" s="81"/>
      <c r="X151" s="74"/>
      <c r="Y151" s="74"/>
      <c r="Z151" s="79" t="str">
        <f t="shared" si="15"/>
        <v/>
      </c>
      <c r="AA151" s="24"/>
      <c r="AB151" s="32"/>
      <c r="AC151" s="31" t="str">
        <f t="shared" si="17"/>
        <v/>
      </c>
      <c r="AF151" s="109" t="str">
        <f>IF($M151="","",VLOOKUP($M151,'ORF Accuracy Value LookUp'!$D$4:$E$104,2,TRUE))</f>
        <v/>
      </c>
      <c r="AG151" s="47" t="str">
        <f>IF($S151="","",VLOOKUP($S151,'ORF Accuracy Value LookUp'!$G$4:$H$104,2,TRUE))</f>
        <v/>
      </c>
      <c r="AH151" s="110" t="str">
        <f>IF($Z151="","",VLOOKUP($Z151,'ORF Accuracy Value LookUp'!$G$4:$H$104,2,TRUE))</f>
        <v/>
      </c>
    </row>
    <row r="152" spans="1:34">
      <c r="A152" s="10"/>
      <c r="B152" s="9"/>
      <c r="C152" s="9"/>
      <c r="D152" s="9"/>
      <c r="E152" s="10"/>
      <c r="F152" s="11"/>
      <c r="G152" s="15"/>
      <c r="H152" s="81"/>
      <c r="I152" s="24"/>
      <c r="J152" s="24"/>
      <c r="K152" s="74"/>
      <c r="L152" s="74"/>
      <c r="M152" s="76" t="str">
        <f t="shared" si="13"/>
        <v/>
      </c>
      <c r="N152" s="24"/>
      <c r="O152" s="111" t="str">
        <f t="shared" si="12"/>
        <v/>
      </c>
      <c r="P152" s="81"/>
      <c r="Q152" s="74"/>
      <c r="R152" s="74"/>
      <c r="S152" s="78" t="str">
        <f t="shared" si="14"/>
        <v/>
      </c>
      <c r="T152" s="24"/>
      <c r="U152" s="32"/>
      <c r="V152" s="40" t="str">
        <f t="shared" si="16"/>
        <v/>
      </c>
      <c r="W152" s="81"/>
      <c r="X152" s="74"/>
      <c r="Y152" s="74"/>
      <c r="Z152" s="79" t="str">
        <f t="shared" si="15"/>
        <v/>
      </c>
      <c r="AA152" s="24"/>
      <c r="AB152" s="32"/>
      <c r="AC152" s="31" t="str">
        <f t="shared" si="17"/>
        <v/>
      </c>
      <c r="AF152" s="109" t="str">
        <f>IF($M152="","",VLOOKUP($M152,'ORF Accuracy Value LookUp'!$D$4:$E$104,2,TRUE))</f>
        <v/>
      </c>
      <c r="AG152" s="47" t="str">
        <f>IF($S152="","",VLOOKUP($S152,'ORF Accuracy Value LookUp'!$G$4:$H$104,2,TRUE))</f>
        <v/>
      </c>
      <c r="AH152" s="110" t="str">
        <f>IF($Z152="","",VLOOKUP($Z152,'ORF Accuracy Value LookUp'!$G$4:$H$104,2,TRUE))</f>
        <v/>
      </c>
    </row>
    <row r="153" spans="1:34">
      <c r="A153" s="10"/>
      <c r="B153" s="9"/>
      <c r="C153" s="9"/>
      <c r="D153" s="9"/>
      <c r="E153" s="10"/>
      <c r="F153" s="11"/>
      <c r="G153" s="15"/>
      <c r="H153" s="81"/>
      <c r="I153" s="24"/>
      <c r="J153" s="24"/>
      <c r="K153" s="74"/>
      <c r="L153" s="74"/>
      <c r="M153" s="76" t="str">
        <f t="shared" si="13"/>
        <v/>
      </c>
      <c r="N153" s="24"/>
      <c r="O153" s="111" t="str">
        <f t="shared" si="12"/>
        <v/>
      </c>
      <c r="P153" s="81"/>
      <c r="Q153" s="74"/>
      <c r="R153" s="74"/>
      <c r="S153" s="78" t="str">
        <f t="shared" si="14"/>
        <v/>
      </c>
      <c r="T153" s="24"/>
      <c r="U153" s="32"/>
      <c r="V153" s="40" t="str">
        <f t="shared" si="16"/>
        <v/>
      </c>
      <c r="W153" s="81"/>
      <c r="X153" s="74"/>
      <c r="Y153" s="74"/>
      <c r="Z153" s="79" t="str">
        <f t="shared" si="15"/>
        <v/>
      </c>
      <c r="AA153" s="24"/>
      <c r="AB153" s="32"/>
      <c r="AC153" s="31" t="str">
        <f t="shared" si="17"/>
        <v/>
      </c>
      <c r="AF153" s="109" t="str">
        <f>IF($M153="","",VLOOKUP($M153,'ORF Accuracy Value LookUp'!$D$4:$E$104,2,TRUE))</f>
        <v/>
      </c>
      <c r="AG153" s="47" t="str">
        <f>IF($S153="","",VLOOKUP($S153,'ORF Accuracy Value LookUp'!$G$4:$H$104,2,TRUE))</f>
        <v/>
      </c>
      <c r="AH153" s="110" t="str">
        <f>IF($Z153="","",VLOOKUP($Z153,'ORF Accuracy Value LookUp'!$G$4:$H$104,2,TRUE))</f>
        <v/>
      </c>
    </row>
    <row r="154" spans="1:34">
      <c r="A154" s="10"/>
      <c r="B154" s="9"/>
      <c r="C154" s="9"/>
      <c r="D154" s="9"/>
      <c r="E154" s="10"/>
      <c r="F154" s="11"/>
      <c r="G154" s="15"/>
      <c r="H154" s="81"/>
      <c r="I154" s="24"/>
      <c r="J154" s="24"/>
      <c r="K154" s="74"/>
      <c r="L154" s="74"/>
      <c r="M154" s="76" t="str">
        <f t="shared" si="13"/>
        <v/>
      </c>
      <c r="N154" s="24"/>
      <c r="O154" s="111" t="str">
        <f t="shared" si="12"/>
        <v/>
      </c>
      <c r="P154" s="81"/>
      <c r="Q154" s="74"/>
      <c r="R154" s="74"/>
      <c r="S154" s="78" t="str">
        <f t="shared" si="14"/>
        <v/>
      </c>
      <c r="T154" s="24"/>
      <c r="U154" s="32"/>
      <c r="V154" s="40" t="str">
        <f t="shared" si="16"/>
        <v/>
      </c>
      <c r="W154" s="81"/>
      <c r="X154" s="74"/>
      <c r="Y154" s="74"/>
      <c r="Z154" s="79" t="str">
        <f t="shared" si="15"/>
        <v/>
      </c>
      <c r="AA154" s="24"/>
      <c r="AB154" s="32"/>
      <c r="AC154" s="31" t="str">
        <f t="shared" si="17"/>
        <v/>
      </c>
      <c r="AF154" s="109" t="str">
        <f>IF($M154="","",VLOOKUP($M154,'ORF Accuracy Value LookUp'!$D$4:$E$104,2,TRUE))</f>
        <v/>
      </c>
      <c r="AG154" s="47" t="str">
        <f>IF($S154="","",VLOOKUP($S154,'ORF Accuracy Value LookUp'!$G$4:$H$104,2,TRUE))</f>
        <v/>
      </c>
      <c r="AH154" s="110" t="str">
        <f>IF($Z154="","",VLOOKUP($Z154,'ORF Accuracy Value LookUp'!$G$4:$H$104,2,TRUE))</f>
        <v/>
      </c>
    </row>
    <row r="155" spans="1:34">
      <c r="A155" s="10"/>
      <c r="B155" s="9"/>
      <c r="C155" s="9"/>
      <c r="D155" s="9"/>
      <c r="E155" s="10"/>
      <c r="F155" s="11"/>
      <c r="G155" s="15"/>
      <c r="H155" s="81"/>
      <c r="I155" s="24"/>
      <c r="J155" s="24"/>
      <c r="K155" s="74"/>
      <c r="L155" s="74"/>
      <c r="M155" s="76" t="str">
        <f t="shared" si="13"/>
        <v/>
      </c>
      <c r="N155" s="24"/>
      <c r="O155" s="111" t="str">
        <f t="shared" si="12"/>
        <v/>
      </c>
      <c r="P155" s="81"/>
      <c r="Q155" s="74"/>
      <c r="R155" s="74"/>
      <c r="S155" s="78" t="str">
        <f t="shared" si="14"/>
        <v/>
      </c>
      <c r="T155" s="24"/>
      <c r="U155" s="32"/>
      <c r="V155" s="40" t="str">
        <f t="shared" si="16"/>
        <v/>
      </c>
      <c r="W155" s="81"/>
      <c r="X155" s="74"/>
      <c r="Y155" s="74"/>
      <c r="Z155" s="79" t="str">
        <f t="shared" si="15"/>
        <v/>
      </c>
      <c r="AA155" s="24"/>
      <c r="AB155" s="32"/>
      <c r="AC155" s="31" t="str">
        <f t="shared" si="17"/>
        <v/>
      </c>
      <c r="AF155" s="109" t="str">
        <f>IF($M155="","",VLOOKUP($M155,'ORF Accuracy Value LookUp'!$D$4:$E$104,2,TRUE))</f>
        <v/>
      </c>
      <c r="AG155" s="47" t="str">
        <f>IF($S155="","",VLOOKUP($S155,'ORF Accuracy Value LookUp'!$G$4:$H$104,2,TRUE))</f>
        <v/>
      </c>
      <c r="AH155" s="110" t="str">
        <f>IF($Z155="","",VLOOKUP($Z155,'ORF Accuracy Value LookUp'!$G$4:$H$104,2,TRUE))</f>
        <v/>
      </c>
    </row>
    <row r="156" spans="1:34">
      <c r="A156" s="10"/>
      <c r="B156" s="9"/>
      <c r="C156" s="9"/>
      <c r="D156" s="9"/>
      <c r="E156" s="10"/>
      <c r="F156" s="11"/>
      <c r="G156" s="15"/>
      <c r="H156" s="81"/>
      <c r="I156" s="24"/>
      <c r="J156" s="24"/>
      <c r="K156" s="74"/>
      <c r="L156" s="74"/>
      <c r="M156" s="76" t="str">
        <f t="shared" si="13"/>
        <v/>
      </c>
      <c r="N156" s="24"/>
      <c r="O156" s="111" t="str">
        <f t="shared" si="12"/>
        <v/>
      </c>
      <c r="P156" s="81"/>
      <c r="Q156" s="74"/>
      <c r="R156" s="74"/>
      <c r="S156" s="78" t="str">
        <f t="shared" si="14"/>
        <v/>
      </c>
      <c r="T156" s="24"/>
      <c r="U156" s="32"/>
      <c r="V156" s="40" t="str">
        <f t="shared" si="16"/>
        <v/>
      </c>
      <c r="W156" s="81"/>
      <c r="X156" s="74"/>
      <c r="Y156" s="74"/>
      <c r="Z156" s="79" t="str">
        <f t="shared" si="15"/>
        <v/>
      </c>
      <c r="AA156" s="24"/>
      <c r="AB156" s="32"/>
      <c r="AC156" s="31" t="str">
        <f t="shared" si="17"/>
        <v/>
      </c>
      <c r="AF156" s="109" t="str">
        <f>IF($M156="","",VLOOKUP($M156,'ORF Accuracy Value LookUp'!$D$4:$E$104,2,TRUE))</f>
        <v/>
      </c>
      <c r="AG156" s="47" t="str">
        <f>IF($S156="","",VLOOKUP($S156,'ORF Accuracy Value LookUp'!$G$4:$H$104,2,TRUE))</f>
        <v/>
      </c>
      <c r="AH156" s="110" t="str">
        <f>IF($Z156="","",VLOOKUP($Z156,'ORF Accuracy Value LookUp'!$G$4:$H$104,2,TRUE))</f>
        <v/>
      </c>
    </row>
    <row r="157" spans="1:34">
      <c r="A157" s="10"/>
      <c r="B157" s="9"/>
      <c r="C157" s="9"/>
      <c r="D157" s="9"/>
      <c r="E157" s="10"/>
      <c r="F157" s="11"/>
      <c r="G157" s="15"/>
      <c r="H157" s="81"/>
      <c r="I157" s="24"/>
      <c r="J157" s="24"/>
      <c r="K157" s="74"/>
      <c r="L157" s="74"/>
      <c r="M157" s="76" t="str">
        <f t="shared" si="13"/>
        <v/>
      </c>
      <c r="N157" s="24"/>
      <c r="O157" s="111" t="str">
        <f t="shared" si="12"/>
        <v/>
      </c>
      <c r="P157" s="81"/>
      <c r="Q157" s="74"/>
      <c r="R157" s="74"/>
      <c r="S157" s="78" t="str">
        <f t="shared" si="14"/>
        <v/>
      </c>
      <c r="T157" s="24"/>
      <c r="U157" s="32"/>
      <c r="V157" s="40" t="str">
        <f t="shared" si="16"/>
        <v/>
      </c>
      <c r="W157" s="81"/>
      <c r="X157" s="74"/>
      <c r="Y157" s="74"/>
      <c r="Z157" s="79" t="str">
        <f t="shared" si="15"/>
        <v/>
      </c>
      <c r="AA157" s="24"/>
      <c r="AB157" s="32"/>
      <c r="AC157" s="31" t="str">
        <f t="shared" si="17"/>
        <v/>
      </c>
      <c r="AF157" s="109" t="str">
        <f>IF($M157="","",VLOOKUP($M157,'ORF Accuracy Value LookUp'!$D$4:$E$104,2,TRUE))</f>
        <v/>
      </c>
      <c r="AG157" s="47" t="str">
        <f>IF($S157="","",VLOOKUP($S157,'ORF Accuracy Value LookUp'!$G$4:$H$104,2,TRUE))</f>
        <v/>
      </c>
      <c r="AH157" s="110" t="str">
        <f>IF($Z157="","",VLOOKUP($Z157,'ORF Accuracy Value LookUp'!$G$4:$H$104,2,TRUE))</f>
        <v/>
      </c>
    </row>
    <row r="158" spans="1:34">
      <c r="A158" s="10"/>
      <c r="B158" s="9"/>
      <c r="C158" s="9"/>
      <c r="D158" s="9"/>
      <c r="E158" s="10"/>
      <c r="F158" s="11"/>
      <c r="G158" s="15"/>
      <c r="H158" s="81"/>
      <c r="I158" s="24"/>
      <c r="J158" s="24"/>
      <c r="K158" s="74"/>
      <c r="L158" s="74"/>
      <c r="M158" s="76" t="str">
        <f t="shared" si="13"/>
        <v/>
      </c>
      <c r="N158" s="24"/>
      <c r="O158" s="111" t="str">
        <f t="shared" si="12"/>
        <v/>
      </c>
      <c r="P158" s="81"/>
      <c r="Q158" s="74"/>
      <c r="R158" s="74"/>
      <c r="S158" s="78" t="str">
        <f t="shared" si="14"/>
        <v/>
      </c>
      <c r="T158" s="24"/>
      <c r="U158" s="32"/>
      <c r="V158" s="40" t="str">
        <f t="shared" si="16"/>
        <v/>
      </c>
      <c r="W158" s="81"/>
      <c r="X158" s="74"/>
      <c r="Y158" s="74"/>
      <c r="Z158" s="79" t="str">
        <f t="shared" si="15"/>
        <v/>
      </c>
      <c r="AA158" s="24"/>
      <c r="AB158" s="32"/>
      <c r="AC158" s="31" t="str">
        <f t="shared" si="17"/>
        <v/>
      </c>
      <c r="AF158" s="109" t="str">
        <f>IF($M158="","",VLOOKUP($M158,'ORF Accuracy Value LookUp'!$D$4:$E$104,2,TRUE))</f>
        <v/>
      </c>
      <c r="AG158" s="47" t="str">
        <f>IF($S158="","",VLOOKUP($S158,'ORF Accuracy Value LookUp'!$G$4:$H$104,2,TRUE))</f>
        <v/>
      </c>
      <c r="AH158" s="110" t="str">
        <f>IF($Z158="","",VLOOKUP($Z158,'ORF Accuracy Value LookUp'!$G$4:$H$104,2,TRUE))</f>
        <v/>
      </c>
    </row>
    <row r="159" spans="1:34">
      <c r="A159" s="10"/>
      <c r="B159" s="9"/>
      <c r="C159" s="9"/>
      <c r="D159" s="9"/>
      <c r="E159" s="10"/>
      <c r="F159" s="11"/>
      <c r="G159" s="15"/>
      <c r="H159" s="81"/>
      <c r="I159" s="24"/>
      <c r="J159" s="24"/>
      <c r="K159" s="74"/>
      <c r="L159" s="74"/>
      <c r="M159" s="76" t="str">
        <f t="shared" si="13"/>
        <v/>
      </c>
      <c r="N159" s="24"/>
      <c r="O159" s="111" t="str">
        <f t="shared" si="12"/>
        <v/>
      </c>
      <c r="P159" s="81"/>
      <c r="Q159" s="74"/>
      <c r="R159" s="74"/>
      <c r="S159" s="78" t="str">
        <f t="shared" si="14"/>
        <v/>
      </c>
      <c r="T159" s="24"/>
      <c r="U159" s="32"/>
      <c r="V159" s="40" t="str">
        <f t="shared" si="16"/>
        <v/>
      </c>
      <c r="W159" s="81"/>
      <c r="X159" s="74"/>
      <c r="Y159" s="74"/>
      <c r="Z159" s="79" t="str">
        <f t="shared" si="15"/>
        <v/>
      </c>
      <c r="AA159" s="24"/>
      <c r="AB159" s="32"/>
      <c r="AC159" s="31" t="str">
        <f t="shared" si="17"/>
        <v/>
      </c>
      <c r="AF159" s="109" t="str">
        <f>IF($M159="","",VLOOKUP($M159,'ORF Accuracy Value LookUp'!$D$4:$E$104,2,TRUE))</f>
        <v/>
      </c>
      <c r="AG159" s="47" t="str">
        <f>IF($S159="","",VLOOKUP($S159,'ORF Accuracy Value LookUp'!$G$4:$H$104,2,TRUE))</f>
        <v/>
      </c>
      <c r="AH159" s="110" t="str">
        <f>IF($Z159="","",VLOOKUP($Z159,'ORF Accuracy Value LookUp'!$G$4:$H$104,2,TRUE))</f>
        <v/>
      </c>
    </row>
    <row r="160" spans="1:34">
      <c r="A160" s="10"/>
      <c r="B160" s="9"/>
      <c r="C160" s="9"/>
      <c r="D160" s="9"/>
      <c r="E160" s="10"/>
      <c r="F160" s="11"/>
      <c r="G160" s="15"/>
      <c r="H160" s="81"/>
      <c r="I160" s="24"/>
      <c r="J160" s="24"/>
      <c r="K160" s="74"/>
      <c r="L160" s="74"/>
      <c r="M160" s="76" t="str">
        <f t="shared" si="13"/>
        <v/>
      </c>
      <c r="N160" s="24"/>
      <c r="O160" s="111" t="str">
        <f t="shared" si="12"/>
        <v/>
      </c>
      <c r="P160" s="81"/>
      <c r="Q160" s="74"/>
      <c r="R160" s="74"/>
      <c r="S160" s="78" t="str">
        <f t="shared" si="14"/>
        <v/>
      </c>
      <c r="T160" s="24"/>
      <c r="U160" s="32"/>
      <c r="V160" s="40" t="str">
        <f t="shared" si="16"/>
        <v/>
      </c>
      <c r="W160" s="81"/>
      <c r="X160" s="74"/>
      <c r="Y160" s="74"/>
      <c r="Z160" s="79" t="str">
        <f t="shared" si="15"/>
        <v/>
      </c>
      <c r="AA160" s="24"/>
      <c r="AB160" s="32"/>
      <c r="AC160" s="31" t="str">
        <f t="shared" si="17"/>
        <v/>
      </c>
      <c r="AF160" s="109" t="str">
        <f>IF($M160="","",VLOOKUP($M160,'ORF Accuracy Value LookUp'!$D$4:$E$104,2,TRUE))</f>
        <v/>
      </c>
      <c r="AG160" s="47" t="str">
        <f>IF($S160="","",VLOOKUP($S160,'ORF Accuracy Value LookUp'!$G$4:$H$104,2,TRUE))</f>
        <v/>
      </c>
      <c r="AH160" s="110" t="str">
        <f>IF($Z160="","",VLOOKUP($Z160,'ORF Accuracy Value LookUp'!$G$4:$H$104,2,TRUE))</f>
        <v/>
      </c>
    </row>
    <row r="161" spans="1:34">
      <c r="A161" s="10"/>
      <c r="B161" s="9"/>
      <c r="C161" s="9"/>
      <c r="D161" s="9"/>
      <c r="E161" s="10"/>
      <c r="F161" s="11"/>
      <c r="G161" s="15"/>
      <c r="H161" s="81"/>
      <c r="I161" s="24"/>
      <c r="J161" s="24"/>
      <c r="K161" s="74"/>
      <c r="L161" s="74"/>
      <c r="M161" s="76" t="str">
        <f t="shared" si="13"/>
        <v/>
      </c>
      <c r="N161" s="24"/>
      <c r="O161" s="111" t="str">
        <f t="shared" si="12"/>
        <v/>
      </c>
      <c r="P161" s="81"/>
      <c r="Q161" s="74"/>
      <c r="R161" s="74"/>
      <c r="S161" s="78" t="str">
        <f t="shared" si="14"/>
        <v/>
      </c>
      <c r="T161" s="24"/>
      <c r="U161" s="32"/>
      <c r="V161" s="40" t="str">
        <f t="shared" si="16"/>
        <v/>
      </c>
      <c r="W161" s="81"/>
      <c r="X161" s="74"/>
      <c r="Y161" s="74"/>
      <c r="Z161" s="79" t="str">
        <f t="shared" si="15"/>
        <v/>
      </c>
      <c r="AA161" s="24"/>
      <c r="AB161" s="32"/>
      <c r="AC161" s="31" t="str">
        <f t="shared" si="17"/>
        <v/>
      </c>
      <c r="AF161" s="109" t="str">
        <f>IF($M161="","",VLOOKUP($M161,'ORF Accuracy Value LookUp'!$D$4:$E$104,2,TRUE))</f>
        <v/>
      </c>
      <c r="AG161" s="47" t="str">
        <f>IF($S161="","",VLOOKUP($S161,'ORF Accuracy Value LookUp'!$G$4:$H$104,2,TRUE))</f>
        <v/>
      </c>
      <c r="AH161" s="110" t="str">
        <f>IF($Z161="","",VLOOKUP($Z161,'ORF Accuracy Value LookUp'!$G$4:$H$104,2,TRUE))</f>
        <v/>
      </c>
    </row>
    <row r="162" spans="1:34">
      <c r="A162" s="10"/>
      <c r="B162" s="9"/>
      <c r="C162" s="9"/>
      <c r="D162" s="9"/>
      <c r="E162" s="10"/>
      <c r="F162" s="11"/>
      <c r="G162" s="15"/>
      <c r="H162" s="81"/>
      <c r="I162" s="24"/>
      <c r="J162" s="24"/>
      <c r="K162" s="74"/>
      <c r="L162" s="74"/>
      <c r="M162" s="76" t="str">
        <f t="shared" si="13"/>
        <v/>
      </c>
      <c r="N162" s="24"/>
      <c r="O162" s="111" t="str">
        <f t="shared" si="12"/>
        <v/>
      </c>
      <c r="P162" s="81"/>
      <c r="Q162" s="74"/>
      <c r="R162" s="74"/>
      <c r="S162" s="78" t="str">
        <f t="shared" si="14"/>
        <v/>
      </c>
      <c r="T162" s="24"/>
      <c r="U162" s="32"/>
      <c r="V162" s="40" t="str">
        <f t="shared" si="16"/>
        <v/>
      </c>
      <c r="W162" s="81"/>
      <c r="X162" s="74"/>
      <c r="Y162" s="74"/>
      <c r="Z162" s="79" t="str">
        <f t="shared" si="15"/>
        <v/>
      </c>
      <c r="AA162" s="24"/>
      <c r="AB162" s="32"/>
      <c r="AC162" s="31" t="str">
        <f t="shared" si="17"/>
        <v/>
      </c>
      <c r="AF162" s="109" t="str">
        <f>IF($M162="","",VLOOKUP($M162,'ORF Accuracy Value LookUp'!$D$4:$E$104,2,TRUE))</f>
        <v/>
      </c>
      <c r="AG162" s="47" t="str">
        <f>IF($S162="","",VLOOKUP($S162,'ORF Accuracy Value LookUp'!$G$4:$H$104,2,TRUE))</f>
        <v/>
      </c>
      <c r="AH162" s="110" t="str">
        <f>IF($Z162="","",VLOOKUP($Z162,'ORF Accuracy Value LookUp'!$G$4:$H$104,2,TRUE))</f>
        <v/>
      </c>
    </row>
    <row r="163" spans="1:34">
      <c r="A163" s="10"/>
      <c r="B163" s="9"/>
      <c r="C163" s="9"/>
      <c r="D163" s="9"/>
      <c r="E163" s="10"/>
      <c r="F163" s="11"/>
      <c r="G163" s="15"/>
      <c r="H163" s="81"/>
      <c r="I163" s="24"/>
      <c r="J163" s="24"/>
      <c r="K163" s="74"/>
      <c r="L163" s="74"/>
      <c r="M163" s="76" t="str">
        <f t="shared" si="13"/>
        <v/>
      </c>
      <c r="N163" s="24"/>
      <c r="O163" s="111" t="str">
        <f t="shared" si="12"/>
        <v/>
      </c>
      <c r="P163" s="81"/>
      <c r="Q163" s="74"/>
      <c r="R163" s="74"/>
      <c r="S163" s="78" t="str">
        <f t="shared" si="14"/>
        <v/>
      </c>
      <c r="T163" s="24"/>
      <c r="U163" s="32"/>
      <c r="V163" s="40" t="str">
        <f t="shared" si="16"/>
        <v/>
      </c>
      <c r="W163" s="81"/>
      <c r="X163" s="74"/>
      <c r="Y163" s="74"/>
      <c r="Z163" s="79" t="str">
        <f t="shared" si="15"/>
        <v/>
      </c>
      <c r="AA163" s="24"/>
      <c r="AB163" s="32"/>
      <c r="AC163" s="31" t="str">
        <f t="shared" si="17"/>
        <v/>
      </c>
      <c r="AF163" s="109" t="str">
        <f>IF($M163="","",VLOOKUP($M163,'ORF Accuracy Value LookUp'!$D$4:$E$104,2,TRUE))</f>
        <v/>
      </c>
      <c r="AG163" s="47" t="str">
        <f>IF($S163="","",VLOOKUP($S163,'ORF Accuracy Value LookUp'!$G$4:$H$104,2,TRUE))</f>
        <v/>
      </c>
      <c r="AH163" s="110" t="str">
        <f>IF($Z163="","",VLOOKUP($Z163,'ORF Accuracy Value LookUp'!$G$4:$H$104,2,TRUE))</f>
        <v/>
      </c>
    </row>
    <row r="164" spans="1:34">
      <c r="A164" s="10"/>
      <c r="B164" s="9"/>
      <c r="C164" s="9"/>
      <c r="D164" s="9"/>
      <c r="E164" s="10"/>
      <c r="F164" s="11"/>
      <c r="G164" s="15"/>
      <c r="H164" s="81"/>
      <c r="I164" s="24"/>
      <c r="J164" s="24"/>
      <c r="K164" s="74"/>
      <c r="L164" s="74"/>
      <c r="M164" s="76" t="str">
        <f t="shared" si="13"/>
        <v/>
      </c>
      <c r="N164" s="24"/>
      <c r="O164" s="111" t="str">
        <f t="shared" si="12"/>
        <v/>
      </c>
      <c r="P164" s="81"/>
      <c r="Q164" s="74"/>
      <c r="R164" s="74"/>
      <c r="S164" s="78" t="str">
        <f t="shared" si="14"/>
        <v/>
      </c>
      <c r="T164" s="24"/>
      <c r="U164" s="32"/>
      <c r="V164" s="40" t="str">
        <f t="shared" si="16"/>
        <v/>
      </c>
      <c r="W164" s="81"/>
      <c r="X164" s="74"/>
      <c r="Y164" s="74"/>
      <c r="Z164" s="79" t="str">
        <f t="shared" si="15"/>
        <v/>
      </c>
      <c r="AA164" s="24"/>
      <c r="AB164" s="32"/>
      <c r="AC164" s="31" t="str">
        <f t="shared" si="17"/>
        <v/>
      </c>
      <c r="AF164" s="109" t="str">
        <f>IF($M164="","",VLOOKUP($M164,'ORF Accuracy Value LookUp'!$D$4:$E$104,2,TRUE))</f>
        <v/>
      </c>
      <c r="AG164" s="47" t="str">
        <f>IF($S164="","",VLOOKUP($S164,'ORF Accuracy Value LookUp'!$G$4:$H$104,2,TRUE))</f>
        <v/>
      </c>
      <c r="AH164" s="110" t="str">
        <f>IF($Z164="","",VLOOKUP($Z164,'ORF Accuracy Value LookUp'!$G$4:$H$104,2,TRUE))</f>
        <v/>
      </c>
    </row>
    <row r="165" spans="1:34">
      <c r="A165" s="10"/>
      <c r="B165" s="9"/>
      <c r="C165" s="9"/>
      <c r="D165" s="9"/>
      <c r="E165" s="10"/>
      <c r="F165" s="11"/>
      <c r="G165" s="15"/>
      <c r="H165" s="81"/>
      <c r="I165" s="24"/>
      <c r="J165" s="24"/>
      <c r="K165" s="74"/>
      <c r="L165" s="74"/>
      <c r="M165" s="76" t="str">
        <f t="shared" si="13"/>
        <v/>
      </c>
      <c r="N165" s="24"/>
      <c r="O165" s="111" t="str">
        <f t="shared" si="12"/>
        <v/>
      </c>
      <c r="P165" s="81"/>
      <c r="Q165" s="74"/>
      <c r="R165" s="74"/>
      <c r="S165" s="78" t="str">
        <f t="shared" si="14"/>
        <v/>
      </c>
      <c r="T165" s="24"/>
      <c r="U165" s="32"/>
      <c r="V165" s="40" t="str">
        <f t="shared" si="16"/>
        <v/>
      </c>
      <c r="W165" s="81"/>
      <c r="X165" s="74"/>
      <c r="Y165" s="74"/>
      <c r="Z165" s="79" t="str">
        <f t="shared" si="15"/>
        <v/>
      </c>
      <c r="AA165" s="24"/>
      <c r="AB165" s="32"/>
      <c r="AC165" s="31" t="str">
        <f t="shared" si="17"/>
        <v/>
      </c>
      <c r="AF165" s="109" t="str">
        <f>IF($M165="","",VLOOKUP($M165,'ORF Accuracy Value LookUp'!$D$4:$E$104,2,TRUE))</f>
        <v/>
      </c>
      <c r="AG165" s="47" t="str">
        <f>IF($S165="","",VLOOKUP($S165,'ORF Accuracy Value LookUp'!$G$4:$H$104,2,TRUE))</f>
        <v/>
      </c>
      <c r="AH165" s="110" t="str">
        <f>IF($Z165="","",VLOOKUP($Z165,'ORF Accuracy Value LookUp'!$G$4:$H$104,2,TRUE))</f>
        <v/>
      </c>
    </row>
    <row r="166" spans="1:34">
      <c r="A166" s="10"/>
      <c r="B166" s="9"/>
      <c r="C166" s="9"/>
      <c r="D166" s="9"/>
      <c r="E166" s="10"/>
      <c r="F166" s="11"/>
      <c r="G166" s="15"/>
      <c r="H166" s="81"/>
      <c r="I166" s="24"/>
      <c r="J166" s="24"/>
      <c r="K166" s="74"/>
      <c r="L166" s="74"/>
      <c r="M166" s="76" t="str">
        <f t="shared" si="13"/>
        <v/>
      </c>
      <c r="N166" s="24"/>
      <c r="O166" s="111" t="str">
        <f t="shared" si="12"/>
        <v/>
      </c>
      <c r="P166" s="81"/>
      <c r="Q166" s="74"/>
      <c r="R166" s="74"/>
      <c r="S166" s="78" t="str">
        <f t="shared" si="14"/>
        <v/>
      </c>
      <c r="T166" s="24"/>
      <c r="U166" s="32"/>
      <c r="V166" s="40" t="str">
        <f t="shared" si="16"/>
        <v/>
      </c>
      <c r="W166" s="81"/>
      <c r="X166" s="74"/>
      <c r="Y166" s="74"/>
      <c r="Z166" s="79" t="str">
        <f t="shared" si="15"/>
        <v/>
      </c>
      <c r="AA166" s="24"/>
      <c r="AB166" s="32"/>
      <c r="AC166" s="31" t="str">
        <f t="shared" si="17"/>
        <v/>
      </c>
      <c r="AF166" s="109" t="str">
        <f>IF($M166="","",VLOOKUP($M166,'ORF Accuracy Value LookUp'!$D$4:$E$104,2,TRUE))</f>
        <v/>
      </c>
      <c r="AG166" s="47" t="str">
        <f>IF($S166="","",VLOOKUP($S166,'ORF Accuracy Value LookUp'!$G$4:$H$104,2,TRUE))</f>
        <v/>
      </c>
      <c r="AH166" s="110" t="str">
        <f>IF($Z166="","",VLOOKUP($Z166,'ORF Accuracy Value LookUp'!$G$4:$H$104,2,TRUE))</f>
        <v/>
      </c>
    </row>
    <row r="167" spans="1:34">
      <c r="A167" s="10"/>
      <c r="B167" s="9"/>
      <c r="C167" s="9"/>
      <c r="D167" s="9"/>
      <c r="E167" s="10"/>
      <c r="F167" s="11"/>
      <c r="G167" s="15"/>
      <c r="H167" s="81"/>
      <c r="I167" s="24"/>
      <c r="J167" s="24"/>
      <c r="K167" s="74"/>
      <c r="L167" s="74"/>
      <c r="M167" s="76" t="str">
        <f t="shared" si="13"/>
        <v/>
      </c>
      <c r="N167" s="24"/>
      <c r="O167" s="111" t="str">
        <f t="shared" si="12"/>
        <v/>
      </c>
      <c r="P167" s="81"/>
      <c r="Q167" s="74"/>
      <c r="R167" s="74"/>
      <c r="S167" s="78" t="str">
        <f t="shared" si="14"/>
        <v/>
      </c>
      <c r="T167" s="24"/>
      <c r="U167" s="32"/>
      <c r="V167" s="40" t="str">
        <f t="shared" si="16"/>
        <v/>
      </c>
      <c r="W167" s="81"/>
      <c r="X167" s="74"/>
      <c r="Y167" s="74"/>
      <c r="Z167" s="79" t="str">
        <f t="shared" si="15"/>
        <v/>
      </c>
      <c r="AA167" s="24"/>
      <c r="AB167" s="32"/>
      <c r="AC167" s="31" t="str">
        <f t="shared" si="17"/>
        <v/>
      </c>
      <c r="AF167" s="109" t="str">
        <f>IF($M167="","",VLOOKUP($M167,'ORF Accuracy Value LookUp'!$D$4:$E$104,2,TRUE))</f>
        <v/>
      </c>
      <c r="AG167" s="47" t="str">
        <f>IF($S167="","",VLOOKUP($S167,'ORF Accuracy Value LookUp'!$G$4:$H$104,2,TRUE))</f>
        <v/>
      </c>
      <c r="AH167" s="110" t="str">
        <f>IF($Z167="","",VLOOKUP($Z167,'ORF Accuracy Value LookUp'!$G$4:$H$104,2,TRUE))</f>
        <v/>
      </c>
    </row>
    <row r="168" spans="1:34">
      <c r="A168" s="10"/>
      <c r="B168" s="9"/>
      <c r="C168" s="9"/>
      <c r="D168" s="9"/>
      <c r="E168" s="10"/>
      <c r="F168" s="11"/>
      <c r="G168" s="15"/>
      <c r="H168" s="81"/>
      <c r="I168" s="24"/>
      <c r="J168" s="24"/>
      <c r="K168" s="74"/>
      <c r="L168" s="74"/>
      <c r="M168" s="76" t="str">
        <f t="shared" si="13"/>
        <v/>
      </c>
      <c r="N168" s="24"/>
      <c r="O168" s="111" t="str">
        <f t="shared" si="12"/>
        <v/>
      </c>
      <c r="P168" s="81"/>
      <c r="Q168" s="74"/>
      <c r="R168" s="74"/>
      <c r="S168" s="78" t="str">
        <f t="shared" si="14"/>
        <v/>
      </c>
      <c r="T168" s="24"/>
      <c r="U168" s="32"/>
      <c r="V168" s="40" t="str">
        <f t="shared" si="16"/>
        <v/>
      </c>
      <c r="W168" s="81"/>
      <c r="X168" s="74"/>
      <c r="Y168" s="74"/>
      <c r="Z168" s="79" t="str">
        <f t="shared" si="15"/>
        <v/>
      </c>
      <c r="AA168" s="24"/>
      <c r="AB168" s="32"/>
      <c r="AC168" s="31" t="str">
        <f t="shared" si="17"/>
        <v/>
      </c>
      <c r="AF168" s="109" t="str">
        <f>IF($M168="","",VLOOKUP($M168,'ORF Accuracy Value LookUp'!$D$4:$E$104,2,TRUE))</f>
        <v/>
      </c>
      <c r="AG168" s="47" t="str">
        <f>IF($S168="","",VLOOKUP($S168,'ORF Accuracy Value LookUp'!$G$4:$H$104,2,TRUE))</f>
        <v/>
      </c>
      <c r="AH168" s="110" t="str">
        <f>IF($Z168="","",VLOOKUP($Z168,'ORF Accuracy Value LookUp'!$G$4:$H$104,2,TRUE))</f>
        <v/>
      </c>
    </row>
    <row r="169" spans="1:34">
      <c r="A169" s="10"/>
      <c r="B169" s="9"/>
      <c r="C169" s="9"/>
      <c r="D169" s="9"/>
      <c r="E169" s="10"/>
      <c r="F169" s="11"/>
      <c r="G169" s="15"/>
      <c r="H169" s="81"/>
      <c r="I169" s="24"/>
      <c r="J169" s="24"/>
      <c r="K169" s="74"/>
      <c r="L169" s="74"/>
      <c r="M169" s="76" t="str">
        <f t="shared" si="13"/>
        <v/>
      </c>
      <c r="N169" s="24"/>
      <c r="O169" s="111" t="str">
        <f t="shared" si="12"/>
        <v/>
      </c>
      <c r="P169" s="81"/>
      <c r="Q169" s="74"/>
      <c r="R169" s="74"/>
      <c r="S169" s="78" t="str">
        <f t="shared" si="14"/>
        <v/>
      </c>
      <c r="T169" s="24"/>
      <c r="U169" s="32"/>
      <c r="V169" s="40" t="str">
        <f t="shared" si="16"/>
        <v/>
      </c>
      <c r="W169" s="81"/>
      <c r="X169" s="74"/>
      <c r="Y169" s="74"/>
      <c r="Z169" s="79" t="str">
        <f t="shared" si="15"/>
        <v/>
      </c>
      <c r="AA169" s="24"/>
      <c r="AB169" s="32"/>
      <c r="AC169" s="31" t="str">
        <f t="shared" si="17"/>
        <v/>
      </c>
      <c r="AF169" s="109" t="str">
        <f>IF($M169="","",VLOOKUP($M169,'ORF Accuracy Value LookUp'!$D$4:$E$104,2,TRUE))</f>
        <v/>
      </c>
      <c r="AG169" s="47" t="str">
        <f>IF($S169="","",VLOOKUP($S169,'ORF Accuracy Value LookUp'!$G$4:$H$104,2,TRUE))</f>
        <v/>
      </c>
      <c r="AH169" s="110" t="str">
        <f>IF($Z169="","",VLOOKUP($Z169,'ORF Accuracy Value LookUp'!$G$4:$H$104,2,TRUE))</f>
        <v/>
      </c>
    </row>
    <row r="170" spans="1:34">
      <c r="A170" s="10"/>
      <c r="B170" s="9"/>
      <c r="C170" s="9"/>
      <c r="D170" s="9"/>
      <c r="E170" s="10"/>
      <c r="F170" s="11"/>
      <c r="G170" s="15"/>
      <c r="H170" s="81"/>
      <c r="I170" s="24"/>
      <c r="J170" s="24"/>
      <c r="K170" s="74"/>
      <c r="L170" s="74"/>
      <c r="M170" s="76" t="str">
        <f t="shared" si="13"/>
        <v/>
      </c>
      <c r="N170" s="24"/>
      <c r="O170" s="111" t="str">
        <f t="shared" si="12"/>
        <v/>
      </c>
      <c r="P170" s="81"/>
      <c r="Q170" s="74"/>
      <c r="R170" s="74"/>
      <c r="S170" s="78" t="str">
        <f t="shared" si="14"/>
        <v/>
      </c>
      <c r="T170" s="24"/>
      <c r="U170" s="32"/>
      <c r="V170" s="40" t="str">
        <f t="shared" si="16"/>
        <v/>
      </c>
      <c r="W170" s="81"/>
      <c r="X170" s="74"/>
      <c r="Y170" s="74"/>
      <c r="Z170" s="79" t="str">
        <f t="shared" si="15"/>
        <v/>
      </c>
      <c r="AA170" s="24"/>
      <c r="AB170" s="32"/>
      <c r="AC170" s="31" t="str">
        <f t="shared" si="17"/>
        <v/>
      </c>
      <c r="AF170" s="109" t="str">
        <f>IF($M170="","",VLOOKUP($M170,'ORF Accuracy Value LookUp'!$D$4:$E$104,2,TRUE))</f>
        <v/>
      </c>
      <c r="AG170" s="47" t="str">
        <f>IF($S170="","",VLOOKUP($S170,'ORF Accuracy Value LookUp'!$G$4:$H$104,2,TRUE))</f>
        <v/>
      </c>
      <c r="AH170" s="110" t="str">
        <f>IF($Z170="","",VLOOKUP($Z170,'ORF Accuracy Value LookUp'!$G$4:$H$104,2,TRUE))</f>
        <v/>
      </c>
    </row>
    <row r="171" spans="1:34">
      <c r="A171" s="10"/>
      <c r="B171" s="9"/>
      <c r="C171" s="9"/>
      <c r="D171" s="9"/>
      <c r="E171" s="10"/>
      <c r="F171" s="11"/>
      <c r="G171" s="15"/>
      <c r="H171" s="81"/>
      <c r="I171" s="24"/>
      <c r="J171" s="24"/>
      <c r="K171" s="74"/>
      <c r="L171" s="74"/>
      <c r="M171" s="76" t="str">
        <f t="shared" si="13"/>
        <v/>
      </c>
      <c r="N171" s="24"/>
      <c r="O171" s="111" t="str">
        <f t="shared" si="12"/>
        <v/>
      </c>
      <c r="P171" s="81"/>
      <c r="Q171" s="74"/>
      <c r="R171" s="74"/>
      <c r="S171" s="78" t="str">
        <f t="shared" si="14"/>
        <v/>
      </c>
      <c r="T171" s="24"/>
      <c r="U171" s="32"/>
      <c r="V171" s="40" t="str">
        <f t="shared" si="16"/>
        <v/>
      </c>
      <c r="W171" s="81"/>
      <c r="X171" s="74"/>
      <c r="Y171" s="74"/>
      <c r="Z171" s="79" t="str">
        <f t="shared" si="15"/>
        <v/>
      </c>
      <c r="AA171" s="24"/>
      <c r="AB171" s="32"/>
      <c r="AC171" s="31" t="str">
        <f t="shared" si="17"/>
        <v/>
      </c>
      <c r="AF171" s="109" t="str">
        <f>IF($M171="","",VLOOKUP($M171,'ORF Accuracy Value LookUp'!$D$4:$E$104,2,TRUE))</f>
        <v/>
      </c>
      <c r="AG171" s="47" t="str">
        <f>IF($S171="","",VLOOKUP($S171,'ORF Accuracy Value LookUp'!$G$4:$H$104,2,TRUE))</f>
        <v/>
      </c>
      <c r="AH171" s="110" t="str">
        <f>IF($Z171="","",VLOOKUP($Z171,'ORF Accuracy Value LookUp'!$G$4:$H$104,2,TRUE))</f>
        <v/>
      </c>
    </row>
    <row r="172" spans="1:34">
      <c r="A172" s="10"/>
      <c r="B172" s="9"/>
      <c r="C172" s="9"/>
      <c r="D172" s="9"/>
      <c r="E172" s="10"/>
      <c r="F172" s="11"/>
      <c r="G172" s="15"/>
      <c r="H172" s="81"/>
      <c r="I172" s="24"/>
      <c r="J172" s="24"/>
      <c r="K172" s="74"/>
      <c r="L172" s="74"/>
      <c r="M172" s="76" t="str">
        <f t="shared" si="13"/>
        <v/>
      </c>
      <c r="N172" s="24"/>
      <c r="O172" s="111" t="str">
        <f t="shared" si="12"/>
        <v/>
      </c>
      <c r="P172" s="81"/>
      <c r="Q172" s="74"/>
      <c r="R172" s="74"/>
      <c r="S172" s="78" t="str">
        <f t="shared" si="14"/>
        <v/>
      </c>
      <c r="T172" s="24"/>
      <c r="U172" s="32"/>
      <c r="V172" s="40" t="str">
        <f t="shared" si="16"/>
        <v/>
      </c>
      <c r="W172" s="81"/>
      <c r="X172" s="74"/>
      <c r="Y172" s="74"/>
      <c r="Z172" s="79" t="str">
        <f t="shared" si="15"/>
        <v/>
      </c>
      <c r="AA172" s="24"/>
      <c r="AB172" s="32"/>
      <c r="AC172" s="31" t="str">
        <f t="shared" si="17"/>
        <v/>
      </c>
      <c r="AF172" s="109" t="str">
        <f>IF($M172="","",VLOOKUP($M172,'ORF Accuracy Value LookUp'!$D$4:$E$104,2,TRUE))</f>
        <v/>
      </c>
      <c r="AG172" s="47" t="str">
        <f>IF($S172="","",VLOOKUP($S172,'ORF Accuracy Value LookUp'!$G$4:$H$104,2,TRUE))</f>
        <v/>
      </c>
      <c r="AH172" s="110" t="str">
        <f>IF($Z172="","",VLOOKUP($Z172,'ORF Accuracy Value LookUp'!$G$4:$H$104,2,TRUE))</f>
        <v/>
      </c>
    </row>
    <row r="173" spans="1:34">
      <c r="A173" s="10"/>
      <c r="B173" s="9"/>
      <c r="C173" s="9"/>
      <c r="D173" s="9"/>
      <c r="E173" s="10"/>
      <c r="F173" s="11"/>
      <c r="G173" s="15"/>
      <c r="H173" s="81"/>
      <c r="I173" s="24"/>
      <c r="J173" s="24"/>
      <c r="K173" s="74"/>
      <c r="L173" s="74"/>
      <c r="M173" s="76" t="str">
        <f t="shared" si="13"/>
        <v/>
      </c>
      <c r="N173" s="24"/>
      <c r="O173" s="111" t="str">
        <f t="shared" si="12"/>
        <v/>
      </c>
      <c r="P173" s="81"/>
      <c r="Q173" s="74"/>
      <c r="R173" s="74"/>
      <c r="S173" s="78" t="str">
        <f t="shared" si="14"/>
        <v/>
      </c>
      <c r="T173" s="24"/>
      <c r="U173" s="32"/>
      <c r="V173" s="40" t="str">
        <f t="shared" si="16"/>
        <v/>
      </c>
      <c r="W173" s="81"/>
      <c r="X173" s="74"/>
      <c r="Y173" s="74"/>
      <c r="Z173" s="79" t="str">
        <f t="shared" si="15"/>
        <v/>
      </c>
      <c r="AA173" s="24"/>
      <c r="AB173" s="32"/>
      <c r="AC173" s="31" t="str">
        <f t="shared" si="17"/>
        <v/>
      </c>
      <c r="AF173" s="109" t="str">
        <f>IF($M173="","",VLOOKUP($M173,'ORF Accuracy Value LookUp'!$D$4:$E$104,2,TRUE))</f>
        <v/>
      </c>
      <c r="AG173" s="47" t="str">
        <f>IF($S173="","",VLOOKUP($S173,'ORF Accuracy Value LookUp'!$G$4:$H$104,2,TRUE))</f>
        <v/>
      </c>
      <c r="AH173" s="110" t="str">
        <f>IF($Z173="","",VLOOKUP($Z173,'ORF Accuracy Value LookUp'!$G$4:$H$104,2,TRUE))</f>
        <v/>
      </c>
    </row>
    <row r="174" spans="1:34">
      <c r="A174" s="10"/>
      <c r="B174" s="9"/>
      <c r="C174" s="9"/>
      <c r="D174" s="9"/>
      <c r="E174" s="10"/>
      <c r="F174" s="11"/>
      <c r="G174" s="15"/>
      <c r="H174" s="81"/>
      <c r="I174" s="24"/>
      <c r="J174" s="24"/>
      <c r="K174" s="74"/>
      <c r="L174" s="74"/>
      <c r="M174" s="76" t="str">
        <f t="shared" si="13"/>
        <v/>
      </c>
      <c r="N174" s="24"/>
      <c r="O174" s="111" t="str">
        <f t="shared" si="12"/>
        <v/>
      </c>
      <c r="P174" s="81"/>
      <c r="Q174" s="74"/>
      <c r="R174" s="74"/>
      <c r="S174" s="78" t="str">
        <f t="shared" si="14"/>
        <v/>
      </c>
      <c r="T174" s="24"/>
      <c r="U174" s="32"/>
      <c r="V174" s="40" t="str">
        <f t="shared" si="16"/>
        <v/>
      </c>
      <c r="W174" s="81"/>
      <c r="X174" s="74"/>
      <c r="Y174" s="74"/>
      <c r="Z174" s="79" t="str">
        <f t="shared" si="15"/>
        <v/>
      </c>
      <c r="AA174" s="24"/>
      <c r="AB174" s="32"/>
      <c r="AC174" s="31" t="str">
        <f t="shared" si="17"/>
        <v/>
      </c>
      <c r="AF174" s="109" t="str">
        <f>IF($M174="","",VLOOKUP($M174,'ORF Accuracy Value LookUp'!$D$4:$E$104,2,TRUE))</f>
        <v/>
      </c>
      <c r="AG174" s="47" t="str">
        <f>IF($S174="","",VLOOKUP($S174,'ORF Accuracy Value LookUp'!$G$4:$H$104,2,TRUE))</f>
        <v/>
      </c>
      <c r="AH174" s="110" t="str">
        <f>IF($Z174="","",VLOOKUP($Z174,'ORF Accuracy Value LookUp'!$G$4:$H$104,2,TRUE))</f>
        <v/>
      </c>
    </row>
    <row r="175" spans="1:34">
      <c r="A175" s="10"/>
      <c r="B175" s="9"/>
      <c r="C175" s="9"/>
      <c r="D175" s="9"/>
      <c r="E175" s="10"/>
      <c r="F175" s="11"/>
      <c r="G175" s="15"/>
      <c r="H175" s="81"/>
      <c r="I175" s="24"/>
      <c r="J175" s="24"/>
      <c r="K175" s="74"/>
      <c r="L175" s="74"/>
      <c r="M175" s="76" t="str">
        <f t="shared" si="13"/>
        <v/>
      </c>
      <c r="N175" s="24"/>
      <c r="O175" s="111" t="str">
        <f t="shared" si="12"/>
        <v/>
      </c>
      <c r="P175" s="81"/>
      <c r="Q175" s="74"/>
      <c r="R175" s="74"/>
      <c r="S175" s="78" t="str">
        <f t="shared" si="14"/>
        <v/>
      </c>
      <c r="T175" s="24"/>
      <c r="U175" s="32"/>
      <c r="V175" s="40" t="str">
        <f t="shared" si="16"/>
        <v/>
      </c>
      <c r="W175" s="81"/>
      <c r="X175" s="74"/>
      <c r="Y175" s="74"/>
      <c r="Z175" s="79" t="str">
        <f t="shared" si="15"/>
        <v/>
      </c>
      <c r="AA175" s="24"/>
      <c r="AB175" s="32"/>
      <c r="AC175" s="31" t="str">
        <f t="shared" si="17"/>
        <v/>
      </c>
      <c r="AF175" s="109" t="str">
        <f>IF($M175="","",VLOOKUP($M175,'ORF Accuracy Value LookUp'!$D$4:$E$104,2,TRUE))</f>
        <v/>
      </c>
      <c r="AG175" s="47" t="str">
        <f>IF($S175="","",VLOOKUP($S175,'ORF Accuracy Value LookUp'!$G$4:$H$104,2,TRUE))</f>
        <v/>
      </c>
      <c r="AH175" s="110" t="str">
        <f>IF($Z175="","",VLOOKUP($Z175,'ORF Accuracy Value LookUp'!$G$4:$H$104,2,TRUE))</f>
        <v/>
      </c>
    </row>
    <row r="176" spans="1:34">
      <c r="A176" s="10"/>
      <c r="B176" s="9"/>
      <c r="C176" s="9"/>
      <c r="D176" s="9"/>
      <c r="E176" s="10"/>
      <c r="F176" s="11"/>
      <c r="G176" s="15"/>
      <c r="H176" s="81"/>
      <c r="I176" s="24"/>
      <c r="J176" s="24"/>
      <c r="K176" s="74"/>
      <c r="L176" s="74"/>
      <c r="M176" s="76" t="str">
        <f t="shared" si="13"/>
        <v/>
      </c>
      <c r="N176" s="24"/>
      <c r="O176" s="111" t="str">
        <f t="shared" si="12"/>
        <v/>
      </c>
      <c r="P176" s="81"/>
      <c r="Q176" s="74"/>
      <c r="R176" s="74"/>
      <c r="S176" s="78" t="str">
        <f t="shared" si="14"/>
        <v/>
      </c>
      <c r="T176" s="24"/>
      <c r="U176" s="32"/>
      <c r="V176" s="40" t="str">
        <f t="shared" si="16"/>
        <v/>
      </c>
      <c r="W176" s="81"/>
      <c r="X176" s="74"/>
      <c r="Y176" s="74"/>
      <c r="Z176" s="79" t="str">
        <f t="shared" si="15"/>
        <v/>
      </c>
      <c r="AA176" s="24"/>
      <c r="AB176" s="32"/>
      <c r="AC176" s="31" t="str">
        <f t="shared" si="17"/>
        <v/>
      </c>
      <c r="AF176" s="109" t="str">
        <f>IF($M176="","",VLOOKUP($M176,'ORF Accuracy Value LookUp'!$D$4:$E$104,2,TRUE))</f>
        <v/>
      </c>
      <c r="AG176" s="47" t="str">
        <f>IF($S176="","",VLOOKUP($S176,'ORF Accuracy Value LookUp'!$G$4:$H$104,2,TRUE))</f>
        <v/>
      </c>
      <c r="AH176" s="110" t="str">
        <f>IF($Z176="","",VLOOKUP($Z176,'ORF Accuracy Value LookUp'!$G$4:$H$104,2,TRUE))</f>
        <v/>
      </c>
    </row>
    <row r="177" spans="1:34">
      <c r="A177" s="10"/>
      <c r="B177" s="9"/>
      <c r="C177" s="9"/>
      <c r="D177" s="9"/>
      <c r="E177" s="10"/>
      <c r="F177" s="11"/>
      <c r="G177" s="15"/>
      <c r="H177" s="81"/>
      <c r="I177" s="24"/>
      <c r="J177" s="24"/>
      <c r="K177" s="74"/>
      <c r="L177" s="74"/>
      <c r="M177" s="76" t="str">
        <f t="shared" si="13"/>
        <v/>
      </c>
      <c r="N177" s="24"/>
      <c r="O177" s="111" t="str">
        <f t="shared" si="12"/>
        <v/>
      </c>
      <c r="P177" s="81"/>
      <c r="Q177" s="74"/>
      <c r="R177" s="74"/>
      <c r="S177" s="78" t="str">
        <f t="shared" si="14"/>
        <v/>
      </c>
      <c r="T177" s="24"/>
      <c r="U177" s="32"/>
      <c r="V177" s="40" t="str">
        <f t="shared" si="16"/>
        <v/>
      </c>
      <c r="W177" s="81"/>
      <c r="X177" s="74"/>
      <c r="Y177" s="74"/>
      <c r="Z177" s="79" t="str">
        <f t="shared" si="15"/>
        <v/>
      </c>
      <c r="AA177" s="24"/>
      <c r="AB177" s="32"/>
      <c r="AC177" s="31" t="str">
        <f t="shared" si="17"/>
        <v/>
      </c>
      <c r="AF177" s="109" t="str">
        <f>IF($M177="","",VLOOKUP($M177,'ORF Accuracy Value LookUp'!$D$4:$E$104,2,TRUE))</f>
        <v/>
      </c>
      <c r="AG177" s="47" t="str">
        <f>IF($S177="","",VLOOKUP($S177,'ORF Accuracy Value LookUp'!$G$4:$H$104,2,TRUE))</f>
        <v/>
      </c>
      <c r="AH177" s="110" t="str">
        <f>IF($Z177="","",VLOOKUP($Z177,'ORF Accuracy Value LookUp'!$G$4:$H$104,2,TRUE))</f>
        <v/>
      </c>
    </row>
    <row r="178" spans="1:34">
      <c r="A178" s="10"/>
      <c r="B178" s="9"/>
      <c r="C178" s="9"/>
      <c r="D178" s="9"/>
      <c r="E178" s="10"/>
      <c r="F178" s="11"/>
      <c r="G178" s="15"/>
      <c r="H178" s="81"/>
      <c r="I178" s="24"/>
      <c r="J178" s="24"/>
      <c r="K178" s="74"/>
      <c r="L178" s="74"/>
      <c r="M178" s="76" t="str">
        <f t="shared" si="13"/>
        <v/>
      </c>
      <c r="N178" s="24"/>
      <c r="O178" s="111" t="str">
        <f t="shared" si="12"/>
        <v/>
      </c>
      <c r="P178" s="81"/>
      <c r="Q178" s="74"/>
      <c r="R178" s="74"/>
      <c r="S178" s="78" t="str">
        <f t="shared" si="14"/>
        <v/>
      </c>
      <c r="T178" s="24"/>
      <c r="U178" s="32"/>
      <c r="V178" s="40" t="str">
        <f t="shared" si="16"/>
        <v/>
      </c>
      <c r="W178" s="81"/>
      <c r="X178" s="74"/>
      <c r="Y178" s="74"/>
      <c r="Z178" s="79" t="str">
        <f t="shared" si="15"/>
        <v/>
      </c>
      <c r="AA178" s="24"/>
      <c r="AB178" s="32"/>
      <c r="AC178" s="31" t="str">
        <f t="shared" si="17"/>
        <v/>
      </c>
      <c r="AF178" s="109" t="str">
        <f>IF($M178="","",VLOOKUP($M178,'ORF Accuracy Value LookUp'!$D$4:$E$104,2,TRUE))</f>
        <v/>
      </c>
      <c r="AG178" s="47" t="str">
        <f>IF($S178="","",VLOOKUP($S178,'ORF Accuracy Value LookUp'!$G$4:$H$104,2,TRUE))</f>
        <v/>
      </c>
      <c r="AH178" s="110" t="str">
        <f>IF($Z178="","",VLOOKUP($Z178,'ORF Accuracy Value LookUp'!$G$4:$H$104,2,TRUE))</f>
        <v/>
      </c>
    </row>
    <row r="179" spans="1:34">
      <c r="A179" s="10"/>
      <c r="B179" s="9"/>
      <c r="C179" s="9"/>
      <c r="D179" s="9"/>
      <c r="E179" s="10"/>
      <c r="F179" s="11"/>
      <c r="G179" s="15"/>
      <c r="H179" s="81"/>
      <c r="I179" s="24"/>
      <c r="J179" s="24"/>
      <c r="K179" s="74"/>
      <c r="L179" s="74"/>
      <c r="M179" s="76" t="str">
        <f t="shared" si="13"/>
        <v/>
      </c>
      <c r="N179" s="24"/>
      <c r="O179" s="111" t="str">
        <f t="shared" si="12"/>
        <v/>
      </c>
      <c r="P179" s="81"/>
      <c r="Q179" s="74"/>
      <c r="R179" s="74"/>
      <c r="S179" s="78" t="str">
        <f t="shared" si="14"/>
        <v/>
      </c>
      <c r="T179" s="24"/>
      <c r="U179" s="32"/>
      <c r="V179" s="40" t="str">
        <f t="shared" si="16"/>
        <v/>
      </c>
      <c r="W179" s="81"/>
      <c r="X179" s="74"/>
      <c r="Y179" s="74"/>
      <c r="Z179" s="79" t="str">
        <f t="shared" si="15"/>
        <v/>
      </c>
      <c r="AA179" s="24"/>
      <c r="AB179" s="32"/>
      <c r="AC179" s="31" t="str">
        <f t="shared" si="17"/>
        <v/>
      </c>
      <c r="AF179" s="109" t="str">
        <f>IF($M179="","",VLOOKUP($M179,'ORF Accuracy Value LookUp'!$D$4:$E$104,2,TRUE))</f>
        <v/>
      </c>
      <c r="AG179" s="47" t="str">
        <f>IF($S179="","",VLOOKUP($S179,'ORF Accuracy Value LookUp'!$G$4:$H$104,2,TRUE))</f>
        <v/>
      </c>
      <c r="AH179" s="110" t="str">
        <f>IF($Z179="","",VLOOKUP($Z179,'ORF Accuracy Value LookUp'!$G$4:$H$104,2,TRUE))</f>
        <v/>
      </c>
    </row>
    <row r="180" spans="1:34">
      <c r="A180" s="10"/>
      <c r="B180" s="9"/>
      <c r="C180" s="9"/>
      <c r="D180" s="9"/>
      <c r="E180" s="10"/>
      <c r="F180" s="11"/>
      <c r="G180" s="15"/>
      <c r="H180" s="81"/>
      <c r="I180" s="24"/>
      <c r="J180" s="24"/>
      <c r="K180" s="74"/>
      <c r="L180" s="74"/>
      <c r="M180" s="76" t="str">
        <f t="shared" si="13"/>
        <v/>
      </c>
      <c r="N180" s="24"/>
      <c r="O180" s="111" t="str">
        <f t="shared" si="12"/>
        <v/>
      </c>
      <c r="P180" s="81"/>
      <c r="Q180" s="74"/>
      <c r="R180" s="74"/>
      <c r="S180" s="78" t="str">
        <f t="shared" si="14"/>
        <v/>
      </c>
      <c r="T180" s="24"/>
      <c r="U180" s="32"/>
      <c r="V180" s="40" t="str">
        <f t="shared" si="16"/>
        <v/>
      </c>
      <c r="W180" s="81"/>
      <c r="X180" s="74"/>
      <c r="Y180" s="74"/>
      <c r="Z180" s="79" t="str">
        <f t="shared" si="15"/>
        <v/>
      </c>
      <c r="AA180" s="24"/>
      <c r="AB180" s="32"/>
      <c r="AC180" s="31" t="str">
        <f t="shared" si="17"/>
        <v/>
      </c>
      <c r="AF180" s="109" t="str">
        <f>IF($M180="","",VLOOKUP($M180,'ORF Accuracy Value LookUp'!$D$4:$E$104,2,TRUE))</f>
        <v/>
      </c>
      <c r="AG180" s="47" t="str">
        <f>IF($S180="","",VLOOKUP($S180,'ORF Accuracy Value LookUp'!$G$4:$H$104,2,TRUE))</f>
        <v/>
      </c>
      <c r="AH180" s="110" t="str">
        <f>IF($Z180="","",VLOOKUP($Z180,'ORF Accuracy Value LookUp'!$G$4:$H$104,2,TRUE))</f>
        <v/>
      </c>
    </row>
    <row r="181" spans="1:34">
      <c r="A181" s="10"/>
      <c r="B181" s="9"/>
      <c r="C181" s="9"/>
      <c r="D181" s="9"/>
      <c r="E181" s="10"/>
      <c r="F181" s="11"/>
      <c r="G181" s="15"/>
      <c r="H181" s="81"/>
      <c r="I181" s="24"/>
      <c r="J181" s="24"/>
      <c r="K181" s="74"/>
      <c r="L181" s="74"/>
      <c r="M181" s="76" t="str">
        <f t="shared" si="13"/>
        <v/>
      </c>
      <c r="N181" s="24"/>
      <c r="O181" s="111" t="str">
        <f t="shared" si="12"/>
        <v/>
      </c>
      <c r="P181" s="81"/>
      <c r="Q181" s="74"/>
      <c r="R181" s="74"/>
      <c r="S181" s="78" t="str">
        <f t="shared" si="14"/>
        <v/>
      </c>
      <c r="T181" s="24"/>
      <c r="U181" s="32"/>
      <c r="V181" s="40" t="str">
        <f t="shared" si="16"/>
        <v/>
      </c>
      <c r="W181" s="81"/>
      <c r="X181" s="74"/>
      <c r="Y181" s="74"/>
      <c r="Z181" s="79" t="str">
        <f t="shared" si="15"/>
        <v/>
      </c>
      <c r="AA181" s="24"/>
      <c r="AB181" s="32"/>
      <c r="AC181" s="31" t="str">
        <f t="shared" si="17"/>
        <v/>
      </c>
      <c r="AF181" s="109" t="str">
        <f>IF($M181="","",VLOOKUP($M181,'ORF Accuracy Value LookUp'!$D$4:$E$104,2,TRUE))</f>
        <v/>
      </c>
      <c r="AG181" s="47" t="str">
        <f>IF($S181="","",VLOOKUP($S181,'ORF Accuracy Value LookUp'!$G$4:$H$104,2,TRUE))</f>
        <v/>
      </c>
      <c r="AH181" s="110" t="str">
        <f>IF($Z181="","",VLOOKUP($Z181,'ORF Accuracy Value LookUp'!$G$4:$H$104,2,TRUE))</f>
        <v/>
      </c>
    </row>
    <row r="182" spans="1:34">
      <c r="A182" s="10"/>
      <c r="B182" s="9"/>
      <c r="C182" s="9"/>
      <c r="D182" s="9"/>
      <c r="E182" s="10"/>
      <c r="F182" s="11"/>
      <c r="G182" s="15"/>
      <c r="H182" s="81"/>
      <c r="I182" s="24"/>
      <c r="J182" s="24"/>
      <c r="K182" s="74"/>
      <c r="L182" s="74"/>
      <c r="M182" s="76" t="str">
        <f t="shared" si="13"/>
        <v/>
      </c>
      <c r="N182" s="24"/>
      <c r="O182" s="111" t="str">
        <f t="shared" si="12"/>
        <v/>
      </c>
      <c r="P182" s="81"/>
      <c r="Q182" s="74"/>
      <c r="R182" s="74"/>
      <c r="S182" s="78" t="str">
        <f t="shared" si="14"/>
        <v/>
      </c>
      <c r="T182" s="24"/>
      <c r="U182" s="32"/>
      <c r="V182" s="40" t="str">
        <f t="shared" si="16"/>
        <v/>
      </c>
      <c r="W182" s="81"/>
      <c r="X182" s="74"/>
      <c r="Y182" s="74"/>
      <c r="Z182" s="79" t="str">
        <f t="shared" si="15"/>
        <v/>
      </c>
      <c r="AA182" s="24"/>
      <c r="AB182" s="32"/>
      <c r="AC182" s="31" t="str">
        <f t="shared" si="17"/>
        <v/>
      </c>
      <c r="AF182" s="109" t="str">
        <f>IF($M182="","",VLOOKUP($M182,'ORF Accuracy Value LookUp'!$D$4:$E$104,2,TRUE))</f>
        <v/>
      </c>
      <c r="AG182" s="47" t="str">
        <f>IF($S182="","",VLOOKUP($S182,'ORF Accuracy Value LookUp'!$G$4:$H$104,2,TRUE))</f>
        <v/>
      </c>
      <c r="AH182" s="110" t="str">
        <f>IF($Z182="","",VLOOKUP($Z182,'ORF Accuracy Value LookUp'!$G$4:$H$104,2,TRUE))</f>
        <v/>
      </c>
    </row>
    <row r="183" spans="1:34">
      <c r="A183" s="10"/>
      <c r="B183" s="9"/>
      <c r="C183" s="9"/>
      <c r="D183" s="9"/>
      <c r="E183" s="10"/>
      <c r="F183" s="11"/>
      <c r="G183" s="15"/>
      <c r="H183" s="81"/>
      <c r="I183" s="24"/>
      <c r="J183" s="24"/>
      <c r="K183" s="74"/>
      <c r="L183" s="74"/>
      <c r="M183" s="76" t="str">
        <f t="shared" si="13"/>
        <v/>
      </c>
      <c r="N183" s="24"/>
      <c r="O183" s="111" t="str">
        <f t="shared" si="12"/>
        <v/>
      </c>
      <c r="P183" s="81"/>
      <c r="Q183" s="74"/>
      <c r="R183" s="74"/>
      <c r="S183" s="78" t="str">
        <f t="shared" si="14"/>
        <v/>
      </c>
      <c r="T183" s="24"/>
      <c r="U183" s="32"/>
      <c r="V183" s="40" t="str">
        <f t="shared" si="16"/>
        <v/>
      </c>
      <c r="W183" s="81"/>
      <c r="X183" s="74"/>
      <c r="Y183" s="74"/>
      <c r="Z183" s="79" t="str">
        <f t="shared" si="15"/>
        <v/>
      </c>
      <c r="AA183" s="24"/>
      <c r="AB183" s="32"/>
      <c r="AC183" s="31" t="str">
        <f t="shared" si="17"/>
        <v/>
      </c>
      <c r="AF183" s="109" t="str">
        <f>IF($M183="","",VLOOKUP($M183,'ORF Accuracy Value LookUp'!$D$4:$E$104,2,TRUE))</f>
        <v/>
      </c>
      <c r="AG183" s="47" t="str">
        <f>IF($S183="","",VLOOKUP($S183,'ORF Accuracy Value LookUp'!$G$4:$H$104,2,TRUE))</f>
        <v/>
      </c>
      <c r="AH183" s="110" t="str">
        <f>IF($Z183="","",VLOOKUP($Z183,'ORF Accuracy Value LookUp'!$G$4:$H$104,2,TRUE))</f>
        <v/>
      </c>
    </row>
    <row r="184" spans="1:34">
      <c r="A184" s="10"/>
      <c r="B184" s="9"/>
      <c r="C184" s="9"/>
      <c r="D184" s="9"/>
      <c r="E184" s="10"/>
      <c r="F184" s="11"/>
      <c r="G184" s="15"/>
      <c r="H184" s="81"/>
      <c r="I184" s="24"/>
      <c r="J184" s="24"/>
      <c r="K184" s="74"/>
      <c r="L184" s="74"/>
      <c r="M184" s="76" t="str">
        <f t="shared" si="13"/>
        <v/>
      </c>
      <c r="N184" s="24"/>
      <c r="O184" s="111" t="str">
        <f t="shared" si="12"/>
        <v/>
      </c>
      <c r="P184" s="81"/>
      <c r="Q184" s="74"/>
      <c r="R184" s="74"/>
      <c r="S184" s="78" t="str">
        <f t="shared" si="14"/>
        <v/>
      </c>
      <c r="T184" s="24"/>
      <c r="U184" s="32"/>
      <c r="V184" s="40" t="str">
        <f t="shared" si="16"/>
        <v/>
      </c>
      <c r="W184" s="81"/>
      <c r="X184" s="74"/>
      <c r="Y184" s="74"/>
      <c r="Z184" s="79" t="str">
        <f t="shared" si="15"/>
        <v/>
      </c>
      <c r="AA184" s="24"/>
      <c r="AB184" s="32"/>
      <c r="AC184" s="31" t="str">
        <f t="shared" si="17"/>
        <v/>
      </c>
      <c r="AF184" s="109" t="str">
        <f>IF($M184="","",VLOOKUP($M184,'ORF Accuracy Value LookUp'!$D$4:$E$104,2,TRUE))</f>
        <v/>
      </c>
      <c r="AG184" s="47" t="str">
        <f>IF($S184="","",VLOOKUP($S184,'ORF Accuracy Value LookUp'!$G$4:$H$104,2,TRUE))</f>
        <v/>
      </c>
      <c r="AH184" s="110" t="str">
        <f>IF($Z184="","",VLOOKUP($Z184,'ORF Accuracy Value LookUp'!$G$4:$H$104,2,TRUE))</f>
        <v/>
      </c>
    </row>
    <row r="185" spans="1:34">
      <c r="A185" s="10"/>
      <c r="B185" s="9"/>
      <c r="C185" s="9"/>
      <c r="D185" s="9"/>
      <c r="E185" s="10"/>
      <c r="F185" s="11"/>
      <c r="G185" s="15"/>
      <c r="H185" s="81"/>
      <c r="I185" s="24"/>
      <c r="J185" s="24"/>
      <c r="K185" s="74"/>
      <c r="L185" s="74"/>
      <c r="M185" s="76" t="str">
        <f t="shared" si="13"/>
        <v/>
      </c>
      <c r="N185" s="24"/>
      <c r="O185" s="111" t="str">
        <f t="shared" si="12"/>
        <v/>
      </c>
      <c r="P185" s="81"/>
      <c r="Q185" s="74"/>
      <c r="R185" s="74"/>
      <c r="S185" s="78" t="str">
        <f t="shared" si="14"/>
        <v/>
      </c>
      <c r="T185" s="24"/>
      <c r="U185" s="32"/>
      <c r="V185" s="40" t="str">
        <f t="shared" si="16"/>
        <v/>
      </c>
      <c r="W185" s="81"/>
      <c r="X185" s="74"/>
      <c r="Y185" s="74"/>
      <c r="Z185" s="79" t="str">
        <f t="shared" si="15"/>
        <v/>
      </c>
      <c r="AA185" s="24"/>
      <c r="AB185" s="32"/>
      <c r="AC185" s="31" t="str">
        <f t="shared" si="17"/>
        <v/>
      </c>
      <c r="AF185" s="109" t="str">
        <f>IF($M185="","",VLOOKUP($M185,'ORF Accuracy Value LookUp'!$D$4:$E$104,2,TRUE))</f>
        <v/>
      </c>
      <c r="AG185" s="47" t="str">
        <f>IF($S185="","",VLOOKUP($S185,'ORF Accuracy Value LookUp'!$G$4:$H$104,2,TRUE))</f>
        <v/>
      </c>
      <c r="AH185" s="110" t="str">
        <f>IF($Z185="","",VLOOKUP($Z185,'ORF Accuracy Value LookUp'!$G$4:$H$104,2,TRUE))</f>
        <v/>
      </c>
    </row>
    <row r="186" spans="1:34">
      <c r="A186" s="10"/>
      <c r="B186" s="9"/>
      <c r="C186" s="9"/>
      <c r="D186" s="9"/>
      <c r="E186" s="10"/>
      <c r="F186" s="11"/>
      <c r="G186" s="15"/>
      <c r="H186" s="81"/>
      <c r="I186" s="24"/>
      <c r="J186" s="24"/>
      <c r="K186" s="74"/>
      <c r="L186" s="74"/>
      <c r="M186" s="76" t="str">
        <f t="shared" si="13"/>
        <v/>
      </c>
      <c r="N186" s="24"/>
      <c r="O186" s="111" t="str">
        <f t="shared" si="12"/>
        <v/>
      </c>
      <c r="P186" s="81"/>
      <c r="Q186" s="74"/>
      <c r="R186" s="74"/>
      <c r="S186" s="78" t="str">
        <f t="shared" si="14"/>
        <v/>
      </c>
      <c r="T186" s="24"/>
      <c r="U186" s="32"/>
      <c r="V186" s="40" t="str">
        <f t="shared" si="16"/>
        <v/>
      </c>
      <c r="W186" s="81"/>
      <c r="X186" s="74"/>
      <c r="Y186" s="74"/>
      <c r="Z186" s="79" t="str">
        <f t="shared" si="15"/>
        <v/>
      </c>
      <c r="AA186" s="24"/>
      <c r="AB186" s="32"/>
      <c r="AC186" s="31" t="str">
        <f t="shared" si="17"/>
        <v/>
      </c>
      <c r="AF186" s="109" t="str">
        <f>IF($M186="","",VLOOKUP($M186,'ORF Accuracy Value LookUp'!$D$4:$E$104,2,TRUE))</f>
        <v/>
      </c>
      <c r="AG186" s="47" t="str">
        <f>IF($S186="","",VLOOKUP($S186,'ORF Accuracy Value LookUp'!$G$4:$H$104,2,TRUE))</f>
        <v/>
      </c>
      <c r="AH186" s="110" t="str">
        <f>IF($Z186="","",VLOOKUP($Z186,'ORF Accuracy Value LookUp'!$G$4:$H$104,2,TRUE))</f>
        <v/>
      </c>
    </row>
    <row r="187" spans="1:34">
      <c r="A187" s="10"/>
      <c r="B187" s="9"/>
      <c r="C187" s="9"/>
      <c r="D187" s="9"/>
      <c r="E187" s="10"/>
      <c r="F187" s="11"/>
      <c r="G187" s="15"/>
      <c r="H187" s="81"/>
      <c r="I187" s="24"/>
      <c r="J187" s="24"/>
      <c r="K187" s="74"/>
      <c r="L187" s="74"/>
      <c r="M187" s="76" t="str">
        <f t="shared" si="13"/>
        <v/>
      </c>
      <c r="N187" s="24"/>
      <c r="O187" s="111" t="str">
        <f t="shared" si="12"/>
        <v/>
      </c>
      <c r="P187" s="81"/>
      <c r="Q187" s="74"/>
      <c r="R187" s="74"/>
      <c r="S187" s="78" t="str">
        <f t="shared" si="14"/>
        <v/>
      </c>
      <c r="T187" s="24"/>
      <c r="U187" s="32"/>
      <c r="V187" s="40" t="str">
        <f t="shared" si="16"/>
        <v/>
      </c>
      <c r="W187" s="81"/>
      <c r="X187" s="74"/>
      <c r="Y187" s="74"/>
      <c r="Z187" s="79" t="str">
        <f t="shared" si="15"/>
        <v/>
      </c>
      <c r="AA187" s="24"/>
      <c r="AB187" s="32"/>
      <c r="AC187" s="31" t="str">
        <f t="shared" si="17"/>
        <v/>
      </c>
      <c r="AF187" s="109" t="str">
        <f>IF($M187="","",VLOOKUP($M187,'ORF Accuracy Value LookUp'!$D$4:$E$104,2,TRUE))</f>
        <v/>
      </c>
      <c r="AG187" s="47" t="str">
        <f>IF($S187="","",VLOOKUP($S187,'ORF Accuracy Value LookUp'!$G$4:$H$104,2,TRUE))</f>
        <v/>
      </c>
      <c r="AH187" s="110" t="str">
        <f>IF($Z187="","",VLOOKUP($Z187,'ORF Accuracy Value LookUp'!$G$4:$H$104,2,TRUE))</f>
        <v/>
      </c>
    </row>
    <row r="188" spans="1:34">
      <c r="A188" s="10"/>
      <c r="B188" s="9"/>
      <c r="C188" s="9"/>
      <c r="D188" s="9"/>
      <c r="E188" s="10"/>
      <c r="F188" s="11"/>
      <c r="G188" s="15"/>
      <c r="H188" s="81"/>
      <c r="I188" s="24"/>
      <c r="J188" s="24"/>
      <c r="K188" s="74"/>
      <c r="L188" s="74"/>
      <c r="M188" s="76" t="str">
        <f t="shared" si="13"/>
        <v/>
      </c>
      <c r="N188" s="24"/>
      <c r="O188" s="111" t="str">
        <f t="shared" si="12"/>
        <v/>
      </c>
      <c r="P188" s="81"/>
      <c r="Q188" s="74"/>
      <c r="R188" s="74"/>
      <c r="S188" s="78" t="str">
        <f t="shared" si="14"/>
        <v/>
      </c>
      <c r="T188" s="24"/>
      <c r="U188" s="32"/>
      <c r="V188" s="40" t="str">
        <f t="shared" si="16"/>
        <v/>
      </c>
      <c r="W188" s="81"/>
      <c r="X188" s="74"/>
      <c r="Y188" s="74"/>
      <c r="Z188" s="79" t="str">
        <f t="shared" si="15"/>
        <v/>
      </c>
      <c r="AA188" s="24"/>
      <c r="AB188" s="32"/>
      <c r="AC188" s="31" t="str">
        <f t="shared" si="17"/>
        <v/>
      </c>
      <c r="AF188" s="109" t="str">
        <f>IF($M188="","",VLOOKUP($M188,'ORF Accuracy Value LookUp'!$D$4:$E$104,2,TRUE))</f>
        <v/>
      </c>
      <c r="AG188" s="47" t="str">
        <f>IF($S188="","",VLOOKUP($S188,'ORF Accuracy Value LookUp'!$G$4:$H$104,2,TRUE))</f>
        <v/>
      </c>
      <c r="AH188" s="110" t="str">
        <f>IF($Z188="","",VLOOKUP($Z188,'ORF Accuracy Value LookUp'!$G$4:$H$104,2,TRUE))</f>
        <v/>
      </c>
    </row>
    <row r="189" spans="1:34">
      <c r="A189" s="10"/>
      <c r="B189" s="9"/>
      <c r="C189" s="9"/>
      <c r="D189" s="9"/>
      <c r="E189" s="10"/>
      <c r="F189" s="11"/>
      <c r="G189" s="15"/>
      <c r="H189" s="81"/>
      <c r="I189" s="24"/>
      <c r="J189" s="24"/>
      <c r="K189" s="74"/>
      <c r="L189" s="74"/>
      <c r="M189" s="76" t="str">
        <f t="shared" si="13"/>
        <v/>
      </c>
      <c r="N189" s="24"/>
      <c r="O189" s="111" t="str">
        <f t="shared" si="12"/>
        <v/>
      </c>
      <c r="P189" s="81"/>
      <c r="Q189" s="74"/>
      <c r="R189" s="74"/>
      <c r="S189" s="78" t="str">
        <f t="shared" si="14"/>
        <v/>
      </c>
      <c r="T189" s="24"/>
      <c r="U189" s="32"/>
      <c r="V189" s="40" t="str">
        <f t="shared" si="16"/>
        <v/>
      </c>
      <c r="W189" s="81"/>
      <c r="X189" s="74"/>
      <c r="Y189" s="74"/>
      <c r="Z189" s="79" t="str">
        <f t="shared" si="15"/>
        <v/>
      </c>
      <c r="AA189" s="24"/>
      <c r="AB189" s="32"/>
      <c r="AC189" s="31" t="str">
        <f t="shared" si="17"/>
        <v/>
      </c>
      <c r="AF189" s="109" t="str">
        <f>IF($M189="","",VLOOKUP($M189,'ORF Accuracy Value LookUp'!$D$4:$E$104,2,TRUE))</f>
        <v/>
      </c>
      <c r="AG189" s="47" t="str">
        <f>IF($S189="","",VLOOKUP($S189,'ORF Accuracy Value LookUp'!$G$4:$H$104,2,TRUE))</f>
        <v/>
      </c>
      <c r="AH189" s="110" t="str">
        <f>IF($Z189="","",VLOOKUP($Z189,'ORF Accuracy Value LookUp'!$G$4:$H$104,2,TRUE))</f>
        <v/>
      </c>
    </row>
    <row r="190" spans="1:34">
      <c r="A190" s="10"/>
      <c r="B190" s="9"/>
      <c r="C190" s="9"/>
      <c r="D190" s="9"/>
      <c r="E190" s="10"/>
      <c r="F190" s="11"/>
      <c r="G190" s="15"/>
      <c r="H190" s="81"/>
      <c r="I190" s="24"/>
      <c r="J190" s="24"/>
      <c r="K190" s="74"/>
      <c r="L190" s="74"/>
      <c r="M190" s="76" t="str">
        <f t="shared" si="13"/>
        <v/>
      </c>
      <c r="N190" s="24"/>
      <c r="O190" s="111" t="str">
        <f t="shared" si="12"/>
        <v/>
      </c>
      <c r="P190" s="81"/>
      <c r="Q190" s="74"/>
      <c r="R190" s="74"/>
      <c r="S190" s="78" t="str">
        <f t="shared" si="14"/>
        <v/>
      </c>
      <c r="T190" s="24"/>
      <c r="U190" s="32"/>
      <c r="V190" s="40" t="str">
        <f t="shared" si="16"/>
        <v/>
      </c>
      <c r="W190" s="81"/>
      <c r="X190" s="74"/>
      <c r="Y190" s="74"/>
      <c r="Z190" s="79" t="str">
        <f t="shared" si="15"/>
        <v/>
      </c>
      <c r="AA190" s="24"/>
      <c r="AB190" s="32"/>
      <c r="AC190" s="31" t="str">
        <f t="shared" si="17"/>
        <v/>
      </c>
      <c r="AF190" s="109" t="str">
        <f>IF($M190="","",VLOOKUP($M190,'ORF Accuracy Value LookUp'!$D$4:$E$104,2,TRUE))</f>
        <v/>
      </c>
      <c r="AG190" s="47" t="str">
        <f>IF($S190="","",VLOOKUP($S190,'ORF Accuracy Value LookUp'!$G$4:$H$104,2,TRUE))</f>
        <v/>
      </c>
      <c r="AH190" s="110" t="str">
        <f>IF($Z190="","",VLOOKUP($Z190,'ORF Accuracy Value LookUp'!$G$4:$H$104,2,TRUE))</f>
        <v/>
      </c>
    </row>
    <row r="191" spans="1:34">
      <c r="A191" s="10"/>
      <c r="B191" s="9"/>
      <c r="C191" s="9"/>
      <c r="D191" s="9"/>
      <c r="E191" s="10"/>
      <c r="F191" s="11"/>
      <c r="G191" s="15"/>
      <c r="H191" s="81"/>
      <c r="I191" s="24"/>
      <c r="J191" s="24"/>
      <c r="K191" s="74"/>
      <c r="L191" s="74"/>
      <c r="M191" s="76" t="str">
        <f t="shared" si="13"/>
        <v/>
      </c>
      <c r="N191" s="24"/>
      <c r="O191" s="111" t="str">
        <f t="shared" si="12"/>
        <v/>
      </c>
      <c r="P191" s="81"/>
      <c r="Q191" s="74"/>
      <c r="R191" s="74"/>
      <c r="S191" s="78" t="str">
        <f t="shared" si="14"/>
        <v/>
      </c>
      <c r="T191" s="24"/>
      <c r="U191" s="32"/>
      <c r="V191" s="40" t="str">
        <f t="shared" si="16"/>
        <v/>
      </c>
      <c r="W191" s="81"/>
      <c r="X191" s="74"/>
      <c r="Y191" s="74"/>
      <c r="Z191" s="79" t="str">
        <f t="shared" si="15"/>
        <v/>
      </c>
      <c r="AA191" s="24"/>
      <c r="AB191" s="32"/>
      <c r="AC191" s="31" t="str">
        <f t="shared" si="17"/>
        <v/>
      </c>
      <c r="AF191" s="109" t="str">
        <f>IF($M191="","",VLOOKUP($M191,'ORF Accuracy Value LookUp'!$D$4:$E$104,2,TRUE))</f>
        <v/>
      </c>
      <c r="AG191" s="47" t="str">
        <f>IF($S191="","",VLOOKUP($S191,'ORF Accuracy Value LookUp'!$G$4:$H$104,2,TRUE))</f>
        <v/>
      </c>
      <c r="AH191" s="110" t="str">
        <f>IF($Z191="","",VLOOKUP($Z191,'ORF Accuracy Value LookUp'!$G$4:$H$104,2,TRUE))</f>
        <v/>
      </c>
    </row>
    <row r="192" spans="1:34">
      <c r="A192" s="10"/>
      <c r="B192" s="9"/>
      <c r="C192" s="9"/>
      <c r="D192" s="9"/>
      <c r="E192" s="10"/>
      <c r="F192" s="11"/>
      <c r="G192" s="15"/>
      <c r="H192" s="81"/>
      <c r="I192" s="24"/>
      <c r="J192" s="24"/>
      <c r="K192" s="74"/>
      <c r="L192" s="74"/>
      <c r="M192" s="76" t="str">
        <f t="shared" si="13"/>
        <v/>
      </c>
      <c r="N192" s="24"/>
      <c r="O192" s="111" t="str">
        <f t="shared" si="12"/>
        <v/>
      </c>
      <c r="P192" s="81"/>
      <c r="Q192" s="74"/>
      <c r="R192" s="74"/>
      <c r="S192" s="78" t="str">
        <f t="shared" si="14"/>
        <v/>
      </c>
      <c r="T192" s="24"/>
      <c r="U192" s="32"/>
      <c r="V192" s="40" t="str">
        <f t="shared" si="16"/>
        <v/>
      </c>
      <c r="W192" s="81"/>
      <c r="X192" s="74"/>
      <c r="Y192" s="74"/>
      <c r="Z192" s="79" t="str">
        <f t="shared" si="15"/>
        <v/>
      </c>
      <c r="AA192" s="24"/>
      <c r="AB192" s="32"/>
      <c r="AC192" s="31" t="str">
        <f t="shared" si="17"/>
        <v/>
      </c>
      <c r="AF192" s="109" t="str">
        <f>IF($M192="","",VLOOKUP($M192,'ORF Accuracy Value LookUp'!$D$4:$E$104,2,TRUE))</f>
        <v/>
      </c>
      <c r="AG192" s="47" t="str">
        <f>IF($S192="","",VLOOKUP($S192,'ORF Accuracy Value LookUp'!$G$4:$H$104,2,TRUE))</f>
        <v/>
      </c>
      <c r="AH192" s="110" t="str">
        <f>IF($Z192="","",VLOOKUP($Z192,'ORF Accuracy Value LookUp'!$G$4:$H$104,2,TRUE))</f>
        <v/>
      </c>
    </row>
    <row r="193" spans="1:34">
      <c r="A193" s="10"/>
      <c r="B193" s="9"/>
      <c r="C193" s="9"/>
      <c r="D193" s="9"/>
      <c r="E193" s="10"/>
      <c r="F193" s="11"/>
      <c r="G193" s="15"/>
      <c r="H193" s="81"/>
      <c r="I193" s="24"/>
      <c r="J193" s="24"/>
      <c r="K193" s="74"/>
      <c r="L193" s="74"/>
      <c r="M193" s="76" t="str">
        <f t="shared" si="13"/>
        <v/>
      </c>
      <c r="N193" s="24"/>
      <c r="O193" s="111" t="str">
        <f t="shared" si="12"/>
        <v/>
      </c>
      <c r="P193" s="81"/>
      <c r="Q193" s="74"/>
      <c r="R193" s="74"/>
      <c r="S193" s="78" t="str">
        <f t="shared" si="14"/>
        <v/>
      </c>
      <c r="T193" s="24"/>
      <c r="U193" s="32"/>
      <c r="V193" s="40" t="str">
        <f t="shared" si="16"/>
        <v/>
      </c>
      <c r="W193" s="81"/>
      <c r="X193" s="74"/>
      <c r="Y193" s="74"/>
      <c r="Z193" s="79" t="str">
        <f t="shared" si="15"/>
        <v/>
      </c>
      <c r="AA193" s="24"/>
      <c r="AB193" s="32"/>
      <c r="AC193" s="31" t="str">
        <f t="shared" si="17"/>
        <v/>
      </c>
      <c r="AF193" s="109" t="str">
        <f>IF($M193="","",VLOOKUP($M193,'ORF Accuracy Value LookUp'!$D$4:$E$104,2,TRUE))</f>
        <v/>
      </c>
      <c r="AG193" s="47" t="str">
        <f>IF($S193="","",VLOOKUP($S193,'ORF Accuracy Value LookUp'!$G$4:$H$104,2,TRUE))</f>
        <v/>
      </c>
      <c r="AH193" s="110" t="str">
        <f>IF($Z193="","",VLOOKUP($Z193,'ORF Accuracy Value LookUp'!$G$4:$H$104,2,TRUE))</f>
        <v/>
      </c>
    </row>
    <row r="194" spans="1:34">
      <c r="A194" s="10"/>
      <c r="B194" s="9"/>
      <c r="C194" s="9"/>
      <c r="D194" s="9"/>
      <c r="E194" s="10"/>
      <c r="F194" s="11"/>
      <c r="G194" s="15"/>
      <c r="H194" s="81"/>
      <c r="I194" s="24"/>
      <c r="J194" s="24"/>
      <c r="K194" s="74"/>
      <c r="L194" s="74"/>
      <c r="M194" s="76" t="str">
        <f t="shared" si="13"/>
        <v/>
      </c>
      <c r="N194" s="24"/>
      <c r="O194" s="111" t="str">
        <f t="shared" si="12"/>
        <v/>
      </c>
      <c r="P194" s="81"/>
      <c r="Q194" s="74"/>
      <c r="R194" s="74"/>
      <c r="S194" s="78" t="str">
        <f t="shared" si="14"/>
        <v/>
      </c>
      <c r="T194" s="24"/>
      <c r="U194" s="32"/>
      <c r="V194" s="40" t="str">
        <f t="shared" si="16"/>
        <v/>
      </c>
      <c r="W194" s="81"/>
      <c r="X194" s="74"/>
      <c r="Y194" s="74"/>
      <c r="Z194" s="79" t="str">
        <f t="shared" si="15"/>
        <v/>
      </c>
      <c r="AA194" s="24"/>
      <c r="AB194" s="32"/>
      <c r="AC194" s="31" t="str">
        <f t="shared" si="17"/>
        <v/>
      </c>
      <c r="AF194" s="109" t="str">
        <f>IF($M194="","",VLOOKUP($M194,'ORF Accuracy Value LookUp'!$D$4:$E$104,2,TRUE))</f>
        <v/>
      </c>
      <c r="AG194" s="47" t="str">
        <f>IF($S194="","",VLOOKUP($S194,'ORF Accuracy Value LookUp'!$G$4:$H$104,2,TRUE))</f>
        <v/>
      </c>
      <c r="AH194" s="110" t="str">
        <f>IF($Z194="","",VLOOKUP($Z194,'ORF Accuracy Value LookUp'!$G$4:$H$104,2,TRUE))</f>
        <v/>
      </c>
    </row>
    <row r="195" spans="1:34">
      <c r="A195" s="10"/>
      <c r="B195" s="9"/>
      <c r="C195" s="9"/>
      <c r="D195" s="9"/>
      <c r="E195" s="10"/>
      <c r="F195" s="11"/>
      <c r="G195" s="15"/>
      <c r="H195" s="81"/>
      <c r="I195" s="24"/>
      <c r="J195" s="24"/>
      <c r="K195" s="74"/>
      <c r="L195" s="74"/>
      <c r="M195" s="76" t="str">
        <f t="shared" si="13"/>
        <v/>
      </c>
      <c r="N195" s="24"/>
      <c r="O195" s="111" t="str">
        <f t="shared" si="12"/>
        <v/>
      </c>
      <c r="P195" s="81"/>
      <c r="Q195" s="74"/>
      <c r="R195" s="74"/>
      <c r="S195" s="78" t="str">
        <f t="shared" si="14"/>
        <v/>
      </c>
      <c r="T195" s="24"/>
      <c r="U195" s="32"/>
      <c r="V195" s="40" t="str">
        <f t="shared" si="16"/>
        <v/>
      </c>
      <c r="W195" s="81"/>
      <c r="X195" s="74"/>
      <c r="Y195" s="74"/>
      <c r="Z195" s="79" t="str">
        <f t="shared" si="15"/>
        <v/>
      </c>
      <c r="AA195" s="24"/>
      <c r="AB195" s="32"/>
      <c r="AC195" s="31" t="str">
        <f t="shared" si="17"/>
        <v/>
      </c>
      <c r="AF195" s="109" t="str">
        <f>IF($M195="","",VLOOKUP($M195,'ORF Accuracy Value LookUp'!$D$4:$E$104,2,TRUE))</f>
        <v/>
      </c>
      <c r="AG195" s="47" t="str">
        <f>IF($S195="","",VLOOKUP($S195,'ORF Accuracy Value LookUp'!$G$4:$H$104,2,TRUE))</f>
        <v/>
      </c>
      <c r="AH195" s="110" t="str">
        <f>IF($Z195="","",VLOOKUP($Z195,'ORF Accuracy Value LookUp'!$G$4:$H$104,2,TRUE))</f>
        <v/>
      </c>
    </row>
    <row r="196" spans="1:34">
      <c r="A196" s="10"/>
      <c r="B196" s="9"/>
      <c r="C196" s="9"/>
      <c r="D196" s="9"/>
      <c r="E196" s="10"/>
      <c r="F196" s="11"/>
      <c r="G196" s="15"/>
      <c r="H196" s="81"/>
      <c r="I196" s="24"/>
      <c r="J196" s="24"/>
      <c r="K196" s="74"/>
      <c r="L196" s="74"/>
      <c r="M196" s="76" t="str">
        <f t="shared" si="13"/>
        <v/>
      </c>
      <c r="N196" s="24"/>
      <c r="O196" s="111" t="str">
        <f t="shared" si="12"/>
        <v/>
      </c>
      <c r="P196" s="81"/>
      <c r="Q196" s="74"/>
      <c r="R196" s="74"/>
      <c r="S196" s="78" t="str">
        <f t="shared" si="14"/>
        <v/>
      </c>
      <c r="T196" s="24"/>
      <c r="U196" s="32"/>
      <c r="V196" s="40" t="str">
        <f t="shared" si="16"/>
        <v/>
      </c>
      <c r="W196" s="81"/>
      <c r="X196" s="74"/>
      <c r="Y196" s="74"/>
      <c r="Z196" s="79" t="str">
        <f t="shared" si="15"/>
        <v/>
      </c>
      <c r="AA196" s="24"/>
      <c r="AB196" s="32"/>
      <c r="AC196" s="31" t="str">
        <f t="shared" si="17"/>
        <v/>
      </c>
      <c r="AF196" s="109" t="str">
        <f>IF($M196="","",VLOOKUP($M196,'ORF Accuracy Value LookUp'!$D$4:$E$104,2,TRUE))</f>
        <v/>
      </c>
      <c r="AG196" s="47" t="str">
        <f>IF($S196="","",VLOOKUP($S196,'ORF Accuracy Value LookUp'!$G$4:$H$104,2,TRUE))</f>
        <v/>
      </c>
      <c r="AH196" s="110" t="str">
        <f>IF($Z196="","",VLOOKUP($Z196,'ORF Accuracy Value LookUp'!$G$4:$H$104,2,TRUE))</f>
        <v/>
      </c>
    </row>
    <row r="197" spans="1:34">
      <c r="A197" s="10"/>
      <c r="B197" s="9"/>
      <c r="C197" s="9"/>
      <c r="D197" s="9"/>
      <c r="E197" s="10"/>
      <c r="F197" s="11"/>
      <c r="G197" s="15"/>
      <c r="H197" s="81"/>
      <c r="I197" s="24"/>
      <c r="J197" s="24"/>
      <c r="K197" s="74"/>
      <c r="L197" s="74"/>
      <c r="M197" s="76" t="str">
        <f t="shared" si="13"/>
        <v/>
      </c>
      <c r="N197" s="24"/>
      <c r="O197" s="111" t="str">
        <f t="shared" si="12"/>
        <v/>
      </c>
      <c r="P197" s="81"/>
      <c r="Q197" s="74"/>
      <c r="R197" s="74"/>
      <c r="S197" s="78" t="str">
        <f t="shared" si="14"/>
        <v/>
      </c>
      <c r="T197" s="24"/>
      <c r="U197" s="32"/>
      <c r="V197" s="40" t="str">
        <f t="shared" si="16"/>
        <v/>
      </c>
      <c r="W197" s="81"/>
      <c r="X197" s="74"/>
      <c r="Y197" s="74"/>
      <c r="Z197" s="79" t="str">
        <f t="shared" si="15"/>
        <v/>
      </c>
      <c r="AA197" s="24"/>
      <c r="AB197" s="32"/>
      <c r="AC197" s="31" t="str">
        <f t="shared" si="17"/>
        <v/>
      </c>
      <c r="AF197" s="109" t="str">
        <f>IF($M197="","",VLOOKUP($M197,'ORF Accuracy Value LookUp'!$D$4:$E$104,2,TRUE))</f>
        <v/>
      </c>
      <c r="AG197" s="47" t="str">
        <f>IF($S197="","",VLOOKUP($S197,'ORF Accuracy Value LookUp'!$G$4:$H$104,2,TRUE))</f>
        <v/>
      </c>
      <c r="AH197" s="110" t="str">
        <f>IF($Z197="","",VLOOKUP($Z197,'ORF Accuracy Value LookUp'!$G$4:$H$104,2,TRUE))</f>
        <v/>
      </c>
    </row>
    <row r="198" spans="1:34">
      <c r="A198" s="10"/>
      <c r="B198" s="9"/>
      <c r="C198" s="9"/>
      <c r="D198" s="9"/>
      <c r="E198" s="10"/>
      <c r="F198" s="11"/>
      <c r="G198" s="15"/>
      <c r="H198" s="81"/>
      <c r="I198" s="24"/>
      <c r="J198" s="24"/>
      <c r="K198" s="74"/>
      <c r="L198" s="74"/>
      <c r="M198" s="76" t="str">
        <f t="shared" si="13"/>
        <v/>
      </c>
      <c r="N198" s="24"/>
      <c r="O198" s="111" t="str">
        <f t="shared" ref="O198:O261" si="18">IF($B198="","",SUM(($J198*2)+$K198+$AF198))</f>
        <v/>
      </c>
      <c r="P198" s="81"/>
      <c r="Q198" s="74"/>
      <c r="R198" s="74"/>
      <c r="S198" s="78" t="str">
        <f t="shared" si="14"/>
        <v/>
      </c>
      <c r="T198" s="24"/>
      <c r="U198" s="32"/>
      <c r="V198" s="40" t="str">
        <f t="shared" si="16"/>
        <v/>
      </c>
      <c r="W198" s="81"/>
      <c r="X198" s="74"/>
      <c r="Y198" s="74"/>
      <c r="Z198" s="79" t="str">
        <f t="shared" si="15"/>
        <v/>
      </c>
      <c r="AA198" s="24"/>
      <c r="AB198" s="32"/>
      <c r="AC198" s="31" t="str">
        <f t="shared" si="17"/>
        <v/>
      </c>
      <c r="AF198" s="109" t="str">
        <f>IF($M198="","",VLOOKUP($M198,'ORF Accuracy Value LookUp'!$D$4:$E$104,2,TRUE))</f>
        <v/>
      </c>
      <c r="AG198" s="47" t="str">
        <f>IF($S198="","",VLOOKUP($S198,'ORF Accuracy Value LookUp'!$G$4:$H$104,2,TRUE))</f>
        <v/>
      </c>
      <c r="AH198" s="110" t="str">
        <f>IF($Z198="","",VLOOKUP($Z198,'ORF Accuracy Value LookUp'!$G$4:$H$104,2,TRUE))</f>
        <v/>
      </c>
    </row>
    <row r="199" spans="1:34">
      <c r="A199" s="10"/>
      <c r="B199" s="9"/>
      <c r="C199" s="9"/>
      <c r="D199" s="9"/>
      <c r="E199" s="10"/>
      <c r="F199" s="11"/>
      <c r="G199" s="15"/>
      <c r="H199" s="81"/>
      <c r="I199" s="24"/>
      <c r="J199" s="24"/>
      <c r="K199" s="74"/>
      <c r="L199" s="74"/>
      <c r="M199" s="76" t="str">
        <f t="shared" ref="M199:M262" si="19">IF($K199="","",SUM($K199/($K199+$L199)))</f>
        <v/>
      </c>
      <c r="N199" s="24"/>
      <c r="O199" s="111" t="str">
        <f t="shared" si="18"/>
        <v/>
      </c>
      <c r="P199" s="81"/>
      <c r="Q199" s="74"/>
      <c r="R199" s="74"/>
      <c r="S199" s="78" t="str">
        <f t="shared" ref="S199:S262" si="20">IF($Q199="","",SUM($Q199/($Q199+$R199)))</f>
        <v/>
      </c>
      <c r="T199" s="24"/>
      <c r="U199" s="32"/>
      <c r="V199" s="40" t="str">
        <f t="shared" si="16"/>
        <v/>
      </c>
      <c r="W199" s="81"/>
      <c r="X199" s="74"/>
      <c r="Y199" s="74"/>
      <c r="Z199" s="79" t="str">
        <f t="shared" ref="Z199:Z262" si="21">IF($X199="","",SUM($X199/($X199+$Y199)))</f>
        <v/>
      </c>
      <c r="AA199" s="24"/>
      <c r="AB199" s="32"/>
      <c r="AC199" s="31" t="str">
        <f t="shared" si="17"/>
        <v/>
      </c>
      <c r="AF199" s="109" t="str">
        <f>IF($M199="","",VLOOKUP($M199,'ORF Accuracy Value LookUp'!$D$4:$E$104,2,TRUE))</f>
        <v/>
      </c>
      <c r="AG199" s="47" t="str">
        <f>IF($S199="","",VLOOKUP($S199,'ORF Accuracy Value LookUp'!$G$4:$H$104,2,TRUE))</f>
        <v/>
      </c>
      <c r="AH199" s="110" t="str">
        <f>IF($Z199="","",VLOOKUP($Z199,'ORF Accuracy Value LookUp'!$G$4:$H$104,2,TRUE))</f>
        <v/>
      </c>
    </row>
    <row r="200" spans="1:34">
      <c r="A200" s="10"/>
      <c r="B200" s="9"/>
      <c r="C200" s="9"/>
      <c r="D200" s="9"/>
      <c r="E200" s="10"/>
      <c r="F200" s="11"/>
      <c r="G200" s="15"/>
      <c r="H200" s="81"/>
      <c r="I200" s="24"/>
      <c r="J200" s="24"/>
      <c r="K200" s="74"/>
      <c r="L200" s="74"/>
      <c r="M200" s="76" t="str">
        <f t="shared" si="19"/>
        <v/>
      </c>
      <c r="N200" s="24"/>
      <c r="O200" s="111" t="str">
        <f t="shared" si="18"/>
        <v/>
      </c>
      <c r="P200" s="81"/>
      <c r="Q200" s="74"/>
      <c r="R200" s="74"/>
      <c r="S200" s="78" t="str">
        <f t="shared" si="20"/>
        <v/>
      </c>
      <c r="T200" s="24"/>
      <c r="U200" s="32"/>
      <c r="V200" s="40" t="str">
        <f t="shared" ref="V200:V263" si="22">IF($P200="","",SUM($Q200+$AG200+($T200*2)))</f>
        <v/>
      </c>
      <c r="W200" s="81"/>
      <c r="X200" s="74"/>
      <c r="Y200" s="74"/>
      <c r="Z200" s="79" t="str">
        <f t="shared" si="21"/>
        <v/>
      </c>
      <c r="AA200" s="24"/>
      <c r="AB200" s="32"/>
      <c r="AC200" s="31" t="str">
        <f t="shared" ref="AC200:AC263" si="23">IF($W200="","",SUM($X200+$AH200+($AA200*2)))</f>
        <v/>
      </c>
      <c r="AF200" s="109" t="str">
        <f>IF($M200="","",VLOOKUP($M200,'ORF Accuracy Value LookUp'!$D$4:$E$104,2,TRUE))</f>
        <v/>
      </c>
      <c r="AG200" s="47" t="str">
        <f>IF($S200="","",VLOOKUP($S200,'ORF Accuracy Value LookUp'!$G$4:$H$104,2,TRUE))</f>
        <v/>
      </c>
      <c r="AH200" s="110" t="str">
        <f>IF($Z200="","",VLOOKUP($Z200,'ORF Accuracy Value LookUp'!$G$4:$H$104,2,TRUE))</f>
        <v/>
      </c>
    </row>
    <row r="201" spans="1:34">
      <c r="A201" s="10"/>
      <c r="B201" s="9"/>
      <c r="C201" s="9"/>
      <c r="D201" s="9"/>
      <c r="E201" s="10"/>
      <c r="F201" s="11"/>
      <c r="G201" s="15"/>
      <c r="H201" s="81"/>
      <c r="I201" s="24"/>
      <c r="J201" s="24"/>
      <c r="K201" s="74"/>
      <c r="L201" s="74"/>
      <c r="M201" s="76" t="str">
        <f t="shared" si="19"/>
        <v/>
      </c>
      <c r="N201" s="24"/>
      <c r="O201" s="111" t="str">
        <f t="shared" si="18"/>
        <v/>
      </c>
      <c r="P201" s="81"/>
      <c r="Q201" s="74"/>
      <c r="R201" s="74"/>
      <c r="S201" s="78" t="str">
        <f t="shared" si="20"/>
        <v/>
      </c>
      <c r="T201" s="24"/>
      <c r="U201" s="32"/>
      <c r="V201" s="40" t="str">
        <f t="shared" si="22"/>
        <v/>
      </c>
      <c r="W201" s="81"/>
      <c r="X201" s="74"/>
      <c r="Y201" s="74"/>
      <c r="Z201" s="79" t="str">
        <f t="shared" si="21"/>
        <v/>
      </c>
      <c r="AA201" s="24"/>
      <c r="AB201" s="32"/>
      <c r="AC201" s="31" t="str">
        <f t="shared" si="23"/>
        <v/>
      </c>
      <c r="AF201" s="109" t="str">
        <f>IF($M201="","",VLOOKUP($M201,'ORF Accuracy Value LookUp'!$D$4:$E$104,2,TRUE))</f>
        <v/>
      </c>
      <c r="AG201" s="47" t="str">
        <f>IF($S201="","",VLOOKUP($S201,'ORF Accuracy Value LookUp'!$G$4:$H$104,2,TRUE))</f>
        <v/>
      </c>
      <c r="AH201" s="110" t="str">
        <f>IF($Z201="","",VLOOKUP($Z201,'ORF Accuracy Value LookUp'!$G$4:$H$104,2,TRUE))</f>
        <v/>
      </c>
    </row>
    <row r="202" spans="1:34">
      <c r="A202" s="10"/>
      <c r="B202" s="9"/>
      <c r="C202" s="9"/>
      <c r="D202" s="9"/>
      <c r="E202" s="10"/>
      <c r="F202" s="11"/>
      <c r="G202" s="15"/>
      <c r="H202" s="81"/>
      <c r="I202" s="24"/>
      <c r="J202" s="24"/>
      <c r="K202" s="74"/>
      <c r="L202" s="74"/>
      <c r="M202" s="76" t="str">
        <f t="shared" si="19"/>
        <v/>
      </c>
      <c r="N202" s="24"/>
      <c r="O202" s="111" t="str">
        <f t="shared" si="18"/>
        <v/>
      </c>
      <c r="P202" s="81"/>
      <c r="Q202" s="74"/>
      <c r="R202" s="74"/>
      <c r="S202" s="78" t="str">
        <f t="shared" si="20"/>
        <v/>
      </c>
      <c r="T202" s="24"/>
      <c r="U202" s="32"/>
      <c r="V202" s="40" t="str">
        <f t="shared" si="22"/>
        <v/>
      </c>
      <c r="W202" s="81"/>
      <c r="X202" s="74"/>
      <c r="Y202" s="74"/>
      <c r="Z202" s="79" t="str">
        <f t="shared" si="21"/>
        <v/>
      </c>
      <c r="AA202" s="24"/>
      <c r="AB202" s="32"/>
      <c r="AC202" s="31" t="str">
        <f t="shared" si="23"/>
        <v/>
      </c>
      <c r="AF202" s="109" t="str">
        <f>IF($M202="","",VLOOKUP($M202,'ORF Accuracy Value LookUp'!$D$4:$E$104,2,TRUE))</f>
        <v/>
      </c>
      <c r="AG202" s="47" t="str">
        <f>IF($S202="","",VLOOKUP($S202,'ORF Accuracy Value LookUp'!$G$4:$H$104,2,TRUE))</f>
        <v/>
      </c>
      <c r="AH202" s="110" t="str">
        <f>IF($Z202="","",VLOOKUP($Z202,'ORF Accuracy Value LookUp'!$G$4:$H$104,2,TRUE))</f>
        <v/>
      </c>
    </row>
    <row r="203" spans="1:34">
      <c r="A203" s="10"/>
      <c r="B203" s="9"/>
      <c r="C203" s="9"/>
      <c r="D203" s="9"/>
      <c r="E203" s="10"/>
      <c r="F203" s="11"/>
      <c r="G203" s="15"/>
      <c r="H203" s="81"/>
      <c r="I203" s="24"/>
      <c r="J203" s="24"/>
      <c r="K203" s="74"/>
      <c r="L203" s="74"/>
      <c r="M203" s="76" t="str">
        <f t="shared" si="19"/>
        <v/>
      </c>
      <c r="N203" s="24"/>
      <c r="O203" s="111" t="str">
        <f t="shared" si="18"/>
        <v/>
      </c>
      <c r="P203" s="81"/>
      <c r="Q203" s="74"/>
      <c r="R203" s="74"/>
      <c r="S203" s="78" t="str">
        <f t="shared" si="20"/>
        <v/>
      </c>
      <c r="T203" s="24"/>
      <c r="U203" s="32"/>
      <c r="V203" s="40" t="str">
        <f t="shared" si="22"/>
        <v/>
      </c>
      <c r="W203" s="81"/>
      <c r="X203" s="74"/>
      <c r="Y203" s="74"/>
      <c r="Z203" s="79" t="str">
        <f t="shared" si="21"/>
        <v/>
      </c>
      <c r="AA203" s="24"/>
      <c r="AB203" s="32"/>
      <c r="AC203" s="31" t="str">
        <f t="shared" si="23"/>
        <v/>
      </c>
      <c r="AF203" s="109" t="str">
        <f>IF($M203="","",VLOOKUP($M203,'ORF Accuracy Value LookUp'!$D$4:$E$104,2,TRUE))</f>
        <v/>
      </c>
      <c r="AG203" s="47" t="str">
        <f>IF($S203="","",VLOOKUP($S203,'ORF Accuracy Value LookUp'!$G$4:$H$104,2,TRUE))</f>
        <v/>
      </c>
      <c r="AH203" s="110" t="str">
        <f>IF($Z203="","",VLOOKUP($Z203,'ORF Accuracy Value LookUp'!$G$4:$H$104,2,TRUE))</f>
        <v/>
      </c>
    </row>
    <row r="204" spans="1:34">
      <c r="A204" s="10"/>
      <c r="B204" s="9"/>
      <c r="C204" s="9"/>
      <c r="D204" s="9"/>
      <c r="E204" s="10"/>
      <c r="F204" s="11"/>
      <c r="G204" s="15"/>
      <c r="H204" s="81"/>
      <c r="I204" s="24"/>
      <c r="J204" s="24"/>
      <c r="K204" s="74"/>
      <c r="L204" s="74"/>
      <c r="M204" s="76" t="str">
        <f t="shared" si="19"/>
        <v/>
      </c>
      <c r="N204" s="24"/>
      <c r="O204" s="111" t="str">
        <f t="shared" si="18"/>
        <v/>
      </c>
      <c r="P204" s="81"/>
      <c r="Q204" s="74"/>
      <c r="R204" s="74"/>
      <c r="S204" s="78" t="str">
        <f t="shared" si="20"/>
        <v/>
      </c>
      <c r="T204" s="24"/>
      <c r="U204" s="32"/>
      <c r="V204" s="40" t="str">
        <f t="shared" si="22"/>
        <v/>
      </c>
      <c r="W204" s="81"/>
      <c r="X204" s="74"/>
      <c r="Y204" s="74"/>
      <c r="Z204" s="79" t="str">
        <f t="shared" si="21"/>
        <v/>
      </c>
      <c r="AA204" s="24"/>
      <c r="AB204" s="32"/>
      <c r="AC204" s="31" t="str">
        <f t="shared" si="23"/>
        <v/>
      </c>
      <c r="AF204" s="109" t="str">
        <f>IF($M204="","",VLOOKUP($M204,'ORF Accuracy Value LookUp'!$D$4:$E$104,2,TRUE))</f>
        <v/>
      </c>
      <c r="AG204" s="47" t="str">
        <f>IF($S204="","",VLOOKUP($S204,'ORF Accuracy Value LookUp'!$G$4:$H$104,2,TRUE))</f>
        <v/>
      </c>
      <c r="AH204" s="110" t="str">
        <f>IF($Z204="","",VLOOKUP($Z204,'ORF Accuracy Value LookUp'!$G$4:$H$104,2,TRUE))</f>
        <v/>
      </c>
    </row>
    <row r="205" spans="1:34">
      <c r="A205" s="10"/>
      <c r="B205" s="9"/>
      <c r="C205" s="9"/>
      <c r="D205" s="9"/>
      <c r="E205" s="10"/>
      <c r="F205" s="11"/>
      <c r="G205" s="15"/>
      <c r="H205" s="81"/>
      <c r="I205" s="24"/>
      <c r="J205" s="24"/>
      <c r="K205" s="74"/>
      <c r="L205" s="74"/>
      <c r="M205" s="76" t="str">
        <f t="shared" si="19"/>
        <v/>
      </c>
      <c r="N205" s="24"/>
      <c r="O205" s="111" t="str">
        <f t="shared" si="18"/>
        <v/>
      </c>
      <c r="P205" s="81"/>
      <c r="Q205" s="74"/>
      <c r="R205" s="74"/>
      <c r="S205" s="78" t="str">
        <f t="shared" si="20"/>
        <v/>
      </c>
      <c r="T205" s="24"/>
      <c r="U205" s="32"/>
      <c r="V205" s="40" t="str">
        <f t="shared" si="22"/>
        <v/>
      </c>
      <c r="W205" s="81"/>
      <c r="X205" s="74"/>
      <c r="Y205" s="74"/>
      <c r="Z205" s="79" t="str">
        <f t="shared" si="21"/>
        <v/>
      </c>
      <c r="AA205" s="24"/>
      <c r="AB205" s="32"/>
      <c r="AC205" s="31" t="str">
        <f t="shared" si="23"/>
        <v/>
      </c>
      <c r="AF205" s="109" t="str">
        <f>IF($M205="","",VLOOKUP($M205,'ORF Accuracy Value LookUp'!$D$4:$E$104,2,TRUE))</f>
        <v/>
      </c>
      <c r="AG205" s="47" t="str">
        <f>IF($S205="","",VLOOKUP($S205,'ORF Accuracy Value LookUp'!$G$4:$H$104,2,TRUE))</f>
        <v/>
      </c>
      <c r="AH205" s="110" t="str">
        <f>IF($Z205="","",VLOOKUP($Z205,'ORF Accuracy Value LookUp'!$G$4:$H$104,2,TRUE))</f>
        <v/>
      </c>
    </row>
    <row r="206" spans="1:34">
      <c r="A206" s="10"/>
      <c r="B206" s="9"/>
      <c r="C206" s="9"/>
      <c r="D206" s="9"/>
      <c r="E206" s="10"/>
      <c r="F206" s="11"/>
      <c r="G206" s="15"/>
      <c r="H206" s="81"/>
      <c r="I206" s="24"/>
      <c r="J206" s="24"/>
      <c r="K206" s="74"/>
      <c r="L206" s="74"/>
      <c r="M206" s="76" t="str">
        <f t="shared" si="19"/>
        <v/>
      </c>
      <c r="N206" s="24"/>
      <c r="O206" s="111" t="str">
        <f t="shared" si="18"/>
        <v/>
      </c>
      <c r="P206" s="81"/>
      <c r="Q206" s="74"/>
      <c r="R206" s="74"/>
      <c r="S206" s="78" t="str">
        <f t="shared" si="20"/>
        <v/>
      </c>
      <c r="T206" s="24"/>
      <c r="U206" s="32"/>
      <c r="V206" s="40" t="str">
        <f t="shared" si="22"/>
        <v/>
      </c>
      <c r="W206" s="81"/>
      <c r="X206" s="74"/>
      <c r="Y206" s="74"/>
      <c r="Z206" s="79" t="str">
        <f t="shared" si="21"/>
        <v/>
      </c>
      <c r="AA206" s="24"/>
      <c r="AB206" s="32"/>
      <c r="AC206" s="31" t="str">
        <f t="shared" si="23"/>
        <v/>
      </c>
      <c r="AF206" s="109" t="str">
        <f>IF($M206="","",VLOOKUP($M206,'ORF Accuracy Value LookUp'!$D$4:$E$104,2,TRUE))</f>
        <v/>
      </c>
      <c r="AG206" s="47" t="str">
        <f>IF($S206="","",VLOOKUP($S206,'ORF Accuracy Value LookUp'!$G$4:$H$104,2,TRUE))</f>
        <v/>
      </c>
      <c r="AH206" s="110" t="str">
        <f>IF($Z206="","",VLOOKUP($Z206,'ORF Accuracy Value LookUp'!$G$4:$H$104,2,TRUE))</f>
        <v/>
      </c>
    </row>
    <row r="207" spans="1:34">
      <c r="A207" s="10"/>
      <c r="B207" s="9"/>
      <c r="C207" s="9"/>
      <c r="D207" s="9"/>
      <c r="E207" s="10"/>
      <c r="F207" s="11"/>
      <c r="G207" s="15"/>
      <c r="H207" s="81"/>
      <c r="I207" s="24"/>
      <c r="J207" s="24"/>
      <c r="K207" s="74"/>
      <c r="L207" s="74"/>
      <c r="M207" s="76" t="str">
        <f t="shared" si="19"/>
        <v/>
      </c>
      <c r="N207" s="24"/>
      <c r="O207" s="111" t="str">
        <f t="shared" si="18"/>
        <v/>
      </c>
      <c r="P207" s="81"/>
      <c r="Q207" s="74"/>
      <c r="R207" s="74"/>
      <c r="S207" s="78" t="str">
        <f t="shared" si="20"/>
        <v/>
      </c>
      <c r="T207" s="24"/>
      <c r="U207" s="32"/>
      <c r="V207" s="40" t="str">
        <f t="shared" si="22"/>
        <v/>
      </c>
      <c r="W207" s="81"/>
      <c r="X207" s="74"/>
      <c r="Y207" s="74"/>
      <c r="Z207" s="79" t="str">
        <f t="shared" si="21"/>
        <v/>
      </c>
      <c r="AA207" s="24"/>
      <c r="AB207" s="32"/>
      <c r="AC207" s="31" t="str">
        <f t="shared" si="23"/>
        <v/>
      </c>
      <c r="AF207" s="109" t="str">
        <f>IF($M207="","",VLOOKUP($M207,'ORF Accuracy Value LookUp'!$D$4:$E$104,2,TRUE))</f>
        <v/>
      </c>
      <c r="AG207" s="47" t="str">
        <f>IF($S207="","",VLOOKUP($S207,'ORF Accuracy Value LookUp'!$G$4:$H$104,2,TRUE))</f>
        <v/>
      </c>
      <c r="AH207" s="110" t="str">
        <f>IF($Z207="","",VLOOKUP($Z207,'ORF Accuracy Value LookUp'!$G$4:$H$104,2,TRUE))</f>
        <v/>
      </c>
    </row>
    <row r="208" spans="1:34">
      <c r="A208" s="10"/>
      <c r="B208" s="9"/>
      <c r="C208" s="9"/>
      <c r="D208" s="9"/>
      <c r="E208" s="10"/>
      <c r="F208" s="11"/>
      <c r="G208" s="15"/>
      <c r="H208" s="81"/>
      <c r="I208" s="24"/>
      <c r="J208" s="24"/>
      <c r="K208" s="74"/>
      <c r="L208" s="74"/>
      <c r="M208" s="76" t="str">
        <f t="shared" si="19"/>
        <v/>
      </c>
      <c r="N208" s="24"/>
      <c r="O208" s="111" t="str">
        <f t="shared" si="18"/>
        <v/>
      </c>
      <c r="P208" s="81"/>
      <c r="Q208" s="74"/>
      <c r="R208" s="74"/>
      <c r="S208" s="78" t="str">
        <f t="shared" si="20"/>
        <v/>
      </c>
      <c r="T208" s="24"/>
      <c r="U208" s="32"/>
      <c r="V208" s="40" t="str">
        <f t="shared" si="22"/>
        <v/>
      </c>
      <c r="W208" s="81"/>
      <c r="X208" s="74"/>
      <c r="Y208" s="74"/>
      <c r="Z208" s="79" t="str">
        <f t="shared" si="21"/>
        <v/>
      </c>
      <c r="AA208" s="24"/>
      <c r="AB208" s="32"/>
      <c r="AC208" s="31" t="str">
        <f t="shared" si="23"/>
        <v/>
      </c>
      <c r="AF208" s="109" t="str">
        <f>IF($M208="","",VLOOKUP($M208,'ORF Accuracy Value LookUp'!$D$4:$E$104,2,TRUE))</f>
        <v/>
      </c>
      <c r="AG208" s="47" t="str">
        <f>IF($S208="","",VLOOKUP($S208,'ORF Accuracy Value LookUp'!$G$4:$H$104,2,TRUE))</f>
        <v/>
      </c>
      <c r="AH208" s="110" t="str">
        <f>IF($Z208="","",VLOOKUP($Z208,'ORF Accuracy Value LookUp'!$G$4:$H$104,2,TRUE))</f>
        <v/>
      </c>
    </row>
    <row r="209" spans="1:34">
      <c r="A209" s="10"/>
      <c r="B209" s="9"/>
      <c r="C209" s="9"/>
      <c r="D209" s="9"/>
      <c r="E209" s="10"/>
      <c r="F209" s="11"/>
      <c r="G209" s="15"/>
      <c r="H209" s="81"/>
      <c r="I209" s="24"/>
      <c r="J209" s="24"/>
      <c r="K209" s="74"/>
      <c r="L209" s="74"/>
      <c r="M209" s="76" t="str">
        <f t="shared" si="19"/>
        <v/>
      </c>
      <c r="N209" s="24"/>
      <c r="O209" s="111" t="str">
        <f t="shared" si="18"/>
        <v/>
      </c>
      <c r="P209" s="81"/>
      <c r="Q209" s="74"/>
      <c r="R209" s="74"/>
      <c r="S209" s="78" t="str">
        <f t="shared" si="20"/>
        <v/>
      </c>
      <c r="T209" s="24"/>
      <c r="U209" s="32"/>
      <c r="V209" s="40" t="str">
        <f t="shared" si="22"/>
        <v/>
      </c>
      <c r="W209" s="81"/>
      <c r="X209" s="74"/>
      <c r="Y209" s="74"/>
      <c r="Z209" s="79" t="str">
        <f t="shared" si="21"/>
        <v/>
      </c>
      <c r="AA209" s="24"/>
      <c r="AB209" s="32"/>
      <c r="AC209" s="31" t="str">
        <f t="shared" si="23"/>
        <v/>
      </c>
      <c r="AF209" s="109" t="str">
        <f>IF($M209="","",VLOOKUP($M209,'ORF Accuracy Value LookUp'!$D$4:$E$104,2,TRUE))</f>
        <v/>
      </c>
      <c r="AG209" s="47" t="str">
        <f>IF($S209="","",VLOOKUP($S209,'ORF Accuracy Value LookUp'!$G$4:$H$104,2,TRUE))</f>
        <v/>
      </c>
      <c r="AH209" s="110" t="str">
        <f>IF($Z209="","",VLOOKUP($Z209,'ORF Accuracy Value LookUp'!$G$4:$H$104,2,TRUE))</f>
        <v/>
      </c>
    </row>
    <row r="210" spans="1:34">
      <c r="A210" s="10"/>
      <c r="B210" s="9"/>
      <c r="C210" s="9"/>
      <c r="D210" s="9"/>
      <c r="E210" s="10"/>
      <c r="F210" s="11"/>
      <c r="G210" s="15"/>
      <c r="H210" s="81"/>
      <c r="I210" s="24"/>
      <c r="J210" s="24"/>
      <c r="K210" s="74"/>
      <c r="L210" s="74"/>
      <c r="M210" s="76" t="str">
        <f t="shared" si="19"/>
        <v/>
      </c>
      <c r="N210" s="24"/>
      <c r="O210" s="111" t="str">
        <f t="shared" si="18"/>
        <v/>
      </c>
      <c r="P210" s="81"/>
      <c r="Q210" s="74"/>
      <c r="R210" s="74"/>
      <c r="S210" s="78" t="str">
        <f t="shared" si="20"/>
        <v/>
      </c>
      <c r="T210" s="24"/>
      <c r="U210" s="32"/>
      <c r="V210" s="40" t="str">
        <f t="shared" si="22"/>
        <v/>
      </c>
      <c r="W210" s="81"/>
      <c r="X210" s="74"/>
      <c r="Y210" s="74"/>
      <c r="Z210" s="79" t="str">
        <f t="shared" si="21"/>
        <v/>
      </c>
      <c r="AA210" s="24"/>
      <c r="AB210" s="32"/>
      <c r="AC210" s="31" t="str">
        <f t="shared" si="23"/>
        <v/>
      </c>
      <c r="AF210" s="109" t="str">
        <f>IF($M210="","",VLOOKUP($M210,'ORF Accuracy Value LookUp'!$D$4:$E$104,2,TRUE))</f>
        <v/>
      </c>
      <c r="AG210" s="47" t="str">
        <f>IF($S210="","",VLOOKUP($S210,'ORF Accuracy Value LookUp'!$G$4:$H$104,2,TRUE))</f>
        <v/>
      </c>
      <c r="AH210" s="110" t="str">
        <f>IF($Z210="","",VLOOKUP($Z210,'ORF Accuracy Value LookUp'!$G$4:$H$104,2,TRUE))</f>
        <v/>
      </c>
    </row>
    <row r="211" spans="1:34">
      <c r="A211" s="10"/>
      <c r="B211" s="9"/>
      <c r="C211" s="9"/>
      <c r="D211" s="9"/>
      <c r="E211" s="10"/>
      <c r="F211" s="11"/>
      <c r="G211" s="15"/>
      <c r="H211" s="81"/>
      <c r="I211" s="24"/>
      <c r="J211" s="24"/>
      <c r="K211" s="74"/>
      <c r="L211" s="74"/>
      <c r="M211" s="76" t="str">
        <f t="shared" si="19"/>
        <v/>
      </c>
      <c r="N211" s="24"/>
      <c r="O211" s="111" t="str">
        <f t="shared" si="18"/>
        <v/>
      </c>
      <c r="P211" s="81"/>
      <c r="Q211" s="74"/>
      <c r="R211" s="74"/>
      <c r="S211" s="78" t="str">
        <f t="shared" si="20"/>
        <v/>
      </c>
      <c r="T211" s="24"/>
      <c r="U211" s="32"/>
      <c r="V211" s="40" t="str">
        <f t="shared" si="22"/>
        <v/>
      </c>
      <c r="W211" s="81"/>
      <c r="X211" s="74"/>
      <c r="Y211" s="74"/>
      <c r="Z211" s="79" t="str">
        <f t="shared" si="21"/>
        <v/>
      </c>
      <c r="AA211" s="24"/>
      <c r="AB211" s="32"/>
      <c r="AC211" s="31" t="str">
        <f t="shared" si="23"/>
        <v/>
      </c>
      <c r="AF211" s="109" t="str">
        <f>IF($M211="","",VLOOKUP($M211,'ORF Accuracy Value LookUp'!$D$4:$E$104,2,TRUE))</f>
        <v/>
      </c>
      <c r="AG211" s="47" t="str">
        <f>IF($S211="","",VLOOKUP($S211,'ORF Accuracy Value LookUp'!$G$4:$H$104,2,TRUE))</f>
        <v/>
      </c>
      <c r="AH211" s="110" t="str">
        <f>IF($Z211="","",VLOOKUP($Z211,'ORF Accuracy Value LookUp'!$G$4:$H$104,2,TRUE))</f>
        <v/>
      </c>
    </row>
    <row r="212" spans="1:34">
      <c r="A212" s="10"/>
      <c r="B212" s="9"/>
      <c r="C212" s="9"/>
      <c r="D212" s="9"/>
      <c r="E212" s="10"/>
      <c r="F212" s="11"/>
      <c r="G212" s="15"/>
      <c r="H212" s="81"/>
      <c r="I212" s="24"/>
      <c r="J212" s="24"/>
      <c r="K212" s="74"/>
      <c r="L212" s="74"/>
      <c r="M212" s="76" t="str">
        <f t="shared" si="19"/>
        <v/>
      </c>
      <c r="N212" s="24"/>
      <c r="O212" s="111" t="str">
        <f t="shared" si="18"/>
        <v/>
      </c>
      <c r="P212" s="81"/>
      <c r="Q212" s="74"/>
      <c r="R212" s="74"/>
      <c r="S212" s="78" t="str">
        <f t="shared" si="20"/>
        <v/>
      </c>
      <c r="T212" s="24"/>
      <c r="U212" s="32"/>
      <c r="V212" s="40" t="str">
        <f t="shared" si="22"/>
        <v/>
      </c>
      <c r="W212" s="81"/>
      <c r="X212" s="74"/>
      <c r="Y212" s="74"/>
      <c r="Z212" s="79" t="str">
        <f t="shared" si="21"/>
        <v/>
      </c>
      <c r="AA212" s="24"/>
      <c r="AB212" s="32"/>
      <c r="AC212" s="31" t="str">
        <f t="shared" si="23"/>
        <v/>
      </c>
      <c r="AF212" s="109" t="str">
        <f>IF($M212="","",VLOOKUP($M212,'ORF Accuracy Value LookUp'!$D$4:$E$104,2,TRUE))</f>
        <v/>
      </c>
      <c r="AG212" s="47" t="str">
        <f>IF($S212="","",VLOOKUP($S212,'ORF Accuracy Value LookUp'!$G$4:$H$104,2,TRUE))</f>
        <v/>
      </c>
      <c r="AH212" s="110" t="str">
        <f>IF($Z212="","",VLOOKUP($Z212,'ORF Accuracy Value LookUp'!$G$4:$H$104,2,TRUE))</f>
        <v/>
      </c>
    </row>
    <row r="213" spans="1:34">
      <c r="A213" s="10"/>
      <c r="B213" s="9"/>
      <c r="C213" s="9"/>
      <c r="D213" s="9"/>
      <c r="E213" s="10"/>
      <c r="F213" s="11"/>
      <c r="G213" s="15"/>
      <c r="H213" s="81"/>
      <c r="I213" s="24"/>
      <c r="J213" s="24"/>
      <c r="K213" s="74"/>
      <c r="L213" s="74"/>
      <c r="M213" s="76" t="str">
        <f t="shared" si="19"/>
        <v/>
      </c>
      <c r="N213" s="24"/>
      <c r="O213" s="111" t="str">
        <f t="shared" si="18"/>
        <v/>
      </c>
      <c r="P213" s="81"/>
      <c r="Q213" s="74"/>
      <c r="R213" s="74"/>
      <c r="S213" s="78" t="str">
        <f t="shared" si="20"/>
        <v/>
      </c>
      <c r="T213" s="24"/>
      <c r="U213" s="32"/>
      <c r="V213" s="40" t="str">
        <f t="shared" si="22"/>
        <v/>
      </c>
      <c r="W213" s="81"/>
      <c r="X213" s="74"/>
      <c r="Y213" s="74"/>
      <c r="Z213" s="79" t="str">
        <f t="shared" si="21"/>
        <v/>
      </c>
      <c r="AA213" s="24"/>
      <c r="AB213" s="32"/>
      <c r="AC213" s="31" t="str">
        <f t="shared" si="23"/>
        <v/>
      </c>
      <c r="AF213" s="109" t="str">
        <f>IF($M213="","",VLOOKUP($M213,'ORF Accuracy Value LookUp'!$D$4:$E$104,2,TRUE))</f>
        <v/>
      </c>
      <c r="AG213" s="47" t="str">
        <f>IF($S213="","",VLOOKUP($S213,'ORF Accuracy Value LookUp'!$G$4:$H$104,2,TRUE))</f>
        <v/>
      </c>
      <c r="AH213" s="110" t="str">
        <f>IF($Z213="","",VLOOKUP($Z213,'ORF Accuracy Value LookUp'!$G$4:$H$104,2,TRUE))</f>
        <v/>
      </c>
    </row>
    <row r="214" spans="1:34">
      <c r="A214" s="10"/>
      <c r="B214" s="9"/>
      <c r="C214" s="9"/>
      <c r="D214" s="9"/>
      <c r="E214" s="10"/>
      <c r="F214" s="11"/>
      <c r="G214" s="15"/>
      <c r="H214" s="81"/>
      <c r="I214" s="24"/>
      <c r="J214" s="24"/>
      <c r="K214" s="74"/>
      <c r="L214" s="74"/>
      <c r="M214" s="76" t="str">
        <f t="shared" si="19"/>
        <v/>
      </c>
      <c r="N214" s="24"/>
      <c r="O214" s="111" t="str">
        <f t="shared" si="18"/>
        <v/>
      </c>
      <c r="P214" s="81"/>
      <c r="Q214" s="74"/>
      <c r="R214" s="74"/>
      <c r="S214" s="78" t="str">
        <f t="shared" si="20"/>
        <v/>
      </c>
      <c r="T214" s="24"/>
      <c r="U214" s="32"/>
      <c r="V214" s="40" t="str">
        <f t="shared" si="22"/>
        <v/>
      </c>
      <c r="W214" s="81"/>
      <c r="X214" s="74"/>
      <c r="Y214" s="74"/>
      <c r="Z214" s="79" t="str">
        <f t="shared" si="21"/>
        <v/>
      </c>
      <c r="AA214" s="24"/>
      <c r="AB214" s="32"/>
      <c r="AC214" s="31" t="str">
        <f t="shared" si="23"/>
        <v/>
      </c>
      <c r="AF214" s="109" t="str">
        <f>IF($M214="","",VLOOKUP($M214,'ORF Accuracy Value LookUp'!$D$4:$E$104,2,TRUE))</f>
        <v/>
      </c>
      <c r="AG214" s="47" t="str">
        <f>IF($S214="","",VLOOKUP($S214,'ORF Accuracy Value LookUp'!$G$4:$H$104,2,TRUE))</f>
        <v/>
      </c>
      <c r="AH214" s="110" t="str">
        <f>IF($Z214="","",VLOOKUP($Z214,'ORF Accuracy Value LookUp'!$G$4:$H$104,2,TRUE))</f>
        <v/>
      </c>
    </row>
    <row r="215" spans="1:34">
      <c r="A215" s="10"/>
      <c r="B215" s="9"/>
      <c r="C215" s="9"/>
      <c r="D215" s="9"/>
      <c r="E215" s="10"/>
      <c r="F215" s="11"/>
      <c r="G215" s="15"/>
      <c r="H215" s="81"/>
      <c r="I215" s="24"/>
      <c r="J215" s="24"/>
      <c r="K215" s="74"/>
      <c r="L215" s="74"/>
      <c r="M215" s="76" t="str">
        <f t="shared" si="19"/>
        <v/>
      </c>
      <c r="N215" s="24"/>
      <c r="O215" s="111" t="str">
        <f t="shared" si="18"/>
        <v/>
      </c>
      <c r="P215" s="81"/>
      <c r="Q215" s="74"/>
      <c r="R215" s="74"/>
      <c r="S215" s="78" t="str">
        <f t="shared" si="20"/>
        <v/>
      </c>
      <c r="T215" s="24"/>
      <c r="U215" s="32"/>
      <c r="V215" s="40" t="str">
        <f t="shared" si="22"/>
        <v/>
      </c>
      <c r="W215" s="81"/>
      <c r="X215" s="74"/>
      <c r="Y215" s="74"/>
      <c r="Z215" s="79" t="str">
        <f t="shared" si="21"/>
        <v/>
      </c>
      <c r="AA215" s="24"/>
      <c r="AB215" s="32"/>
      <c r="AC215" s="31" t="str">
        <f t="shared" si="23"/>
        <v/>
      </c>
      <c r="AF215" s="109" t="str">
        <f>IF($M215="","",VLOOKUP($M215,'ORF Accuracy Value LookUp'!$D$4:$E$104,2,TRUE))</f>
        <v/>
      </c>
      <c r="AG215" s="47" t="str">
        <f>IF($S215="","",VLOOKUP($S215,'ORF Accuracy Value LookUp'!$G$4:$H$104,2,TRUE))</f>
        <v/>
      </c>
      <c r="AH215" s="110" t="str">
        <f>IF($Z215="","",VLOOKUP($Z215,'ORF Accuracy Value LookUp'!$G$4:$H$104,2,TRUE))</f>
        <v/>
      </c>
    </row>
    <row r="216" spans="1:34">
      <c r="A216" s="10"/>
      <c r="B216" s="9"/>
      <c r="C216" s="9"/>
      <c r="D216" s="9"/>
      <c r="E216" s="10"/>
      <c r="F216" s="11"/>
      <c r="G216" s="15"/>
      <c r="H216" s="81"/>
      <c r="I216" s="24"/>
      <c r="J216" s="24"/>
      <c r="K216" s="74"/>
      <c r="L216" s="74"/>
      <c r="M216" s="76" t="str">
        <f t="shared" si="19"/>
        <v/>
      </c>
      <c r="N216" s="24"/>
      <c r="O216" s="111" t="str">
        <f t="shared" si="18"/>
        <v/>
      </c>
      <c r="P216" s="81"/>
      <c r="Q216" s="74"/>
      <c r="R216" s="74"/>
      <c r="S216" s="78" t="str">
        <f t="shared" si="20"/>
        <v/>
      </c>
      <c r="T216" s="24"/>
      <c r="U216" s="32"/>
      <c r="V216" s="40" t="str">
        <f t="shared" si="22"/>
        <v/>
      </c>
      <c r="W216" s="81"/>
      <c r="X216" s="74"/>
      <c r="Y216" s="74"/>
      <c r="Z216" s="79" t="str">
        <f t="shared" si="21"/>
        <v/>
      </c>
      <c r="AA216" s="24"/>
      <c r="AB216" s="32"/>
      <c r="AC216" s="31" t="str">
        <f t="shared" si="23"/>
        <v/>
      </c>
      <c r="AF216" s="109" t="str">
        <f>IF($M216="","",VLOOKUP($M216,'ORF Accuracy Value LookUp'!$D$4:$E$104,2,TRUE))</f>
        <v/>
      </c>
      <c r="AG216" s="47" t="str">
        <f>IF($S216="","",VLOOKUP($S216,'ORF Accuracy Value LookUp'!$G$4:$H$104,2,TRUE))</f>
        <v/>
      </c>
      <c r="AH216" s="110" t="str">
        <f>IF($Z216="","",VLOOKUP($Z216,'ORF Accuracy Value LookUp'!$G$4:$H$104,2,TRUE))</f>
        <v/>
      </c>
    </row>
    <row r="217" spans="1:34">
      <c r="A217" s="10"/>
      <c r="B217" s="9"/>
      <c r="C217" s="9"/>
      <c r="D217" s="9"/>
      <c r="E217" s="10"/>
      <c r="F217" s="11"/>
      <c r="G217" s="15"/>
      <c r="H217" s="81"/>
      <c r="I217" s="24"/>
      <c r="J217" s="24"/>
      <c r="K217" s="74"/>
      <c r="L217" s="74"/>
      <c r="M217" s="76" t="str">
        <f t="shared" si="19"/>
        <v/>
      </c>
      <c r="N217" s="24"/>
      <c r="O217" s="111" t="str">
        <f t="shared" si="18"/>
        <v/>
      </c>
      <c r="P217" s="81"/>
      <c r="Q217" s="74"/>
      <c r="R217" s="74"/>
      <c r="S217" s="78" t="str">
        <f t="shared" si="20"/>
        <v/>
      </c>
      <c r="T217" s="24"/>
      <c r="U217" s="32"/>
      <c r="V217" s="40" t="str">
        <f t="shared" si="22"/>
        <v/>
      </c>
      <c r="W217" s="81"/>
      <c r="X217" s="74"/>
      <c r="Y217" s="74"/>
      <c r="Z217" s="79" t="str">
        <f t="shared" si="21"/>
        <v/>
      </c>
      <c r="AA217" s="24"/>
      <c r="AB217" s="32"/>
      <c r="AC217" s="31" t="str">
        <f t="shared" si="23"/>
        <v/>
      </c>
      <c r="AF217" s="109" t="str">
        <f>IF($M217="","",VLOOKUP($M217,'ORF Accuracy Value LookUp'!$D$4:$E$104,2,TRUE))</f>
        <v/>
      </c>
      <c r="AG217" s="47" t="str">
        <f>IF($S217="","",VLOOKUP($S217,'ORF Accuracy Value LookUp'!$G$4:$H$104,2,TRUE))</f>
        <v/>
      </c>
      <c r="AH217" s="110" t="str">
        <f>IF($Z217="","",VLOOKUP($Z217,'ORF Accuracy Value LookUp'!$G$4:$H$104,2,TRUE))</f>
        <v/>
      </c>
    </row>
    <row r="218" spans="1:34">
      <c r="A218" s="10"/>
      <c r="B218" s="9"/>
      <c r="C218" s="9"/>
      <c r="D218" s="9"/>
      <c r="E218" s="10"/>
      <c r="F218" s="11"/>
      <c r="G218" s="15"/>
      <c r="H218" s="81"/>
      <c r="I218" s="24"/>
      <c r="J218" s="24"/>
      <c r="K218" s="74"/>
      <c r="L218" s="74"/>
      <c r="M218" s="76" t="str">
        <f t="shared" si="19"/>
        <v/>
      </c>
      <c r="N218" s="24"/>
      <c r="O218" s="111" t="str">
        <f t="shared" si="18"/>
        <v/>
      </c>
      <c r="P218" s="81"/>
      <c r="Q218" s="74"/>
      <c r="R218" s="74"/>
      <c r="S218" s="78" t="str">
        <f t="shared" si="20"/>
        <v/>
      </c>
      <c r="T218" s="24"/>
      <c r="U218" s="32"/>
      <c r="V218" s="40" t="str">
        <f t="shared" si="22"/>
        <v/>
      </c>
      <c r="W218" s="81"/>
      <c r="X218" s="74"/>
      <c r="Y218" s="74"/>
      <c r="Z218" s="79" t="str">
        <f t="shared" si="21"/>
        <v/>
      </c>
      <c r="AA218" s="24"/>
      <c r="AB218" s="32"/>
      <c r="AC218" s="31" t="str">
        <f t="shared" si="23"/>
        <v/>
      </c>
      <c r="AF218" s="109" t="str">
        <f>IF($M218="","",VLOOKUP($M218,'ORF Accuracy Value LookUp'!$D$4:$E$104,2,TRUE))</f>
        <v/>
      </c>
      <c r="AG218" s="47" t="str">
        <f>IF($S218="","",VLOOKUP($S218,'ORF Accuracy Value LookUp'!$G$4:$H$104,2,TRUE))</f>
        <v/>
      </c>
      <c r="AH218" s="110" t="str">
        <f>IF($Z218="","",VLOOKUP($Z218,'ORF Accuracy Value LookUp'!$G$4:$H$104,2,TRUE))</f>
        <v/>
      </c>
    </row>
    <row r="219" spans="1:34">
      <c r="A219" s="10"/>
      <c r="B219" s="9"/>
      <c r="C219" s="9"/>
      <c r="D219" s="9"/>
      <c r="E219" s="10"/>
      <c r="F219" s="11"/>
      <c r="G219" s="15"/>
      <c r="H219" s="81"/>
      <c r="I219" s="24"/>
      <c r="J219" s="24"/>
      <c r="K219" s="74"/>
      <c r="L219" s="74"/>
      <c r="M219" s="76" t="str">
        <f t="shared" si="19"/>
        <v/>
      </c>
      <c r="N219" s="24"/>
      <c r="O219" s="111" t="str">
        <f t="shared" si="18"/>
        <v/>
      </c>
      <c r="P219" s="81"/>
      <c r="Q219" s="74"/>
      <c r="R219" s="74"/>
      <c r="S219" s="78" t="str">
        <f t="shared" si="20"/>
        <v/>
      </c>
      <c r="T219" s="24"/>
      <c r="U219" s="32"/>
      <c r="V219" s="40" t="str">
        <f t="shared" si="22"/>
        <v/>
      </c>
      <c r="W219" s="81"/>
      <c r="X219" s="74"/>
      <c r="Y219" s="74"/>
      <c r="Z219" s="79" t="str">
        <f t="shared" si="21"/>
        <v/>
      </c>
      <c r="AA219" s="24"/>
      <c r="AB219" s="32"/>
      <c r="AC219" s="31" t="str">
        <f t="shared" si="23"/>
        <v/>
      </c>
      <c r="AF219" s="109" t="str">
        <f>IF($M219="","",VLOOKUP($M219,'ORF Accuracy Value LookUp'!$D$4:$E$104,2,TRUE))</f>
        <v/>
      </c>
      <c r="AG219" s="47" t="str">
        <f>IF($S219="","",VLOOKUP($S219,'ORF Accuracy Value LookUp'!$G$4:$H$104,2,TRUE))</f>
        <v/>
      </c>
      <c r="AH219" s="110" t="str">
        <f>IF($Z219="","",VLOOKUP($Z219,'ORF Accuracy Value LookUp'!$G$4:$H$104,2,TRUE))</f>
        <v/>
      </c>
    </row>
    <row r="220" spans="1:34">
      <c r="A220" s="10"/>
      <c r="B220" s="9"/>
      <c r="C220" s="9"/>
      <c r="D220" s="9"/>
      <c r="E220" s="10"/>
      <c r="F220" s="11"/>
      <c r="G220" s="15"/>
      <c r="H220" s="81"/>
      <c r="I220" s="24"/>
      <c r="J220" s="24"/>
      <c r="K220" s="74"/>
      <c r="L220" s="74"/>
      <c r="M220" s="76" t="str">
        <f t="shared" si="19"/>
        <v/>
      </c>
      <c r="N220" s="24"/>
      <c r="O220" s="111" t="str">
        <f t="shared" si="18"/>
        <v/>
      </c>
      <c r="P220" s="81"/>
      <c r="Q220" s="74"/>
      <c r="R220" s="74"/>
      <c r="S220" s="78" t="str">
        <f t="shared" si="20"/>
        <v/>
      </c>
      <c r="T220" s="24"/>
      <c r="U220" s="32"/>
      <c r="V220" s="40" t="str">
        <f t="shared" si="22"/>
        <v/>
      </c>
      <c r="W220" s="81"/>
      <c r="X220" s="74"/>
      <c r="Y220" s="74"/>
      <c r="Z220" s="79" t="str">
        <f t="shared" si="21"/>
        <v/>
      </c>
      <c r="AA220" s="24"/>
      <c r="AB220" s="32"/>
      <c r="AC220" s="31" t="str">
        <f t="shared" si="23"/>
        <v/>
      </c>
      <c r="AF220" s="109" t="str">
        <f>IF($M220="","",VLOOKUP($M220,'ORF Accuracy Value LookUp'!$D$4:$E$104,2,TRUE))</f>
        <v/>
      </c>
      <c r="AG220" s="47" t="str">
        <f>IF($S220="","",VLOOKUP($S220,'ORF Accuracy Value LookUp'!$G$4:$H$104,2,TRUE))</f>
        <v/>
      </c>
      <c r="AH220" s="110" t="str">
        <f>IF($Z220="","",VLOOKUP($Z220,'ORF Accuracy Value LookUp'!$G$4:$H$104,2,TRUE))</f>
        <v/>
      </c>
    </row>
    <row r="221" spans="1:34">
      <c r="A221" s="10"/>
      <c r="B221" s="9"/>
      <c r="C221" s="9"/>
      <c r="D221" s="9"/>
      <c r="E221" s="10"/>
      <c r="F221" s="11"/>
      <c r="G221" s="15"/>
      <c r="H221" s="81"/>
      <c r="I221" s="24"/>
      <c r="J221" s="24"/>
      <c r="K221" s="74"/>
      <c r="L221" s="74"/>
      <c r="M221" s="76" t="str">
        <f t="shared" si="19"/>
        <v/>
      </c>
      <c r="N221" s="24"/>
      <c r="O221" s="111" t="str">
        <f t="shared" si="18"/>
        <v/>
      </c>
      <c r="P221" s="81"/>
      <c r="Q221" s="74"/>
      <c r="R221" s="74"/>
      <c r="S221" s="78" t="str">
        <f t="shared" si="20"/>
        <v/>
      </c>
      <c r="T221" s="24"/>
      <c r="U221" s="32"/>
      <c r="V221" s="40" t="str">
        <f t="shared" si="22"/>
        <v/>
      </c>
      <c r="W221" s="81"/>
      <c r="X221" s="74"/>
      <c r="Y221" s="74"/>
      <c r="Z221" s="79" t="str">
        <f t="shared" si="21"/>
        <v/>
      </c>
      <c r="AA221" s="24"/>
      <c r="AB221" s="32"/>
      <c r="AC221" s="31" t="str">
        <f t="shared" si="23"/>
        <v/>
      </c>
      <c r="AF221" s="109" t="str">
        <f>IF($M221="","",VLOOKUP($M221,'ORF Accuracy Value LookUp'!$D$4:$E$104,2,TRUE))</f>
        <v/>
      </c>
      <c r="AG221" s="47" t="str">
        <f>IF($S221="","",VLOOKUP($S221,'ORF Accuracy Value LookUp'!$G$4:$H$104,2,TRUE))</f>
        <v/>
      </c>
      <c r="AH221" s="110" t="str">
        <f>IF($Z221="","",VLOOKUP($Z221,'ORF Accuracy Value LookUp'!$G$4:$H$104,2,TRUE))</f>
        <v/>
      </c>
    </row>
    <row r="222" spans="1:34">
      <c r="A222" s="10"/>
      <c r="B222" s="9"/>
      <c r="C222" s="9"/>
      <c r="D222" s="9"/>
      <c r="E222" s="10"/>
      <c r="F222" s="11"/>
      <c r="G222" s="15"/>
      <c r="H222" s="81"/>
      <c r="I222" s="24"/>
      <c r="J222" s="24"/>
      <c r="K222" s="74"/>
      <c r="L222" s="74"/>
      <c r="M222" s="76" t="str">
        <f t="shared" si="19"/>
        <v/>
      </c>
      <c r="N222" s="24"/>
      <c r="O222" s="111" t="str">
        <f t="shared" si="18"/>
        <v/>
      </c>
      <c r="P222" s="81"/>
      <c r="Q222" s="74"/>
      <c r="R222" s="74"/>
      <c r="S222" s="78" t="str">
        <f t="shared" si="20"/>
        <v/>
      </c>
      <c r="T222" s="24"/>
      <c r="U222" s="32"/>
      <c r="V222" s="40" t="str">
        <f t="shared" si="22"/>
        <v/>
      </c>
      <c r="W222" s="81"/>
      <c r="X222" s="74"/>
      <c r="Y222" s="74"/>
      <c r="Z222" s="79" t="str">
        <f t="shared" si="21"/>
        <v/>
      </c>
      <c r="AA222" s="24"/>
      <c r="AB222" s="32"/>
      <c r="AC222" s="31" t="str">
        <f t="shared" si="23"/>
        <v/>
      </c>
      <c r="AF222" s="109" t="str">
        <f>IF($M222="","",VLOOKUP($M222,'ORF Accuracy Value LookUp'!$D$4:$E$104,2,TRUE))</f>
        <v/>
      </c>
      <c r="AG222" s="47" t="str">
        <f>IF($S222="","",VLOOKUP($S222,'ORF Accuracy Value LookUp'!$G$4:$H$104,2,TRUE))</f>
        <v/>
      </c>
      <c r="AH222" s="110" t="str">
        <f>IF($Z222="","",VLOOKUP($Z222,'ORF Accuracy Value LookUp'!$G$4:$H$104,2,TRUE))</f>
        <v/>
      </c>
    </row>
    <row r="223" spans="1:34">
      <c r="A223" s="10"/>
      <c r="B223" s="9"/>
      <c r="C223" s="9"/>
      <c r="D223" s="9"/>
      <c r="E223" s="10"/>
      <c r="F223" s="11"/>
      <c r="G223" s="15"/>
      <c r="H223" s="81"/>
      <c r="I223" s="24"/>
      <c r="J223" s="24"/>
      <c r="K223" s="74"/>
      <c r="L223" s="74"/>
      <c r="M223" s="76" t="str">
        <f t="shared" si="19"/>
        <v/>
      </c>
      <c r="N223" s="24"/>
      <c r="O223" s="111" t="str">
        <f t="shared" si="18"/>
        <v/>
      </c>
      <c r="P223" s="81"/>
      <c r="Q223" s="74"/>
      <c r="R223" s="74"/>
      <c r="S223" s="78" t="str">
        <f t="shared" si="20"/>
        <v/>
      </c>
      <c r="T223" s="24"/>
      <c r="U223" s="32"/>
      <c r="V223" s="40" t="str">
        <f t="shared" si="22"/>
        <v/>
      </c>
      <c r="W223" s="81"/>
      <c r="X223" s="74"/>
      <c r="Y223" s="74"/>
      <c r="Z223" s="79" t="str">
        <f t="shared" si="21"/>
        <v/>
      </c>
      <c r="AA223" s="24"/>
      <c r="AB223" s="32"/>
      <c r="AC223" s="31" t="str">
        <f t="shared" si="23"/>
        <v/>
      </c>
      <c r="AF223" s="109" t="str">
        <f>IF($M223="","",VLOOKUP($M223,'ORF Accuracy Value LookUp'!$D$4:$E$104,2,TRUE))</f>
        <v/>
      </c>
      <c r="AG223" s="47" t="str">
        <f>IF($S223="","",VLOOKUP($S223,'ORF Accuracy Value LookUp'!$G$4:$H$104,2,TRUE))</f>
        <v/>
      </c>
      <c r="AH223" s="110" t="str">
        <f>IF($Z223="","",VLOOKUP($Z223,'ORF Accuracy Value LookUp'!$G$4:$H$104,2,TRUE))</f>
        <v/>
      </c>
    </row>
    <row r="224" spans="1:34">
      <c r="A224" s="10"/>
      <c r="B224" s="9"/>
      <c r="C224" s="9"/>
      <c r="D224" s="9"/>
      <c r="E224" s="10"/>
      <c r="F224" s="11"/>
      <c r="G224" s="15"/>
      <c r="H224" s="81"/>
      <c r="I224" s="24"/>
      <c r="J224" s="24"/>
      <c r="K224" s="74"/>
      <c r="L224" s="74"/>
      <c r="M224" s="76" t="str">
        <f t="shared" si="19"/>
        <v/>
      </c>
      <c r="N224" s="24"/>
      <c r="O224" s="111" t="str">
        <f t="shared" si="18"/>
        <v/>
      </c>
      <c r="P224" s="81"/>
      <c r="Q224" s="74"/>
      <c r="R224" s="74"/>
      <c r="S224" s="78" t="str">
        <f t="shared" si="20"/>
        <v/>
      </c>
      <c r="T224" s="24"/>
      <c r="U224" s="32"/>
      <c r="V224" s="40" t="str">
        <f t="shared" si="22"/>
        <v/>
      </c>
      <c r="W224" s="81"/>
      <c r="X224" s="74"/>
      <c r="Y224" s="74"/>
      <c r="Z224" s="79" t="str">
        <f t="shared" si="21"/>
        <v/>
      </c>
      <c r="AA224" s="24"/>
      <c r="AB224" s="32"/>
      <c r="AC224" s="31" t="str">
        <f t="shared" si="23"/>
        <v/>
      </c>
      <c r="AF224" s="109" t="str">
        <f>IF($M224="","",VLOOKUP($M224,'ORF Accuracy Value LookUp'!$D$4:$E$104,2,TRUE))</f>
        <v/>
      </c>
      <c r="AG224" s="47" t="str">
        <f>IF($S224="","",VLOOKUP($S224,'ORF Accuracy Value LookUp'!$G$4:$H$104,2,TRUE))</f>
        <v/>
      </c>
      <c r="AH224" s="110" t="str">
        <f>IF($Z224="","",VLOOKUP($Z224,'ORF Accuracy Value LookUp'!$G$4:$H$104,2,TRUE))</f>
        <v/>
      </c>
    </row>
    <row r="225" spans="1:34">
      <c r="A225" s="10"/>
      <c r="B225" s="9"/>
      <c r="C225" s="9"/>
      <c r="D225" s="9"/>
      <c r="E225" s="10"/>
      <c r="F225" s="11"/>
      <c r="G225" s="15"/>
      <c r="H225" s="81"/>
      <c r="I225" s="24"/>
      <c r="J225" s="24"/>
      <c r="K225" s="74"/>
      <c r="L225" s="74"/>
      <c r="M225" s="76" t="str">
        <f t="shared" si="19"/>
        <v/>
      </c>
      <c r="N225" s="24"/>
      <c r="O225" s="111" t="str">
        <f t="shared" si="18"/>
        <v/>
      </c>
      <c r="P225" s="81"/>
      <c r="Q225" s="74"/>
      <c r="R225" s="74"/>
      <c r="S225" s="78" t="str">
        <f t="shared" si="20"/>
        <v/>
      </c>
      <c r="T225" s="24"/>
      <c r="U225" s="32"/>
      <c r="V225" s="40" t="str">
        <f t="shared" si="22"/>
        <v/>
      </c>
      <c r="W225" s="81"/>
      <c r="X225" s="74"/>
      <c r="Y225" s="74"/>
      <c r="Z225" s="79" t="str">
        <f t="shared" si="21"/>
        <v/>
      </c>
      <c r="AA225" s="24"/>
      <c r="AB225" s="32"/>
      <c r="AC225" s="31" t="str">
        <f t="shared" si="23"/>
        <v/>
      </c>
      <c r="AF225" s="109" t="str">
        <f>IF($M225="","",VLOOKUP($M225,'ORF Accuracy Value LookUp'!$D$4:$E$104,2,TRUE))</f>
        <v/>
      </c>
      <c r="AG225" s="47" t="str">
        <f>IF($S225="","",VLOOKUP($S225,'ORF Accuracy Value LookUp'!$G$4:$H$104,2,TRUE))</f>
        <v/>
      </c>
      <c r="AH225" s="110" t="str">
        <f>IF($Z225="","",VLOOKUP($Z225,'ORF Accuracy Value LookUp'!$G$4:$H$104,2,TRUE))</f>
        <v/>
      </c>
    </row>
    <row r="226" spans="1:34">
      <c r="A226" s="10"/>
      <c r="B226" s="9"/>
      <c r="C226" s="9"/>
      <c r="D226" s="9"/>
      <c r="E226" s="10"/>
      <c r="F226" s="11"/>
      <c r="G226" s="15"/>
      <c r="H226" s="81"/>
      <c r="I226" s="24"/>
      <c r="J226" s="24"/>
      <c r="K226" s="74"/>
      <c r="L226" s="74"/>
      <c r="M226" s="76" t="str">
        <f t="shared" si="19"/>
        <v/>
      </c>
      <c r="N226" s="24"/>
      <c r="O226" s="111" t="str">
        <f t="shared" si="18"/>
        <v/>
      </c>
      <c r="P226" s="81"/>
      <c r="Q226" s="74"/>
      <c r="R226" s="74"/>
      <c r="S226" s="78" t="str">
        <f t="shared" si="20"/>
        <v/>
      </c>
      <c r="T226" s="24"/>
      <c r="U226" s="32"/>
      <c r="V226" s="40" t="str">
        <f t="shared" si="22"/>
        <v/>
      </c>
      <c r="W226" s="81"/>
      <c r="X226" s="74"/>
      <c r="Y226" s="74"/>
      <c r="Z226" s="79" t="str">
        <f t="shared" si="21"/>
        <v/>
      </c>
      <c r="AA226" s="24"/>
      <c r="AB226" s="32"/>
      <c r="AC226" s="31" t="str">
        <f t="shared" si="23"/>
        <v/>
      </c>
      <c r="AF226" s="109" t="str">
        <f>IF($M226="","",VLOOKUP($M226,'ORF Accuracy Value LookUp'!$D$4:$E$104,2,TRUE))</f>
        <v/>
      </c>
      <c r="AG226" s="47" t="str">
        <f>IF($S226="","",VLOOKUP($S226,'ORF Accuracy Value LookUp'!$G$4:$H$104,2,TRUE))</f>
        <v/>
      </c>
      <c r="AH226" s="110" t="str">
        <f>IF($Z226="","",VLOOKUP($Z226,'ORF Accuracy Value LookUp'!$G$4:$H$104,2,TRUE))</f>
        <v/>
      </c>
    </row>
    <row r="227" spans="1:34">
      <c r="A227" s="10"/>
      <c r="B227" s="9"/>
      <c r="C227" s="9"/>
      <c r="D227" s="9"/>
      <c r="E227" s="10"/>
      <c r="F227" s="11"/>
      <c r="G227" s="15"/>
      <c r="H227" s="81"/>
      <c r="I227" s="24"/>
      <c r="J227" s="24"/>
      <c r="K227" s="74"/>
      <c r="L227" s="74"/>
      <c r="M227" s="76" t="str">
        <f t="shared" si="19"/>
        <v/>
      </c>
      <c r="N227" s="24"/>
      <c r="O227" s="111" t="str">
        <f t="shared" si="18"/>
        <v/>
      </c>
      <c r="P227" s="81"/>
      <c r="Q227" s="74"/>
      <c r="R227" s="74"/>
      <c r="S227" s="78" t="str">
        <f t="shared" si="20"/>
        <v/>
      </c>
      <c r="T227" s="24"/>
      <c r="U227" s="32"/>
      <c r="V227" s="40" t="str">
        <f t="shared" si="22"/>
        <v/>
      </c>
      <c r="W227" s="81"/>
      <c r="X227" s="74"/>
      <c r="Y227" s="74"/>
      <c r="Z227" s="79" t="str">
        <f t="shared" si="21"/>
        <v/>
      </c>
      <c r="AA227" s="24"/>
      <c r="AB227" s="32"/>
      <c r="AC227" s="31" t="str">
        <f t="shared" si="23"/>
        <v/>
      </c>
      <c r="AF227" s="109" t="str">
        <f>IF($M227="","",VLOOKUP($M227,'ORF Accuracy Value LookUp'!$D$4:$E$104,2,TRUE))</f>
        <v/>
      </c>
      <c r="AG227" s="47" t="str">
        <f>IF($S227="","",VLOOKUP($S227,'ORF Accuracy Value LookUp'!$G$4:$H$104,2,TRUE))</f>
        <v/>
      </c>
      <c r="AH227" s="110" t="str">
        <f>IF($Z227="","",VLOOKUP($Z227,'ORF Accuracy Value LookUp'!$G$4:$H$104,2,TRUE))</f>
        <v/>
      </c>
    </row>
    <row r="228" spans="1:34">
      <c r="A228" s="10"/>
      <c r="B228" s="9"/>
      <c r="C228" s="9"/>
      <c r="D228" s="9"/>
      <c r="E228" s="10"/>
      <c r="F228" s="11"/>
      <c r="G228" s="15"/>
      <c r="H228" s="81"/>
      <c r="I228" s="24"/>
      <c r="J228" s="24"/>
      <c r="K228" s="74"/>
      <c r="L228" s="74"/>
      <c r="M228" s="76" t="str">
        <f t="shared" si="19"/>
        <v/>
      </c>
      <c r="N228" s="24"/>
      <c r="O228" s="111" t="str">
        <f t="shared" si="18"/>
        <v/>
      </c>
      <c r="P228" s="81"/>
      <c r="Q228" s="74"/>
      <c r="R228" s="74"/>
      <c r="S228" s="78" t="str">
        <f t="shared" si="20"/>
        <v/>
      </c>
      <c r="T228" s="24"/>
      <c r="U228" s="32"/>
      <c r="V228" s="40" t="str">
        <f t="shared" si="22"/>
        <v/>
      </c>
      <c r="W228" s="81"/>
      <c r="X228" s="74"/>
      <c r="Y228" s="74"/>
      <c r="Z228" s="79" t="str">
        <f t="shared" si="21"/>
        <v/>
      </c>
      <c r="AA228" s="24"/>
      <c r="AB228" s="32"/>
      <c r="AC228" s="31" t="str">
        <f t="shared" si="23"/>
        <v/>
      </c>
      <c r="AF228" s="109" t="str">
        <f>IF($M228="","",VLOOKUP($M228,'ORF Accuracy Value LookUp'!$D$4:$E$104,2,TRUE))</f>
        <v/>
      </c>
      <c r="AG228" s="47" t="str">
        <f>IF($S228="","",VLOOKUP($S228,'ORF Accuracy Value LookUp'!$G$4:$H$104,2,TRUE))</f>
        <v/>
      </c>
      <c r="AH228" s="110" t="str">
        <f>IF($Z228="","",VLOOKUP($Z228,'ORF Accuracy Value LookUp'!$G$4:$H$104,2,TRUE))</f>
        <v/>
      </c>
    </row>
    <row r="229" spans="1:34">
      <c r="A229" s="10"/>
      <c r="B229" s="9"/>
      <c r="C229" s="9"/>
      <c r="D229" s="9"/>
      <c r="E229" s="10"/>
      <c r="F229" s="11"/>
      <c r="G229" s="15"/>
      <c r="H229" s="81"/>
      <c r="I229" s="24"/>
      <c r="J229" s="24"/>
      <c r="K229" s="74"/>
      <c r="L229" s="74"/>
      <c r="M229" s="76" t="str">
        <f t="shared" si="19"/>
        <v/>
      </c>
      <c r="N229" s="24"/>
      <c r="O229" s="111" t="str">
        <f t="shared" si="18"/>
        <v/>
      </c>
      <c r="P229" s="81"/>
      <c r="Q229" s="74"/>
      <c r="R229" s="74"/>
      <c r="S229" s="78" t="str">
        <f t="shared" si="20"/>
        <v/>
      </c>
      <c r="T229" s="24"/>
      <c r="U229" s="32"/>
      <c r="V229" s="40" t="str">
        <f t="shared" si="22"/>
        <v/>
      </c>
      <c r="W229" s="81"/>
      <c r="X229" s="74"/>
      <c r="Y229" s="74"/>
      <c r="Z229" s="79" t="str">
        <f t="shared" si="21"/>
        <v/>
      </c>
      <c r="AA229" s="24"/>
      <c r="AB229" s="32"/>
      <c r="AC229" s="31" t="str">
        <f t="shared" si="23"/>
        <v/>
      </c>
      <c r="AF229" s="109" t="str">
        <f>IF($M229="","",VLOOKUP($M229,'ORF Accuracy Value LookUp'!$D$4:$E$104,2,TRUE))</f>
        <v/>
      </c>
      <c r="AG229" s="47" t="str">
        <f>IF($S229="","",VLOOKUP($S229,'ORF Accuracy Value LookUp'!$G$4:$H$104,2,TRUE))</f>
        <v/>
      </c>
      <c r="AH229" s="110" t="str">
        <f>IF($Z229="","",VLOOKUP($Z229,'ORF Accuracy Value LookUp'!$G$4:$H$104,2,TRUE))</f>
        <v/>
      </c>
    </row>
    <row r="230" spans="1:34">
      <c r="A230" s="10"/>
      <c r="B230" s="9"/>
      <c r="C230" s="9"/>
      <c r="D230" s="9"/>
      <c r="E230" s="10"/>
      <c r="F230" s="11"/>
      <c r="G230" s="15"/>
      <c r="H230" s="81"/>
      <c r="I230" s="24"/>
      <c r="J230" s="24"/>
      <c r="K230" s="74"/>
      <c r="L230" s="74"/>
      <c r="M230" s="76" t="str">
        <f t="shared" si="19"/>
        <v/>
      </c>
      <c r="N230" s="24"/>
      <c r="O230" s="111" t="str">
        <f t="shared" si="18"/>
        <v/>
      </c>
      <c r="P230" s="81"/>
      <c r="Q230" s="74"/>
      <c r="R230" s="74"/>
      <c r="S230" s="78" t="str">
        <f t="shared" si="20"/>
        <v/>
      </c>
      <c r="T230" s="24"/>
      <c r="U230" s="32"/>
      <c r="V230" s="40" t="str">
        <f t="shared" si="22"/>
        <v/>
      </c>
      <c r="W230" s="81"/>
      <c r="X230" s="74"/>
      <c r="Y230" s="74"/>
      <c r="Z230" s="79" t="str">
        <f t="shared" si="21"/>
        <v/>
      </c>
      <c r="AA230" s="24"/>
      <c r="AB230" s="32"/>
      <c r="AC230" s="31" t="str">
        <f t="shared" si="23"/>
        <v/>
      </c>
      <c r="AF230" s="109" t="str">
        <f>IF($M230="","",VLOOKUP($M230,'ORF Accuracy Value LookUp'!$D$4:$E$104,2,TRUE))</f>
        <v/>
      </c>
      <c r="AG230" s="47" t="str">
        <f>IF($S230="","",VLOOKUP($S230,'ORF Accuracy Value LookUp'!$G$4:$H$104,2,TRUE))</f>
        <v/>
      </c>
      <c r="AH230" s="110" t="str">
        <f>IF($Z230="","",VLOOKUP($Z230,'ORF Accuracy Value LookUp'!$G$4:$H$104,2,TRUE))</f>
        <v/>
      </c>
    </row>
    <row r="231" spans="1:34">
      <c r="A231" s="10"/>
      <c r="B231" s="9"/>
      <c r="C231" s="9"/>
      <c r="D231" s="9"/>
      <c r="E231" s="10"/>
      <c r="F231" s="11"/>
      <c r="G231" s="15"/>
      <c r="H231" s="81"/>
      <c r="I231" s="24"/>
      <c r="J231" s="24"/>
      <c r="K231" s="74"/>
      <c r="L231" s="74"/>
      <c r="M231" s="76" t="str">
        <f t="shared" si="19"/>
        <v/>
      </c>
      <c r="N231" s="24"/>
      <c r="O231" s="111" t="str">
        <f t="shared" si="18"/>
        <v/>
      </c>
      <c r="P231" s="81"/>
      <c r="Q231" s="74"/>
      <c r="R231" s="74"/>
      <c r="S231" s="78" t="str">
        <f t="shared" si="20"/>
        <v/>
      </c>
      <c r="T231" s="24"/>
      <c r="U231" s="32"/>
      <c r="V231" s="40" t="str">
        <f t="shared" si="22"/>
        <v/>
      </c>
      <c r="W231" s="81"/>
      <c r="X231" s="74"/>
      <c r="Y231" s="74"/>
      <c r="Z231" s="79" t="str">
        <f t="shared" si="21"/>
        <v/>
      </c>
      <c r="AA231" s="24"/>
      <c r="AB231" s="32"/>
      <c r="AC231" s="31" t="str">
        <f t="shared" si="23"/>
        <v/>
      </c>
      <c r="AF231" s="109" t="str">
        <f>IF($M231="","",VLOOKUP($M231,'ORF Accuracy Value LookUp'!$D$4:$E$104,2,TRUE))</f>
        <v/>
      </c>
      <c r="AG231" s="47" t="str">
        <f>IF($S231="","",VLOOKUP($S231,'ORF Accuracy Value LookUp'!$G$4:$H$104,2,TRUE))</f>
        <v/>
      </c>
      <c r="AH231" s="110" t="str">
        <f>IF($Z231="","",VLOOKUP($Z231,'ORF Accuracy Value LookUp'!$G$4:$H$104,2,TRUE))</f>
        <v/>
      </c>
    </row>
    <row r="232" spans="1:34">
      <c r="A232" s="10"/>
      <c r="B232" s="9"/>
      <c r="C232" s="9"/>
      <c r="D232" s="9"/>
      <c r="E232" s="10"/>
      <c r="F232" s="11"/>
      <c r="G232" s="15"/>
      <c r="H232" s="81"/>
      <c r="I232" s="24"/>
      <c r="J232" s="24"/>
      <c r="K232" s="74"/>
      <c r="L232" s="74"/>
      <c r="M232" s="76" t="str">
        <f t="shared" si="19"/>
        <v/>
      </c>
      <c r="N232" s="24"/>
      <c r="O232" s="111" t="str">
        <f t="shared" si="18"/>
        <v/>
      </c>
      <c r="P232" s="81"/>
      <c r="Q232" s="74"/>
      <c r="R232" s="74"/>
      <c r="S232" s="78" t="str">
        <f t="shared" si="20"/>
        <v/>
      </c>
      <c r="T232" s="24"/>
      <c r="U232" s="32"/>
      <c r="V232" s="40" t="str">
        <f t="shared" si="22"/>
        <v/>
      </c>
      <c r="W232" s="81"/>
      <c r="X232" s="74"/>
      <c r="Y232" s="74"/>
      <c r="Z232" s="79" t="str">
        <f t="shared" si="21"/>
        <v/>
      </c>
      <c r="AA232" s="24"/>
      <c r="AB232" s="32"/>
      <c r="AC232" s="31" t="str">
        <f t="shared" si="23"/>
        <v/>
      </c>
      <c r="AF232" s="109" t="str">
        <f>IF($M232="","",VLOOKUP($M232,'ORF Accuracy Value LookUp'!$D$4:$E$104,2,TRUE))</f>
        <v/>
      </c>
      <c r="AG232" s="47" t="str">
        <f>IF($S232="","",VLOOKUP($S232,'ORF Accuracy Value LookUp'!$G$4:$H$104,2,TRUE))</f>
        <v/>
      </c>
      <c r="AH232" s="110" t="str">
        <f>IF($Z232="","",VLOOKUP($Z232,'ORF Accuracy Value LookUp'!$G$4:$H$104,2,TRUE))</f>
        <v/>
      </c>
    </row>
    <row r="233" spans="1:34">
      <c r="A233" s="10"/>
      <c r="B233" s="9"/>
      <c r="C233" s="9"/>
      <c r="D233" s="9"/>
      <c r="E233" s="10"/>
      <c r="F233" s="11"/>
      <c r="G233" s="15"/>
      <c r="H233" s="81"/>
      <c r="I233" s="24"/>
      <c r="J233" s="24"/>
      <c r="K233" s="74"/>
      <c r="L233" s="74"/>
      <c r="M233" s="76" t="str">
        <f t="shared" si="19"/>
        <v/>
      </c>
      <c r="N233" s="24"/>
      <c r="O233" s="111" t="str">
        <f t="shared" si="18"/>
        <v/>
      </c>
      <c r="P233" s="81"/>
      <c r="Q233" s="74"/>
      <c r="R233" s="74"/>
      <c r="S233" s="78" t="str">
        <f t="shared" si="20"/>
        <v/>
      </c>
      <c r="T233" s="24"/>
      <c r="U233" s="32"/>
      <c r="V233" s="40" t="str">
        <f t="shared" si="22"/>
        <v/>
      </c>
      <c r="W233" s="81"/>
      <c r="X233" s="74"/>
      <c r="Y233" s="74"/>
      <c r="Z233" s="79" t="str">
        <f t="shared" si="21"/>
        <v/>
      </c>
      <c r="AA233" s="24"/>
      <c r="AB233" s="32"/>
      <c r="AC233" s="31" t="str">
        <f t="shared" si="23"/>
        <v/>
      </c>
      <c r="AF233" s="109" t="str">
        <f>IF($M233="","",VLOOKUP($M233,'ORF Accuracy Value LookUp'!$D$4:$E$104,2,TRUE))</f>
        <v/>
      </c>
      <c r="AG233" s="47" t="str">
        <f>IF($S233="","",VLOOKUP($S233,'ORF Accuracy Value LookUp'!$G$4:$H$104,2,TRUE))</f>
        <v/>
      </c>
      <c r="AH233" s="110" t="str">
        <f>IF($Z233="","",VLOOKUP($Z233,'ORF Accuracy Value LookUp'!$G$4:$H$104,2,TRUE))</f>
        <v/>
      </c>
    </row>
    <row r="234" spans="1:34">
      <c r="A234" s="10"/>
      <c r="B234" s="9"/>
      <c r="C234" s="9"/>
      <c r="D234" s="9"/>
      <c r="E234" s="10"/>
      <c r="F234" s="11"/>
      <c r="G234" s="15"/>
      <c r="H234" s="81"/>
      <c r="I234" s="24"/>
      <c r="J234" s="24"/>
      <c r="K234" s="74"/>
      <c r="L234" s="74"/>
      <c r="M234" s="76" t="str">
        <f t="shared" si="19"/>
        <v/>
      </c>
      <c r="N234" s="24"/>
      <c r="O234" s="111" t="str">
        <f t="shared" si="18"/>
        <v/>
      </c>
      <c r="P234" s="81"/>
      <c r="Q234" s="74"/>
      <c r="R234" s="74"/>
      <c r="S234" s="78" t="str">
        <f t="shared" si="20"/>
        <v/>
      </c>
      <c r="T234" s="24"/>
      <c r="U234" s="32"/>
      <c r="V234" s="40" t="str">
        <f t="shared" si="22"/>
        <v/>
      </c>
      <c r="W234" s="81"/>
      <c r="X234" s="74"/>
      <c r="Y234" s="74"/>
      <c r="Z234" s="79" t="str">
        <f t="shared" si="21"/>
        <v/>
      </c>
      <c r="AA234" s="24"/>
      <c r="AB234" s="32"/>
      <c r="AC234" s="31" t="str">
        <f t="shared" si="23"/>
        <v/>
      </c>
      <c r="AF234" s="109" t="str">
        <f>IF($M234="","",VLOOKUP($M234,'ORF Accuracy Value LookUp'!$D$4:$E$104,2,TRUE))</f>
        <v/>
      </c>
      <c r="AG234" s="47" t="str">
        <f>IF($S234="","",VLOOKUP($S234,'ORF Accuracy Value LookUp'!$G$4:$H$104,2,TRUE))</f>
        <v/>
      </c>
      <c r="AH234" s="110" t="str">
        <f>IF($Z234="","",VLOOKUP($Z234,'ORF Accuracy Value LookUp'!$G$4:$H$104,2,TRUE))</f>
        <v/>
      </c>
    </row>
    <row r="235" spans="1:34">
      <c r="A235" s="10"/>
      <c r="B235" s="9"/>
      <c r="C235" s="9"/>
      <c r="D235" s="9"/>
      <c r="E235" s="10"/>
      <c r="F235" s="11"/>
      <c r="G235" s="15"/>
      <c r="H235" s="81"/>
      <c r="I235" s="24"/>
      <c r="J235" s="24"/>
      <c r="K235" s="74"/>
      <c r="L235" s="74"/>
      <c r="M235" s="76" t="str">
        <f t="shared" si="19"/>
        <v/>
      </c>
      <c r="N235" s="24"/>
      <c r="O235" s="111" t="str">
        <f t="shared" si="18"/>
        <v/>
      </c>
      <c r="P235" s="81"/>
      <c r="Q235" s="74"/>
      <c r="R235" s="74"/>
      <c r="S235" s="78" t="str">
        <f t="shared" si="20"/>
        <v/>
      </c>
      <c r="T235" s="24"/>
      <c r="U235" s="32"/>
      <c r="V235" s="40" t="str">
        <f t="shared" si="22"/>
        <v/>
      </c>
      <c r="W235" s="81"/>
      <c r="X235" s="74"/>
      <c r="Y235" s="74"/>
      <c r="Z235" s="79" t="str">
        <f t="shared" si="21"/>
        <v/>
      </c>
      <c r="AA235" s="24"/>
      <c r="AB235" s="32"/>
      <c r="AC235" s="31" t="str">
        <f t="shared" si="23"/>
        <v/>
      </c>
      <c r="AF235" s="109" t="str">
        <f>IF($M235="","",VLOOKUP($M235,'ORF Accuracy Value LookUp'!$D$4:$E$104,2,TRUE))</f>
        <v/>
      </c>
      <c r="AG235" s="47" t="str">
        <f>IF($S235="","",VLOOKUP($S235,'ORF Accuracy Value LookUp'!$G$4:$H$104,2,TRUE))</f>
        <v/>
      </c>
      <c r="AH235" s="110" t="str">
        <f>IF($Z235="","",VLOOKUP($Z235,'ORF Accuracy Value LookUp'!$G$4:$H$104,2,TRUE))</f>
        <v/>
      </c>
    </row>
    <row r="236" spans="1:34">
      <c r="A236" s="10"/>
      <c r="B236" s="9"/>
      <c r="C236" s="9"/>
      <c r="D236" s="9"/>
      <c r="E236" s="10"/>
      <c r="F236" s="11"/>
      <c r="G236" s="15"/>
      <c r="H236" s="81"/>
      <c r="I236" s="24"/>
      <c r="J236" s="24"/>
      <c r="K236" s="74"/>
      <c r="L236" s="74"/>
      <c r="M236" s="76" t="str">
        <f t="shared" si="19"/>
        <v/>
      </c>
      <c r="N236" s="24"/>
      <c r="O236" s="111" t="str">
        <f t="shared" si="18"/>
        <v/>
      </c>
      <c r="P236" s="81"/>
      <c r="Q236" s="74"/>
      <c r="R236" s="74"/>
      <c r="S236" s="78" t="str">
        <f t="shared" si="20"/>
        <v/>
      </c>
      <c r="T236" s="24"/>
      <c r="U236" s="32"/>
      <c r="V236" s="40" t="str">
        <f t="shared" si="22"/>
        <v/>
      </c>
      <c r="W236" s="81"/>
      <c r="X236" s="74"/>
      <c r="Y236" s="74"/>
      <c r="Z236" s="79" t="str">
        <f t="shared" si="21"/>
        <v/>
      </c>
      <c r="AA236" s="24"/>
      <c r="AB236" s="32"/>
      <c r="AC236" s="31" t="str">
        <f t="shared" si="23"/>
        <v/>
      </c>
      <c r="AF236" s="109" t="str">
        <f>IF($M236="","",VLOOKUP($M236,'ORF Accuracy Value LookUp'!$D$4:$E$104,2,TRUE))</f>
        <v/>
      </c>
      <c r="AG236" s="47" t="str">
        <f>IF($S236="","",VLOOKUP($S236,'ORF Accuracy Value LookUp'!$G$4:$H$104,2,TRUE))</f>
        <v/>
      </c>
      <c r="AH236" s="110" t="str">
        <f>IF($Z236="","",VLOOKUP($Z236,'ORF Accuracy Value LookUp'!$G$4:$H$104,2,TRUE))</f>
        <v/>
      </c>
    </row>
    <row r="237" spans="1:34">
      <c r="A237" s="10"/>
      <c r="B237" s="9"/>
      <c r="C237" s="9"/>
      <c r="D237" s="9"/>
      <c r="E237" s="10"/>
      <c r="F237" s="11"/>
      <c r="G237" s="15"/>
      <c r="H237" s="81"/>
      <c r="I237" s="24"/>
      <c r="J237" s="24"/>
      <c r="K237" s="74"/>
      <c r="L237" s="74"/>
      <c r="M237" s="76" t="str">
        <f t="shared" si="19"/>
        <v/>
      </c>
      <c r="N237" s="24"/>
      <c r="O237" s="111" t="str">
        <f t="shared" si="18"/>
        <v/>
      </c>
      <c r="P237" s="81"/>
      <c r="Q237" s="74"/>
      <c r="R237" s="74"/>
      <c r="S237" s="78" t="str">
        <f t="shared" si="20"/>
        <v/>
      </c>
      <c r="T237" s="24"/>
      <c r="U237" s="32"/>
      <c r="V237" s="40" t="str">
        <f t="shared" si="22"/>
        <v/>
      </c>
      <c r="W237" s="81"/>
      <c r="X237" s="74"/>
      <c r="Y237" s="74"/>
      <c r="Z237" s="79" t="str">
        <f t="shared" si="21"/>
        <v/>
      </c>
      <c r="AA237" s="24"/>
      <c r="AB237" s="32"/>
      <c r="AC237" s="31" t="str">
        <f t="shared" si="23"/>
        <v/>
      </c>
      <c r="AF237" s="109" t="str">
        <f>IF($M237="","",VLOOKUP($M237,'ORF Accuracy Value LookUp'!$D$4:$E$104,2,TRUE))</f>
        <v/>
      </c>
      <c r="AG237" s="47" t="str">
        <f>IF($S237="","",VLOOKUP($S237,'ORF Accuracy Value LookUp'!$G$4:$H$104,2,TRUE))</f>
        <v/>
      </c>
      <c r="AH237" s="110" t="str">
        <f>IF($Z237="","",VLOOKUP($Z237,'ORF Accuracy Value LookUp'!$G$4:$H$104,2,TRUE))</f>
        <v/>
      </c>
    </row>
    <row r="238" spans="1:34">
      <c r="A238" s="10"/>
      <c r="B238" s="9"/>
      <c r="C238" s="9"/>
      <c r="D238" s="9"/>
      <c r="E238" s="10"/>
      <c r="F238" s="11"/>
      <c r="G238" s="15"/>
      <c r="H238" s="81"/>
      <c r="I238" s="24"/>
      <c r="J238" s="24"/>
      <c r="K238" s="74"/>
      <c r="L238" s="74"/>
      <c r="M238" s="76" t="str">
        <f t="shared" si="19"/>
        <v/>
      </c>
      <c r="N238" s="24"/>
      <c r="O238" s="111" t="str">
        <f t="shared" si="18"/>
        <v/>
      </c>
      <c r="P238" s="81"/>
      <c r="Q238" s="74"/>
      <c r="R238" s="74"/>
      <c r="S238" s="78" t="str">
        <f t="shared" si="20"/>
        <v/>
      </c>
      <c r="T238" s="24"/>
      <c r="U238" s="32"/>
      <c r="V238" s="40" t="str">
        <f t="shared" si="22"/>
        <v/>
      </c>
      <c r="W238" s="81"/>
      <c r="X238" s="74"/>
      <c r="Y238" s="74"/>
      <c r="Z238" s="79" t="str">
        <f t="shared" si="21"/>
        <v/>
      </c>
      <c r="AA238" s="24"/>
      <c r="AB238" s="32"/>
      <c r="AC238" s="31" t="str">
        <f t="shared" si="23"/>
        <v/>
      </c>
      <c r="AF238" s="109" t="str">
        <f>IF($M238="","",VLOOKUP($M238,'ORF Accuracy Value LookUp'!$D$4:$E$104,2,TRUE))</f>
        <v/>
      </c>
      <c r="AG238" s="47" t="str">
        <f>IF($S238="","",VLOOKUP($S238,'ORF Accuracy Value LookUp'!$G$4:$H$104,2,TRUE))</f>
        <v/>
      </c>
      <c r="AH238" s="110" t="str">
        <f>IF($Z238="","",VLOOKUP($Z238,'ORF Accuracy Value LookUp'!$G$4:$H$104,2,TRUE))</f>
        <v/>
      </c>
    </row>
    <row r="239" spans="1:34">
      <c r="A239" s="10"/>
      <c r="B239" s="9"/>
      <c r="C239" s="9"/>
      <c r="D239" s="9"/>
      <c r="E239" s="10"/>
      <c r="F239" s="11"/>
      <c r="G239" s="15"/>
      <c r="H239" s="81"/>
      <c r="I239" s="24"/>
      <c r="J239" s="24"/>
      <c r="K239" s="74"/>
      <c r="L239" s="74"/>
      <c r="M239" s="76" t="str">
        <f t="shared" si="19"/>
        <v/>
      </c>
      <c r="N239" s="24"/>
      <c r="O239" s="111" t="str">
        <f t="shared" si="18"/>
        <v/>
      </c>
      <c r="P239" s="81"/>
      <c r="Q239" s="74"/>
      <c r="R239" s="74"/>
      <c r="S239" s="78" t="str">
        <f t="shared" si="20"/>
        <v/>
      </c>
      <c r="T239" s="24"/>
      <c r="U239" s="32"/>
      <c r="V239" s="40" t="str">
        <f t="shared" si="22"/>
        <v/>
      </c>
      <c r="W239" s="81"/>
      <c r="X239" s="74"/>
      <c r="Y239" s="74"/>
      <c r="Z239" s="79" t="str">
        <f t="shared" si="21"/>
        <v/>
      </c>
      <c r="AA239" s="24"/>
      <c r="AB239" s="32"/>
      <c r="AC239" s="31" t="str">
        <f t="shared" si="23"/>
        <v/>
      </c>
      <c r="AF239" s="109" t="str">
        <f>IF($M239="","",VLOOKUP($M239,'ORF Accuracy Value LookUp'!$D$4:$E$104,2,TRUE))</f>
        <v/>
      </c>
      <c r="AG239" s="47" t="str">
        <f>IF($S239="","",VLOOKUP($S239,'ORF Accuracy Value LookUp'!$G$4:$H$104,2,TRUE))</f>
        <v/>
      </c>
      <c r="AH239" s="110" t="str">
        <f>IF($Z239="","",VLOOKUP($Z239,'ORF Accuracy Value LookUp'!$G$4:$H$104,2,TRUE))</f>
        <v/>
      </c>
    </row>
    <row r="240" spans="1:34">
      <c r="A240" s="10"/>
      <c r="B240" s="9"/>
      <c r="C240" s="9"/>
      <c r="D240" s="9"/>
      <c r="E240" s="10"/>
      <c r="F240" s="11"/>
      <c r="G240" s="15"/>
      <c r="H240" s="81"/>
      <c r="I240" s="24"/>
      <c r="J240" s="24"/>
      <c r="K240" s="74"/>
      <c r="L240" s="74"/>
      <c r="M240" s="76" t="str">
        <f t="shared" si="19"/>
        <v/>
      </c>
      <c r="N240" s="24"/>
      <c r="O240" s="111" t="str">
        <f t="shared" si="18"/>
        <v/>
      </c>
      <c r="P240" s="81"/>
      <c r="Q240" s="74"/>
      <c r="R240" s="74"/>
      <c r="S240" s="78" t="str">
        <f t="shared" si="20"/>
        <v/>
      </c>
      <c r="T240" s="24"/>
      <c r="U240" s="32"/>
      <c r="V240" s="40" t="str">
        <f t="shared" si="22"/>
        <v/>
      </c>
      <c r="W240" s="81"/>
      <c r="X240" s="74"/>
      <c r="Y240" s="74"/>
      <c r="Z240" s="79" t="str">
        <f t="shared" si="21"/>
        <v/>
      </c>
      <c r="AA240" s="24"/>
      <c r="AB240" s="32"/>
      <c r="AC240" s="31" t="str">
        <f t="shared" si="23"/>
        <v/>
      </c>
      <c r="AF240" s="109" t="str">
        <f>IF($M240="","",VLOOKUP($M240,'ORF Accuracy Value LookUp'!$D$4:$E$104,2,TRUE))</f>
        <v/>
      </c>
      <c r="AG240" s="47" t="str">
        <f>IF($S240="","",VLOOKUP($S240,'ORF Accuracy Value LookUp'!$G$4:$H$104,2,TRUE))</f>
        <v/>
      </c>
      <c r="AH240" s="110" t="str">
        <f>IF($Z240="","",VLOOKUP($Z240,'ORF Accuracy Value LookUp'!$G$4:$H$104,2,TRUE))</f>
        <v/>
      </c>
    </row>
    <row r="241" spans="1:34">
      <c r="A241" s="10"/>
      <c r="B241" s="9"/>
      <c r="C241" s="9"/>
      <c r="D241" s="9"/>
      <c r="E241" s="10"/>
      <c r="F241" s="11"/>
      <c r="G241" s="15"/>
      <c r="H241" s="81"/>
      <c r="I241" s="24"/>
      <c r="J241" s="24"/>
      <c r="K241" s="74"/>
      <c r="L241" s="74"/>
      <c r="M241" s="76" t="str">
        <f t="shared" si="19"/>
        <v/>
      </c>
      <c r="N241" s="24"/>
      <c r="O241" s="111" t="str">
        <f t="shared" si="18"/>
        <v/>
      </c>
      <c r="P241" s="81"/>
      <c r="Q241" s="74"/>
      <c r="R241" s="74"/>
      <c r="S241" s="78" t="str">
        <f t="shared" si="20"/>
        <v/>
      </c>
      <c r="T241" s="24"/>
      <c r="U241" s="32"/>
      <c r="V241" s="40" t="str">
        <f t="shared" si="22"/>
        <v/>
      </c>
      <c r="W241" s="81"/>
      <c r="X241" s="74"/>
      <c r="Y241" s="74"/>
      <c r="Z241" s="79" t="str">
        <f t="shared" si="21"/>
        <v/>
      </c>
      <c r="AA241" s="24"/>
      <c r="AB241" s="32"/>
      <c r="AC241" s="31" t="str">
        <f t="shared" si="23"/>
        <v/>
      </c>
      <c r="AF241" s="109" t="str">
        <f>IF($M241="","",VLOOKUP($M241,'ORF Accuracy Value LookUp'!$D$4:$E$104,2,TRUE))</f>
        <v/>
      </c>
      <c r="AG241" s="47" t="str">
        <f>IF($S241="","",VLOOKUP($S241,'ORF Accuracy Value LookUp'!$G$4:$H$104,2,TRUE))</f>
        <v/>
      </c>
      <c r="AH241" s="110" t="str">
        <f>IF($Z241="","",VLOOKUP($Z241,'ORF Accuracy Value LookUp'!$G$4:$H$104,2,TRUE))</f>
        <v/>
      </c>
    </row>
    <row r="242" spans="1:34">
      <c r="A242" s="10"/>
      <c r="B242" s="9"/>
      <c r="C242" s="9"/>
      <c r="D242" s="9"/>
      <c r="E242" s="10"/>
      <c r="F242" s="11"/>
      <c r="G242" s="15"/>
      <c r="H242" s="81"/>
      <c r="I242" s="24"/>
      <c r="J242" s="24"/>
      <c r="K242" s="74"/>
      <c r="L242" s="74"/>
      <c r="M242" s="76" t="str">
        <f t="shared" si="19"/>
        <v/>
      </c>
      <c r="N242" s="24"/>
      <c r="O242" s="111" t="str">
        <f t="shared" si="18"/>
        <v/>
      </c>
      <c r="P242" s="81"/>
      <c r="Q242" s="74"/>
      <c r="R242" s="74"/>
      <c r="S242" s="78" t="str">
        <f t="shared" si="20"/>
        <v/>
      </c>
      <c r="T242" s="24"/>
      <c r="U242" s="32"/>
      <c r="V242" s="40" t="str">
        <f t="shared" si="22"/>
        <v/>
      </c>
      <c r="W242" s="81"/>
      <c r="X242" s="74"/>
      <c r="Y242" s="74"/>
      <c r="Z242" s="79" t="str">
        <f t="shared" si="21"/>
        <v/>
      </c>
      <c r="AA242" s="24"/>
      <c r="AB242" s="32"/>
      <c r="AC242" s="31" t="str">
        <f t="shared" si="23"/>
        <v/>
      </c>
      <c r="AF242" s="109" t="str">
        <f>IF($M242="","",VLOOKUP($M242,'ORF Accuracy Value LookUp'!$D$4:$E$104,2,TRUE))</f>
        <v/>
      </c>
      <c r="AG242" s="47" t="str">
        <f>IF($S242="","",VLOOKUP($S242,'ORF Accuracy Value LookUp'!$G$4:$H$104,2,TRUE))</f>
        <v/>
      </c>
      <c r="AH242" s="110" t="str">
        <f>IF($Z242="","",VLOOKUP($Z242,'ORF Accuracy Value LookUp'!$G$4:$H$104,2,TRUE))</f>
        <v/>
      </c>
    </row>
    <row r="243" spans="1:34">
      <c r="A243" s="10"/>
      <c r="B243" s="9"/>
      <c r="C243" s="9"/>
      <c r="D243" s="9"/>
      <c r="E243" s="10"/>
      <c r="F243" s="11"/>
      <c r="G243" s="15"/>
      <c r="H243" s="81"/>
      <c r="I243" s="24"/>
      <c r="J243" s="24"/>
      <c r="K243" s="74"/>
      <c r="L243" s="74"/>
      <c r="M243" s="76" t="str">
        <f t="shared" si="19"/>
        <v/>
      </c>
      <c r="N243" s="24"/>
      <c r="O243" s="111" t="str">
        <f t="shared" si="18"/>
        <v/>
      </c>
      <c r="P243" s="81"/>
      <c r="Q243" s="74"/>
      <c r="R243" s="74"/>
      <c r="S243" s="78" t="str">
        <f t="shared" si="20"/>
        <v/>
      </c>
      <c r="T243" s="24"/>
      <c r="U243" s="32"/>
      <c r="V243" s="40" t="str">
        <f t="shared" si="22"/>
        <v/>
      </c>
      <c r="W243" s="81"/>
      <c r="X243" s="74"/>
      <c r="Y243" s="74"/>
      <c r="Z243" s="79" t="str">
        <f t="shared" si="21"/>
        <v/>
      </c>
      <c r="AA243" s="24"/>
      <c r="AB243" s="32"/>
      <c r="AC243" s="31" t="str">
        <f t="shared" si="23"/>
        <v/>
      </c>
      <c r="AF243" s="109" t="str">
        <f>IF($M243="","",VLOOKUP($M243,'ORF Accuracy Value LookUp'!$D$4:$E$104,2,TRUE))</f>
        <v/>
      </c>
      <c r="AG243" s="47" t="str">
        <f>IF($S243="","",VLOOKUP($S243,'ORF Accuracy Value LookUp'!$G$4:$H$104,2,TRUE))</f>
        <v/>
      </c>
      <c r="AH243" s="110" t="str">
        <f>IF($Z243="","",VLOOKUP($Z243,'ORF Accuracy Value LookUp'!$G$4:$H$104,2,TRUE))</f>
        <v/>
      </c>
    </row>
    <row r="244" spans="1:34">
      <c r="A244" s="10"/>
      <c r="B244" s="9"/>
      <c r="C244" s="9"/>
      <c r="D244" s="9"/>
      <c r="E244" s="10"/>
      <c r="F244" s="11"/>
      <c r="G244" s="15"/>
      <c r="H244" s="81"/>
      <c r="I244" s="24"/>
      <c r="J244" s="24"/>
      <c r="K244" s="74"/>
      <c r="L244" s="74"/>
      <c r="M244" s="76" t="str">
        <f t="shared" si="19"/>
        <v/>
      </c>
      <c r="N244" s="24"/>
      <c r="O244" s="111" t="str">
        <f t="shared" si="18"/>
        <v/>
      </c>
      <c r="P244" s="81"/>
      <c r="Q244" s="74"/>
      <c r="R244" s="74"/>
      <c r="S244" s="78" t="str">
        <f t="shared" si="20"/>
        <v/>
      </c>
      <c r="T244" s="24"/>
      <c r="U244" s="32"/>
      <c r="V244" s="40" t="str">
        <f t="shared" si="22"/>
        <v/>
      </c>
      <c r="W244" s="81"/>
      <c r="X244" s="74"/>
      <c r="Y244" s="74"/>
      <c r="Z244" s="79" t="str">
        <f t="shared" si="21"/>
        <v/>
      </c>
      <c r="AA244" s="24"/>
      <c r="AB244" s="32"/>
      <c r="AC244" s="31" t="str">
        <f t="shared" si="23"/>
        <v/>
      </c>
      <c r="AF244" s="109" t="str">
        <f>IF($M244="","",VLOOKUP($M244,'ORF Accuracy Value LookUp'!$D$4:$E$104,2,TRUE))</f>
        <v/>
      </c>
      <c r="AG244" s="47" t="str">
        <f>IF($S244="","",VLOOKUP($S244,'ORF Accuracy Value LookUp'!$G$4:$H$104,2,TRUE))</f>
        <v/>
      </c>
      <c r="AH244" s="110" t="str">
        <f>IF($Z244="","",VLOOKUP($Z244,'ORF Accuracy Value LookUp'!$G$4:$H$104,2,TRUE))</f>
        <v/>
      </c>
    </row>
    <row r="245" spans="1:34">
      <c r="A245" s="10"/>
      <c r="B245" s="9"/>
      <c r="C245" s="9"/>
      <c r="D245" s="9"/>
      <c r="E245" s="10"/>
      <c r="F245" s="11"/>
      <c r="G245" s="15"/>
      <c r="H245" s="81"/>
      <c r="I245" s="24"/>
      <c r="J245" s="24"/>
      <c r="K245" s="74"/>
      <c r="L245" s="74"/>
      <c r="M245" s="76" t="str">
        <f t="shared" si="19"/>
        <v/>
      </c>
      <c r="N245" s="24"/>
      <c r="O245" s="111" t="str">
        <f t="shared" si="18"/>
        <v/>
      </c>
      <c r="P245" s="81"/>
      <c r="Q245" s="74"/>
      <c r="R245" s="74"/>
      <c r="S245" s="78" t="str">
        <f t="shared" si="20"/>
        <v/>
      </c>
      <c r="T245" s="24"/>
      <c r="U245" s="32"/>
      <c r="V245" s="40" t="str">
        <f t="shared" si="22"/>
        <v/>
      </c>
      <c r="W245" s="81"/>
      <c r="X245" s="74"/>
      <c r="Y245" s="74"/>
      <c r="Z245" s="79" t="str">
        <f t="shared" si="21"/>
        <v/>
      </c>
      <c r="AA245" s="24"/>
      <c r="AB245" s="32"/>
      <c r="AC245" s="31" t="str">
        <f t="shared" si="23"/>
        <v/>
      </c>
      <c r="AF245" s="109" t="str">
        <f>IF($M245="","",VLOOKUP($M245,'ORF Accuracy Value LookUp'!$D$4:$E$104,2,TRUE))</f>
        <v/>
      </c>
      <c r="AG245" s="47" t="str">
        <f>IF($S245="","",VLOOKUP($S245,'ORF Accuracy Value LookUp'!$G$4:$H$104,2,TRUE))</f>
        <v/>
      </c>
      <c r="AH245" s="110" t="str">
        <f>IF($Z245="","",VLOOKUP($Z245,'ORF Accuracy Value LookUp'!$G$4:$H$104,2,TRUE))</f>
        <v/>
      </c>
    </row>
    <row r="246" spans="1:34">
      <c r="A246" s="10"/>
      <c r="B246" s="9"/>
      <c r="C246" s="9"/>
      <c r="D246" s="9"/>
      <c r="E246" s="10"/>
      <c r="F246" s="11"/>
      <c r="G246" s="15"/>
      <c r="H246" s="81"/>
      <c r="I246" s="24"/>
      <c r="J246" s="24"/>
      <c r="K246" s="74"/>
      <c r="L246" s="74"/>
      <c r="M246" s="76" t="str">
        <f t="shared" si="19"/>
        <v/>
      </c>
      <c r="N246" s="24"/>
      <c r="O246" s="111" t="str">
        <f t="shared" si="18"/>
        <v/>
      </c>
      <c r="P246" s="81"/>
      <c r="Q246" s="74"/>
      <c r="R246" s="74"/>
      <c r="S246" s="78" t="str">
        <f t="shared" si="20"/>
        <v/>
      </c>
      <c r="T246" s="24"/>
      <c r="U246" s="32"/>
      <c r="V246" s="40" t="str">
        <f t="shared" si="22"/>
        <v/>
      </c>
      <c r="W246" s="81"/>
      <c r="X246" s="74"/>
      <c r="Y246" s="74"/>
      <c r="Z246" s="79" t="str">
        <f t="shared" si="21"/>
        <v/>
      </c>
      <c r="AA246" s="24"/>
      <c r="AB246" s="32"/>
      <c r="AC246" s="31" t="str">
        <f t="shared" si="23"/>
        <v/>
      </c>
      <c r="AF246" s="109" t="str">
        <f>IF($M246="","",VLOOKUP($M246,'ORF Accuracy Value LookUp'!$D$4:$E$104,2,TRUE))</f>
        <v/>
      </c>
      <c r="AG246" s="47" t="str">
        <f>IF($S246="","",VLOOKUP($S246,'ORF Accuracy Value LookUp'!$G$4:$H$104,2,TRUE))</f>
        <v/>
      </c>
      <c r="AH246" s="110" t="str">
        <f>IF($Z246="","",VLOOKUP($Z246,'ORF Accuracy Value LookUp'!$G$4:$H$104,2,TRUE))</f>
        <v/>
      </c>
    </row>
    <row r="247" spans="1:34">
      <c r="A247" s="10"/>
      <c r="B247" s="9"/>
      <c r="C247" s="9"/>
      <c r="D247" s="9"/>
      <c r="E247" s="10"/>
      <c r="F247" s="11"/>
      <c r="G247" s="15"/>
      <c r="H247" s="81"/>
      <c r="I247" s="24"/>
      <c r="J247" s="24"/>
      <c r="K247" s="74"/>
      <c r="L247" s="74"/>
      <c r="M247" s="76" t="str">
        <f t="shared" si="19"/>
        <v/>
      </c>
      <c r="N247" s="24"/>
      <c r="O247" s="111" t="str">
        <f t="shared" si="18"/>
        <v/>
      </c>
      <c r="P247" s="81"/>
      <c r="Q247" s="74"/>
      <c r="R247" s="74"/>
      <c r="S247" s="78" t="str">
        <f t="shared" si="20"/>
        <v/>
      </c>
      <c r="T247" s="24"/>
      <c r="U247" s="32"/>
      <c r="V247" s="40" t="str">
        <f t="shared" si="22"/>
        <v/>
      </c>
      <c r="W247" s="81"/>
      <c r="X247" s="74"/>
      <c r="Y247" s="74"/>
      <c r="Z247" s="79" t="str">
        <f t="shared" si="21"/>
        <v/>
      </c>
      <c r="AA247" s="24"/>
      <c r="AB247" s="32"/>
      <c r="AC247" s="31" t="str">
        <f t="shared" si="23"/>
        <v/>
      </c>
      <c r="AF247" s="109" t="str">
        <f>IF($M247="","",VLOOKUP($M247,'ORF Accuracy Value LookUp'!$D$4:$E$104,2,TRUE))</f>
        <v/>
      </c>
      <c r="AG247" s="47" t="str">
        <f>IF($S247="","",VLOOKUP($S247,'ORF Accuracy Value LookUp'!$G$4:$H$104,2,TRUE))</f>
        <v/>
      </c>
      <c r="AH247" s="110" t="str">
        <f>IF($Z247="","",VLOOKUP($Z247,'ORF Accuracy Value LookUp'!$G$4:$H$104,2,TRUE))</f>
        <v/>
      </c>
    </row>
    <row r="248" spans="1:34">
      <c r="A248" s="10"/>
      <c r="B248" s="9"/>
      <c r="C248" s="9"/>
      <c r="D248" s="9"/>
      <c r="E248" s="10"/>
      <c r="F248" s="11"/>
      <c r="G248" s="15"/>
      <c r="H248" s="81"/>
      <c r="I248" s="24"/>
      <c r="J248" s="24"/>
      <c r="K248" s="74"/>
      <c r="L248" s="74"/>
      <c r="M248" s="76" t="str">
        <f t="shared" si="19"/>
        <v/>
      </c>
      <c r="N248" s="24"/>
      <c r="O248" s="111" t="str">
        <f t="shared" si="18"/>
        <v/>
      </c>
      <c r="P248" s="81"/>
      <c r="Q248" s="74"/>
      <c r="R248" s="74"/>
      <c r="S248" s="78" t="str">
        <f t="shared" si="20"/>
        <v/>
      </c>
      <c r="T248" s="24"/>
      <c r="U248" s="32"/>
      <c r="V248" s="40" t="str">
        <f t="shared" si="22"/>
        <v/>
      </c>
      <c r="W248" s="81"/>
      <c r="X248" s="74"/>
      <c r="Y248" s="74"/>
      <c r="Z248" s="79" t="str">
        <f t="shared" si="21"/>
        <v/>
      </c>
      <c r="AA248" s="24"/>
      <c r="AB248" s="32"/>
      <c r="AC248" s="31" t="str">
        <f t="shared" si="23"/>
        <v/>
      </c>
      <c r="AF248" s="109" t="str">
        <f>IF($M248="","",VLOOKUP($M248,'ORF Accuracy Value LookUp'!$D$4:$E$104,2,TRUE))</f>
        <v/>
      </c>
      <c r="AG248" s="47" t="str">
        <f>IF($S248="","",VLOOKUP($S248,'ORF Accuracy Value LookUp'!$G$4:$H$104,2,TRUE))</f>
        <v/>
      </c>
      <c r="AH248" s="110" t="str">
        <f>IF($Z248="","",VLOOKUP($Z248,'ORF Accuracy Value LookUp'!$G$4:$H$104,2,TRUE))</f>
        <v/>
      </c>
    </row>
    <row r="249" spans="1:34">
      <c r="A249" s="10"/>
      <c r="B249" s="9"/>
      <c r="C249" s="9"/>
      <c r="D249" s="9"/>
      <c r="E249" s="10"/>
      <c r="F249" s="11"/>
      <c r="G249" s="15"/>
      <c r="H249" s="81"/>
      <c r="I249" s="24"/>
      <c r="J249" s="24"/>
      <c r="K249" s="74"/>
      <c r="L249" s="74"/>
      <c r="M249" s="76" t="str">
        <f t="shared" si="19"/>
        <v/>
      </c>
      <c r="N249" s="24"/>
      <c r="O249" s="111" t="str">
        <f t="shared" si="18"/>
        <v/>
      </c>
      <c r="P249" s="81"/>
      <c r="Q249" s="74"/>
      <c r="R249" s="74"/>
      <c r="S249" s="78" t="str">
        <f t="shared" si="20"/>
        <v/>
      </c>
      <c r="T249" s="24"/>
      <c r="U249" s="32"/>
      <c r="V249" s="40" t="str">
        <f t="shared" si="22"/>
        <v/>
      </c>
      <c r="W249" s="81"/>
      <c r="X249" s="74"/>
      <c r="Y249" s="74"/>
      <c r="Z249" s="79" t="str">
        <f t="shared" si="21"/>
        <v/>
      </c>
      <c r="AA249" s="24"/>
      <c r="AB249" s="32"/>
      <c r="AC249" s="31" t="str">
        <f t="shared" si="23"/>
        <v/>
      </c>
      <c r="AF249" s="109" t="str">
        <f>IF($M249="","",VLOOKUP($M249,'ORF Accuracy Value LookUp'!$D$4:$E$104,2,TRUE))</f>
        <v/>
      </c>
      <c r="AG249" s="47" t="str">
        <f>IF($S249="","",VLOOKUP($S249,'ORF Accuracy Value LookUp'!$G$4:$H$104,2,TRUE))</f>
        <v/>
      </c>
      <c r="AH249" s="110" t="str">
        <f>IF($Z249="","",VLOOKUP($Z249,'ORF Accuracy Value LookUp'!$G$4:$H$104,2,TRUE))</f>
        <v/>
      </c>
    </row>
    <row r="250" spans="1:34">
      <c r="A250" s="10"/>
      <c r="B250" s="9"/>
      <c r="C250" s="9"/>
      <c r="D250" s="9"/>
      <c r="E250" s="10"/>
      <c r="F250" s="11"/>
      <c r="G250" s="15"/>
      <c r="H250" s="81"/>
      <c r="I250" s="24"/>
      <c r="J250" s="24"/>
      <c r="K250" s="74"/>
      <c r="L250" s="74"/>
      <c r="M250" s="76" t="str">
        <f t="shared" si="19"/>
        <v/>
      </c>
      <c r="N250" s="24"/>
      <c r="O250" s="111" t="str">
        <f t="shared" si="18"/>
        <v/>
      </c>
      <c r="P250" s="81"/>
      <c r="Q250" s="74"/>
      <c r="R250" s="74"/>
      <c r="S250" s="78" t="str">
        <f t="shared" si="20"/>
        <v/>
      </c>
      <c r="T250" s="24"/>
      <c r="U250" s="32"/>
      <c r="V250" s="40" t="str">
        <f t="shared" si="22"/>
        <v/>
      </c>
      <c r="W250" s="81"/>
      <c r="X250" s="74"/>
      <c r="Y250" s="74"/>
      <c r="Z250" s="79" t="str">
        <f t="shared" si="21"/>
        <v/>
      </c>
      <c r="AA250" s="24"/>
      <c r="AB250" s="32"/>
      <c r="AC250" s="31" t="str">
        <f t="shared" si="23"/>
        <v/>
      </c>
      <c r="AF250" s="109" t="str">
        <f>IF($M250="","",VLOOKUP($M250,'ORF Accuracy Value LookUp'!$D$4:$E$104,2,TRUE))</f>
        <v/>
      </c>
      <c r="AG250" s="47" t="str">
        <f>IF($S250="","",VLOOKUP($S250,'ORF Accuracy Value LookUp'!$G$4:$H$104,2,TRUE))</f>
        <v/>
      </c>
      <c r="AH250" s="110" t="str">
        <f>IF($Z250="","",VLOOKUP($Z250,'ORF Accuracy Value LookUp'!$G$4:$H$104,2,TRUE))</f>
        <v/>
      </c>
    </row>
    <row r="251" spans="1:34">
      <c r="A251" s="10"/>
      <c r="B251" s="9"/>
      <c r="C251" s="9"/>
      <c r="D251" s="9"/>
      <c r="E251" s="10"/>
      <c r="F251" s="11"/>
      <c r="G251" s="15"/>
      <c r="H251" s="81"/>
      <c r="I251" s="24"/>
      <c r="J251" s="24"/>
      <c r="K251" s="74"/>
      <c r="L251" s="74"/>
      <c r="M251" s="76" t="str">
        <f t="shared" si="19"/>
        <v/>
      </c>
      <c r="N251" s="24"/>
      <c r="O251" s="111" t="str">
        <f t="shared" si="18"/>
        <v/>
      </c>
      <c r="P251" s="81"/>
      <c r="Q251" s="74"/>
      <c r="R251" s="74"/>
      <c r="S251" s="78" t="str">
        <f t="shared" si="20"/>
        <v/>
      </c>
      <c r="T251" s="24"/>
      <c r="U251" s="32"/>
      <c r="V251" s="40" t="str">
        <f t="shared" si="22"/>
        <v/>
      </c>
      <c r="W251" s="81"/>
      <c r="X251" s="74"/>
      <c r="Y251" s="74"/>
      <c r="Z251" s="79" t="str">
        <f t="shared" si="21"/>
        <v/>
      </c>
      <c r="AA251" s="24"/>
      <c r="AB251" s="32"/>
      <c r="AC251" s="31" t="str">
        <f t="shared" si="23"/>
        <v/>
      </c>
      <c r="AF251" s="109" t="str">
        <f>IF($M251="","",VLOOKUP($M251,'ORF Accuracy Value LookUp'!$D$4:$E$104,2,TRUE))</f>
        <v/>
      </c>
      <c r="AG251" s="47" t="str">
        <f>IF($S251="","",VLOOKUP($S251,'ORF Accuracy Value LookUp'!$G$4:$H$104,2,TRUE))</f>
        <v/>
      </c>
      <c r="AH251" s="110" t="str">
        <f>IF($Z251="","",VLOOKUP($Z251,'ORF Accuracy Value LookUp'!$G$4:$H$104,2,TRUE))</f>
        <v/>
      </c>
    </row>
    <row r="252" spans="1:34">
      <c r="A252" s="10"/>
      <c r="B252" s="9"/>
      <c r="C252" s="9"/>
      <c r="D252" s="9"/>
      <c r="E252" s="10"/>
      <c r="F252" s="11"/>
      <c r="G252" s="15"/>
      <c r="H252" s="81"/>
      <c r="I252" s="24"/>
      <c r="J252" s="24"/>
      <c r="K252" s="74"/>
      <c r="L252" s="74"/>
      <c r="M252" s="76" t="str">
        <f t="shared" si="19"/>
        <v/>
      </c>
      <c r="N252" s="24"/>
      <c r="O252" s="111" t="str">
        <f t="shared" si="18"/>
        <v/>
      </c>
      <c r="P252" s="81"/>
      <c r="Q252" s="74"/>
      <c r="R252" s="74"/>
      <c r="S252" s="78" t="str">
        <f t="shared" si="20"/>
        <v/>
      </c>
      <c r="T252" s="24"/>
      <c r="U252" s="32"/>
      <c r="V252" s="40" t="str">
        <f t="shared" si="22"/>
        <v/>
      </c>
      <c r="W252" s="81"/>
      <c r="X252" s="74"/>
      <c r="Y252" s="74"/>
      <c r="Z252" s="79" t="str">
        <f t="shared" si="21"/>
        <v/>
      </c>
      <c r="AA252" s="24"/>
      <c r="AB252" s="32"/>
      <c r="AC252" s="31" t="str">
        <f t="shared" si="23"/>
        <v/>
      </c>
      <c r="AF252" s="109" t="str">
        <f>IF($M252="","",VLOOKUP($M252,'ORF Accuracy Value LookUp'!$D$4:$E$104,2,TRUE))</f>
        <v/>
      </c>
      <c r="AG252" s="47" t="str">
        <f>IF($S252="","",VLOOKUP($S252,'ORF Accuracy Value LookUp'!$G$4:$H$104,2,TRUE))</f>
        <v/>
      </c>
      <c r="AH252" s="110" t="str">
        <f>IF($Z252="","",VLOOKUP($Z252,'ORF Accuracy Value LookUp'!$G$4:$H$104,2,TRUE))</f>
        <v/>
      </c>
    </row>
    <row r="253" spans="1:34">
      <c r="A253" s="10"/>
      <c r="B253" s="9"/>
      <c r="C253" s="9"/>
      <c r="D253" s="9"/>
      <c r="E253" s="10"/>
      <c r="F253" s="11"/>
      <c r="G253" s="15"/>
      <c r="H253" s="81"/>
      <c r="I253" s="24"/>
      <c r="J253" s="24"/>
      <c r="K253" s="74"/>
      <c r="L253" s="74"/>
      <c r="M253" s="76" t="str">
        <f t="shared" si="19"/>
        <v/>
      </c>
      <c r="N253" s="24"/>
      <c r="O253" s="111" t="str">
        <f t="shared" si="18"/>
        <v/>
      </c>
      <c r="P253" s="81"/>
      <c r="Q253" s="74"/>
      <c r="R253" s="74"/>
      <c r="S253" s="78" t="str">
        <f t="shared" si="20"/>
        <v/>
      </c>
      <c r="T253" s="24"/>
      <c r="U253" s="32"/>
      <c r="V253" s="40" t="str">
        <f t="shared" si="22"/>
        <v/>
      </c>
      <c r="W253" s="81"/>
      <c r="X253" s="74"/>
      <c r="Y253" s="74"/>
      <c r="Z253" s="79" t="str">
        <f t="shared" si="21"/>
        <v/>
      </c>
      <c r="AA253" s="24"/>
      <c r="AB253" s="32"/>
      <c r="AC253" s="31" t="str">
        <f t="shared" si="23"/>
        <v/>
      </c>
      <c r="AF253" s="109" t="str">
        <f>IF($M253="","",VLOOKUP($M253,'ORF Accuracy Value LookUp'!$D$4:$E$104,2,TRUE))</f>
        <v/>
      </c>
      <c r="AG253" s="47" t="str">
        <f>IF($S253="","",VLOOKUP($S253,'ORF Accuracy Value LookUp'!$G$4:$H$104,2,TRUE))</f>
        <v/>
      </c>
      <c r="AH253" s="110" t="str">
        <f>IF($Z253="","",VLOOKUP($Z253,'ORF Accuracy Value LookUp'!$G$4:$H$104,2,TRUE))</f>
        <v/>
      </c>
    </row>
    <row r="254" spans="1:34">
      <c r="A254" s="10"/>
      <c r="B254" s="9"/>
      <c r="C254" s="9"/>
      <c r="D254" s="9"/>
      <c r="E254" s="10"/>
      <c r="F254" s="11"/>
      <c r="G254" s="15"/>
      <c r="H254" s="81"/>
      <c r="I254" s="24"/>
      <c r="J254" s="24"/>
      <c r="K254" s="74"/>
      <c r="L254" s="74"/>
      <c r="M254" s="76" t="str">
        <f t="shared" si="19"/>
        <v/>
      </c>
      <c r="N254" s="24"/>
      <c r="O254" s="111" t="str">
        <f t="shared" si="18"/>
        <v/>
      </c>
      <c r="P254" s="81"/>
      <c r="Q254" s="74"/>
      <c r="R254" s="74"/>
      <c r="S254" s="78" t="str">
        <f t="shared" si="20"/>
        <v/>
      </c>
      <c r="T254" s="24"/>
      <c r="U254" s="32"/>
      <c r="V254" s="40" t="str">
        <f t="shared" si="22"/>
        <v/>
      </c>
      <c r="W254" s="81"/>
      <c r="X254" s="74"/>
      <c r="Y254" s="74"/>
      <c r="Z254" s="79" t="str">
        <f t="shared" si="21"/>
        <v/>
      </c>
      <c r="AA254" s="24"/>
      <c r="AB254" s="32"/>
      <c r="AC254" s="31" t="str">
        <f t="shared" si="23"/>
        <v/>
      </c>
      <c r="AF254" s="109" t="str">
        <f>IF($M254="","",VLOOKUP($M254,'ORF Accuracy Value LookUp'!$D$4:$E$104,2,TRUE))</f>
        <v/>
      </c>
      <c r="AG254" s="47" t="str">
        <f>IF($S254="","",VLOOKUP($S254,'ORF Accuracy Value LookUp'!$G$4:$H$104,2,TRUE))</f>
        <v/>
      </c>
      <c r="AH254" s="110" t="str">
        <f>IF($Z254="","",VLOOKUP($Z254,'ORF Accuracy Value LookUp'!$G$4:$H$104,2,TRUE))</f>
        <v/>
      </c>
    </row>
    <row r="255" spans="1:34">
      <c r="A255" s="10"/>
      <c r="B255" s="9"/>
      <c r="C255" s="9"/>
      <c r="D255" s="9"/>
      <c r="E255" s="10"/>
      <c r="F255" s="11"/>
      <c r="G255" s="15"/>
      <c r="H255" s="81"/>
      <c r="I255" s="24"/>
      <c r="J255" s="24"/>
      <c r="K255" s="74"/>
      <c r="L255" s="74"/>
      <c r="M255" s="76" t="str">
        <f t="shared" si="19"/>
        <v/>
      </c>
      <c r="N255" s="24"/>
      <c r="O255" s="111" t="str">
        <f t="shared" si="18"/>
        <v/>
      </c>
      <c r="P255" s="81"/>
      <c r="Q255" s="74"/>
      <c r="R255" s="74"/>
      <c r="S255" s="78" t="str">
        <f t="shared" si="20"/>
        <v/>
      </c>
      <c r="T255" s="24"/>
      <c r="U255" s="32"/>
      <c r="V255" s="40" t="str">
        <f t="shared" si="22"/>
        <v/>
      </c>
      <c r="W255" s="81"/>
      <c r="X255" s="74"/>
      <c r="Y255" s="74"/>
      <c r="Z255" s="79" t="str">
        <f t="shared" si="21"/>
        <v/>
      </c>
      <c r="AA255" s="24"/>
      <c r="AB255" s="32"/>
      <c r="AC255" s="31" t="str">
        <f t="shared" si="23"/>
        <v/>
      </c>
      <c r="AF255" s="109" t="str">
        <f>IF($M255="","",VLOOKUP($M255,'ORF Accuracy Value LookUp'!$D$4:$E$104,2,TRUE))</f>
        <v/>
      </c>
      <c r="AG255" s="47" t="str">
        <f>IF($S255="","",VLOOKUP($S255,'ORF Accuracy Value LookUp'!$G$4:$H$104,2,TRUE))</f>
        <v/>
      </c>
      <c r="AH255" s="110" t="str">
        <f>IF($Z255="","",VLOOKUP($Z255,'ORF Accuracy Value LookUp'!$G$4:$H$104,2,TRUE))</f>
        <v/>
      </c>
    </row>
    <row r="256" spans="1:34">
      <c r="A256" s="10"/>
      <c r="B256" s="9"/>
      <c r="C256" s="9"/>
      <c r="D256" s="9"/>
      <c r="E256" s="10"/>
      <c r="F256" s="11"/>
      <c r="G256" s="15"/>
      <c r="H256" s="81"/>
      <c r="I256" s="24"/>
      <c r="J256" s="24"/>
      <c r="K256" s="74"/>
      <c r="L256" s="74"/>
      <c r="M256" s="76" t="str">
        <f t="shared" si="19"/>
        <v/>
      </c>
      <c r="N256" s="24"/>
      <c r="O256" s="111" t="str">
        <f t="shared" si="18"/>
        <v/>
      </c>
      <c r="P256" s="81"/>
      <c r="Q256" s="74"/>
      <c r="R256" s="74"/>
      <c r="S256" s="78" t="str">
        <f t="shared" si="20"/>
        <v/>
      </c>
      <c r="T256" s="24"/>
      <c r="U256" s="32"/>
      <c r="V256" s="40" t="str">
        <f t="shared" si="22"/>
        <v/>
      </c>
      <c r="W256" s="81"/>
      <c r="X256" s="74"/>
      <c r="Y256" s="74"/>
      <c r="Z256" s="79" t="str">
        <f t="shared" si="21"/>
        <v/>
      </c>
      <c r="AA256" s="24"/>
      <c r="AB256" s="32"/>
      <c r="AC256" s="31" t="str">
        <f t="shared" si="23"/>
        <v/>
      </c>
      <c r="AF256" s="109" t="str">
        <f>IF($M256="","",VLOOKUP($M256,'ORF Accuracy Value LookUp'!$D$4:$E$104,2,TRUE))</f>
        <v/>
      </c>
      <c r="AG256" s="47" t="str">
        <f>IF($S256="","",VLOOKUP($S256,'ORF Accuracy Value LookUp'!$G$4:$H$104,2,TRUE))</f>
        <v/>
      </c>
      <c r="AH256" s="110" t="str">
        <f>IF($Z256="","",VLOOKUP($Z256,'ORF Accuracy Value LookUp'!$G$4:$H$104,2,TRUE))</f>
        <v/>
      </c>
    </row>
    <row r="257" spans="1:34">
      <c r="A257" s="10"/>
      <c r="B257" s="9"/>
      <c r="C257" s="9"/>
      <c r="D257" s="9"/>
      <c r="E257" s="10"/>
      <c r="F257" s="11"/>
      <c r="G257" s="15"/>
      <c r="H257" s="81"/>
      <c r="I257" s="24"/>
      <c r="J257" s="24"/>
      <c r="K257" s="74"/>
      <c r="L257" s="74"/>
      <c r="M257" s="76" t="str">
        <f t="shared" si="19"/>
        <v/>
      </c>
      <c r="N257" s="24"/>
      <c r="O257" s="111" t="str">
        <f t="shared" si="18"/>
        <v/>
      </c>
      <c r="P257" s="81"/>
      <c r="Q257" s="74"/>
      <c r="R257" s="74"/>
      <c r="S257" s="78" t="str">
        <f t="shared" si="20"/>
        <v/>
      </c>
      <c r="T257" s="24"/>
      <c r="U257" s="32"/>
      <c r="V257" s="40" t="str">
        <f t="shared" si="22"/>
        <v/>
      </c>
      <c r="W257" s="81"/>
      <c r="X257" s="74"/>
      <c r="Y257" s="74"/>
      <c r="Z257" s="79" t="str">
        <f t="shared" si="21"/>
        <v/>
      </c>
      <c r="AA257" s="24"/>
      <c r="AB257" s="32"/>
      <c r="AC257" s="31" t="str">
        <f t="shared" si="23"/>
        <v/>
      </c>
      <c r="AF257" s="109" t="str">
        <f>IF($M257="","",VLOOKUP($M257,'ORF Accuracy Value LookUp'!$D$4:$E$104,2,TRUE))</f>
        <v/>
      </c>
      <c r="AG257" s="47" t="str">
        <f>IF($S257="","",VLOOKUP($S257,'ORF Accuracy Value LookUp'!$G$4:$H$104,2,TRUE))</f>
        <v/>
      </c>
      <c r="AH257" s="110" t="str">
        <f>IF($Z257="","",VLOOKUP($Z257,'ORF Accuracy Value LookUp'!$G$4:$H$104,2,TRUE))</f>
        <v/>
      </c>
    </row>
    <row r="258" spans="1:34">
      <c r="A258" s="10"/>
      <c r="B258" s="9"/>
      <c r="C258" s="9"/>
      <c r="D258" s="9"/>
      <c r="E258" s="10"/>
      <c r="F258" s="11"/>
      <c r="G258" s="15"/>
      <c r="H258" s="81"/>
      <c r="I258" s="24"/>
      <c r="J258" s="24"/>
      <c r="K258" s="74"/>
      <c r="L258" s="74"/>
      <c r="M258" s="76" t="str">
        <f t="shared" si="19"/>
        <v/>
      </c>
      <c r="N258" s="24"/>
      <c r="O258" s="111" t="str">
        <f t="shared" si="18"/>
        <v/>
      </c>
      <c r="P258" s="81"/>
      <c r="Q258" s="74"/>
      <c r="R258" s="74"/>
      <c r="S258" s="78" t="str">
        <f t="shared" si="20"/>
        <v/>
      </c>
      <c r="T258" s="24"/>
      <c r="U258" s="32"/>
      <c r="V258" s="40" t="str">
        <f t="shared" si="22"/>
        <v/>
      </c>
      <c r="W258" s="81"/>
      <c r="X258" s="74"/>
      <c r="Y258" s="74"/>
      <c r="Z258" s="79" t="str">
        <f t="shared" si="21"/>
        <v/>
      </c>
      <c r="AA258" s="24"/>
      <c r="AB258" s="32"/>
      <c r="AC258" s="31" t="str">
        <f t="shared" si="23"/>
        <v/>
      </c>
      <c r="AF258" s="109" t="str">
        <f>IF($M258="","",VLOOKUP($M258,'ORF Accuracy Value LookUp'!$D$4:$E$104,2,TRUE))</f>
        <v/>
      </c>
      <c r="AG258" s="47" t="str">
        <f>IF($S258="","",VLOOKUP($S258,'ORF Accuracy Value LookUp'!$G$4:$H$104,2,TRUE))</f>
        <v/>
      </c>
      <c r="AH258" s="110" t="str">
        <f>IF($Z258="","",VLOOKUP($Z258,'ORF Accuracy Value LookUp'!$G$4:$H$104,2,TRUE))</f>
        <v/>
      </c>
    </row>
    <row r="259" spans="1:34">
      <c r="A259" s="10"/>
      <c r="B259" s="9"/>
      <c r="C259" s="9"/>
      <c r="D259" s="9"/>
      <c r="E259" s="10"/>
      <c r="F259" s="11"/>
      <c r="G259" s="15"/>
      <c r="H259" s="81"/>
      <c r="I259" s="24"/>
      <c r="J259" s="24"/>
      <c r="K259" s="74"/>
      <c r="L259" s="74"/>
      <c r="M259" s="76" t="str">
        <f t="shared" si="19"/>
        <v/>
      </c>
      <c r="N259" s="24"/>
      <c r="O259" s="111" t="str">
        <f t="shared" si="18"/>
        <v/>
      </c>
      <c r="P259" s="81"/>
      <c r="Q259" s="74"/>
      <c r="R259" s="74"/>
      <c r="S259" s="78" t="str">
        <f t="shared" si="20"/>
        <v/>
      </c>
      <c r="T259" s="24"/>
      <c r="U259" s="32"/>
      <c r="V259" s="40" t="str">
        <f t="shared" si="22"/>
        <v/>
      </c>
      <c r="W259" s="81"/>
      <c r="X259" s="74"/>
      <c r="Y259" s="74"/>
      <c r="Z259" s="79" t="str">
        <f t="shared" si="21"/>
        <v/>
      </c>
      <c r="AA259" s="24"/>
      <c r="AB259" s="32"/>
      <c r="AC259" s="31" t="str">
        <f t="shared" si="23"/>
        <v/>
      </c>
      <c r="AF259" s="109" t="str">
        <f>IF($M259="","",VLOOKUP($M259,'ORF Accuracy Value LookUp'!$D$4:$E$104,2,TRUE))</f>
        <v/>
      </c>
      <c r="AG259" s="47" t="str">
        <f>IF($S259="","",VLOOKUP($S259,'ORF Accuracy Value LookUp'!$G$4:$H$104,2,TRUE))</f>
        <v/>
      </c>
      <c r="AH259" s="110" t="str">
        <f>IF($Z259="","",VLOOKUP($Z259,'ORF Accuracy Value LookUp'!$G$4:$H$104,2,TRUE))</f>
        <v/>
      </c>
    </row>
    <row r="260" spans="1:34">
      <c r="A260" s="10"/>
      <c r="B260" s="9"/>
      <c r="C260" s="9"/>
      <c r="D260" s="9"/>
      <c r="E260" s="10"/>
      <c r="F260" s="11"/>
      <c r="G260" s="15"/>
      <c r="H260" s="81"/>
      <c r="I260" s="24"/>
      <c r="J260" s="24"/>
      <c r="K260" s="74"/>
      <c r="L260" s="74"/>
      <c r="M260" s="76" t="str">
        <f t="shared" si="19"/>
        <v/>
      </c>
      <c r="N260" s="24"/>
      <c r="O260" s="111" t="str">
        <f t="shared" si="18"/>
        <v/>
      </c>
      <c r="P260" s="81"/>
      <c r="Q260" s="74"/>
      <c r="R260" s="74"/>
      <c r="S260" s="78" t="str">
        <f t="shared" si="20"/>
        <v/>
      </c>
      <c r="T260" s="24"/>
      <c r="U260" s="32"/>
      <c r="V260" s="40" t="str">
        <f t="shared" si="22"/>
        <v/>
      </c>
      <c r="W260" s="81"/>
      <c r="X260" s="74"/>
      <c r="Y260" s="74"/>
      <c r="Z260" s="79" t="str">
        <f t="shared" si="21"/>
        <v/>
      </c>
      <c r="AA260" s="24"/>
      <c r="AB260" s="32"/>
      <c r="AC260" s="31" t="str">
        <f t="shared" si="23"/>
        <v/>
      </c>
      <c r="AF260" s="109" t="str">
        <f>IF($M260="","",VLOOKUP($M260,'ORF Accuracy Value LookUp'!$D$4:$E$104,2,TRUE))</f>
        <v/>
      </c>
      <c r="AG260" s="47" t="str">
        <f>IF($S260="","",VLOOKUP($S260,'ORF Accuracy Value LookUp'!$G$4:$H$104,2,TRUE))</f>
        <v/>
      </c>
      <c r="AH260" s="110" t="str">
        <f>IF($Z260="","",VLOOKUP($Z260,'ORF Accuracy Value LookUp'!$G$4:$H$104,2,TRUE))</f>
        <v/>
      </c>
    </row>
    <row r="261" spans="1:34">
      <c r="A261" s="10"/>
      <c r="B261" s="9"/>
      <c r="C261" s="9"/>
      <c r="D261" s="9"/>
      <c r="E261" s="10"/>
      <c r="F261" s="11"/>
      <c r="G261" s="15"/>
      <c r="H261" s="81"/>
      <c r="I261" s="24"/>
      <c r="J261" s="24"/>
      <c r="K261" s="74"/>
      <c r="L261" s="74"/>
      <c r="M261" s="76" t="str">
        <f t="shared" si="19"/>
        <v/>
      </c>
      <c r="N261" s="24"/>
      <c r="O261" s="111" t="str">
        <f t="shared" si="18"/>
        <v/>
      </c>
      <c r="P261" s="81"/>
      <c r="Q261" s="74"/>
      <c r="R261" s="74"/>
      <c r="S261" s="78" t="str">
        <f t="shared" si="20"/>
        <v/>
      </c>
      <c r="T261" s="24"/>
      <c r="U261" s="32"/>
      <c r="V261" s="40" t="str">
        <f t="shared" si="22"/>
        <v/>
      </c>
      <c r="W261" s="81"/>
      <c r="X261" s="74"/>
      <c r="Y261" s="74"/>
      <c r="Z261" s="79" t="str">
        <f t="shared" si="21"/>
        <v/>
      </c>
      <c r="AA261" s="24"/>
      <c r="AB261" s="32"/>
      <c r="AC261" s="31" t="str">
        <f t="shared" si="23"/>
        <v/>
      </c>
      <c r="AF261" s="109" t="str">
        <f>IF($M261="","",VLOOKUP($M261,'ORF Accuracy Value LookUp'!$D$4:$E$104,2,TRUE))</f>
        <v/>
      </c>
      <c r="AG261" s="47" t="str">
        <f>IF($S261="","",VLOOKUP($S261,'ORF Accuracy Value LookUp'!$G$4:$H$104,2,TRUE))</f>
        <v/>
      </c>
      <c r="AH261" s="110" t="str">
        <f>IF($Z261="","",VLOOKUP($Z261,'ORF Accuracy Value LookUp'!$G$4:$H$104,2,TRUE))</f>
        <v/>
      </c>
    </row>
    <row r="262" spans="1:34">
      <c r="A262" s="10"/>
      <c r="B262" s="9"/>
      <c r="C262" s="9"/>
      <c r="D262" s="9"/>
      <c r="E262" s="10"/>
      <c r="F262" s="11"/>
      <c r="G262" s="15"/>
      <c r="H262" s="81"/>
      <c r="I262" s="24"/>
      <c r="J262" s="24"/>
      <c r="K262" s="74"/>
      <c r="L262" s="74"/>
      <c r="M262" s="76" t="str">
        <f t="shared" si="19"/>
        <v/>
      </c>
      <c r="N262" s="24"/>
      <c r="O262" s="111" t="str">
        <f t="shared" ref="O262:O325" si="24">IF($B262="","",SUM(($J262*2)+$K262+$AF262))</f>
        <v/>
      </c>
      <c r="P262" s="81"/>
      <c r="Q262" s="74"/>
      <c r="R262" s="74"/>
      <c r="S262" s="78" t="str">
        <f t="shared" si="20"/>
        <v/>
      </c>
      <c r="T262" s="24"/>
      <c r="U262" s="32"/>
      <c r="V262" s="40" t="str">
        <f t="shared" si="22"/>
        <v/>
      </c>
      <c r="W262" s="81"/>
      <c r="X262" s="74"/>
      <c r="Y262" s="74"/>
      <c r="Z262" s="79" t="str">
        <f t="shared" si="21"/>
        <v/>
      </c>
      <c r="AA262" s="24"/>
      <c r="AB262" s="32"/>
      <c r="AC262" s="31" t="str">
        <f t="shared" si="23"/>
        <v/>
      </c>
      <c r="AF262" s="109" t="str">
        <f>IF($M262="","",VLOOKUP($M262,'ORF Accuracy Value LookUp'!$D$4:$E$104,2,TRUE))</f>
        <v/>
      </c>
      <c r="AG262" s="47" t="str">
        <f>IF($S262="","",VLOOKUP($S262,'ORF Accuracy Value LookUp'!$G$4:$H$104,2,TRUE))</f>
        <v/>
      </c>
      <c r="AH262" s="110" t="str">
        <f>IF($Z262="","",VLOOKUP($Z262,'ORF Accuracy Value LookUp'!$G$4:$H$104,2,TRUE))</f>
        <v/>
      </c>
    </row>
    <row r="263" spans="1:34">
      <c r="A263" s="10"/>
      <c r="B263" s="9"/>
      <c r="C263" s="9"/>
      <c r="D263" s="9"/>
      <c r="E263" s="10"/>
      <c r="F263" s="11"/>
      <c r="G263" s="15"/>
      <c r="H263" s="81"/>
      <c r="I263" s="24"/>
      <c r="J263" s="24"/>
      <c r="K263" s="74"/>
      <c r="L263" s="74"/>
      <c r="M263" s="76" t="str">
        <f t="shared" ref="M263:M326" si="25">IF($K263="","",SUM($K263/($K263+$L263)))</f>
        <v/>
      </c>
      <c r="N263" s="24"/>
      <c r="O263" s="111" t="str">
        <f t="shared" si="24"/>
        <v/>
      </c>
      <c r="P263" s="81"/>
      <c r="Q263" s="74"/>
      <c r="R263" s="74"/>
      <c r="S263" s="78" t="str">
        <f t="shared" ref="S263:S326" si="26">IF($Q263="","",SUM($Q263/($Q263+$R263)))</f>
        <v/>
      </c>
      <c r="T263" s="24"/>
      <c r="U263" s="32"/>
      <c r="V263" s="40" t="str">
        <f t="shared" si="22"/>
        <v/>
      </c>
      <c r="W263" s="81"/>
      <c r="X263" s="74"/>
      <c r="Y263" s="74"/>
      <c r="Z263" s="79" t="str">
        <f t="shared" ref="Z263:Z326" si="27">IF($X263="","",SUM($X263/($X263+$Y263)))</f>
        <v/>
      </c>
      <c r="AA263" s="24"/>
      <c r="AB263" s="32"/>
      <c r="AC263" s="31" t="str">
        <f t="shared" si="23"/>
        <v/>
      </c>
      <c r="AF263" s="109" t="str">
        <f>IF($M263="","",VLOOKUP($M263,'ORF Accuracy Value LookUp'!$D$4:$E$104,2,TRUE))</f>
        <v/>
      </c>
      <c r="AG263" s="47" t="str">
        <f>IF($S263="","",VLOOKUP($S263,'ORF Accuracy Value LookUp'!$G$4:$H$104,2,TRUE))</f>
        <v/>
      </c>
      <c r="AH263" s="110" t="str">
        <f>IF($Z263="","",VLOOKUP($Z263,'ORF Accuracy Value LookUp'!$G$4:$H$104,2,TRUE))</f>
        <v/>
      </c>
    </row>
    <row r="264" spans="1:34">
      <c r="A264" s="10"/>
      <c r="B264" s="9"/>
      <c r="C264" s="9"/>
      <c r="D264" s="9"/>
      <c r="E264" s="10"/>
      <c r="F264" s="11"/>
      <c r="G264" s="15"/>
      <c r="H264" s="81"/>
      <c r="I264" s="24"/>
      <c r="J264" s="24"/>
      <c r="K264" s="74"/>
      <c r="L264" s="74"/>
      <c r="M264" s="76" t="str">
        <f t="shared" si="25"/>
        <v/>
      </c>
      <c r="N264" s="24"/>
      <c r="O264" s="111" t="str">
        <f t="shared" si="24"/>
        <v/>
      </c>
      <c r="P264" s="81"/>
      <c r="Q264" s="74"/>
      <c r="R264" s="74"/>
      <c r="S264" s="78" t="str">
        <f t="shared" si="26"/>
        <v/>
      </c>
      <c r="T264" s="24"/>
      <c r="U264" s="32"/>
      <c r="V264" s="40" t="str">
        <f t="shared" ref="V264:V327" si="28">IF($P264="","",SUM($Q264+$AG264+($T264*2)))</f>
        <v/>
      </c>
      <c r="W264" s="81"/>
      <c r="X264" s="74"/>
      <c r="Y264" s="74"/>
      <c r="Z264" s="79" t="str">
        <f t="shared" si="27"/>
        <v/>
      </c>
      <c r="AA264" s="24"/>
      <c r="AB264" s="32"/>
      <c r="AC264" s="31" t="str">
        <f t="shared" ref="AC264:AC327" si="29">IF($W264="","",SUM($X264+$AH264+($AA264*2)))</f>
        <v/>
      </c>
      <c r="AF264" s="109" t="str">
        <f>IF($M264="","",VLOOKUP($M264,'ORF Accuracy Value LookUp'!$D$4:$E$104,2,TRUE))</f>
        <v/>
      </c>
      <c r="AG264" s="47" t="str">
        <f>IF($S264="","",VLOOKUP($S264,'ORF Accuracy Value LookUp'!$G$4:$H$104,2,TRUE))</f>
        <v/>
      </c>
      <c r="AH264" s="110" t="str">
        <f>IF($Z264="","",VLOOKUP($Z264,'ORF Accuracy Value LookUp'!$G$4:$H$104,2,TRUE))</f>
        <v/>
      </c>
    </row>
    <row r="265" spans="1:34">
      <c r="A265" s="10"/>
      <c r="B265" s="9"/>
      <c r="C265" s="9"/>
      <c r="D265" s="9"/>
      <c r="E265" s="10"/>
      <c r="F265" s="11"/>
      <c r="G265" s="15"/>
      <c r="H265" s="81"/>
      <c r="I265" s="24"/>
      <c r="J265" s="24"/>
      <c r="K265" s="74"/>
      <c r="L265" s="74"/>
      <c r="M265" s="76" t="str">
        <f t="shared" si="25"/>
        <v/>
      </c>
      <c r="N265" s="24"/>
      <c r="O265" s="111" t="str">
        <f t="shared" si="24"/>
        <v/>
      </c>
      <c r="P265" s="81"/>
      <c r="Q265" s="74"/>
      <c r="R265" s="74"/>
      <c r="S265" s="78" t="str">
        <f t="shared" si="26"/>
        <v/>
      </c>
      <c r="T265" s="24"/>
      <c r="U265" s="32"/>
      <c r="V265" s="40" t="str">
        <f t="shared" si="28"/>
        <v/>
      </c>
      <c r="W265" s="81"/>
      <c r="X265" s="74"/>
      <c r="Y265" s="74"/>
      <c r="Z265" s="79" t="str">
        <f t="shared" si="27"/>
        <v/>
      </c>
      <c r="AA265" s="24"/>
      <c r="AB265" s="32"/>
      <c r="AC265" s="31" t="str">
        <f t="shared" si="29"/>
        <v/>
      </c>
      <c r="AF265" s="109" t="str">
        <f>IF($M265="","",VLOOKUP($M265,'ORF Accuracy Value LookUp'!$D$4:$E$104,2,TRUE))</f>
        <v/>
      </c>
      <c r="AG265" s="47" t="str">
        <f>IF($S265="","",VLOOKUP($S265,'ORF Accuracy Value LookUp'!$G$4:$H$104,2,TRUE))</f>
        <v/>
      </c>
      <c r="AH265" s="110" t="str">
        <f>IF($Z265="","",VLOOKUP($Z265,'ORF Accuracy Value LookUp'!$G$4:$H$104,2,TRUE))</f>
        <v/>
      </c>
    </row>
    <row r="266" spans="1:34">
      <c r="A266" s="10"/>
      <c r="B266" s="9"/>
      <c r="C266" s="9"/>
      <c r="D266" s="9"/>
      <c r="E266" s="10"/>
      <c r="F266" s="11"/>
      <c r="G266" s="15"/>
      <c r="H266" s="81"/>
      <c r="I266" s="24"/>
      <c r="J266" s="24"/>
      <c r="K266" s="74"/>
      <c r="L266" s="74"/>
      <c r="M266" s="76" t="str">
        <f t="shared" si="25"/>
        <v/>
      </c>
      <c r="N266" s="24"/>
      <c r="O266" s="111" t="str">
        <f t="shared" si="24"/>
        <v/>
      </c>
      <c r="P266" s="81"/>
      <c r="Q266" s="74"/>
      <c r="R266" s="74"/>
      <c r="S266" s="78" t="str">
        <f t="shared" si="26"/>
        <v/>
      </c>
      <c r="T266" s="24"/>
      <c r="U266" s="32"/>
      <c r="V266" s="40" t="str">
        <f t="shared" si="28"/>
        <v/>
      </c>
      <c r="W266" s="81"/>
      <c r="X266" s="74"/>
      <c r="Y266" s="74"/>
      <c r="Z266" s="79" t="str">
        <f t="shared" si="27"/>
        <v/>
      </c>
      <c r="AA266" s="24"/>
      <c r="AB266" s="32"/>
      <c r="AC266" s="31" t="str">
        <f t="shared" si="29"/>
        <v/>
      </c>
      <c r="AF266" s="109" t="str">
        <f>IF($M266="","",VLOOKUP($M266,'ORF Accuracy Value LookUp'!$D$4:$E$104,2,TRUE))</f>
        <v/>
      </c>
      <c r="AG266" s="47" t="str">
        <f>IF($S266="","",VLOOKUP($S266,'ORF Accuracy Value LookUp'!$G$4:$H$104,2,TRUE))</f>
        <v/>
      </c>
      <c r="AH266" s="110" t="str">
        <f>IF($Z266="","",VLOOKUP($Z266,'ORF Accuracy Value LookUp'!$G$4:$H$104,2,TRUE))</f>
        <v/>
      </c>
    </row>
    <row r="267" spans="1:34">
      <c r="A267" s="10"/>
      <c r="B267" s="9"/>
      <c r="C267" s="9"/>
      <c r="D267" s="9"/>
      <c r="E267" s="10"/>
      <c r="F267" s="11"/>
      <c r="G267" s="15"/>
      <c r="H267" s="81"/>
      <c r="I267" s="24"/>
      <c r="J267" s="24"/>
      <c r="K267" s="74"/>
      <c r="L267" s="74"/>
      <c r="M267" s="76" t="str">
        <f t="shared" si="25"/>
        <v/>
      </c>
      <c r="N267" s="24"/>
      <c r="O267" s="111" t="str">
        <f t="shared" si="24"/>
        <v/>
      </c>
      <c r="P267" s="81"/>
      <c r="Q267" s="74"/>
      <c r="R267" s="74"/>
      <c r="S267" s="78" t="str">
        <f t="shared" si="26"/>
        <v/>
      </c>
      <c r="T267" s="24"/>
      <c r="U267" s="32"/>
      <c r="V267" s="40" t="str">
        <f t="shared" si="28"/>
        <v/>
      </c>
      <c r="W267" s="81"/>
      <c r="X267" s="74"/>
      <c r="Y267" s="74"/>
      <c r="Z267" s="79" t="str">
        <f t="shared" si="27"/>
        <v/>
      </c>
      <c r="AA267" s="24"/>
      <c r="AB267" s="32"/>
      <c r="AC267" s="31" t="str">
        <f t="shared" si="29"/>
        <v/>
      </c>
      <c r="AF267" s="109" t="str">
        <f>IF($M267="","",VLOOKUP($M267,'ORF Accuracy Value LookUp'!$D$4:$E$104,2,TRUE))</f>
        <v/>
      </c>
      <c r="AG267" s="47" t="str">
        <f>IF($S267="","",VLOOKUP($S267,'ORF Accuracy Value LookUp'!$G$4:$H$104,2,TRUE))</f>
        <v/>
      </c>
      <c r="AH267" s="110" t="str">
        <f>IF($Z267="","",VLOOKUP($Z267,'ORF Accuracy Value LookUp'!$G$4:$H$104,2,TRUE))</f>
        <v/>
      </c>
    </row>
    <row r="268" spans="1:34">
      <c r="A268" s="10"/>
      <c r="B268" s="9"/>
      <c r="C268" s="9"/>
      <c r="D268" s="9"/>
      <c r="E268" s="10"/>
      <c r="F268" s="11"/>
      <c r="G268" s="15"/>
      <c r="H268" s="81"/>
      <c r="I268" s="24"/>
      <c r="J268" s="24"/>
      <c r="K268" s="74"/>
      <c r="L268" s="74"/>
      <c r="M268" s="76" t="str">
        <f t="shared" si="25"/>
        <v/>
      </c>
      <c r="N268" s="24"/>
      <c r="O268" s="111" t="str">
        <f t="shared" si="24"/>
        <v/>
      </c>
      <c r="P268" s="81"/>
      <c r="Q268" s="74"/>
      <c r="R268" s="74"/>
      <c r="S268" s="78" t="str">
        <f t="shared" si="26"/>
        <v/>
      </c>
      <c r="T268" s="24"/>
      <c r="U268" s="32"/>
      <c r="V268" s="40" t="str">
        <f t="shared" si="28"/>
        <v/>
      </c>
      <c r="W268" s="81"/>
      <c r="X268" s="74"/>
      <c r="Y268" s="74"/>
      <c r="Z268" s="79" t="str">
        <f t="shared" si="27"/>
        <v/>
      </c>
      <c r="AA268" s="24"/>
      <c r="AB268" s="32"/>
      <c r="AC268" s="31" t="str">
        <f t="shared" si="29"/>
        <v/>
      </c>
      <c r="AF268" s="109" t="str">
        <f>IF($M268="","",VLOOKUP($M268,'ORF Accuracy Value LookUp'!$D$4:$E$104,2,TRUE))</f>
        <v/>
      </c>
      <c r="AG268" s="47" t="str">
        <f>IF($S268="","",VLOOKUP($S268,'ORF Accuracy Value LookUp'!$G$4:$H$104,2,TRUE))</f>
        <v/>
      </c>
      <c r="AH268" s="110" t="str">
        <f>IF($Z268="","",VLOOKUP($Z268,'ORF Accuracy Value LookUp'!$G$4:$H$104,2,TRUE))</f>
        <v/>
      </c>
    </row>
    <row r="269" spans="1:34">
      <c r="A269" s="10"/>
      <c r="B269" s="9"/>
      <c r="C269" s="9"/>
      <c r="D269" s="9"/>
      <c r="E269" s="10"/>
      <c r="F269" s="11"/>
      <c r="G269" s="15"/>
      <c r="H269" s="81"/>
      <c r="I269" s="24"/>
      <c r="J269" s="24"/>
      <c r="K269" s="74"/>
      <c r="L269" s="74"/>
      <c r="M269" s="76" t="str">
        <f t="shared" si="25"/>
        <v/>
      </c>
      <c r="N269" s="24"/>
      <c r="O269" s="111" t="str">
        <f t="shared" si="24"/>
        <v/>
      </c>
      <c r="P269" s="81"/>
      <c r="Q269" s="74"/>
      <c r="R269" s="74"/>
      <c r="S269" s="78" t="str">
        <f t="shared" si="26"/>
        <v/>
      </c>
      <c r="T269" s="24"/>
      <c r="U269" s="32"/>
      <c r="V269" s="40" t="str">
        <f t="shared" si="28"/>
        <v/>
      </c>
      <c r="W269" s="81"/>
      <c r="X269" s="74"/>
      <c r="Y269" s="74"/>
      <c r="Z269" s="79" t="str">
        <f t="shared" si="27"/>
        <v/>
      </c>
      <c r="AA269" s="24"/>
      <c r="AB269" s="32"/>
      <c r="AC269" s="31" t="str">
        <f t="shared" si="29"/>
        <v/>
      </c>
      <c r="AF269" s="109" t="str">
        <f>IF($M269="","",VLOOKUP($M269,'ORF Accuracy Value LookUp'!$D$4:$E$104,2,TRUE))</f>
        <v/>
      </c>
      <c r="AG269" s="47" t="str">
        <f>IF($S269="","",VLOOKUP($S269,'ORF Accuracy Value LookUp'!$G$4:$H$104,2,TRUE))</f>
        <v/>
      </c>
      <c r="AH269" s="110" t="str">
        <f>IF($Z269="","",VLOOKUP($Z269,'ORF Accuracy Value LookUp'!$G$4:$H$104,2,TRUE))</f>
        <v/>
      </c>
    </row>
    <row r="270" spans="1:34">
      <c r="A270" s="10"/>
      <c r="B270" s="9"/>
      <c r="C270" s="9"/>
      <c r="D270" s="9"/>
      <c r="E270" s="10"/>
      <c r="F270" s="11"/>
      <c r="G270" s="15"/>
      <c r="H270" s="81"/>
      <c r="I270" s="24"/>
      <c r="J270" s="24"/>
      <c r="K270" s="74"/>
      <c r="L270" s="74"/>
      <c r="M270" s="76" t="str">
        <f t="shared" si="25"/>
        <v/>
      </c>
      <c r="N270" s="24"/>
      <c r="O270" s="111" t="str">
        <f t="shared" si="24"/>
        <v/>
      </c>
      <c r="P270" s="81"/>
      <c r="Q270" s="74"/>
      <c r="R270" s="74"/>
      <c r="S270" s="78" t="str">
        <f t="shared" si="26"/>
        <v/>
      </c>
      <c r="T270" s="24"/>
      <c r="U270" s="32"/>
      <c r="V270" s="40" t="str">
        <f t="shared" si="28"/>
        <v/>
      </c>
      <c r="W270" s="81"/>
      <c r="X270" s="74"/>
      <c r="Y270" s="74"/>
      <c r="Z270" s="79" t="str">
        <f t="shared" si="27"/>
        <v/>
      </c>
      <c r="AA270" s="24"/>
      <c r="AB270" s="32"/>
      <c r="AC270" s="31" t="str">
        <f t="shared" si="29"/>
        <v/>
      </c>
      <c r="AF270" s="109" t="str">
        <f>IF($M270="","",VLOOKUP($M270,'ORF Accuracy Value LookUp'!$D$4:$E$104,2,TRUE))</f>
        <v/>
      </c>
      <c r="AG270" s="47" t="str">
        <f>IF($S270="","",VLOOKUP($S270,'ORF Accuracy Value LookUp'!$G$4:$H$104,2,TRUE))</f>
        <v/>
      </c>
      <c r="AH270" s="110" t="str">
        <f>IF($Z270="","",VLOOKUP($Z270,'ORF Accuracy Value LookUp'!$G$4:$H$104,2,TRUE))</f>
        <v/>
      </c>
    </row>
    <row r="271" spans="1:34">
      <c r="A271" s="10"/>
      <c r="B271" s="9"/>
      <c r="C271" s="9"/>
      <c r="D271" s="9"/>
      <c r="E271" s="10"/>
      <c r="F271" s="11"/>
      <c r="G271" s="15"/>
      <c r="H271" s="81"/>
      <c r="I271" s="24"/>
      <c r="J271" s="24"/>
      <c r="K271" s="74"/>
      <c r="L271" s="74"/>
      <c r="M271" s="76" t="str">
        <f t="shared" si="25"/>
        <v/>
      </c>
      <c r="N271" s="24"/>
      <c r="O271" s="111" t="str">
        <f t="shared" si="24"/>
        <v/>
      </c>
      <c r="P271" s="81"/>
      <c r="Q271" s="74"/>
      <c r="R271" s="74"/>
      <c r="S271" s="78" t="str">
        <f t="shared" si="26"/>
        <v/>
      </c>
      <c r="T271" s="24"/>
      <c r="U271" s="32"/>
      <c r="V271" s="40" t="str">
        <f t="shared" si="28"/>
        <v/>
      </c>
      <c r="W271" s="81"/>
      <c r="X271" s="74"/>
      <c r="Y271" s="74"/>
      <c r="Z271" s="79" t="str">
        <f t="shared" si="27"/>
        <v/>
      </c>
      <c r="AA271" s="24"/>
      <c r="AB271" s="32"/>
      <c r="AC271" s="31" t="str">
        <f t="shared" si="29"/>
        <v/>
      </c>
      <c r="AF271" s="109" t="str">
        <f>IF($M271="","",VLOOKUP($M271,'ORF Accuracy Value LookUp'!$D$4:$E$104,2,TRUE))</f>
        <v/>
      </c>
      <c r="AG271" s="47" t="str">
        <f>IF($S271="","",VLOOKUP($S271,'ORF Accuracy Value LookUp'!$G$4:$H$104,2,TRUE))</f>
        <v/>
      </c>
      <c r="AH271" s="110" t="str">
        <f>IF($Z271="","",VLOOKUP($Z271,'ORF Accuracy Value LookUp'!$G$4:$H$104,2,TRUE))</f>
        <v/>
      </c>
    </row>
    <row r="272" spans="1:34">
      <c r="A272" s="10"/>
      <c r="B272" s="9"/>
      <c r="C272" s="9"/>
      <c r="D272" s="9"/>
      <c r="E272" s="10"/>
      <c r="F272" s="11"/>
      <c r="G272" s="15"/>
      <c r="H272" s="81"/>
      <c r="I272" s="24"/>
      <c r="J272" s="24"/>
      <c r="K272" s="74"/>
      <c r="L272" s="74"/>
      <c r="M272" s="76" t="str">
        <f t="shared" si="25"/>
        <v/>
      </c>
      <c r="N272" s="24"/>
      <c r="O272" s="111" t="str">
        <f t="shared" si="24"/>
        <v/>
      </c>
      <c r="P272" s="81"/>
      <c r="Q272" s="74"/>
      <c r="R272" s="74"/>
      <c r="S272" s="78" t="str">
        <f t="shared" si="26"/>
        <v/>
      </c>
      <c r="T272" s="24"/>
      <c r="U272" s="32"/>
      <c r="V272" s="40" t="str">
        <f t="shared" si="28"/>
        <v/>
      </c>
      <c r="W272" s="81"/>
      <c r="X272" s="74"/>
      <c r="Y272" s="74"/>
      <c r="Z272" s="79" t="str">
        <f t="shared" si="27"/>
        <v/>
      </c>
      <c r="AA272" s="24"/>
      <c r="AB272" s="32"/>
      <c r="AC272" s="31" t="str">
        <f t="shared" si="29"/>
        <v/>
      </c>
      <c r="AF272" s="109" t="str">
        <f>IF($M272="","",VLOOKUP($M272,'ORF Accuracy Value LookUp'!$D$4:$E$104,2,TRUE))</f>
        <v/>
      </c>
      <c r="AG272" s="47" t="str">
        <f>IF($S272="","",VLOOKUP($S272,'ORF Accuracy Value LookUp'!$G$4:$H$104,2,TRUE))</f>
        <v/>
      </c>
      <c r="AH272" s="110" t="str">
        <f>IF($Z272="","",VLOOKUP($Z272,'ORF Accuracy Value LookUp'!$G$4:$H$104,2,TRUE))</f>
        <v/>
      </c>
    </row>
    <row r="273" spans="1:34">
      <c r="A273" s="10"/>
      <c r="B273" s="9"/>
      <c r="C273" s="9"/>
      <c r="D273" s="9"/>
      <c r="E273" s="10"/>
      <c r="F273" s="11"/>
      <c r="G273" s="15"/>
      <c r="H273" s="81"/>
      <c r="I273" s="24"/>
      <c r="J273" s="24"/>
      <c r="K273" s="74"/>
      <c r="L273" s="74"/>
      <c r="M273" s="76" t="str">
        <f t="shared" si="25"/>
        <v/>
      </c>
      <c r="N273" s="24"/>
      <c r="O273" s="111" t="str">
        <f t="shared" si="24"/>
        <v/>
      </c>
      <c r="P273" s="81"/>
      <c r="Q273" s="74"/>
      <c r="R273" s="74"/>
      <c r="S273" s="78" t="str">
        <f t="shared" si="26"/>
        <v/>
      </c>
      <c r="T273" s="24"/>
      <c r="U273" s="32"/>
      <c r="V273" s="40" t="str">
        <f t="shared" si="28"/>
        <v/>
      </c>
      <c r="W273" s="81"/>
      <c r="X273" s="74"/>
      <c r="Y273" s="74"/>
      <c r="Z273" s="79" t="str">
        <f t="shared" si="27"/>
        <v/>
      </c>
      <c r="AA273" s="24"/>
      <c r="AB273" s="32"/>
      <c r="AC273" s="31" t="str">
        <f t="shared" si="29"/>
        <v/>
      </c>
      <c r="AF273" s="109" t="str">
        <f>IF($M273="","",VLOOKUP($M273,'ORF Accuracy Value LookUp'!$D$4:$E$104,2,TRUE))</f>
        <v/>
      </c>
      <c r="AG273" s="47" t="str">
        <f>IF($S273="","",VLOOKUP($S273,'ORF Accuracy Value LookUp'!$G$4:$H$104,2,TRUE))</f>
        <v/>
      </c>
      <c r="AH273" s="110" t="str">
        <f>IF($Z273="","",VLOOKUP($Z273,'ORF Accuracy Value LookUp'!$G$4:$H$104,2,TRUE))</f>
        <v/>
      </c>
    </row>
    <row r="274" spans="1:34">
      <c r="A274" s="10"/>
      <c r="B274" s="9"/>
      <c r="C274" s="9"/>
      <c r="D274" s="9"/>
      <c r="E274" s="10"/>
      <c r="F274" s="11"/>
      <c r="G274" s="15"/>
      <c r="H274" s="81"/>
      <c r="I274" s="24"/>
      <c r="J274" s="24"/>
      <c r="K274" s="74"/>
      <c r="L274" s="74"/>
      <c r="M274" s="76" t="str">
        <f t="shared" si="25"/>
        <v/>
      </c>
      <c r="N274" s="24"/>
      <c r="O274" s="111" t="str">
        <f t="shared" si="24"/>
        <v/>
      </c>
      <c r="P274" s="81"/>
      <c r="Q274" s="74"/>
      <c r="R274" s="74"/>
      <c r="S274" s="78" t="str">
        <f t="shared" si="26"/>
        <v/>
      </c>
      <c r="T274" s="24"/>
      <c r="U274" s="32"/>
      <c r="V274" s="40" t="str">
        <f t="shared" si="28"/>
        <v/>
      </c>
      <c r="W274" s="81"/>
      <c r="X274" s="74"/>
      <c r="Y274" s="74"/>
      <c r="Z274" s="79" t="str">
        <f t="shared" si="27"/>
        <v/>
      </c>
      <c r="AA274" s="24"/>
      <c r="AB274" s="32"/>
      <c r="AC274" s="31" t="str">
        <f t="shared" si="29"/>
        <v/>
      </c>
      <c r="AF274" s="109" t="str">
        <f>IF($M274="","",VLOOKUP($M274,'ORF Accuracy Value LookUp'!$D$4:$E$104,2,TRUE))</f>
        <v/>
      </c>
      <c r="AG274" s="47" t="str">
        <f>IF($S274="","",VLOOKUP($S274,'ORF Accuracy Value LookUp'!$G$4:$H$104,2,TRUE))</f>
        <v/>
      </c>
      <c r="AH274" s="110" t="str">
        <f>IF($Z274="","",VLOOKUP($Z274,'ORF Accuracy Value LookUp'!$G$4:$H$104,2,TRUE))</f>
        <v/>
      </c>
    </row>
    <row r="275" spans="1:34">
      <c r="A275" s="10"/>
      <c r="B275" s="9"/>
      <c r="C275" s="9"/>
      <c r="D275" s="9"/>
      <c r="E275" s="10"/>
      <c r="F275" s="11"/>
      <c r="G275" s="15"/>
      <c r="H275" s="81"/>
      <c r="I275" s="24"/>
      <c r="J275" s="24"/>
      <c r="K275" s="74"/>
      <c r="L275" s="74"/>
      <c r="M275" s="76" t="str">
        <f t="shared" si="25"/>
        <v/>
      </c>
      <c r="N275" s="24"/>
      <c r="O275" s="111" t="str">
        <f t="shared" si="24"/>
        <v/>
      </c>
      <c r="P275" s="81"/>
      <c r="Q275" s="74"/>
      <c r="R275" s="74"/>
      <c r="S275" s="78" t="str">
        <f t="shared" si="26"/>
        <v/>
      </c>
      <c r="T275" s="24"/>
      <c r="U275" s="32"/>
      <c r="V275" s="40" t="str">
        <f t="shared" si="28"/>
        <v/>
      </c>
      <c r="W275" s="81"/>
      <c r="X275" s="74"/>
      <c r="Y275" s="74"/>
      <c r="Z275" s="79" t="str">
        <f t="shared" si="27"/>
        <v/>
      </c>
      <c r="AA275" s="24"/>
      <c r="AB275" s="32"/>
      <c r="AC275" s="31" t="str">
        <f t="shared" si="29"/>
        <v/>
      </c>
      <c r="AF275" s="109" t="str">
        <f>IF($M275="","",VLOOKUP($M275,'ORF Accuracy Value LookUp'!$D$4:$E$104,2,TRUE))</f>
        <v/>
      </c>
      <c r="AG275" s="47" t="str">
        <f>IF($S275="","",VLOOKUP($S275,'ORF Accuracy Value LookUp'!$G$4:$H$104,2,TRUE))</f>
        <v/>
      </c>
      <c r="AH275" s="110" t="str">
        <f>IF($Z275="","",VLOOKUP($Z275,'ORF Accuracy Value LookUp'!$G$4:$H$104,2,TRUE))</f>
        <v/>
      </c>
    </row>
    <row r="276" spans="1:34">
      <c r="A276" s="10"/>
      <c r="B276" s="9"/>
      <c r="C276" s="9"/>
      <c r="D276" s="9"/>
      <c r="E276" s="10"/>
      <c r="F276" s="11"/>
      <c r="G276" s="15"/>
      <c r="H276" s="81"/>
      <c r="I276" s="24"/>
      <c r="J276" s="24"/>
      <c r="K276" s="74"/>
      <c r="L276" s="74"/>
      <c r="M276" s="76" t="str">
        <f t="shared" si="25"/>
        <v/>
      </c>
      <c r="N276" s="24"/>
      <c r="O276" s="111" t="str">
        <f t="shared" si="24"/>
        <v/>
      </c>
      <c r="P276" s="81"/>
      <c r="Q276" s="74"/>
      <c r="R276" s="74"/>
      <c r="S276" s="78" t="str">
        <f t="shared" si="26"/>
        <v/>
      </c>
      <c r="T276" s="24"/>
      <c r="U276" s="32"/>
      <c r="V276" s="40" t="str">
        <f t="shared" si="28"/>
        <v/>
      </c>
      <c r="W276" s="81"/>
      <c r="X276" s="74"/>
      <c r="Y276" s="74"/>
      <c r="Z276" s="79" t="str">
        <f t="shared" si="27"/>
        <v/>
      </c>
      <c r="AA276" s="24"/>
      <c r="AB276" s="32"/>
      <c r="AC276" s="31" t="str">
        <f t="shared" si="29"/>
        <v/>
      </c>
      <c r="AF276" s="109" t="str">
        <f>IF($M276="","",VLOOKUP($M276,'ORF Accuracy Value LookUp'!$D$4:$E$104,2,TRUE))</f>
        <v/>
      </c>
      <c r="AG276" s="47" t="str">
        <f>IF($S276="","",VLOOKUP($S276,'ORF Accuracy Value LookUp'!$G$4:$H$104,2,TRUE))</f>
        <v/>
      </c>
      <c r="AH276" s="110" t="str">
        <f>IF($Z276="","",VLOOKUP($Z276,'ORF Accuracy Value LookUp'!$G$4:$H$104,2,TRUE))</f>
        <v/>
      </c>
    </row>
    <row r="277" spans="1:34">
      <c r="A277" s="10"/>
      <c r="B277" s="9"/>
      <c r="C277" s="9"/>
      <c r="D277" s="9"/>
      <c r="E277" s="10"/>
      <c r="F277" s="11"/>
      <c r="G277" s="15"/>
      <c r="H277" s="81"/>
      <c r="I277" s="24"/>
      <c r="J277" s="24"/>
      <c r="K277" s="74"/>
      <c r="L277" s="74"/>
      <c r="M277" s="76" t="str">
        <f t="shared" si="25"/>
        <v/>
      </c>
      <c r="N277" s="24"/>
      <c r="O277" s="111" t="str">
        <f t="shared" si="24"/>
        <v/>
      </c>
      <c r="P277" s="81"/>
      <c r="Q277" s="74"/>
      <c r="R277" s="74"/>
      <c r="S277" s="78" t="str">
        <f t="shared" si="26"/>
        <v/>
      </c>
      <c r="T277" s="24"/>
      <c r="U277" s="32"/>
      <c r="V277" s="40" t="str">
        <f t="shared" si="28"/>
        <v/>
      </c>
      <c r="W277" s="81"/>
      <c r="X277" s="74"/>
      <c r="Y277" s="74"/>
      <c r="Z277" s="79" t="str">
        <f t="shared" si="27"/>
        <v/>
      </c>
      <c r="AA277" s="24"/>
      <c r="AB277" s="32"/>
      <c r="AC277" s="31" t="str">
        <f t="shared" si="29"/>
        <v/>
      </c>
      <c r="AF277" s="109" t="str">
        <f>IF($M277="","",VLOOKUP($M277,'ORF Accuracy Value LookUp'!$D$4:$E$104,2,TRUE))</f>
        <v/>
      </c>
      <c r="AG277" s="47" t="str">
        <f>IF($S277="","",VLOOKUP($S277,'ORF Accuracy Value LookUp'!$G$4:$H$104,2,TRUE))</f>
        <v/>
      </c>
      <c r="AH277" s="110" t="str">
        <f>IF($Z277="","",VLOOKUP($Z277,'ORF Accuracy Value LookUp'!$G$4:$H$104,2,TRUE))</f>
        <v/>
      </c>
    </row>
    <row r="278" spans="1:34">
      <c r="A278" s="10"/>
      <c r="B278" s="9"/>
      <c r="C278" s="9"/>
      <c r="D278" s="9"/>
      <c r="E278" s="10"/>
      <c r="F278" s="11"/>
      <c r="G278" s="15"/>
      <c r="H278" s="81"/>
      <c r="I278" s="24"/>
      <c r="J278" s="24"/>
      <c r="K278" s="74"/>
      <c r="L278" s="74"/>
      <c r="M278" s="76" t="str">
        <f t="shared" si="25"/>
        <v/>
      </c>
      <c r="N278" s="24"/>
      <c r="O278" s="111" t="str">
        <f t="shared" si="24"/>
        <v/>
      </c>
      <c r="P278" s="81"/>
      <c r="Q278" s="74"/>
      <c r="R278" s="74"/>
      <c r="S278" s="78" t="str">
        <f t="shared" si="26"/>
        <v/>
      </c>
      <c r="T278" s="24"/>
      <c r="U278" s="32"/>
      <c r="V278" s="40" t="str">
        <f t="shared" si="28"/>
        <v/>
      </c>
      <c r="W278" s="81"/>
      <c r="X278" s="74"/>
      <c r="Y278" s="74"/>
      <c r="Z278" s="79" t="str">
        <f t="shared" si="27"/>
        <v/>
      </c>
      <c r="AA278" s="24"/>
      <c r="AB278" s="32"/>
      <c r="AC278" s="31" t="str">
        <f t="shared" si="29"/>
        <v/>
      </c>
      <c r="AF278" s="109" t="str">
        <f>IF($M278="","",VLOOKUP($M278,'ORF Accuracy Value LookUp'!$D$4:$E$104,2,TRUE))</f>
        <v/>
      </c>
      <c r="AG278" s="47" t="str">
        <f>IF($S278="","",VLOOKUP($S278,'ORF Accuracy Value LookUp'!$G$4:$H$104,2,TRUE))</f>
        <v/>
      </c>
      <c r="AH278" s="110" t="str">
        <f>IF($Z278="","",VLOOKUP($Z278,'ORF Accuracy Value LookUp'!$G$4:$H$104,2,TRUE))</f>
        <v/>
      </c>
    </row>
    <row r="279" spans="1:34">
      <c r="A279" s="10"/>
      <c r="B279" s="9"/>
      <c r="C279" s="9"/>
      <c r="D279" s="9"/>
      <c r="E279" s="10"/>
      <c r="F279" s="11"/>
      <c r="G279" s="15"/>
      <c r="H279" s="81"/>
      <c r="I279" s="24"/>
      <c r="J279" s="24"/>
      <c r="K279" s="74"/>
      <c r="L279" s="74"/>
      <c r="M279" s="76" t="str">
        <f t="shared" si="25"/>
        <v/>
      </c>
      <c r="N279" s="24"/>
      <c r="O279" s="111" t="str">
        <f t="shared" si="24"/>
        <v/>
      </c>
      <c r="P279" s="81"/>
      <c r="Q279" s="74"/>
      <c r="R279" s="74"/>
      <c r="S279" s="78" t="str">
        <f t="shared" si="26"/>
        <v/>
      </c>
      <c r="T279" s="24"/>
      <c r="U279" s="32"/>
      <c r="V279" s="40" t="str">
        <f t="shared" si="28"/>
        <v/>
      </c>
      <c r="W279" s="81"/>
      <c r="X279" s="74"/>
      <c r="Y279" s="74"/>
      <c r="Z279" s="79" t="str">
        <f t="shared" si="27"/>
        <v/>
      </c>
      <c r="AA279" s="24"/>
      <c r="AB279" s="32"/>
      <c r="AC279" s="31" t="str">
        <f t="shared" si="29"/>
        <v/>
      </c>
      <c r="AF279" s="109" t="str">
        <f>IF($M279="","",VLOOKUP($M279,'ORF Accuracy Value LookUp'!$D$4:$E$104,2,TRUE))</f>
        <v/>
      </c>
      <c r="AG279" s="47" t="str">
        <f>IF($S279="","",VLOOKUP($S279,'ORF Accuracy Value LookUp'!$G$4:$H$104,2,TRUE))</f>
        <v/>
      </c>
      <c r="AH279" s="110" t="str">
        <f>IF($Z279="","",VLOOKUP($Z279,'ORF Accuracy Value LookUp'!$G$4:$H$104,2,TRUE))</f>
        <v/>
      </c>
    </row>
    <row r="280" spans="1:34">
      <c r="A280" s="10"/>
      <c r="B280" s="9"/>
      <c r="C280" s="9"/>
      <c r="D280" s="9"/>
      <c r="E280" s="10"/>
      <c r="F280" s="11"/>
      <c r="G280" s="15"/>
      <c r="H280" s="81"/>
      <c r="I280" s="24"/>
      <c r="J280" s="24"/>
      <c r="K280" s="74"/>
      <c r="L280" s="74"/>
      <c r="M280" s="76" t="str">
        <f t="shared" si="25"/>
        <v/>
      </c>
      <c r="N280" s="24"/>
      <c r="O280" s="111" t="str">
        <f t="shared" si="24"/>
        <v/>
      </c>
      <c r="P280" s="81"/>
      <c r="Q280" s="74"/>
      <c r="R280" s="74"/>
      <c r="S280" s="78" t="str">
        <f t="shared" si="26"/>
        <v/>
      </c>
      <c r="T280" s="24"/>
      <c r="U280" s="32"/>
      <c r="V280" s="40" t="str">
        <f t="shared" si="28"/>
        <v/>
      </c>
      <c r="W280" s="81"/>
      <c r="X280" s="74"/>
      <c r="Y280" s="74"/>
      <c r="Z280" s="79" t="str">
        <f t="shared" si="27"/>
        <v/>
      </c>
      <c r="AA280" s="24"/>
      <c r="AB280" s="32"/>
      <c r="AC280" s="31" t="str">
        <f t="shared" si="29"/>
        <v/>
      </c>
      <c r="AF280" s="109" t="str">
        <f>IF($M280="","",VLOOKUP($M280,'ORF Accuracy Value LookUp'!$D$4:$E$104,2,TRUE))</f>
        <v/>
      </c>
      <c r="AG280" s="47" t="str">
        <f>IF($S280="","",VLOOKUP($S280,'ORF Accuracy Value LookUp'!$G$4:$H$104,2,TRUE))</f>
        <v/>
      </c>
      <c r="AH280" s="110" t="str">
        <f>IF($Z280="","",VLOOKUP($Z280,'ORF Accuracy Value LookUp'!$G$4:$H$104,2,TRUE))</f>
        <v/>
      </c>
    </row>
    <row r="281" spans="1:34">
      <c r="A281" s="10"/>
      <c r="B281" s="9"/>
      <c r="C281" s="9"/>
      <c r="D281" s="9"/>
      <c r="E281" s="10"/>
      <c r="F281" s="11"/>
      <c r="G281" s="15"/>
      <c r="H281" s="81"/>
      <c r="I281" s="24"/>
      <c r="J281" s="24"/>
      <c r="K281" s="74"/>
      <c r="L281" s="74"/>
      <c r="M281" s="76" t="str">
        <f t="shared" si="25"/>
        <v/>
      </c>
      <c r="N281" s="24"/>
      <c r="O281" s="111" t="str">
        <f t="shared" si="24"/>
        <v/>
      </c>
      <c r="P281" s="81"/>
      <c r="Q281" s="74"/>
      <c r="R281" s="74"/>
      <c r="S281" s="78" t="str">
        <f t="shared" si="26"/>
        <v/>
      </c>
      <c r="T281" s="24"/>
      <c r="U281" s="32"/>
      <c r="V281" s="40" t="str">
        <f t="shared" si="28"/>
        <v/>
      </c>
      <c r="W281" s="81"/>
      <c r="X281" s="74"/>
      <c r="Y281" s="74"/>
      <c r="Z281" s="79" t="str">
        <f t="shared" si="27"/>
        <v/>
      </c>
      <c r="AA281" s="24"/>
      <c r="AB281" s="32"/>
      <c r="AC281" s="31" t="str">
        <f t="shared" si="29"/>
        <v/>
      </c>
      <c r="AF281" s="109" t="str">
        <f>IF($M281="","",VLOOKUP($M281,'ORF Accuracy Value LookUp'!$D$4:$E$104,2,TRUE))</f>
        <v/>
      </c>
      <c r="AG281" s="47" t="str">
        <f>IF($S281="","",VLOOKUP($S281,'ORF Accuracy Value LookUp'!$G$4:$H$104,2,TRUE))</f>
        <v/>
      </c>
      <c r="AH281" s="110" t="str">
        <f>IF($Z281="","",VLOOKUP($Z281,'ORF Accuracy Value LookUp'!$G$4:$H$104,2,TRUE))</f>
        <v/>
      </c>
    </row>
    <row r="282" spans="1:34">
      <c r="A282" s="10"/>
      <c r="B282" s="9"/>
      <c r="C282" s="9"/>
      <c r="D282" s="9"/>
      <c r="E282" s="10"/>
      <c r="F282" s="11"/>
      <c r="G282" s="15"/>
      <c r="H282" s="81"/>
      <c r="I282" s="24"/>
      <c r="J282" s="24"/>
      <c r="K282" s="74"/>
      <c r="L282" s="74"/>
      <c r="M282" s="76" t="str">
        <f t="shared" si="25"/>
        <v/>
      </c>
      <c r="N282" s="24"/>
      <c r="O282" s="111" t="str">
        <f t="shared" si="24"/>
        <v/>
      </c>
      <c r="P282" s="81"/>
      <c r="Q282" s="74"/>
      <c r="R282" s="74"/>
      <c r="S282" s="78" t="str">
        <f t="shared" si="26"/>
        <v/>
      </c>
      <c r="T282" s="24"/>
      <c r="U282" s="32"/>
      <c r="V282" s="40" t="str">
        <f t="shared" si="28"/>
        <v/>
      </c>
      <c r="W282" s="81"/>
      <c r="X282" s="74"/>
      <c r="Y282" s="74"/>
      <c r="Z282" s="79" t="str">
        <f t="shared" si="27"/>
        <v/>
      </c>
      <c r="AA282" s="24"/>
      <c r="AB282" s="32"/>
      <c r="AC282" s="31" t="str">
        <f t="shared" si="29"/>
        <v/>
      </c>
      <c r="AF282" s="109" t="str">
        <f>IF($M282="","",VLOOKUP($M282,'ORF Accuracy Value LookUp'!$D$4:$E$104,2,TRUE))</f>
        <v/>
      </c>
      <c r="AG282" s="47" t="str">
        <f>IF($S282="","",VLOOKUP($S282,'ORF Accuracy Value LookUp'!$G$4:$H$104,2,TRUE))</f>
        <v/>
      </c>
      <c r="AH282" s="110" t="str">
        <f>IF($Z282="","",VLOOKUP($Z282,'ORF Accuracy Value LookUp'!$G$4:$H$104,2,TRUE))</f>
        <v/>
      </c>
    </row>
    <row r="283" spans="1:34">
      <c r="A283" s="10"/>
      <c r="B283" s="9"/>
      <c r="C283" s="9"/>
      <c r="D283" s="9"/>
      <c r="E283" s="10"/>
      <c r="F283" s="11"/>
      <c r="G283" s="15"/>
      <c r="H283" s="81"/>
      <c r="I283" s="24"/>
      <c r="J283" s="24"/>
      <c r="K283" s="74"/>
      <c r="L283" s="74"/>
      <c r="M283" s="76" t="str">
        <f t="shared" si="25"/>
        <v/>
      </c>
      <c r="N283" s="24"/>
      <c r="O283" s="111" t="str">
        <f t="shared" si="24"/>
        <v/>
      </c>
      <c r="P283" s="81"/>
      <c r="Q283" s="74"/>
      <c r="R283" s="74"/>
      <c r="S283" s="78" t="str">
        <f t="shared" si="26"/>
        <v/>
      </c>
      <c r="T283" s="24"/>
      <c r="U283" s="32"/>
      <c r="V283" s="40" t="str">
        <f t="shared" si="28"/>
        <v/>
      </c>
      <c r="W283" s="81"/>
      <c r="X283" s="74"/>
      <c r="Y283" s="74"/>
      <c r="Z283" s="79" t="str">
        <f t="shared" si="27"/>
        <v/>
      </c>
      <c r="AA283" s="24"/>
      <c r="AB283" s="32"/>
      <c r="AC283" s="31" t="str">
        <f t="shared" si="29"/>
        <v/>
      </c>
      <c r="AF283" s="109" t="str">
        <f>IF($M283="","",VLOOKUP($M283,'ORF Accuracy Value LookUp'!$D$4:$E$104,2,TRUE))</f>
        <v/>
      </c>
      <c r="AG283" s="47" t="str">
        <f>IF($S283="","",VLOOKUP($S283,'ORF Accuracy Value LookUp'!$G$4:$H$104,2,TRUE))</f>
        <v/>
      </c>
      <c r="AH283" s="110" t="str">
        <f>IF($Z283="","",VLOOKUP($Z283,'ORF Accuracy Value LookUp'!$G$4:$H$104,2,TRUE))</f>
        <v/>
      </c>
    </row>
    <row r="284" spans="1:34">
      <c r="A284" s="10"/>
      <c r="B284" s="9"/>
      <c r="C284" s="9"/>
      <c r="D284" s="9"/>
      <c r="E284" s="10"/>
      <c r="F284" s="11"/>
      <c r="G284" s="15"/>
      <c r="H284" s="81"/>
      <c r="I284" s="24"/>
      <c r="J284" s="24"/>
      <c r="K284" s="74"/>
      <c r="L284" s="74"/>
      <c r="M284" s="76" t="str">
        <f t="shared" si="25"/>
        <v/>
      </c>
      <c r="N284" s="24"/>
      <c r="O284" s="111" t="str">
        <f t="shared" si="24"/>
        <v/>
      </c>
      <c r="P284" s="81"/>
      <c r="Q284" s="74"/>
      <c r="R284" s="74"/>
      <c r="S284" s="78" t="str">
        <f t="shared" si="26"/>
        <v/>
      </c>
      <c r="T284" s="24"/>
      <c r="U284" s="32"/>
      <c r="V284" s="40" t="str">
        <f t="shared" si="28"/>
        <v/>
      </c>
      <c r="W284" s="81"/>
      <c r="X284" s="74"/>
      <c r="Y284" s="74"/>
      <c r="Z284" s="79" t="str">
        <f t="shared" si="27"/>
        <v/>
      </c>
      <c r="AA284" s="24"/>
      <c r="AB284" s="32"/>
      <c r="AC284" s="31" t="str">
        <f t="shared" si="29"/>
        <v/>
      </c>
      <c r="AF284" s="109" t="str">
        <f>IF($M284="","",VLOOKUP($M284,'ORF Accuracy Value LookUp'!$D$4:$E$104,2,TRUE))</f>
        <v/>
      </c>
      <c r="AG284" s="47" t="str">
        <f>IF($S284="","",VLOOKUP($S284,'ORF Accuracy Value LookUp'!$G$4:$H$104,2,TRUE))</f>
        <v/>
      </c>
      <c r="AH284" s="110" t="str">
        <f>IF($Z284="","",VLOOKUP($Z284,'ORF Accuracy Value LookUp'!$G$4:$H$104,2,TRUE))</f>
        <v/>
      </c>
    </row>
    <row r="285" spans="1:34">
      <c r="A285" s="10"/>
      <c r="B285" s="9"/>
      <c r="C285" s="9"/>
      <c r="D285" s="9"/>
      <c r="E285" s="10"/>
      <c r="F285" s="11"/>
      <c r="G285" s="15"/>
      <c r="H285" s="81"/>
      <c r="I285" s="24"/>
      <c r="J285" s="24"/>
      <c r="K285" s="74"/>
      <c r="L285" s="74"/>
      <c r="M285" s="76" t="str">
        <f t="shared" si="25"/>
        <v/>
      </c>
      <c r="N285" s="24"/>
      <c r="O285" s="111" t="str">
        <f t="shared" si="24"/>
        <v/>
      </c>
      <c r="P285" s="81"/>
      <c r="Q285" s="74"/>
      <c r="R285" s="74"/>
      <c r="S285" s="78" t="str">
        <f t="shared" si="26"/>
        <v/>
      </c>
      <c r="T285" s="24"/>
      <c r="U285" s="32"/>
      <c r="V285" s="40" t="str">
        <f t="shared" si="28"/>
        <v/>
      </c>
      <c r="W285" s="81"/>
      <c r="X285" s="74"/>
      <c r="Y285" s="74"/>
      <c r="Z285" s="79" t="str">
        <f t="shared" si="27"/>
        <v/>
      </c>
      <c r="AA285" s="24"/>
      <c r="AB285" s="32"/>
      <c r="AC285" s="31" t="str">
        <f t="shared" si="29"/>
        <v/>
      </c>
      <c r="AF285" s="109" t="str">
        <f>IF($M285="","",VLOOKUP($M285,'ORF Accuracy Value LookUp'!$D$4:$E$104,2,TRUE))</f>
        <v/>
      </c>
      <c r="AG285" s="47" t="str">
        <f>IF($S285="","",VLOOKUP($S285,'ORF Accuracy Value LookUp'!$G$4:$H$104,2,TRUE))</f>
        <v/>
      </c>
      <c r="AH285" s="110" t="str">
        <f>IF($Z285="","",VLOOKUP($Z285,'ORF Accuracy Value LookUp'!$G$4:$H$104,2,TRUE))</f>
        <v/>
      </c>
    </row>
    <row r="286" spans="1:34">
      <c r="A286" s="10"/>
      <c r="B286" s="9"/>
      <c r="C286" s="9"/>
      <c r="D286" s="9"/>
      <c r="E286" s="10"/>
      <c r="F286" s="11"/>
      <c r="G286" s="15"/>
      <c r="H286" s="81"/>
      <c r="I286" s="24"/>
      <c r="J286" s="24"/>
      <c r="K286" s="74"/>
      <c r="L286" s="74"/>
      <c r="M286" s="76" t="str">
        <f t="shared" si="25"/>
        <v/>
      </c>
      <c r="N286" s="24"/>
      <c r="O286" s="111" t="str">
        <f t="shared" si="24"/>
        <v/>
      </c>
      <c r="P286" s="81"/>
      <c r="Q286" s="74"/>
      <c r="R286" s="74"/>
      <c r="S286" s="78" t="str">
        <f t="shared" si="26"/>
        <v/>
      </c>
      <c r="T286" s="24"/>
      <c r="U286" s="32"/>
      <c r="V286" s="40" t="str">
        <f t="shared" si="28"/>
        <v/>
      </c>
      <c r="W286" s="81"/>
      <c r="X286" s="74"/>
      <c r="Y286" s="74"/>
      <c r="Z286" s="79" t="str">
        <f t="shared" si="27"/>
        <v/>
      </c>
      <c r="AA286" s="24"/>
      <c r="AB286" s="32"/>
      <c r="AC286" s="31" t="str">
        <f t="shared" si="29"/>
        <v/>
      </c>
      <c r="AF286" s="109" t="str">
        <f>IF($M286="","",VLOOKUP($M286,'ORF Accuracy Value LookUp'!$D$4:$E$104,2,TRUE))</f>
        <v/>
      </c>
      <c r="AG286" s="47" t="str">
        <f>IF($S286="","",VLOOKUP($S286,'ORF Accuracy Value LookUp'!$G$4:$H$104,2,TRUE))</f>
        <v/>
      </c>
      <c r="AH286" s="110" t="str">
        <f>IF($Z286="","",VLOOKUP($Z286,'ORF Accuracy Value LookUp'!$G$4:$H$104,2,TRUE))</f>
        <v/>
      </c>
    </row>
    <row r="287" spans="1:34">
      <c r="A287" s="10"/>
      <c r="B287" s="9"/>
      <c r="C287" s="9"/>
      <c r="D287" s="9"/>
      <c r="E287" s="10"/>
      <c r="F287" s="11"/>
      <c r="G287" s="15"/>
      <c r="H287" s="81"/>
      <c r="I287" s="24"/>
      <c r="J287" s="24"/>
      <c r="K287" s="74"/>
      <c r="L287" s="74"/>
      <c r="M287" s="76" t="str">
        <f t="shared" si="25"/>
        <v/>
      </c>
      <c r="N287" s="24"/>
      <c r="O287" s="111" t="str">
        <f t="shared" si="24"/>
        <v/>
      </c>
      <c r="P287" s="81"/>
      <c r="Q287" s="74"/>
      <c r="R287" s="74"/>
      <c r="S287" s="78" t="str">
        <f t="shared" si="26"/>
        <v/>
      </c>
      <c r="T287" s="24"/>
      <c r="U287" s="32"/>
      <c r="V287" s="40" t="str">
        <f t="shared" si="28"/>
        <v/>
      </c>
      <c r="W287" s="81"/>
      <c r="X287" s="74"/>
      <c r="Y287" s="74"/>
      <c r="Z287" s="79" t="str">
        <f t="shared" si="27"/>
        <v/>
      </c>
      <c r="AA287" s="24"/>
      <c r="AB287" s="32"/>
      <c r="AC287" s="31" t="str">
        <f t="shared" si="29"/>
        <v/>
      </c>
      <c r="AF287" s="109" t="str">
        <f>IF($M287="","",VLOOKUP($M287,'ORF Accuracy Value LookUp'!$D$4:$E$104,2,TRUE))</f>
        <v/>
      </c>
      <c r="AG287" s="47" t="str">
        <f>IF($S287="","",VLOOKUP($S287,'ORF Accuracy Value LookUp'!$G$4:$H$104,2,TRUE))</f>
        <v/>
      </c>
      <c r="AH287" s="110" t="str">
        <f>IF($Z287="","",VLOOKUP($Z287,'ORF Accuracy Value LookUp'!$G$4:$H$104,2,TRUE))</f>
        <v/>
      </c>
    </row>
    <row r="288" spans="1:34">
      <c r="A288" s="10"/>
      <c r="B288" s="9"/>
      <c r="C288" s="9"/>
      <c r="D288" s="9"/>
      <c r="E288" s="10"/>
      <c r="F288" s="11"/>
      <c r="G288" s="15"/>
      <c r="H288" s="81"/>
      <c r="I288" s="24"/>
      <c r="J288" s="24"/>
      <c r="K288" s="74"/>
      <c r="L288" s="74"/>
      <c r="M288" s="76" t="str">
        <f t="shared" si="25"/>
        <v/>
      </c>
      <c r="N288" s="24"/>
      <c r="O288" s="111" t="str">
        <f t="shared" si="24"/>
        <v/>
      </c>
      <c r="P288" s="81"/>
      <c r="Q288" s="74"/>
      <c r="R288" s="74"/>
      <c r="S288" s="78" t="str">
        <f t="shared" si="26"/>
        <v/>
      </c>
      <c r="T288" s="24"/>
      <c r="U288" s="32"/>
      <c r="V288" s="40" t="str">
        <f t="shared" si="28"/>
        <v/>
      </c>
      <c r="W288" s="81"/>
      <c r="X288" s="74"/>
      <c r="Y288" s="74"/>
      <c r="Z288" s="79" t="str">
        <f t="shared" si="27"/>
        <v/>
      </c>
      <c r="AA288" s="24"/>
      <c r="AB288" s="32"/>
      <c r="AC288" s="31" t="str">
        <f t="shared" si="29"/>
        <v/>
      </c>
      <c r="AF288" s="109" t="str">
        <f>IF($M288="","",VLOOKUP($M288,'ORF Accuracy Value LookUp'!$D$4:$E$104,2,TRUE))</f>
        <v/>
      </c>
      <c r="AG288" s="47" t="str">
        <f>IF($S288="","",VLOOKUP($S288,'ORF Accuracy Value LookUp'!$G$4:$H$104,2,TRUE))</f>
        <v/>
      </c>
      <c r="AH288" s="110" t="str">
        <f>IF($Z288="","",VLOOKUP($Z288,'ORF Accuracy Value LookUp'!$G$4:$H$104,2,TRUE))</f>
        <v/>
      </c>
    </row>
    <row r="289" spans="1:34">
      <c r="A289" s="10"/>
      <c r="B289" s="9"/>
      <c r="C289" s="9"/>
      <c r="D289" s="9"/>
      <c r="E289" s="10"/>
      <c r="F289" s="11"/>
      <c r="G289" s="15"/>
      <c r="H289" s="81"/>
      <c r="I289" s="24"/>
      <c r="J289" s="24"/>
      <c r="K289" s="74"/>
      <c r="L289" s="74"/>
      <c r="M289" s="76" t="str">
        <f t="shared" si="25"/>
        <v/>
      </c>
      <c r="N289" s="24"/>
      <c r="O289" s="111" t="str">
        <f t="shared" si="24"/>
        <v/>
      </c>
      <c r="P289" s="81"/>
      <c r="Q289" s="74"/>
      <c r="R289" s="74"/>
      <c r="S289" s="78" t="str">
        <f t="shared" si="26"/>
        <v/>
      </c>
      <c r="T289" s="24"/>
      <c r="U289" s="32"/>
      <c r="V289" s="40" t="str">
        <f t="shared" si="28"/>
        <v/>
      </c>
      <c r="W289" s="81"/>
      <c r="X289" s="74"/>
      <c r="Y289" s="74"/>
      <c r="Z289" s="79" t="str">
        <f t="shared" si="27"/>
        <v/>
      </c>
      <c r="AA289" s="24"/>
      <c r="AB289" s="32"/>
      <c r="AC289" s="31" t="str">
        <f t="shared" si="29"/>
        <v/>
      </c>
      <c r="AF289" s="109" t="str">
        <f>IF($M289="","",VLOOKUP($M289,'ORF Accuracy Value LookUp'!$D$4:$E$104,2,TRUE))</f>
        <v/>
      </c>
      <c r="AG289" s="47" t="str">
        <f>IF($S289="","",VLOOKUP($S289,'ORF Accuracy Value LookUp'!$G$4:$H$104,2,TRUE))</f>
        <v/>
      </c>
      <c r="AH289" s="110" t="str">
        <f>IF($Z289="","",VLOOKUP($Z289,'ORF Accuracy Value LookUp'!$G$4:$H$104,2,TRUE))</f>
        <v/>
      </c>
    </row>
    <row r="290" spans="1:34">
      <c r="A290" s="10"/>
      <c r="B290" s="9"/>
      <c r="C290" s="9"/>
      <c r="D290" s="9"/>
      <c r="E290" s="10"/>
      <c r="F290" s="11"/>
      <c r="G290" s="15"/>
      <c r="H290" s="81"/>
      <c r="I290" s="24"/>
      <c r="J290" s="24"/>
      <c r="K290" s="74"/>
      <c r="L290" s="74"/>
      <c r="M290" s="76" t="str">
        <f t="shared" si="25"/>
        <v/>
      </c>
      <c r="N290" s="24"/>
      <c r="O290" s="111" t="str">
        <f t="shared" si="24"/>
        <v/>
      </c>
      <c r="P290" s="81"/>
      <c r="Q290" s="74"/>
      <c r="R290" s="74"/>
      <c r="S290" s="78" t="str">
        <f t="shared" si="26"/>
        <v/>
      </c>
      <c r="T290" s="24"/>
      <c r="U290" s="32"/>
      <c r="V290" s="40" t="str">
        <f t="shared" si="28"/>
        <v/>
      </c>
      <c r="W290" s="81"/>
      <c r="X290" s="74"/>
      <c r="Y290" s="74"/>
      <c r="Z290" s="79" t="str">
        <f t="shared" si="27"/>
        <v/>
      </c>
      <c r="AA290" s="24"/>
      <c r="AB290" s="32"/>
      <c r="AC290" s="31" t="str">
        <f t="shared" si="29"/>
        <v/>
      </c>
      <c r="AF290" s="109" t="str">
        <f>IF($M290="","",VLOOKUP($M290,'ORF Accuracy Value LookUp'!$D$4:$E$104,2,TRUE))</f>
        <v/>
      </c>
      <c r="AG290" s="47" t="str">
        <f>IF($S290="","",VLOOKUP($S290,'ORF Accuracy Value LookUp'!$G$4:$H$104,2,TRUE))</f>
        <v/>
      </c>
      <c r="AH290" s="110" t="str">
        <f>IF($Z290="","",VLOOKUP($Z290,'ORF Accuracy Value LookUp'!$G$4:$H$104,2,TRUE))</f>
        <v/>
      </c>
    </row>
    <row r="291" spans="1:34">
      <c r="A291" s="10"/>
      <c r="B291" s="9"/>
      <c r="C291" s="9"/>
      <c r="D291" s="9"/>
      <c r="E291" s="10"/>
      <c r="F291" s="11"/>
      <c r="G291" s="15"/>
      <c r="H291" s="81"/>
      <c r="I291" s="24"/>
      <c r="J291" s="24"/>
      <c r="K291" s="74"/>
      <c r="L291" s="74"/>
      <c r="M291" s="76" t="str">
        <f t="shared" si="25"/>
        <v/>
      </c>
      <c r="N291" s="24"/>
      <c r="O291" s="111" t="str">
        <f t="shared" si="24"/>
        <v/>
      </c>
      <c r="P291" s="81"/>
      <c r="Q291" s="74"/>
      <c r="R291" s="74"/>
      <c r="S291" s="78" t="str">
        <f t="shared" si="26"/>
        <v/>
      </c>
      <c r="T291" s="24"/>
      <c r="U291" s="32"/>
      <c r="V291" s="40" t="str">
        <f t="shared" si="28"/>
        <v/>
      </c>
      <c r="W291" s="81"/>
      <c r="X291" s="74"/>
      <c r="Y291" s="74"/>
      <c r="Z291" s="79" t="str">
        <f t="shared" si="27"/>
        <v/>
      </c>
      <c r="AA291" s="24"/>
      <c r="AB291" s="32"/>
      <c r="AC291" s="31" t="str">
        <f t="shared" si="29"/>
        <v/>
      </c>
      <c r="AF291" s="109" t="str">
        <f>IF($M291="","",VLOOKUP($M291,'ORF Accuracy Value LookUp'!$D$4:$E$104,2,TRUE))</f>
        <v/>
      </c>
      <c r="AG291" s="47" t="str">
        <f>IF($S291="","",VLOOKUP($S291,'ORF Accuracy Value LookUp'!$G$4:$H$104,2,TRUE))</f>
        <v/>
      </c>
      <c r="AH291" s="110" t="str">
        <f>IF($Z291="","",VLOOKUP($Z291,'ORF Accuracy Value LookUp'!$G$4:$H$104,2,TRUE))</f>
        <v/>
      </c>
    </row>
    <row r="292" spans="1:34">
      <c r="A292" s="10"/>
      <c r="B292" s="9"/>
      <c r="C292" s="9"/>
      <c r="D292" s="9"/>
      <c r="E292" s="10"/>
      <c r="F292" s="11"/>
      <c r="G292" s="15"/>
      <c r="H292" s="81"/>
      <c r="I292" s="24"/>
      <c r="J292" s="24"/>
      <c r="K292" s="74"/>
      <c r="L292" s="74"/>
      <c r="M292" s="76" t="str">
        <f t="shared" si="25"/>
        <v/>
      </c>
      <c r="N292" s="24"/>
      <c r="O292" s="111" t="str">
        <f t="shared" si="24"/>
        <v/>
      </c>
      <c r="P292" s="81"/>
      <c r="Q292" s="74"/>
      <c r="R292" s="74"/>
      <c r="S292" s="78" t="str">
        <f t="shared" si="26"/>
        <v/>
      </c>
      <c r="T292" s="24"/>
      <c r="U292" s="32"/>
      <c r="V292" s="40" t="str">
        <f t="shared" si="28"/>
        <v/>
      </c>
      <c r="W292" s="81"/>
      <c r="X292" s="74"/>
      <c r="Y292" s="74"/>
      <c r="Z292" s="79" t="str">
        <f t="shared" si="27"/>
        <v/>
      </c>
      <c r="AA292" s="24"/>
      <c r="AB292" s="32"/>
      <c r="AC292" s="31" t="str">
        <f t="shared" si="29"/>
        <v/>
      </c>
      <c r="AF292" s="109" t="str">
        <f>IF($M292="","",VLOOKUP($M292,'ORF Accuracy Value LookUp'!$D$4:$E$104,2,TRUE))</f>
        <v/>
      </c>
      <c r="AG292" s="47" t="str">
        <f>IF($S292="","",VLOOKUP($S292,'ORF Accuracy Value LookUp'!$G$4:$H$104,2,TRUE))</f>
        <v/>
      </c>
      <c r="AH292" s="110" t="str">
        <f>IF($Z292="","",VLOOKUP($Z292,'ORF Accuracy Value LookUp'!$G$4:$H$104,2,TRUE))</f>
        <v/>
      </c>
    </row>
    <row r="293" spans="1:34">
      <c r="A293" s="10"/>
      <c r="B293" s="9"/>
      <c r="C293" s="9"/>
      <c r="D293" s="9"/>
      <c r="E293" s="10"/>
      <c r="F293" s="11"/>
      <c r="G293" s="15"/>
      <c r="H293" s="81"/>
      <c r="I293" s="24"/>
      <c r="J293" s="24"/>
      <c r="K293" s="74"/>
      <c r="L293" s="74"/>
      <c r="M293" s="76" t="str">
        <f t="shared" si="25"/>
        <v/>
      </c>
      <c r="N293" s="24"/>
      <c r="O293" s="111" t="str">
        <f t="shared" si="24"/>
        <v/>
      </c>
      <c r="P293" s="81"/>
      <c r="Q293" s="74"/>
      <c r="R293" s="74"/>
      <c r="S293" s="78" t="str">
        <f t="shared" si="26"/>
        <v/>
      </c>
      <c r="T293" s="24"/>
      <c r="U293" s="32"/>
      <c r="V293" s="40" t="str">
        <f t="shared" si="28"/>
        <v/>
      </c>
      <c r="W293" s="81"/>
      <c r="X293" s="74"/>
      <c r="Y293" s="74"/>
      <c r="Z293" s="79" t="str">
        <f t="shared" si="27"/>
        <v/>
      </c>
      <c r="AA293" s="24"/>
      <c r="AB293" s="32"/>
      <c r="AC293" s="31" t="str">
        <f t="shared" si="29"/>
        <v/>
      </c>
      <c r="AF293" s="109" t="str">
        <f>IF($M293="","",VLOOKUP($M293,'ORF Accuracy Value LookUp'!$D$4:$E$104,2,TRUE))</f>
        <v/>
      </c>
      <c r="AG293" s="47" t="str">
        <f>IF($S293="","",VLOOKUP($S293,'ORF Accuracy Value LookUp'!$G$4:$H$104,2,TRUE))</f>
        <v/>
      </c>
      <c r="AH293" s="110" t="str">
        <f>IF($Z293="","",VLOOKUP($Z293,'ORF Accuracy Value LookUp'!$G$4:$H$104,2,TRUE))</f>
        <v/>
      </c>
    </row>
    <row r="294" spans="1:34">
      <c r="A294" s="10"/>
      <c r="B294" s="9"/>
      <c r="C294" s="9"/>
      <c r="D294" s="9"/>
      <c r="E294" s="10"/>
      <c r="F294" s="11"/>
      <c r="G294" s="15"/>
      <c r="H294" s="81"/>
      <c r="I294" s="24"/>
      <c r="J294" s="24"/>
      <c r="K294" s="74"/>
      <c r="L294" s="74"/>
      <c r="M294" s="76" t="str">
        <f t="shared" si="25"/>
        <v/>
      </c>
      <c r="N294" s="24"/>
      <c r="O294" s="111" t="str">
        <f t="shared" si="24"/>
        <v/>
      </c>
      <c r="P294" s="81"/>
      <c r="Q294" s="74"/>
      <c r="R294" s="74"/>
      <c r="S294" s="78" t="str">
        <f t="shared" si="26"/>
        <v/>
      </c>
      <c r="T294" s="24"/>
      <c r="U294" s="32"/>
      <c r="V294" s="40" t="str">
        <f t="shared" si="28"/>
        <v/>
      </c>
      <c r="W294" s="81"/>
      <c r="X294" s="74"/>
      <c r="Y294" s="74"/>
      <c r="Z294" s="79" t="str">
        <f t="shared" si="27"/>
        <v/>
      </c>
      <c r="AA294" s="24"/>
      <c r="AB294" s="32"/>
      <c r="AC294" s="31" t="str">
        <f t="shared" si="29"/>
        <v/>
      </c>
      <c r="AF294" s="109" t="str">
        <f>IF($M294="","",VLOOKUP($M294,'ORF Accuracy Value LookUp'!$D$4:$E$104,2,TRUE))</f>
        <v/>
      </c>
      <c r="AG294" s="47" t="str">
        <f>IF($S294="","",VLOOKUP($S294,'ORF Accuracy Value LookUp'!$G$4:$H$104,2,TRUE))</f>
        <v/>
      </c>
      <c r="AH294" s="110" t="str">
        <f>IF($Z294="","",VLOOKUP($Z294,'ORF Accuracy Value LookUp'!$G$4:$H$104,2,TRUE))</f>
        <v/>
      </c>
    </row>
    <row r="295" spans="1:34">
      <c r="A295" s="10"/>
      <c r="B295" s="9"/>
      <c r="C295" s="9"/>
      <c r="D295" s="9"/>
      <c r="E295" s="10"/>
      <c r="F295" s="11"/>
      <c r="G295" s="15"/>
      <c r="H295" s="81"/>
      <c r="I295" s="24"/>
      <c r="J295" s="24"/>
      <c r="K295" s="74"/>
      <c r="L295" s="74"/>
      <c r="M295" s="76" t="str">
        <f t="shared" si="25"/>
        <v/>
      </c>
      <c r="N295" s="24"/>
      <c r="O295" s="111" t="str">
        <f t="shared" si="24"/>
        <v/>
      </c>
      <c r="P295" s="81"/>
      <c r="Q295" s="74"/>
      <c r="R295" s="74"/>
      <c r="S295" s="78" t="str">
        <f t="shared" si="26"/>
        <v/>
      </c>
      <c r="T295" s="24"/>
      <c r="U295" s="32"/>
      <c r="V295" s="40" t="str">
        <f t="shared" si="28"/>
        <v/>
      </c>
      <c r="W295" s="81"/>
      <c r="X295" s="74"/>
      <c r="Y295" s="74"/>
      <c r="Z295" s="79" t="str">
        <f t="shared" si="27"/>
        <v/>
      </c>
      <c r="AA295" s="24"/>
      <c r="AB295" s="32"/>
      <c r="AC295" s="31" t="str">
        <f t="shared" si="29"/>
        <v/>
      </c>
      <c r="AF295" s="109" t="str">
        <f>IF($M295="","",VLOOKUP($M295,'ORF Accuracy Value LookUp'!$D$4:$E$104,2,TRUE))</f>
        <v/>
      </c>
      <c r="AG295" s="47" t="str">
        <f>IF($S295="","",VLOOKUP($S295,'ORF Accuracy Value LookUp'!$G$4:$H$104,2,TRUE))</f>
        <v/>
      </c>
      <c r="AH295" s="110" t="str">
        <f>IF($Z295="","",VLOOKUP($Z295,'ORF Accuracy Value LookUp'!$G$4:$H$104,2,TRUE))</f>
        <v/>
      </c>
    </row>
    <row r="296" spans="1:34">
      <c r="A296" s="10"/>
      <c r="B296" s="9"/>
      <c r="C296" s="9"/>
      <c r="D296" s="9"/>
      <c r="E296" s="10"/>
      <c r="F296" s="11"/>
      <c r="G296" s="15"/>
      <c r="H296" s="81"/>
      <c r="I296" s="24"/>
      <c r="J296" s="24"/>
      <c r="K296" s="74"/>
      <c r="L296" s="74"/>
      <c r="M296" s="76" t="str">
        <f t="shared" si="25"/>
        <v/>
      </c>
      <c r="N296" s="24"/>
      <c r="O296" s="111" t="str">
        <f t="shared" si="24"/>
        <v/>
      </c>
      <c r="P296" s="81"/>
      <c r="Q296" s="74"/>
      <c r="R296" s="74"/>
      <c r="S296" s="78" t="str">
        <f t="shared" si="26"/>
        <v/>
      </c>
      <c r="T296" s="24"/>
      <c r="U296" s="32"/>
      <c r="V296" s="40" t="str">
        <f t="shared" si="28"/>
        <v/>
      </c>
      <c r="W296" s="81"/>
      <c r="X296" s="74"/>
      <c r="Y296" s="74"/>
      <c r="Z296" s="79" t="str">
        <f t="shared" si="27"/>
        <v/>
      </c>
      <c r="AA296" s="24"/>
      <c r="AB296" s="32"/>
      <c r="AC296" s="31" t="str">
        <f t="shared" si="29"/>
        <v/>
      </c>
      <c r="AF296" s="109" t="str">
        <f>IF($M296="","",VLOOKUP($M296,'ORF Accuracy Value LookUp'!$D$4:$E$104,2,TRUE))</f>
        <v/>
      </c>
      <c r="AG296" s="47" t="str">
        <f>IF($S296="","",VLOOKUP($S296,'ORF Accuracy Value LookUp'!$G$4:$H$104,2,TRUE))</f>
        <v/>
      </c>
      <c r="AH296" s="110" t="str">
        <f>IF($Z296="","",VLOOKUP($Z296,'ORF Accuracy Value LookUp'!$G$4:$H$104,2,TRUE))</f>
        <v/>
      </c>
    </row>
    <row r="297" spans="1:34">
      <c r="A297" s="10"/>
      <c r="B297" s="9"/>
      <c r="C297" s="9"/>
      <c r="D297" s="9"/>
      <c r="E297" s="10"/>
      <c r="F297" s="11"/>
      <c r="G297" s="15"/>
      <c r="H297" s="81"/>
      <c r="I297" s="24"/>
      <c r="J297" s="24"/>
      <c r="K297" s="74"/>
      <c r="L297" s="74"/>
      <c r="M297" s="76" t="str">
        <f t="shared" si="25"/>
        <v/>
      </c>
      <c r="N297" s="24"/>
      <c r="O297" s="111" t="str">
        <f t="shared" si="24"/>
        <v/>
      </c>
      <c r="P297" s="81"/>
      <c r="Q297" s="74"/>
      <c r="R297" s="74"/>
      <c r="S297" s="78" t="str">
        <f t="shared" si="26"/>
        <v/>
      </c>
      <c r="T297" s="24"/>
      <c r="U297" s="32"/>
      <c r="V297" s="40" t="str">
        <f t="shared" si="28"/>
        <v/>
      </c>
      <c r="W297" s="81"/>
      <c r="X297" s="74"/>
      <c r="Y297" s="74"/>
      <c r="Z297" s="79" t="str">
        <f t="shared" si="27"/>
        <v/>
      </c>
      <c r="AA297" s="24"/>
      <c r="AB297" s="32"/>
      <c r="AC297" s="31" t="str">
        <f t="shared" si="29"/>
        <v/>
      </c>
      <c r="AF297" s="109" t="str">
        <f>IF($M297="","",VLOOKUP($M297,'ORF Accuracy Value LookUp'!$D$4:$E$104,2,TRUE))</f>
        <v/>
      </c>
      <c r="AG297" s="47" t="str">
        <f>IF($S297="","",VLOOKUP($S297,'ORF Accuracy Value LookUp'!$G$4:$H$104,2,TRUE))</f>
        <v/>
      </c>
      <c r="AH297" s="110" t="str">
        <f>IF($Z297="","",VLOOKUP($Z297,'ORF Accuracy Value LookUp'!$G$4:$H$104,2,TRUE))</f>
        <v/>
      </c>
    </row>
    <row r="298" spans="1:34">
      <c r="A298" s="10"/>
      <c r="B298" s="9"/>
      <c r="C298" s="9"/>
      <c r="D298" s="9"/>
      <c r="E298" s="10"/>
      <c r="F298" s="11"/>
      <c r="G298" s="15"/>
      <c r="H298" s="81"/>
      <c r="I298" s="24"/>
      <c r="J298" s="24"/>
      <c r="K298" s="74"/>
      <c r="L298" s="74"/>
      <c r="M298" s="76" t="str">
        <f t="shared" si="25"/>
        <v/>
      </c>
      <c r="N298" s="24"/>
      <c r="O298" s="111" t="str">
        <f t="shared" si="24"/>
        <v/>
      </c>
      <c r="P298" s="81"/>
      <c r="Q298" s="74"/>
      <c r="R298" s="74"/>
      <c r="S298" s="78" t="str">
        <f t="shared" si="26"/>
        <v/>
      </c>
      <c r="T298" s="24"/>
      <c r="U298" s="32"/>
      <c r="V298" s="40" t="str">
        <f t="shared" si="28"/>
        <v/>
      </c>
      <c r="W298" s="81"/>
      <c r="X298" s="74"/>
      <c r="Y298" s="74"/>
      <c r="Z298" s="79" t="str">
        <f t="shared" si="27"/>
        <v/>
      </c>
      <c r="AA298" s="24"/>
      <c r="AB298" s="32"/>
      <c r="AC298" s="31" t="str">
        <f t="shared" si="29"/>
        <v/>
      </c>
      <c r="AF298" s="109" t="str">
        <f>IF($M298="","",VLOOKUP($M298,'ORF Accuracy Value LookUp'!$D$4:$E$104,2,TRUE))</f>
        <v/>
      </c>
      <c r="AG298" s="47" t="str">
        <f>IF($S298="","",VLOOKUP($S298,'ORF Accuracy Value LookUp'!$G$4:$H$104,2,TRUE))</f>
        <v/>
      </c>
      <c r="AH298" s="110" t="str">
        <f>IF($Z298="","",VLOOKUP($Z298,'ORF Accuracy Value LookUp'!$G$4:$H$104,2,TRUE))</f>
        <v/>
      </c>
    </row>
    <row r="299" spans="1:34">
      <c r="A299" s="10"/>
      <c r="B299" s="9"/>
      <c r="C299" s="9"/>
      <c r="D299" s="9"/>
      <c r="E299" s="10"/>
      <c r="F299" s="11"/>
      <c r="G299" s="15"/>
      <c r="H299" s="81"/>
      <c r="I299" s="24"/>
      <c r="J299" s="24"/>
      <c r="K299" s="74"/>
      <c r="L299" s="74"/>
      <c r="M299" s="76" t="str">
        <f t="shared" si="25"/>
        <v/>
      </c>
      <c r="N299" s="24"/>
      <c r="O299" s="111" t="str">
        <f t="shared" si="24"/>
        <v/>
      </c>
      <c r="P299" s="81"/>
      <c r="Q299" s="74"/>
      <c r="R299" s="74"/>
      <c r="S299" s="78" t="str">
        <f t="shared" si="26"/>
        <v/>
      </c>
      <c r="T299" s="24"/>
      <c r="U299" s="32"/>
      <c r="V299" s="40" t="str">
        <f t="shared" si="28"/>
        <v/>
      </c>
      <c r="W299" s="81"/>
      <c r="X299" s="74"/>
      <c r="Y299" s="74"/>
      <c r="Z299" s="79" t="str">
        <f t="shared" si="27"/>
        <v/>
      </c>
      <c r="AA299" s="24"/>
      <c r="AB299" s="32"/>
      <c r="AC299" s="31" t="str">
        <f t="shared" si="29"/>
        <v/>
      </c>
      <c r="AF299" s="109" t="str">
        <f>IF($M299="","",VLOOKUP($M299,'ORF Accuracy Value LookUp'!$D$4:$E$104,2,TRUE))</f>
        <v/>
      </c>
      <c r="AG299" s="47" t="str">
        <f>IF($S299="","",VLOOKUP($S299,'ORF Accuracy Value LookUp'!$G$4:$H$104,2,TRUE))</f>
        <v/>
      </c>
      <c r="AH299" s="110" t="str">
        <f>IF($Z299="","",VLOOKUP($Z299,'ORF Accuracy Value LookUp'!$G$4:$H$104,2,TRUE))</f>
        <v/>
      </c>
    </row>
    <row r="300" spans="1:34">
      <c r="A300" s="10"/>
      <c r="B300" s="9"/>
      <c r="C300" s="9"/>
      <c r="D300" s="9"/>
      <c r="E300" s="10"/>
      <c r="F300" s="11"/>
      <c r="G300" s="15"/>
      <c r="H300" s="81"/>
      <c r="I300" s="24"/>
      <c r="J300" s="24"/>
      <c r="K300" s="74"/>
      <c r="L300" s="74"/>
      <c r="M300" s="76" t="str">
        <f t="shared" si="25"/>
        <v/>
      </c>
      <c r="N300" s="24"/>
      <c r="O300" s="111" t="str">
        <f t="shared" si="24"/>
        <v/>
      </c>
      <c r="P300" s="81"/>
      <c r="Q300" s="74"/>
      <c r="R300" s="74"/>
      <c r="S300" s="78" t="str">
        <f t="shared" si="26"/>
        <v/>
      </c>
      <c r="T300" s="24"/>
      <c r="U300" s="32"/>
      <c r="V300" s="40" t="str">
        <f t="shared" si="28"/>
        <v/>
      </c>
      <c r="W300" s="81"/>
      <c r="X300" s="74"/>
      <c r="Y300" s="74"/>
      <c r="Z300" s="79" t="str">
        <f t="shared" si="27"/>
        <v/>
      </c>
      <c r="AA300" s="24"/>
      <c r="AB300" s="32"/>
      <c r="AC300" s="31" t="str">
        <f t="shared" si="29"/>
        <v/>
      </c>
      <c r="AF300" s="109" t="str">
        <f>IF($M300="","",VLOOKUP($M300,'ORF Accuracy Value LookUp'!$D$4:$E$104,2,TRUE))</f>
        <v/>
      </c>
      <c r="AG300" s="47" t="str">
        <f>IF($S300="","",VLOOKUP($S300,'ORF Accuracy Value LookUp'!$G$4:$H$104,2,TRUE))</f>
        <v/>
      </c>
      <c r="AH300" s="110" t="str">
        <f>IF($Z300="","",VLOOKUP($Z300,'ORF Accuracy Value LookUp'!$G$4:$H$104,2,TRUE))</f>
        <v/>
      </c>
    </row>
    <row r="301" spans="1:34">
      <c r="A301" s="10"/>
      <c r="B301" s="9"/>
      <c r="C301" s="9"/>
      <c r="D301" s="9"/>
      <c r="E301" s="10"/>
      <c r="F301" s="11"/>
      <c r="G301" s="15"/>
      <c r="H301" s="81"/>
      <c r="I301" s="24"/>
      <c r="J301" s="24"/>
      <c r="K301" s="74"/>
      <c r="L301" s="74"/>
      <c r="M301" s="76" t="str">
        <f t="shared" si="25"/>
        <v/>
      </c>
      <c r="N301" s="24"/>
      <c r="O301" s="111" t="str">
        <f t="shared" si="24"/>
        <v/>
      </c>
      <c r="P301" s="81"/>
      <c r="Q301" s="74"/>
      <c r="R301" s="74"/>
      <c r="S301" s="78" t="str">
        <f t="shared" si="26"/>
        <v/>
      </c>
      <c r="T301" s="24"/>
      <c r="U301" s="32"/>
      <c r="V301" s="40" t="str">
        <f t="shared" si="28"/>
        <v/>
      </c>
      <c r="W301" s="81"/>
      <c r="X301" s="74"/>
      <c r="Y301" s="74"/>
      <c r="Z301" s="79" t="str">
        <f t="shared" si="27"/>
        <v/>
      </c>
      <c r="AA301" s="24"/>
      <c r="AB301" s="32"/>
      <c r="AC301" s="31" t="str">
        <f t="shared" si="29"/>
        <v/>
      </c>
      <c r="AF301" s="109" t="str">
        <f>IF($M301="","",VLOOKUP($M301,'ORF Accuracy Value LookUp'!$D$4:$E$104,2,TRUE))</f>
        <v/>
      </c>
      <c r="AG301" s="47" t="str">
        <f>IF($S301="","",VLOOKUP($S301,'ORF Accuracy Value LookUp'!$G$4:$H$104,2,TRUE))</f>
        <v/>
      </c>
      <c r="AH301" s="110" t="str">
        <f>IF($Z301="","",VLOOKUP($Z301,'ORF Accuracy Value LookUp'!$G$4:$H$104,2,TRUE))</f>
        <v/>
      </c>
    </row>
    <row r="302" spans="1:34">
      <c r="A302" s="10"/>
      <c r="B302" s="9"/>
      <c r="C302" s="9"/>
      <c r="D302" s="9"/>
      <c r="E302" s="10"/>
      <c r="F302" s="11"/>
      <c r="G302" s="15"/>
      <c r="H302" s="81"/>
      <c r="I302" s="24"/>
      <c r="J302" s="24"/>
      <c r="K302" s="74"/>
      <c r="L302" s="74"/>
      <c r="M302" s="76" t="str">
        <f t="shared" si="25"/>
        <v/>
      </c>
      <c r="N302" s="24"/>
      <c r="O302" s="111" t="str">
        <f t="shared" si="24"/>
        <v/>
      </c>
      <c r="P302" s="81"/>
      <c r="Q302" s="74"/>
      <c r="R302" s="74"/>
      <c r="S302" s="78" t="str">
        <f t="shared" si="26"/>
        <v/>
      </c>
      <c r="T302" s="24"/>
      <c r="U302" s="32"/>
      <c r="V302" s="40" t="str">
        <f t="shared" si="28"/>
        <v/>
      </c>
      <c r="W302" s="81"/>
      <c r="X302" s="74"/>
      <c r="Y302" s="74"/>
      <c r="Z302" s="79" t="str">
        <f t="shared" si="27"/>
        <v/>
      </c>
      <c r="AA302" s="24"/>
      <c r="AB302" s="32"/>
      <c r="AC302" s="31" t="str">
        <f t="shared" si="29"/>
        <v/>
      </c>
      <c r="AF302" s="109" t="str">
        <f>IF($M302="","",VLOOKUP($M302,'ORF Accuracy Value LookUp'!$D$4:$E$104,2,TRUE))</f>
        <v/>
      </c>
      <c r="AG302" s="47" t="str">
        <f>IF($S302="","",VLOOKUP($S302,'ORF Accuracy Value LookUp'!$G$4:$H$104,2,TRUE))</f>
        <v/>
      </c>
      <c r="AH302" s="110" t="str">
        <f>IF($Z302="","",VLOOKUP($Z302,'ORF Accuracy Value LookUp'!$G$4:$H$104,2,TRUE))</f>
        <v/>
      </c>
    </row>
    <row r="303" spans="1:34">
      <c r="A303" s="10"/>
      <c r="B303" s="9"/>
      <c r="C303" s="9"/>
      <c r="D303" s="9"/>
      <c r="E303" s="10"/>
      <c r="F303" s="11"/>
      <c r="G303" s="15"/>
      <c r="H303" s="81"/>
      <c r="I303" s="24"/>
      <c r="J303" s="24"/>
      <c r="K303" s="74"/>
      <c r="L303" s="74"/>
      <c r="M303" s="76" t="str">
        <f t="shared" si="25"/>
        <v/>
      </c>
      <c r="N303" s="24"/>
      <c r="O303" s="111" t="str">
        <f t="shared" si="24"/>
        <v/>
      </c>
      <c r="P303" s="81"/>
      <c r="Q303" s="74"/>
      <c r="R303" s="74"/>
      <c r="S303" s="78" t="str">
        <f t="shared" si="26"/>
        <v/>
      </c>
      <c r="T303" s="24"/>
      <c r="U303" s="32"/>
      <c r="V303" s="40" t="str">
        <f t="shared" si="28"/>
        <v/>
      </c>
      <c r="W303" s="81"/>
      <c r="X303" s="74"/>
      <c r="Y303" s="74"/>
      <c r="Z303" s="79" t="str">
        <f t="shared" si="27"/>
        <v/>
      </c>
      <c r="AA303" s="24"/>
      <c r="AB303" s="32"/>
      <c r="AC303" s="31" t="str">
        <f t="shared" si="29"/>
        <v/>
      </c>
      <c r="AF303" s="109" t="str">
        <f>IF($M303="","",VLOOKUP($M303,'ORF Accuracy Value LookUp'!$D$4:$E$104,2,TRUE))</f>
        <v/>
      </c>
      <c r="AG303" s="47" t="str">
        <f>IF($S303="","",VLOOKUP($S303,'ORF Accuracy Value LookUp'!$G$4:$H$104,2,TRUE))</f>
        <v/>
      </c>
      <c r="AH303" s="110" t="str">
        <f>IF($Z303="","",VLOOKUP($Z303,'ORF Accuracy Value LookUp'!$G$4:$H$104,2,TRUE))</f>
        <v/>
      </c>
    </row>
    <row r="304" spans="1:34">
      <c r="A304" s="10"/>
      <c r="B304" s="9"/>
      <c r="C304" s="9"/>
      <c r="D304" s="9"/>
      <c r="E304" s="10"/>
      <c r="F304" s="11"/>
      <c r="G304" s="15"/>
      <c r="H304" s="81"/>
      <c r="I304" s="24"/>
      <c r="J304" s="24"/>
      <c r="K304" s="74"/>
      <c r="L304" s="74"/>
      <c r="M304" s="76" t="str">
        <f t="shared" si="25"/>
        <v/>
      </c>
      <c r="N304" s="24"/>
      <c r="O304" s="111" t="str">
        <f t="shared" si="24"/>
        <v/>
      </c>
      <c r="P304" s="81"/>
      <c r="Q304" s="74"/>
      <c r="R304" s="74"/>
      <c r="S304" s="78" t="str">
        <f t="shared" si="26"/>
        <v/>
      </c>
      <c r="T304" s="24"/>
      <c r="U304" s="32"/>
      <c r="V304" s="40" t="str">
        <f t="shared" si="28"/>
        <v/>
      </c>
      <c r="W304" s="81"/>
      <c r="X304" s="74"/>
      <c r="Y304" s="74"/>
      <c r="Z304" s="79" t="str">
        <f t="shared" si="27"/>
        <v/>
      </c>
      <c r="AA304" s="24"/>
      <c r="AB304" s="32"/>
      <c r="AC304" s="31" t="str">
        <f t="shared" si="29"/>
        <v/>
      </c>
      <c r="AF304" s="109" t="str">
        <f>IF($M304="","",VLOOKUP($M304,'ORF Accuracy Value LookUp'!$D$4:$E$104,2,TRUE))</f>
        <v/>
      </c>
      <c r="AG304" s="47" t="str">
        <f>IF($S304="","",VLOOKUP($S304,'ORF Accuracy Value LookUp'!$G$4:$H$104,2,TRUE))</f>
        <v/>
      </c>
      <c r="AH304" s="110" t="str">
        <f>IF($Z304="","",VLOOKUP($Z304,'ORF Accuracy Value LookUp'!$G$4:$H$104,2,TRUE))</f>
        <v/>
      </c>
    </row>
    <row r="305" spans="1:34">
      <c r="A305" s="10"/>
      <c r="B305" s="9"/>
      <c r="C305" s="9"/>
      <c r="D305" s="9"/>
      <c r="E305" s="10"/>
      <c r="F305" s="11"/>
      <c r="G305" s="15"/>
      <c r="H305" s="81"/>
      <c r="I305" s="24"/>
      <c r="J305" s="24"/>
      <c r="K305" s="74"/>
      <c r="L305" s="74"/>
      <c r="M305" s="76" t="str">
        <f t="shared" si="25"/>
        <v/>
      </c>
      <c r="N305" s="24"/>
      <c r="O305" s="111" t="str">
        <f t="shared" si="24"/>
        <v/>
      </c>
      <c r="P305" s="81"/>
      <c r="Q305" s="74"/>
      <c r="R305" s="74"/>
      <c r="S305" s="78" t="str">
        <f t="shared" si="26"/>
        <v/>
      </c>
      <c r="T305" s="24"/>
      <c r="U305" s="32"/>
      <c r="V305" s="40" t="str">
        <f t="shared" si="28"/>
        <v/>
      </c>
      <c r="W305" s="81"/>
      <c r="X305" s="74"/>
      <c r="Y305" s="74"/>
      <c r="Z305" s="79" t="str">
        <f t="shared" si="27"/>
        <v/>
      </c>
      <c r="AA305" s="24"/>
      <c r="AB305" s="32"/>
      <c r="AC305" s="31" t="str">
        <f t="shared" si="29"/>
        <v/>
      </c>
      <c r="AF305" s="109" t="str">
        <f>IF($M305="","",VLOOKUP($M305,'ORF Accuracy Value LookUp'!$D$4:$E$104,2,TRUE))</f>
        <v/>
      </c>
      <c r="AG305" s="47" t="str">
        <f>IF($S305="","",VLOOKUP($S305,'ORF Accuracy Value LookUp'!$G$4:$H$104,2,TRUE))</f>
        <v/>
      </c>
      <c r="AH305" s="110" t="str">
        <f>IF($Z305="","",VLOOKUP($Z305,'ORF Accuracy Value LookUp'!$G$4:$H$104,2,TRUE))</f>
        <v/>
      </c>
    </row>
    <row r="306" spans="1:34">
      <c r="A306" s="10"/>
      <c r="B306" s="9"/>
      <c r="C306" s="9"/>
      <c r="D306" s="9"/>
      <c r="E306" s="10"/>
      <c r="F306" s="11"/>
      <c r="G306" s="15"/>
      <c r="H306" s="81"/>
      <c r="I306" s="24"/>
      <c r="J306" s="24"/>
      <c r="K306" s="74"/>
      <c r="L306" s="74"/>
      <c r="M306" s="76" t="str">
        <f t="shared" si="25"/>
        <v/>
      </c>
      <c r="N306" s="24"/>
      <c r="O306" s="111" t="str">
        <f t="shared" si="24"/>
        <v/>
      </c>
      <c r="P306" s="81"/>
      <c r="Q306" s="74"/>
      <c r="R306" s="74"/>
      <c r="S306" s="78" t="str">
        <f t="shared" si="26"/>
        <v/>
      </c>
      <c r="T306" s="24"/>
      <c r="U306" s="32"/>
      <c r="V306" s="40" t="str">
        <f t="shared" si="28"/>
        <v/>
      </c>
      <c r="W306" s="81"/>
      <c r="X306" s="74"/>
      <c r="Y306" s="74"/>
      <c r="Z306" s="79" t="str">
        <f t="shared" si="27"/>
        <v/>
      </c>
      <c r="AA306" s="24"/>
      <c r="AB306" s="32"/>
      <c r="AC306" s="31" t="str">
        <f t="shared" si="29"/>
        <v/>
      </c>
      <c r="AF306" s="109" t="str">
        <f>IF($M306="","",VLOOKUP($M306,'ORF Accuracy Value LookUp'!$D$4:$E$104,2,TRUE))</f>
        <v/>
      </c>
      <c r="AG306" s="47" t="str">
        <f>IF($S306="","",VLOOKUP($S306,'ORF Accuracy Value LookUp'!$G$4:$H$104,2,TRUE))</f>
        <v/>
      </c>
      <c r="AH306" s="110" t="str">
        <f>IF($Z306="","",VLOOKUP($Z306,'ORF Accuracy Value LookUp'!$G$4:$H$104,2,TRUE))</f>
        <v/>
      </c>
    </row>
    <row r="307" spans="1:34">
      <c r="A307" s="10"/>
      <c r="B307" s="9"/>
      <c r="C307" s="9"/>
      <c r="D307" s="9"/>
      <c r="E307" s="10"/>
      <c r="F307" s="11"/>
      <c r="G307" s="15"/>
      <c r="H307" s="81"/>
      <c r="I307" s="24"/>
      <c r="J307" s="24"/>
      <c r="K307" s="74"/>
      <c r="L307" s="74"/>
      <c r="M307" s="76" t="str">
        <f t="shared" si="25"/>
        <v/>
      </c>
      <c r="N307" s="24"/>
      <c r="O307" s="111" t="str">
        <f t="shared" si="24"/>
        <v/>
      </c>
      <c r="P307" s="81"/>
      <c r="Q307" s="74"/>
      <c r="R307" s="74"/>
      <c r="S307" s="78" t="str">
        <f t="shared" si="26"/>
        <v/>
      </c>
      <c r="T307" s="24"/>
      <c r="U307" s="32"/>
      <c r="V307" s="40" t="str">
        <f t="shared" si="28"/>
        <v/>
      </c>
      <c r="W307" s="81"/>
      <c r="X307" s="74"/>
      <c r="Y307" s="74"/>
      <c r="Z307" s="79" t="str">
        <f t="shared" si="27"/>
        <v/>
      </c>
      <c r="AA307" s="24"/>
      <c r="AB307" s="32"/>
      <c r="AC307" s="31" t="str">
        <f t="shared" si="29"/>
        <v/>
      </c>
      <c r="AF307" s="109" t="str">
        <f>IF($M307="","",VLOOKUP($M307,'ORF Accuracy Value LookUp'!$D$4:$E$104,2,TRUE))</f>
        <v/>
      </c>
      <c r="AG307" s="47" t="str">
        <f>IF($S307="","",VLOOKUP($S307,'ORF Accuracy Value LookUp'!$G$4:$H$104,2,TRUE))</f>
        <v/>
      </c>
      <c r="AH307" s="110" t="str">
        <f>IF($Z307="","",VLOOKUP($Z307,'ORF Accuracy Value LookUp'!$G$4:$H$104,2,TRUE))</f>
        <v/>
      </c>
    </row>
    <row r="308" spans="1:34">
      <c r="A308" s="10"/>
      <c r="B308" s="9"/>
      <c r="C308" s="9"/>
      <c r="D308" s="9"/>
      <c r="E308" s="10"/>
      <c r="F308" s="11"/>
      <c r="G308" s="15"/>
      <c r="H308" s="81"/>
      <c r="I308" s="24"/>
      <c r="J308" s="24"/>
      <c r="K308" s="74"/>
      <c r="L308" s="74"/>
      <c r="M308" s="76" t="str">
        <f t="shared" si="25"/>
        <v/>
      </c>
      <c r="N308" s="24"/>
      <c r="O308" s="111" t="str">
        <f t="shared" si="24"/>
        <v/>
      </c>
      <c r="P308" s="81"/>
      <c r="Q308" s="74"/>
      <c r="R308" s="74"/>
      <c r="S308" s="78" t="str">
        <f t="shared" si="26"/>
        <v/>
      </c>
      <c r="T308" s="24"/>
      <c r="U308" s="32"/>
      <c r="V308" s="40" t="str">
        <f t="shared" si="28"/>
        <v/>
      </c>
      <c r="W308" s="81"/>
      <c r="X308" s="74"/>
      <c r="Y308" s="74"/>
      <c r="Z308" s="79" t="str">
        <f t="shared" si="27"/>
        <v/>
      </c>
      <c r="AA308" s="24"/>
      <c r="AB308" s="32"/>
      <c r="AC308" s="31" t="str">
        <f t="shared" si="29"/>
        <v/>
      </c>
      <c r="AF308" s="109" t="str">
        <f>IF($M308="","",VLOOKUP($M308,'ORF Accuracy Value LookUp'!$D$4:$E$104,2,TRUE))</f>
        <v/>
      </c>
      <c r="AG308" s="47" t="str">
        <f>IF($S308="","",VLOOKUP($S308,'ORF Accuracy Value LookUp'!$G$4:$H$104,2,TRUE))</f>
        <v/>
      </c>
      <c r="AH308" s="110" t="str">
        <f>IF($Z308="","",VLOOKUP($Z308,'ORF Accuracy Value LookUp'!$G$4:$H$104,2,TRUE))</f>
        <v/>
      </c>
    </row>
    <row r="309" spans="1:34">
      <c r="A309" s="10"/>
      <c r="B309" s="9"/>
      <c r="C309" s="9"/>
      <c r="D309" s="9"/>
      <c r="E309" s="10"/>
      <c r="F309" s="11"/>
      <c r="G309" s="15"/>
      <c r="H309" s="81"/>
      <c r="I309" s="24"/>
      <c r="J309" s="24"/>
      <c r="K309" s="74"/>
      <c r="L309" s="74"/>
      <c r="M309" s="76" t="str">
        <f t="shared" si="25"/>
        <v/>
      </c>
      <c r="N309" s="24"/>
      <c r="O309" s="111" t="str">
        <f t="shared" si="24"/>
        <v/>
      </c>
      <c r="P309" s="81"/>
      <c r="Q309" s="74"/>
      <c r="R309" s="74"/>
      <c r="S309" s="78" t="str">
        <f t="shared" si="26"/>
        <v/>
      </c>
      <c r="T309" s="24"/>
      <c r="U309" s="32"/>
      <c r="V309" s="40" t="str">
        <f t="shared" si="28"/>
        <v/>
      </c>
      <c r="W309" s="81"/>
      <c r="X309" s="74"/>
      <c r="Y309" s="74"/>
      <c r="Z309" s="79" t="str">
        <f t="shared" si="27"/>
        <v/>
      </c>
      <c r="AA309" s="24"/>
      <c r="AB309" s="32"/>
      <c r="AC309" s="31" t="str">
        <f t="shared" si="29"/>
        <v/>
      </c>
      <c r="AF309" s="109" t="str">
        <f>IF($M309="","",VLOOKUP($M309,'ORF Accuracy Value LookUp'!$D$4:$E$104,2,TRUE))</f>
        <v/>
      </c>
      <c r="AG309" s="47" t="str">
        <f>IF($S309="","",VLOOKUP($S309,'ORF Accuracy Value LookUp'!$G$4:$H$104,2,TRUE))</f>
        <v/>
      </c>
      <c r="AH309" s="110" t="str">
        <f>IF($Z309="","",VLOOKUP($Z309,'ORF Accuracy Value LookUp'!$G$4:$H$104,2,TRUE))</f>
        <v/>
      </c>
    </row>
    <row r="310" spans="1:34">
      <c r="A310" s="10"/>
      <c r="B310" s="9"/>
      <c r="C310" s="9"/>
      <c r="D310" s="9"/>
      <c r="E310" s="10"/>
      <c r="F310" s="11"/>
      <c r="G310" s="15"/>
      <c r="H310" s="81"/>
      <c r="I310" s="24"/>
      <c r="J310" s="24"/>
      <c r="K310" s="74"/>
      <c r="L310" s="74"/>
      <c r="M310" s="76" t="str">
        <f t="shared" si="25"/>
        <v/>
      </c>
      <c r="N310" s="24"/>
      <c r="O310" s="111" t="str">
        <f t="shared" si="24"/>
        <v/>
      </c>
      <c r="P310" s="81"/>
      <c r="Q310" s="74"/>
      <c r="R310" s="74"/>
      <c r="S310" s="78" t="str">
        <f t="shared" si="26"/>
        <v/>
      </c>
      <c r="T310" s="24"/>
      <c r="U310" s="32"/>
      <c r="V310" s="40" t="str">
        <f t="shared" si="28"/>
        <v/>
      </c>
      <c r="W310" s="81"/>
      <c r="X310" s="74"/>
      <c r="Y310" s="74"/>
      <c r="Z310" s="79" t="str">
        <f t="shared" si="27"/>
        <v/>
      </c>
      <c r="AA310" s="24"/>
      <c r="AB310" s="32"/>
      <c r="AC310" s="31" t="str">
        <f t="shared" si="29"/>
        <v/>
      </c>
      <c r="AF310" s="109" t="str">
        <f>IF($M310="","",VLOOKUP($M310,'ORF Accuracy Value LookUp'!$D$4:$E$104,2,TRUE))</f>
        <v/>
      </c>
      <c r="AG310" s="47" t="str">
        <f>IF($S310="","",VLOOKUP($S310,'ORF Accuracy Value LookUp'!$G$4:$H$104,2,TRUE))</f>
        <v/>
      </c>
      <c r="AH310" s="110" t="str">
        <f>IF($Z310="","",VLOOKUP($Z310,'ORF Accuracy Value LookUp'!$G$4:$H$104,2,TRUE))</f>
        <v/>
      </c>
    </row>
    <row r="311" spans="1:34">
      <c r="A311" s="10"/>
      <c r="B311" s="9"/>
      <c r="C311" s="9"/>
      <c r="D311" s="9"/>
      <c r="E311" s="10"/>
      <c r="F311" s="11"/>
      <c r="G311" s="15"/>
      <c r="H311" s="81"/>
      <c r="I311" s="24"/>
      <c r="J311" s="24"/>
      <c r="K311" s="74"/>
      <c r="L311" s="74"/>
      <c r="M311" s="76" t="str">
        <f t="shared" si="25"/>
        <v/>
      </c>
      <c r="N311" s="24"/>
      <c r="O311" s="111" t="str">
        <f t="shared" si="24"/>
        <v/>
      </c>
      <c r="P311" s="81"/>
      <c r="Q311" s="74"/>
      <c r="R311" s="74"/>
      <c r="S311" s="78" t="str">
        <f t="shared" si="26"/>
        <v/>
      </c>
      <c r="T311" s="24"/>
      <c r="U311" s="32"/>
      <c r="V311" s="40" t="str">
        <f t="shared" si="28"/>
        <v/>
      </c>
      <c r="W311" s="81"/>
      <c r="X311" s="74"/>
      <c r="Y311" s="74"/>
      <c r="Z311" s="79" t="str">
        <f t="shared" si="27"/>
        <v/>
      </c>
      <c r="AA311" s="24"/>
      <c r="AB311" s="32"/>
      <c r="AC311" s="31" t="str">
        <f t="shared" si="29"/>
        <v/>
      </c>
      <c r="AF311" s="109" t="str">
        <f>IF($M311="","",VLOOKUP($M311,'ORF Accuracy Value LookUp'!$D$4:$E$104,2,TRUE))</f>
        <v/>
      </c>
      <c r="AG311" s="47" t="str">
        <f>IF($S311="","",VLOOKUP($S311,'ORF Accuracy Value LookUp'!$G$4:$H$104,2,TRUE))</f>
        <v/>
      </c>
      <c r="AH311" s="110" t="str">
        <f>IF($Z311="","",VLOOKUP($Z311,'ORF Accuracy Value LookUp'!$G$4:$H$104,2,TRUE))</f>
        <v/>
      </c>
    </row>
    <row r="312" spans="1:34">
      <c r="A312" s="10"/>
      <c r="B312" s="9"/>
      <c r="C312" s="9"/>
      <c r="D312" s="9"/>
      <c r="E312" s="10"/>
      <c r="F312" s="11"/>
      <c r="G312" s="15"/>
      <c r="H312" s="81"/>
      <c r="I312" s="24"/>
      <c r="J312" s="24"/>
      <c r="K312" s="74"/>
      <c r="L312" s="74"/>
      <c r="M312" s="76" t="str">
        <f t="shared" si="25"/>
        <v/>
      </c>
      <c r="N312" s="24"/>
      <c r="O312" s="111" t="str">
        <f t="shared" si="24"/>
        <v/>
      </c>
      <c r="P312" s="81"/>
      <c r="Q312" s="74"/>
      <c r="R312" s="74"/>
      <c r="S312" s="78" t="str">
        <f t="shared" si="26"/>
        <v/>
      </c>
      <c r="T312" s="24"/>
      <c r="U312" s="32"/>
      <c r="V312" s="40" t="str">
        <f t="shared" si="28"/>
        <v/>
      </c>
      <c r="W312" s="81"/>
      <c r="X312" s="74"/>
      <c r="Y312" s="74"/>
      <c r="Z312" s="79" t="str">
        <f t="shared" si="27"/>
        <v/>
      </c>
      <c r="AA312" s="24"/>
      <c r="AB312" s="32"/>
      <c r="AC312" s="31" t="str">
        <f t="shared" si="29"/>
        <v/>
      </c>
      <c r="AF312" s="109" t="str">
        <f>IF($M312="","",VLOOKUP($M312,'ORF Accuracy Value LookUp'!$D$4:$E$104,2,TRUE))</f>
        <v/>
      </c>
      <c r="AG312" s="47" t="str">
        <f>IF($S312="","",VLOOKUP($S312,'ORF Accuracy Value LookUp'!$G$4:$H$104,2,TRUE))</f>
        <v/>
      </c>
      <c r="AH312" s="110" t="str">
        <f>IF($Z312="","",VLOOKUP($Z312,'ORF Accuracy Value LookUp'!$G$4:$H$104,2,TRUE))</f>
        <v/>
      </c>
    </row>
    <row r="313" spans="1:34">
      <c r="A313" s="10"/>
      <c r="B313" s="9"/>
      <c r="C313" s="9"/>
      <c r="D313" s="9"/>
      <c r="E313" s="10"/>
      <c r="F313" s="11"/>
      <c r="G313" s="15"/>
      <c r="H313" s="81"/>
      <c r="I313" s="24"/>
      <c r="J313" s="24"/>
      <c r="K313" s="74"/>
      <c r="L313" s="74"/>
      <c r="M313" s="76" t="str">
        <f t="shared" si="25"/>
        <v/>
      </c>
      <c r="N313" s="24"/>
      <c r="O313" s="111" t="str">
        <f t="shared" si="24"/>
        <v/>
      </c>
      <c r="P313" s="81"/>
      <c r="Q313" s="74"/>
      <c r="R313" s="74"/>
      <c r="S313" s="78" t="str">
        <f t="shared" si="26"/>
        <v/>
      </c>
      <c r="T313" s="24"/>
      <c r="U313" s="32"/>
      <c r="V313" s="40" t="str">
        <f t="shared" si="28"/>
        <v/>
      </c>
      <c r="W313" s="81"/>
      <c r="X313" s="74"/>
      <c r="Y313" s="74"/>
      <c r="Z313" s="79" t="str">
        <f t="shared" si="27"/>
        <v/>
      </c>
      <c r="AA313" s="24"/>
      <c r="AB313" s="32"/>
      <c r="AC313" s="31" t="str">
        <f t="shared" si="29"/>
        <v/>
      </c>
      <c r="AF313" s="109" t="str">
        <f>IF($M313="","",VLOOKUP($M313,'ORF Accuracy Value LookUp'!$D$4:$E$104,2,TRUE))</f>
        <v/>
      </c>
      <c r="AG313" s="47" t="str">
        <f>IF($S313="","",VLOOKUP($S313,'ORF Accuracy Value LookUp'!$G$4:$H$104,2,TRUE))</f>
        <v/>
      </c>
      <c r="AH313" s="110" t="str">
        <f>IF($Z313="","",VLOOKUP($Z313,'ORF Accuracy Value LookUp'!$G$4:$H$104,2,TRUE))</f>
        <v/>
      </c>
    </row>
    <row r="314" spans="1:34">
      <c r="A314" s="10"/>
      <c r="B314" s="9"/>
      <c r="C314" s="9"/>
      <c r="D314" s="9"/>
      <c r="E314" s="10"/>
      <c r="F314" s="11"/>
      <c r="G314" s="15"/>
      <c r="H314" s="81"/>
      <c r="I314" s="24"/>
      <c r="J314" s="24"/>
      <c r="K314" s="74"/>
      <c r="L314" s="74"/>
      <c r="M314" s="76" t="str">
        <f t="shared" si="25"/>
        <v/>
      </c>
      <c r="N314" s="24"/>
      <c r="O314" s="111" t="str">
        <f t="shared" si="24"/>
        <v/>
      </c>
      <c r="P314" s="81"/>
      <c r="Q314" s="74"/>
      <c r="R314" s="74"/>
      <c r="S314" s="78" t="str">
        <f t="shared" si="26"/>
        <v/>
      </c>
      <c r="T314" s="24"/>
      <c r="U314" s="32"/>
      <c r="V314" s="40" t="str">
        <f t="shared" si="28"/>
        <v/>
      </c>
      <c r="W314" s="81"/>
      <c r="X314" s="74"/>
      <c r="Y314" s="74"/>
      <c r="Z314" s="79" t="str">
        <f t="shared" si="27"/>
        <v/>
      </c>
      <c r="AA314" s="24"/>
      <c r="AB314" s="32"/>
      <c r="AC314" s="31" t="str">
        <f t="shared" si="29"/>
        <v/>
      </c>
      <c r="AF314" s="109" t="str">
        <f>IF($M314="","",VLOOKUP($M314,'ORF Accuracy Value LookUp'!$D$4:$E$104,2,TRUE))</f>
        <v/>
      </c>
      <c r="AG314" s="47" t="str">
        <f>IF($S314="","",VLOOKUP($S314,'ORF Accuracy Value LookUp'!$G$4:$H$104,2,TRUE))</f>
        <v/>
      </c>
      <c r="AH314" s="110" t="str">
        <f>IF($Z314="","",VLOOKUP($Z314,'ORF Accuracy Value LookUp'!$G$4:$H$104,2,TRUE))</f>
        <v/>
      </c>
    </row>
    <row r="315" spans="1:34">
      <c r="A315" s="10"/>
      <c r="B315" s="9"/>
      <c r="C315" s="9"/>
      <c r="D315" s="9"/>
      <c r="E315" s="10"/>
      <c r="F315" s="11"/>
      <c r="G315" s="15"/>
      <c r="H315" s="81"/>
      <c r="I315" s="24"/>
      <c r="J315" s="24"/>
      <c r="K315" s="74"/>
      <c r="L315" s="74"/>
      <c r="M315" s="76" t="str">
        <f t="shared" si="25"/>
        <v/>
      </c>
      <c r="N315" s="24"/>
      <c r="O315" s="111" t="str">
        <f t="shared" si="24"/>
        <v/>
      </c>
      <c r="P315" s="81"/>
      <c r="Q315" s="74"/>
      <c r="R315" s="74"/>
      <c r="S315" s="78" t="str">
        <f t="shared" si="26"/>
        <v/>
      </c>
      <c r="T315" s="24"/>
      <c r="U315" s="32"/>
      <c r="V315" s="40" t="str">
        <f t="shared" si="28"/>
        <v/>
      </c>
      <c r="W315" s="81"/>
      <c r="X315" s="74"/>
      <c r="Y315" s="74"/>
      <c r="Z315" s="79" t="str">
        <f t="shared" si="27"/>
        <v/>
      </c>
      <c r="AA315" s="24"/>
      <c r="AB315" s="32"/>
      <c r="AC315" s="31" t="str">
        <f t="shared" si="29"/>
        <v/>
      </c>
      <c r="AF315" s="109" t="str">
        <f>IF($M315="","",VLOOKUP($M315,'ORF Accuracy Value LookUp'!$D$4:$E$104,2,TRUE))</f>
        <v/>
      </c>
      <c r="AG315" s="47" t="str">
        <f>IF($S315="","",VLOOKUP($S315,'ORF Accuracy Value LookUp'!$G$4:$H$104,2,TRUE))</f>
        <v/>
      </c>
      <c r="AH315" s="110" t="str">
        <f>IF($Z315="","",VLOOKUP($Z315,'ORF Accuracy Value LookUp'!$G$4:$H$104,2,TRUE))</f>
        <v/>
      </c>
    </row>
    <row r="316" spans="1:34">
      <c r="A316" s="10"/>
      <c r="B316" s="9"/>
      <c r="C316" s="9"/>
      <c r="D316" s="9"/>
      <c r="E316" s="10"/>
      <c r="F316" s="11"/>
      <c r="G316" s="15"/>
      <c r="H316" s="81"/>
      <c r="I316" s="24"/>
      <c r="J316" s="24"/>
      <c r="K316" s="74"/>
      <c r="L316" s="74"/>
      <c r="M316" s="76" t="str">
        <f t="shared" si="25"/>
        <v/>
      </c>
      <c r="N316" s="24"/>
      <c r="O316" s="111" t="str">
        <f t="shared" si="24"/>
        <v/>
      </c>
      <c r="P316" s="81"/>
      <c r="Q316" s="74"/>
      <c r="R316" s="74"/>
      <c r="S316" s="78" t="str">
        <f t="shared" si="26"/>
        <v/>
      </c>
      <c r="T316" s="24"/>
      <c r="U316" s="32"/>
      <c r="V316" s="40" t="str">
        <f t="shared" si="28"/>
        <v/>
      </c>
      <c r="W316" s="81"/>
      <c r="X316" s="74"/>
      <c r="Y316" s="74"/>
      <c r="Z316" s="79" t="str">
        <f t="shared" si="27"/>
        <v/>
      </c>
      <c r="AA316" s="24"/>
      <c r="AB316" s="32"/>
      <c r="AC316" s="31" t="str">
        <f t="shared" si="29"/>
        <v/>
      </c>
      <c r="AF316" s="109" t="str">
        <f>IF($M316="","",VLOOKUP($M316,'ORF Accuracy Value LookUp'!$D$4:$E$104,2,TRUE))</f>
        <v/>
      </c>
      <c r="AG316" s="47" t="str">
        <f>IF($S316="","",VLOOKUP($S316,'ORF Accuracy Value LookUp'!$G$4:$H$104,2,TRUE))</f>
        <v/>
      </c>
      <c r="AH316" s="110" t="str">
        <f>IF($Z316="","",VLOOKUP($Z316,'ORF Accuracy Value LookUp'!$G$4:$H$104,2,TRUE))</f>
        <v/>
      </c>
    </row>
    <row r="317" spans="1:34">
      <c r="A317" s="10"/>
      <c r="B317" s="9"/>
      <c r="C317" s="9"/>
      <c r="D317" s="9"/>
      <c r="E317" s="10"/>
      <c r="F317" s="11"/>
      <c r="G317" s="15"/>
      <c r="H317" s="81"/>
      <c r="I317" s="24"/>
      <c r="J317" s="24"/>
      <c r="K317" s="74"/>
      <c r="L317" s="74"/>
      <c r="M317" s="76" t="str">
        <f t="shared" si="25"/>
        <v/>
      </c>
      <c r="N317" s="24"/>
      <c r="O317" s="111" t="str">
        <f t="shared" si="24"/>
        <v/>
      </c>
      <c r="P317" s="81"/>
      <c r="Q317" s="74"/>
      <c r="R317" s="74"/>
      <c r="S317" s="78" t="str">
        <f t="shared" si="26"/>
        <v/>
      </c>
      <c r="T317" s="24"/>
      <c r="U317" s="32"/>
      <c r="V317" s="40" t="str">
        <f t="shared" si="28"/>
        <v/>
      </c>
      <c r="W317" s="81"/>
      <c r="X317" s="74"/>
      <c r="Y317" s="74"/>
      <c r="Z317" s="79" t="str">
        <f t="shared" si="27"/>
        <v/>
      </c>
      <c r="AA317" s="24"/>
      <c r="AB317" s="32"/>
      <c r="AC317" s="31" t="str">
        <f t="shared" si="29"/>
        <v/>
      </c>
      <c r="AF317" s="109" t="str">
        <f>IF($M317="","",VLOOKUP($M317,'ORF Accuracy Value LookUp'!$D$4:$E$104,2,TRUE))</f>
        <v/>
      </c>
      <c r="AG317" s="47" t="str">
        <f>IF($S317="","",VLOOKUP($S317,'ORF Accuracy Value LookUp'!$G$4:$H$104,2,TRUE))</f>
        <v/>
      </c>
      <c r="AH317" s="110" t="str">
        <f>IF($Z317="","",VLOOKUP($Z317,'ORF Accuracy Value LookUp'!$G$4:$H$104,2,TRUE))</f>
        <v/>
      </c>
    </row>
    <row r="318" spans="1:34">
      <c r="A318" s="10"/>
      <c r="B318" s="9"/>
      <c r="C318" s="9"/>
      <c r="D318" s="9"/>
      <c r="E318" s="10"/>
      <c r="F318" s="11"/>
      <c r="G318" s="15"/>
      <c r="H318" s="81"/>
      <c r="I318" s="24"/>
      <c r="J318" s="24"/>
      <c r="K318" s="74"/>
      <c r="L318" s="74"/>
      <c r="M318" s="76" t="str">
        <f t="shared" si="25"/>
        <v/>
      </c>
      <c r="N318" s="24"/>
      <c r="O318" s="111" t="str">
        <f t="shared" si="24"/>
        <v/>
      </c>
      <c r="P318" s="81"/>
      <c r="Q318" s="74"/>
      <c r="R318" s="74"/>
      <c r="S318" s="78" t="str">
        <f t="shared" si="26"/>
        <v/>
      </c>
      <c r="T318" s="24"/>
      <c r="U318" s="32"/>
      <c r="V318" s="40" t="str">
        <f t="shared" si="28"/>
        <v/>
      </c>
      <c r="W318" s="81"/>
      <c r="X318" s="74"/>
      <c r="Y318" s="74"/>
      <c r="Z318" s="79" t="str">
        <f t="shared" si="27"/>
        <v/>
      </c>
      <c r="AA318" s="24"/>
      <c r="AB318" s="32"/>
      <c r="AC318" s="31" t="str">
        <f t="shared" si="29"/>
        <v/>
      </c>
      <c r="AF318" s="109" t="str">
        <f>IF($M318="","",VLOOKUP($M318,'ORF Accuracy Value LookUp'!$D$4:$E$104,2,TRUE))</f>
        <v/>
      </c>
      <c r="AG318" s="47" t="str">
        <f>IF($S318="","",VLOOKUP($S318,'ORF Accuracy Value LookUp'!$G$4:$H$104,2,TRUE))</f>
        <v/>
      </c>
      <c r="AH318" s="110" t="str">
        <f>IF($Z318="","",VLOOKUP($Z318,'ORF Accuracy Value LookUp'!$G$4:$H$104,2,TRUE))</f>
        <v/>
      </c>
    </row>
    <row r="319" spans="1:34">
      <c r="A319" s="10"/>
      <c r="B319" s="9"/>
      <c r="C319" s="9"/>
      <c r="D319" s="9"/>
      <c r="E319" s="10"/>
      <c r="F319" s="11"/>
      <c r="G319" s="15"/>
      <c r="H319" s="81"/>
      <c r="I319" s="24"/>
      <c r="J319" s="24"/>
      <c r="K319" s="74"/>
      <c r="L319" s="74"/>
      <c r="M319" s="76" t="str">
        <f t="shared" si="25"/>
        <v/>
      </c>
      <c r="N319" s="24"/>
      <c r="O319" s="111" t="str">
        <f t="shared" si="24"/>
        <v/>
      </c>
      <c r="P319" s="81"/>
      <c r="Q319" s="74"/>
      <c r="R319" s="74"/>
      <c r="S319" s="78" t="str">
        <f t="shared" si="26"/>
        <v/>
      </c>
      <c r="T319" s="24"/>
      <c r="U319" s="32"/>
      <c r="V319" s="40" t="str">
        <f t="shared" si="28"/>
        <v/>
      </c>
      <c r="W319" s="81"/>
      <c r="X319" s="74"/>
      <c r="Y319" s="74"/>
      <c r="Z319" s="79" t="str">
        <f t="shared" si="27"/>
        <v/>
      </c>
      <c r="AA319" s="24"/>
      <c r="AB319" s="32"/>
      <c r="AC319" s="31" t="str">
        <f t="shared" si="29"/>
        <v/>
      </c>
      <c r="AF319" s="109" t="str">
        <f>IF($M319="","",VLOOKUP($M319,'ORF Accuracy Value LookUp'!$D$4:$E$104,2,TRUE))</f>
        <v/>
      </c>
      <c r="AG319" s="47" t="str">
        <f>IF($S319="","",VLOOKUP($S319,'ORF Accuracy Value LookUp'!$G$4:$H$104,2,TRUE))</f>
        <v/>
      </c>
      <c r="AH319" s="110" t="str">
        <f>IF($Z319="","",VLOOKUP($Z319,'ORF Accuracy Value LookUp'!$G$4:$H$104,2,TRUE))</f>
        <v/>
      </c>
    </row>
    <row r="320" spans="1:34">
      <c r="A320" s="10"/>
      <c r="B320" s="9"/>
      <c r="C320" s="9"/>
      <c r="D320" s="9"/>
      <c r="E320" s="10"/>
      <c r="F320" s="11"/>
      <c r="G320" s="15"/>
      <c r="H320" s="81"/>
      <c r="I320" s="24"/>
      <c r="J320" s="24"/>
      <c r="K320" s="74"/>
      <c r="L320" s="74"/>
      <c r="M320" s="76" t="str">
        <f t="shared" si="25"/>
        <v/>
      </c>
      <c r="N320" s="24"/>
      <c r="O320" s="111" t="str">
        <f t="shared" si="24"/>
        <v/>
      </c>
      <c r="P320" s="81"/>
      <c r="Q320" s="74"/>
      <c r="R320" s="74"/>
      <c r="S320" s="78" t="str">
        <f t="shared" si="26"/>
        <v/>
      </c>
      <c r="T320" s="24"/>
      <c r="U320" s="32"/>
      <c r="V320" s="40" t="str">
        <f t="shared" si="28"/>
        <v/>
      </c>
      <c r="W320" s="81"/>
      <c r="X320" s="74"/>
      <c r="Y320" s="74"/>
      <c r="Z320" s="79" t="str">
        <f t="shared" si="27"/>
        <v/>
      </c>
      <c r="AA320" s="24"/>
      <c r="AB320" s="32"/>
      <c r="AC320" s="31" t="str">
        <f t="shared" si="29"/>
        <v/>
      </c>
      <c r="AF320" s="109" t="str">
        <f>IF($M320="","",VLOOKUP($M320,'ORF Accuracy Value LookUp'!$D$4:$E$104,2,TRUE))</f>
        <v/>
      </c>
      <c r="AG320" s="47" t="str">
        <f>IF($S320="","",VLOOKUP($S320,'ORF Accuracy Value LookUp'!$G$4:$H$104,2,TRUE))</f>
        <v/>
      </c>
      <c r="AH320" s="110" t="str">
        <f>IF($Z320="","",VLOOKUP($Z320,'ORF Accuracy Value LookUp'!$G$4:$H$104,2,TRUE))</f>
        <v/>
      </c>
    </row>
    <row r="321" spans="1:34">
      <c r="A321" s="10"/>
      <c r="B321" s="9"/>
      <c r="C321" s="9"/>
      <c r="D321" s="9"/>
      <c r="E321" s="10"/>
      <c r="F321" s="11"/>
      <c r="G321" s="15"/>
      <c r="H321" s="81"/>
      <c r="I321" s="24"/>
      <c r="J321" s="24"/>
      <c r="K321" s="74"/>
      <c r="L321" s="74"/>
      <c r="M321" s="76" t="str">
        <f t="shared" si="25"/>
        <v/>
      </c>
      <c r="N321" s="24"/>
      <c r="O321" s="111" t="str">
        <f t="shared" si="24"/>
        <v/>
      </c>
      <c r="P321" s="81"/>
      <c r="Q321" s="74"/>
      <c r="R321" s="74"/>
      <c r="S321" s="78" t="str">
        <f t="shared" si="26"/>
        <v/>
      </c>
      <c r="T321" s="24"/>
      <c r="U321" s="32"/>
      <c r="V321" s="40" t="str">
        <f t="shared" si="28"/>
        <v/>
      </c>
      <c r="W321" s="81"/>
      <c r="X321" s="74"/>
      <c r="Y321" s="74"/>
      <c r="Z321" s="79" t="str">
        <f t="shared" si="27"/>
        <v/>
      </c>
      <c r="AA321" s="24"/>
      <c r="AB321" s="32"/>
      <c r="AC321" s="31" t="str">
        <f t="shared" si="29"/>
        <v/>
      </c>
      <c r="AF321" s="109" t="str">
        <f>IF($M321="","",VLOOKUP($M321,'ORF Accuracy Value LookUp'!$D$4:$E$104,2,TRUE))</f>
        <v/>
      </c>
      <c r="AG321" s="47" t="str">
        <f>IF($S321="","",VLOOKUP($S321,'ORF Accuracy Value LookUp'!$G$4:$H$104,2,TRUE))</f>
        <v/>
      </c>
      <c r="AH321" s="110" t="str">
        <f>IF($Z321="","",VLOOKUP($Z321,'ORF Accuracy Value LookUp'!$G$4:$H$104,2,TRUE))</f>
        <v/>
      </c>
    </row>
    <row r="322" spans="1:34">
      <c r="A322" s="10"/>
      <c r="B322" s="9"/>
      <c r="C322" s="9"/>
      <c r="D322" s="9"/>
      <c r="E322" s="10"/>
      <c r="F322" s="11"/>
      <c r="G322" s="15"/>
      <c r="H322" s="81"/>
      <c r="I322" s="24"/>
      <c r="J322" s="24"/>
      <c r="K322" s="74"/>
      <c r="L322" s="74"/>
      <c r="M322" s="76" t="str">
        <f t="shared" si="25"/>
        <v/>
      </c>
      <c r="N322" s="24"/>
      <c r="O322" s="111" t="str">
        <f t="shared" si="24"/>
        <v/>
      </c>
      <c r="P322" s="81"/>
      <c r="Q322" s="74"/>
      <c r="R322" s="74"/>
      <c r="S322" s="78" t="str">
        <f t="shared" si="26"/>
        <v/>
      </c>
      <c r="T322" s="24"/>
      <c r="U322" s="32"/>
      <c r="V322" s="40" t="str">
        <f t="shared" si="28"/>
        <v/>
      </c>
      <c r="W322" s="81"/>
      <c r="X322" s="74"/>
      <c r="Y322" s="74"/>
      <c r="Z322" s="79" t="str">
        <f t="shared" si="27"/>
        <v/>
      </c>
      <c r="AA322" s="24"/>
      <c r="AB322" s="32"/>
      <c r="AC322" s="31" t="str">
        <f t="shared" si="29"/>
        <v/>
      </c>
      <c r="AF322" s="109" t="str">
        <f>IF($M322="","",VLOOKUP($M322,'ORF Accuracy Value LookUp'!$D$4:$E$104,2,TRUE))</f>
        <v/>
      </c>
      <c r="AG322" s="47" t="str">
        <f>IF($S322="","",VLOOKUP($S322,'ORF Accuracy Value LookUp'!$G$4:$H$104,2,TRUE))</f>
        <v/>
      </c>
      <c r="AH322" s="110" t="str">
        <f>IF($Z322="","",VLOOKUP($Z322,'ORF Accuracy Value LookUp'!$G$4:$H$104,2,TRUE))</f>
        <v/>
      </c>
    </row>
    <row r="323" spans="1:34">
      <c r="A323" s="10"/>
      <c r="B323" s="9"/>
      <c r="C323" s="9"/>
      <c r="D323" s="9"/>
      <c r="E323" s="10"/>
      <c r="F323" s="11"/>
      <c r="G323" s="15"/>
      <c r="H323" s="81"/>
      <c r="I323" s="24"/>
      <c r="J323" s="24"/>
      <c r="K323" s="74"/>
      <c r="L323" s="74"/>
      <c r="M323" s="76" t="str">
        <f t="shared" si="25"/>
        <v/>
      </c>
      <c r="N323" s="24"/>
      <c r="O323" s="111" t="str">
        <f t="shared" si="24"/>
        <v/>
      </c>
      <c r="P323" s="81"/>
      <c r="Q323" s="74"/>
      <c r="R323" s="74"/>
      <c r="S323" s="78" t="str">
        <f t="shared" si="26"/>
        <v/>
      </c>
      <c r="T323" s="24"/>
      <c r="U323" s="32"/>
      <c r="V323" s="40" t="str">
        <f t="shared" si="28"/>
        <v/>
      </c>
      <c r="W323" s="81"/>
      <c r="X323" s="74"/>
      <c r="Y323" s="74"/>
      <c r="Z323" s="79" t="str">
        <f t="shared" si="27"/>
        <v/>
      </c>
      <c r="AA323" s="24"/>
      <c r="AB323" s="32"/>
      <c r="AC323" s="31" t="str">
        <f t="shared" si="29"/>
        <v/>
      </c>
      <c r="AF323" s="109" t="str">
        <f>IF($M323="","",VLOOKUP($M323,'ORF Accuracy Value LookUp'!$D$4:$E$104,2,TRUE))</f>
        <v/>
      </c>
      <c r="AG323" s="47" t="str">
        <f>IF($S323="","",VLOOKUP($S323,'ORF Accuracy Value LookUp'!$G$4:$H$104,2,TRUE))</f>
        <v/>
      </c>
      <c r="AH323" s="110" t="str">
        <f>IF($Z323="","",VLOOKUP($Z323,'ORF Accuracy Value LookUp'!$G$4:$H$104,2,TRUE))</f>
        <v/>
      </c>
    </row>
    <row r="324" spans="1:34">
      <c r="A324" s="10"/>
      <c r="B324" s="9"/>
      <c r="C324" s="9"/>
      <c r="D324" s="9"/>
      <c r="E324" s="10"/>
      <c r="F324" s="11"/>
      <c r="G324" s="15"/>
      <c r="H324" s="81"/>
      <c r="I324" s="24"/>
      <c r="J324" s="24"/>
      <c r="K324" s="74"/>
      <c r="L324" s="74"/>
      <c r="M324" s="76" t="str">
        <f t="shared" si="25"/>
        <v/>
      </c>
      <c r="N324" s="24"/>
      <c r="O324" s="111" t="str">
        <f t="shared" si="24"/>
        <v/>
      </c>
      <c r="P324" s="81"/>
      <c r="Q324" s="74"/>
      <c r="R324" s="74"/>
      <c r="S324" s="78" t="str">
        <f t="shared" si="26"/>
        <v/>
      </c>
      <c r="T324" s="24"/>
      <c r="U324" s="32"/>
      <c r="V324" s="40" t="str">
        <f t="shared" si="28"/>
        <v/>
      </c>
      <c r="W324" s="81"/>
      <c r="X324" s="74"/>
      <c r="Y324" s="74"/>
      <c r="Z324" s="79" t="str">
        <f t="shared" si="27"/>
        <v/>
      </c>
      <c r="AA324" s="24"/>
      <c r="AB324" s="32"/>
      <c r="AC324" s="31" t="str">
        <f t="shared" si="29"/>
        <v/>
      </c>
      <c r="AF324" s="109" t="str">
        <f>IF($M324="","",VLOOKUP($M324,'ORF Accuracy Value LookUp'!$D$4:$E$104,2,TRUE))</f>
        <v/>
      </c>
      <c r="AG324" s="47" t="str">
        <f>IF($S324="","",VLOOKUP($S324,'ORF Accuracy Value LookUp'!$G$4:$H$104,2,TRUE))</f>
        <v/>
      </c>
      <c r="AH324" s="110" t="str">
        <f>IF($Z324="","",VLOOKUP($Z324,'ORF Accuracy Value LookUp'!$G$4:$H$104,2,TRUE))</f>
        <v/>
      </c>
    </row>
    <row r="325" spans="1:34">
      <c r="A325" s="10"/>
      <c r="B325" s="9"/>
      <c r="C325" s="9"/>
      <c r="D325" s="9"/>
      <c r="E325" s="10"/>
      <c r="F325" s="11"/>
      <c r="G325" s="15"/>
      <c r="H325" s="81"/>
      <c r="I325" s="24"/>
      <c r="J325" s="24"/>
      <c r="K325" s="74"/>
      <c r="L325" s="74"/>
      <c r="M325" s="76" t="str">
        <f t="shared" si="25"/>
        <v/>
      </c>
      <c r="N325" s="24"/>
      <c r="O325" s="111" t="str">
        <f t="shared" si="24"/>
        <v/>
      </c>
      <c r="P325" s="81"/>
      <c r="Q325" s="74"/>
      <c r="R325" s="74"/>
      <c r="S325" s="78" t="str">
        <f t="shared" si="26"/>
        <v/>
      </c>
      <c r="T325" s="24"/>
      <c r="U325" s="32"/>
      <c r="V325" s="40" t="str">
        <f t="shared" si="28"/>
        <v/>
      </c>
      <c r="W325" s="81"/>
      <c r="X325" s="74"/>
      <c r="Y325" s="74"/>
      <c r="Z325" s="79" t="str">
        <f t="shared" si="27"/>
        <v/>
      </c>
      <c r="AA325" s="24"/>
      <c r="AB325" s="32"/>
      <c r="AC325" s="31" t="str">
        <f t="shared" si="29"/>
        <v/>
      </c>
      <c r="AF325" s="109" t="str">
        <f>IF($M325="","",VLOOKUP($M325,'ORF Accuracy Value LookUp'!$D$4:$E$104,2,TRUE))</f>
        <v/>
      </c>
      <c r="AG325" s="47" t="str">
        <f>IF($S325="","",VLOOKUP($S325,'ORF Accuracy Value LookUp'!$G$4:$H$104,2,TRUE))</f>
        <v/>
      </c>
      <c r="AH325" s="110" t="str">
        <f>IF($Z325="","",VLOOKUP($Z325,'ORF Accuracy Value LookUp'!$G$4:$H$104,2,TRUE))</f>
        <v/>
      </c>
    </row>
    <row r="326" spans="1:34">
      <c r="A326" s="10"/>
      <c r="B326" s="9"/>
      <c r="C326" s="9"/>
      <c r="D326" s="9"/>
      <c r="E326" s="10"/>
      <c r="F326" s="11"/>
      <c r="G326" s="15"/>
      <c r="H326" s="81"/>
      <c r="I326" s="24"/>
      <c r="J326" s="24"/>
      <c r="K326" s="74"/>
      <c r="L326" s="74"/>
      <c r="M326" s="76" t="str">
        <f t="shared" si="25"/>
        <v/>
      </c>
      <c r="N326" s="24"/>
      <c r="O326" s="111" t="str">
        <f t="shared" ref="O326:O389" si="30">IF($B326="","",SUM(($J326*2)+$K326+$AF326))</f>
        <v/>
      </c>
      <c r="P326" s="81"/>
      <c r="Q326" s="74"/>
      <c r="R326" s="74"/>
      <c r="S326" s="78" t="str">
        <f t="shared" si="26"/>
        <v/>
      </c>
      <c r="T326" s="24"/>
      <c r="U326" s="32"/>
      <c r="V326" s="40" t="str">
        <f t="shared" si="28"/>
        <v/>
      </c>
      <c r="W326" s="81"/>
      <c r="X326" s="74"/>
      <c r="Y326" s="74"/>
      <c r="Z326" s="79" t="str">
        <f t="shared" si="27"/>
        <v/>
      </c>
      <c r="AA326" s="24"/>
      <c r="AB326" s="32"/>
      <c r="AC326" s="31" t="str">
        <f t="shared" si="29"/>
        <v/>
      </c>
      <c r="AF326" s="109" t="str">
        <f>IF($M326="","",VLOOKUP($M326,'ORF Accuracy Value LookUp'!$D$4:$E$104,2,TRUE))</f>
        <v/>
      </c>
      <c r="AG326" s="47" t="str">
        <f>IF($S326="","",VLOOKUP($S326,'ORF Accuracy Value LookUp'!$G$4:$H$104,2,TRUE))</f>
        <v/>
      </c>
      <c r="AH326" s="110" t="str">
        <f>IF($Z326="","",VLOOKUP($Z326,'ORF Accuracy Value LookUp'!$G$4:$H$104,2,TRUE))</f>
        <v/>
      </c>
    </row>
    <row r="327" spans="1:34">
      <c r="A327" s="10"/>
      <c r="B327" s="9"/>
      <c r="C327" s="9"/>
      <c r="D327" s="9"/>
      <c r="E327" s="10"/>
      <c r="F327" s="11"/>
      <c r="G327" s="15"/>
      <c r="H327" s="81"/>
      <c r="I327" s="24"/>
      <c r="J327" s="24"/>
      <c r="K327" s="74"/>
      <c r="L327" s="74"/>
      <c r="M327" s="76" t="str">
        <f t="shared" ref="M327:M390" si="31">IF($K327="","",SUM($K327/($K327+$L327)))</f>
        <v/>
      </c>
      <c r="N327" s="24"/>
      <c r="O327" s="111" t="str">
        <f t="shared" si="30"/>
        <v/>
      </c>
      <c r="P327" s="81"/>
      <c r="Q327" s="74"/>
      <c r="R327" s="74"/>
      <c r="S327" s="78" t="str">
        <f t="shared" ref="S327:S390" si="32">IF($Q327="","",SUM($Q327/($Q327+$R327)))</f>
        <v/>
      </c>
      <c r="T327" s="24"/>
      <c r="U327" s="32"/>
      <c r="V327" s="40" t="str">
        <f t="shared" si="28"/>
        <v/>
      </c>
      <c r="W327" s="81"/>
      <c r="X327" s="74"/>
      <c r="Y327" s="74"/>
      <c r="Z327" s="79" t="str">
        <f t="shared" ref="Z327:Z390" si="33">IF($X327="","",SUM($X327/($X327+$Y327)))</f>
        <v/>
      </c>
      <c r="AA327" s="24"/>
      <c r="AB327" s="32"/>
      <c r="AC327" s="31" t="str">
        <f t="shared" si="29"/>
        <v/>
      </c>
      <c r="AF327" s="109" t="str">
        <f>IF($M327="","",VLOOKUP($M327,'ORF Accuracy Value LookUp'!$D$4:$E$104,2,TRUE))</f>
        <v/>
      </c>
      <c r="AG327" s="47" t="str">
        <f>IF($S327="","",VLOOKUP($S327,'ORF Accuracy Value LookUp'!$G$4:$H$104,2,TRUE))</f>
        <v/>
      </c>
      <c r="AH327" s="110" t="str">
        <f>IF($Z327="","",VLOOKUP($Z327,'ORF Accuracy Value LookUp'!$G$4:$H$104,2,TRUE))</f>
        <v/>
      </c>
    </row>
    <row r="328" spans="1:34">
      <c r="A328" s="10"/>
      <c r="B328" s="9"/>
      <c r="C328" s="9"/>
      <c r="D328" s="9"/>
      <c r="E328" s="10"/>
      <c r="F328" s="11"/>
      <c r="G328" s="15"/>
      <c r="H328" s="81"/>
      <c r="I328" s="24"/>
      <c r="J328" s="24"/>
      <c r="K328" s="74"/>
      <c r="L328" s="74"/>
      <c r="M328" s="76" t="str">
        <f t="shared" si="31"/>
        <v/>
      </c>
      <c r="N328" s="24"/>
      <c r="O328" s="111" t="str">
        <f t="shared" si="30"/>
        <v/>
      </c>
      <c r="P328" s="81"/>
      <c r="Q328" s="74"/>
      <c r="R328" s="74"/>
      <c r="S328" s="78" t="str">
        <f t="shared" si="32"/>
        <v/>
      </c>
      <c r="T328" s="24"/>
      <c r="U328" s="32"/>
      <c r="V328" s="40" t="str">
        <f t="shared" ref="V328:V391" si="34">IF($P328="","",SUM($Q328+$AG328+($T328*2)))</f>
        <v/>
      </c>
      <c r="W328" s="81"/>
      <c r="X328" s="74"/>
      <c r="Y328" s="74"/>
      <c r="Z328" s="79" t="str">
        <f t="shared" si="33"/>
        <v/>
      </c>
      <c r="AA328" s="24"/>
      <c r="AB328" s="32"/>
      <c r="AC328" s="31" t="str">
        <f t="shared" ref="AC328:AC391" si="35">IF($W328="","",SUM($X328+$AH328+($AA328*2)))</f>
        <v/>
      </c>
      <c r="AF328" s="109" t="str">
        <f>IF($M328="","",VLOOKUP($M328,'ORF Accuracy Value LookUp'!$D$4:$E$104,2,TRUE))</f>
        <v/>
      </c>
      <c r="AG328" s="47" t="str">
        <f>IF($S328="","",VLOOKUP($S328,'ORF Accuracy Value LookUp'!$G$4:$H$104,2,TRUE))</f>
        <v/>
      </c>
      <c r="AH328" s="110" t="str">
        <f>IF($Z328="","",VLOOKUP($Z328,'ORF Accuracy Value LookUp'!$G$4:$H$104,2,TRUE))</f>
        <v/>
      </c>
    </row>
    <row r="329" spans="1:34">
      <c r="A329" s="10"/>
      <c r="B329" s="9"/>
      <c r="C329" s="9"/>
      <c r="D329" s="9"/>
      <c r="E329" s="10"/>
      <c r="F329" s="11"/>
      <c r="G329" s="15"/>
      <c r="H329" s="81"/>
      <c r="I329" s="24"/>
      <c r="J329" s="24"/>
      <c r="K329" s="74"/>
      <c r="L329" s="74"/>
      <c r="M329" s="76" t="str">
        <f t="shared" si="31"/>
        <v/>
      </c>
      <c r="N329" s="24"/>
      <c r="O329" s="111" t="str">
        <f t="shared" si="30"/>
        <v/>
      </c>
      <c r="P329" s="81"/>
      <c r="Q329" s="74"/>
      <c r="R329" s="74"/>
      <c r="S329" s="78" t="str">
        <f t="shared" si="32"/>
        <v/>
      </c>
      <c r="T329" s="24"/>
      <c r="U329" s="32"/>
      <c r="V329" s="40" t="str">
        <f t="shared" si="34"/>
        <v/>
      </c>
      <c r="W329" s="81"/>
      <c r="X329" s="74"/>
      <c r="Y329" s="74"/>
      <c r="Z329" s="79" t="str">
        <f t="shared" si="33"/>
        <v/>
      </c>
      <c r="AA329" s="24"/>
      <c r="AB329" s="32"/>
      <c r="AC329" s="31" t="str">
        <f t="shared" si="35"/>
        <v/>
      </c>
      <c r="AF329" s="109" t="str">
        <f>IF($M329="","",VLOOKUP($M329,'ORF Accuracy Value LookUp'!$D$4:$E$104,2,TRUE))</f>
        <v/>
      </c>
      <c r="AG329" s="47" t="str">
        <f>IF($S329="","",VLOOKUP($S329,'ORF Accuracy Value LookUp'!$G$4:$H$104,2,TRUE))</f>
        <v/>
      </c>
      <c r="AH329" s="110" t="str">
        <f>IF($Z329="","",VLOOKUP($Z329,'ORF Accuracy Value LookUp'!$G$4:$H$104,2,TRUE))</f>
        <v/>
      </c>
    </row>
    <row r="330" spans="1:34">
      <c r="A330" s="10"/>
      <c r="B330" s="9"/>
      <c r="C330" s="9"/>
      <c r="D330" s="9"/>
      <c r="E330" s="10"/>
      <c r="F330" s="11"/>
      <c r="G330" s="15"/>
      <c r="H330" s="81"/>
      <c r="I330" s="24"/>
      <c r="J330" s="24"/>
      <c r="K330" s="74"/>
      <c r="L330" s="74"/>
      <c r="M330" s="76" t="str">
        <f t="shared" si="31"/>
        <v/>
      </c>
      <c r="N330" s="24"/>
      <c r="O330" s="111" t="str">
        <f t="shared" si="30"/>
        <v/>
      </c>
      <c r="P330" s="81"/>
      <c r="Q330" s="74"/>
      <c r="R330" s="74"/>
      <c r="S330" s="78" t="str">
        <f t="shared" si="32"/>
        <v/>
      </c>
      <c r="T330" s="24"/>
      <c r="U330" s="32"/>
      <c r="V330" s="40" t="str">
        <f t="shared" si="34"/>
        <v/>
      </c>
      <c r="W330" s="81"/>
      <c r="X330" s="74"/>
      <c r="Y330" s="74"/>
      <c r="Z330" s="79" t="str">
        <f t="shared" si="33"/>
        <v/>
      </c>
      <c r="AA330" s="24"/>
      <c r="AB330" s="32"/>
      <c r="AC330" s="31" t="str">
        <f t="shared" si="35"/>
        <v/>
      </c>
      <c r="AF330" s="109" t="str">
        <f>IF($M330="","",VLOOKUP($M330,'ORF Accuracy Value LookUp'!$D$4:$E$104,2,TRUE))</f>
        <v/>
      </c>
      <c r="AG330" s="47" t="str">
        <f>IF($S330="","",VLOOKUP($S330,'ORF Accuracy Value LookUp'!$G$4:$H$104,2,TRUE))</f>
        <v/>
      </c>
      <c r="AH330" s="110" t="str">
        <f>IF($Z330="","",VLOOKUP($Z330,'ORF Accuracy Value LookUp'!$G$4:$H$104,2,TRUE))</f>
        <v/>
      </c>
    </row>
    <row r="331" spans="1:34">
      <c r="A331" s="10"/>
      <c r="B331" s="9"/>
      <c r="C331" s="9"/>
      <c r="D331" s="9"/>
      <c r="E331" s="10"/>
      <c r="F331" s="11"/>
      <c r="G331" s="15"/>
      <c r="H331" s="81"/>
      <c r="I331" s="24"/>
      <c r="J331" s="24"/>
      <c r="K331" s="74"/>
      <c r="L331" s="74"/>
      <c r="M331" s="76" t="str">
        <f t="shared" si="31"/>
        <v/>
      </c>
      <c r="N331" s="24"/>
      <c r="O331" s="111" t="str">
        <f t="shared" si="30"/>
        <v/>
      </c>
      <c r="P331" s="81"/>
      <c r="Q331" s="74"/>
      <c r="R331" s="74"/>
      <c r="S331" s="78" t="str">
        <f t="shared" si="32"/>
        <v/>
      </c>
      <c r="T331" s="24"/>
      <c r="U331" s="32"/>
      <c r="V331" s="40" t="str">
        <f t="shared" si="34"/>
        <v/>
      </c>
      <c r="W331" s="81"/>
      <c r="X331" s="74"/>
      <c r="Y331" s="74"/>
      <c r="Z331" s="79" t="str">
        <f t="shared" si="33"/>
        <v/>
      </c>
      <c r="AA331" s="24"/>
      <c r="AB331" s="32"/>
      <c r="AC331" s="31" t="str">
        <f t="shared" si="35"/>
        <v/>
      </c>
      <c r="AF331" s="109" t="str">
        <f>IF($M331="","",VLOOKUP($M331,'ORF Accuracy Value LookUp'!$D$4:$E$104,2,TRUE))</f>
        <v/>
      </c>
      <c r="AG331" s="47" t="str">
        <f>IF($S331="","",VLOOKUP($S331,'ORF Accuracy Value LookUp'!$G$4:$H$104,2,TRUE))</f>
        <v/>
      </c>
      <c r="AH331" s="110" t="str">
        <f>IF($Z331="","",VLOOKUP($Z331,'ORF Accuracy Value LookUp'!$G$4:$H$104,2,TRUE))</f>
        <v/>
      </c>
    </row>
    <row r="332" spans="1:34">
      <c r="A332" s="10"/>
      <c r="B332" s="9"/>
      <c r="C332" s="9"/>
      <c r="D332" s="9"/>
      <c r="E332" s="10"/>
      <c r="F332" s="11"/>
      <c r="G332" s="15"/>
      <c r="H332" s="81"/>
      <c r="I332" s="24"/>
      <c r="J332" s="24"/>
      <c r="K332" s="74"/>
      <c r="L332" s="74"/>
      <c r="M332" s="76" t="str">
        <f t="shared" si="31"/>
        <v/>
      </c>
      <c r="N332" s="24"/>
      <c r="O332" s="111" t="str">
        <f t="shared" si="30"/>
        <v/>
      </c>
      <c r="P332" s="81"/>
      <c r="Q332" s="74"/>
      <c r="R332" s="74"/>
      <c r="S332" s="78" t="str">
        <f t="shared" si="32"/>
        <v/>
      </c>
      <c r="T332" s="24"/>
      <c r="U332" s="32"/>
      <c r="V332" s="40" t="str">
        <f t="shared" si="34"/>
        <v/>
      </c>
      <c r="W332" s="81"/>
      <c r="X332" s="74"/>
      <c r="Y332" s="74"/>
      <c r="Z332" s="79" t="str">
        <f t="shared" si="33"/>
        <v/>
      </c>
      <c r="AA332" s="24"/>
      <c r="AB332" s="32"/>
      <c r="AC332" s="31" t="str">
        <f t="shared" si="35"/>
        <v/>
      </c>
      <c r="AF332" s="109" t="str">
        <f>IF($M332="","",VLOOKUP($M332,'ORF Accuracy Value LookUp'!$D$4:$E$104,2,TRUE))</f>
        <v/>
      </c>
      <c r="AG332" s="47" t="str">
        <f>IF($S332="","",VLOOKUP($S332,'ORF Accuracy Value LookUp'!$G$4:$H$104,2,TRUE))</f>
        <v/>
      </c>
      <c r="AH332" s="110" t="str">
        <f>IF($Z332="","",VLOOKUP($Z332,'ORF Accuracy Value LookUp'!$G$4:$H$104,2,TRUE))</f>
        <v/>
      </c>
    </row>
    <row r="333" spans="1:34">
      <c r="A333" s="10"/>
      <c r="B333" s="9"/>
      <c r="C333" s="9"/>
      <c r="D333" s="9"/>
      <c r="E333" s="10"/>
      <c r="F333" s="11"/>
      <c r="G333" s="15"/>
      <c r="H333" s="81"/>
      <c r="I333" s="24"/>
      <c r="J333" s="24"/>
      <c r="K333" s="74"/>
      <c r="L333" s="74"/>
      <c r="M333" s="76" t="str">
        <f t="shared" si="31"/>
        <v/>
      </c>
      <c r="N333" s="24"/>
      <c r="O333" s="111" t="str">
        <f t="shared" si="30"/>
        <v/>
      </c>
      <c r="P333" s="81"/>
      <c r="Q333" s="74"/>
      <c r="R333" s="74"/>
      <c r="S333" s="78" t="str">
        <f t="shared" si="32"/>
        <v/>
      </c>
      <c r="T333" s="24"/>
      <c r="U333" s="32"/>
      <c r="V333" s="40" t="str">
        <f t="shared" si="34"/>
        <v/>
      </c>
      <c r="W333" s="81"/>
      <c r="X333" s="74"/>
      <c r="Y333" s="74"/>
      <c r="Z333" s="79" t="str">
        <f t="shared" si="33"/>
        <v/>
      </c>
      <c r="AA333" s="24"/>
      <c r="AB333" s="32"/>
      <c r="AC333" s="31" t="str">
        <f t="shared" si="35"/>
        <v/>
      </c>
      <c r="AF333" s="109" t="str">
        <f>IF($M333="","",VLOOKUP($M333,'ORF Accuracy Value LookUp'!$D$4:$E$104,2,TRUE))</f>
        <v/>
      </c>
      <c r="AG333" s="47" t="str">
        <f>IF($S333="","",VLOOKUP($S333,'ORF Accuracy Value LookUp'!$G$4:$H$104,2,TRUE))</f>
        <v/>
      </c>
      <c r="AH333" s="110" t="str">
        <f>IF($Z333="","",VLOOKUP($Z333,'ORF Accuracy Value LookUp'!$G$4:$H$104,2,TRUE))</f>
        <v/>
      </c>
    </row>
    <row r="334" spans="1:34">
      <c r="A334" s="10"/>
      <c r="B334" s="9"/>
      <c r="C334" s="9"/>
      <c r="D334" s="9"/>
      <c r="E334" s="10"/>
      <c r="F334" s="11"/>
      <c r="G334" s="15"/>
      <c r="H334" s="81"/>
      <c r="I334" s="24"/>
      <c r="J334" s="24"/>
      <c r="K334" s="74"/>
      <c r="L334" s="74"/>
      <c r="M334" s="76" t="str">
        <f t="shared" si="31"/>
        <v/>
      </c>
      <c r="N334" s="24"/>
      <c r="O334" s="111" t="str">
        <f t="shared" si="30"/>
        <v/>
      </c>
      <c r="P334" s="81"/>
      <c r="Q334" s="74"/>
      <c r="R334" s="74"/>
      <c r="S334" s="78" t="str">
        <f t="shared" si="32"/>
        <v/>
      </c>
      <c r="T334" s="24"/>
      <c r="U334" s="32"/>
      <c r="V334" s="40" t="str">
        <f t="shared" si="34"/>
        <v/>
      </c>
      <c r="W334" s="81"/>
      <c r="X334" s="74"/>
      <c r="Y334" s="74"/>
      <c r="Z334" s="79" t="str">
        <f t="shared" si="33"/>
        <v/>
      </c>
      <c r="AA334" s="24"/>
      <c r="AB334" s="32"/>
      <c r="AC334" s="31" t="str">
        <f t="shared" si="35"/>
        <v/>
      </c>
      <c r="AF334" s="109" t="str">
        <f>IF($M334="","",VLOOKUP($M334,'ORF Accuracy Value LookUp'!$D$4:$E$104,2,TRUE))</f>
        <v/>
      </c>
      <c r="AG334" s="47" t="str">
        <f>IF($S334="","",VLOOKUP($S334,'ORF Accuracy Value LookUp'!$G$4:$H$104,2,TRUE))</f>
        <v/>
      </c>
      <c r="AH334" s="110" t="str">
        <f>IF($Z334="","",VLOOKUP($Z334,'ORF Accuracy Value LookUp'!$G$4:$H$104,2,TRUE))</f>
        <v/>
      </c>
    </row>
    <row r="335" spans="1:34">
      <c r="A335" s="10"/>
      <c r="B335" s="9"/>
      <c r="C335" s="9"/>
      <c r="D335" s="9"/>
      <c r="E335" s="10"/>
      <c r="F335" s="11"/>
      <c r="G335" s="15"/>
      <c r="H335" s="81"/>
      <c r="I335" s="24"/>
      <c r="J335" s="24"/>
      <c r="K335" s="74"/>
      <c r="L335" s="74"/>
      <c r="M335" s="76" t="str">
        <f t="shared" si="31"/>
        <v/>
      </c>
      <c r="N335" s="24"/>
      <c r="O335" s="111" t="str">
        <f t="shared" si="30"/>
        <v/>
      </c>
      <c r="P335" s="81"/>
      <c r="Q335" s="74"/>
      <c r="R335" s="74"/>
      <c r="S335" s="78" t="str">
        <f t="shared" si="32"/>
        <v/>
      </c>
      <c r="T335" s="24"/>
      <c r="U335" s="32"/>
      <c r="V335" s="40" t="str">
        <f t="shared" si="34"/>
        <v/>
      </c>
      <c r="W335" s="81"/>
      <c r="X335" s="74"/>
      <c r="Y335" s="74"/>
      <c r="Z335" s="79" t="str">
        <f t="shared" si="33"/>
        <v/>
      </c>
      <c r="AA335" s="24"/>
      <c r="AB335" s="32"/>
      <c r="AC335" s="31" t="str">
        <f t="shared" si="35"/>
        <v/>
      </c>
      <c r="AF335" s="109" t="str">
        <f>IF($M335="","",VLOOKUP($M335,'ORF Accuracy Value LookUp'!$D$4:$E$104,2,TRUE))</f>
        <v/>
      </c>
      <c r="AG335" s="47" t="str">
        <f>IF($S335="","",VLOOKUP($S335,'ORF Accuracy Value LookUp'!$G$4:$H$104,2,TRUE))</f>
        <v/>
      </c>
      <c r="AH335" s="110" t="str">
        <f>IF($Z335="","",VLOOKUP($Z335,'ORF Accuracy Value LookUp'!$G$4:$H$104,2,TRUE))</f>
        <v/>
      </c>
    </row>
    <row r="336" spans="1:34">
      <c r="A336" s="10"/>
      <c r="B336" s="9"/>
      <c r="C336" s="9"/>
      <c r="D336" s="9"/>
      <c r="E336" s="10"/>
      <c r="F336" s="11"/>
      <c r="G336" s="15"/>
      <c r="H336" s="81"/>
      <c r="I336" s="24"/>
      <c r="J336" s="24"/>
      <c r="K336" s="74"/>
      <c r="L336" s="74"/>
      <c r="M336" s="76" t="str">
        <f t="shared" si="31"/>
        <v/>
      </c>
      <c r="N336" s="24"/>
      <c r="O336" s="111" t="str">
        <f t="shared" si="30"/>
        <v/>
      </c>
      <c r="P336" s="81"/>
      <c r="Q336" s="74"/>
      <c r="R336" s="74"/>
      <c r="S336" s="78" t="str">
        <f t="shared" si="32"/>
        <v/>
      </c>
      <c r="T336" s="24"/>
      <c r="U336" s="32"/>
      <c r="V336" s="40" t="str">
        <f t="shared" si="34"/>
        <v/>
      </c>
      <c r="W336" s="81"/>
      <c r="X336" s="74"/>
      <c r="Y336" s="74"/>
      <c r="Z336" s="79" t="str">
        <f t="shared" si="33"/>
        <v/>
      </c>
      <c r="AA336" s="24"/>
      <c r="AB336" s="32"/>
      <c r="AC336" s="31" t="str">
        <f t="shared" si="35"/>
        <v/>
      </c>
      <c r="AF336" s="109" t="str">
        <f>IF($M336="","",VLOOKUP($M336,'ORF Accuracy Value LookUp'!$D$4:$E$104,2,TRUE))</f>
        <v/>
      </c>
      <c r="AG336" s="47" t="str">
        <f>IF($S336="","",VLOOKUP($S336,'ORF Accuracy Value LookUp'!$G$4:$H$104,2,TRUE))</f>
        <v/>
      </c>
      <c r="AH336" s="110" t="str">
        <f>IF($Z336="","",VLOOKUP($Z336,'ORF Accuracy Value LookUp'!$G$4:$H$104,2,TRUE))</f>
        <v/>
      </c>
    </row>
    <row r="337" spans="1:34">
      <c r="A337" s="10"/>
      <c r="B337" s="9"/>
      <c r="C337" s="9"/>
      <c r="D337" s="9"/>
      <c r="E337" s="10"/>
      <c r="F337" s="11"/>
      <c r="G337" s="15"/>
      <c r="H337" s="81"/>
      <c r="I337" s="24"/>
      <c r="J337" s="24"/>
      <c r="K337" s="74"/>
      <c r="L337" s="74"/>
      <c r="M337" s="76" t="str">
        <f t="shared" si="31"/>
        <v/>
      </c>
      <c r="N337" s="24"/>
      <c r="O337" s="111" t="str">
        <f t="shared" si="30"/>
        <v/>
      </c>
      <c r="P337" s="81"/>
      <c r="Q337" s="74"/>
      <c r="R337" s="74"/>
      <c r="S337" s="78" t="str">
        <f t="shared" si="32"/>
        <v/>
      </c>
      <c r="T337" s="24"/>
      <c r="U337" s="32"/>
      <c r="V337" s="40" t="str">
        <f t="shared" si="34"/>
        <v/>
      </c>
      <c r="W337" s="81"/>
      <c r="X337" s="74"/>
      <c r="Y337" s="74"/>
      <c r="Z337" s="79" t="str">
        <f t="shared" si="33"/>
        <v/>
      </c>
      <c r="AA337" s="24"/>
      <c r="AB337" s="32"/>
      <c r="AC337" s="31" t="str">
        <f t="shared" si="35"/>
        <v/>
      </c>
      <c r="AF337" s="109" t="str">
        <f>IF($M337="","",VLOOKUP($M337,'ORF Accuracy Value LookUp'!$D$4:$E$104,2,TRUE))</f>
        <v/>
      </c>
      <c r="AG337" s="47" t="str">
        <f>IF($S337="","",VLOOKUP($S337,'ORF Accuracy Value LookUp'!$G$4:$H$104,2,TRUE))</f>
        <v/>
      </c>
      <c r="AH337" s="110" t="str">
        <f>IF($Z337="","",VLOOKUP($Z337,'ORF Accuracy Value LookUp'!$G$4:$H$104,2,TRUE))</f>
        <v/>
      </c>
    </row>
    <row r="338" spans="1:34">
      <c r="A338" s="10"/>
      <c r="B338" s="9"/>
      <c r="C338" s="9"/>
      <c r="D338" s="9"/>
      <c r="E338" s="10"/>
      <c r="F338" s="11"/>
      <c r="G338" s="15"/>
      <c r="H338" s="81"/>
      <c r="I338" s="24"/>
      <c r="J338" s="24"/>
      <c r="K338" s="74"/>
      <c r="L338" s="74"/>
      <c r="M338" s="76" t="str">
        <f t="shared" si="31"/>
        <v/>
      </c>
      <c r="N338" s="24"/>
      <c r="O338" s="111" t="str">
        <f t="shared" si="30"/>
        <v/>
      </c>
      <c r="P338" s="81"/>
      <c r="Q338" s="74"/>
      <c r="R338" s="74"/>
      <c r="S338" s="78" t="str">
        <f t="shared" si="32"/>
        <v/>
      </c>
      <c r="T338" s="24"/>
      <c r="U338" s="32"/>
      <c r="V338" s="40" t="str">
        <f t="shared" si="34"/>
        <v/>
      </c>
      <c r="W338" s="81"/>
      <c r="X338" s="74"/>
      <c r="Y338" s="74"/>
      <c r="Z338" s="79" t="str">
        <f t="shared" si="33"/>
        <v/>
      </c>
      <c r="AA338" s="24"/>
      <c r="AB338" s="32"/>
      <c r="AC338" s="31" t="str">
        <f t="shared" si="35"/>
        <v/>
      </c>
      <c r="AF338" s="109" t="str">
        <f>IF($M338="","",VLOOKUP($M338,'ORF Accuracy Value LookUp'!$D$4:$E$104,2,TRUE))</f>
        <v/>
      </c>
      <c r="AG338" s="47" t="str">
        <f>IF($S338="","",VLOOKUP($S338,'ORF Accuracy Value LookUp'!$G$4:$H$104,2,TRUE))</f>
        <v/>
      </c>
      <c r="AH338" s="110" t="str">
        <f>IF($Z338="","",VLOOKUP($Z338,'ORF Accuracy Value LookUp'!$G$4:$H$104,2,TRUE))</f>
        <v/>
      </c>
    </row>
    <row r="339" spans="1:34">
      <c r="A339" s="10"/>
      <c r="B339" s="9"/>
      <c r="C339" s="9"/>
      <c r="D339" s="9"/>
      <c r="E339" s="10"/>
      <c r="F339" s="11"/>
      <c r="G339" s="15"/>
      <c r="H339" s="81"/>
      <c r="I339" s="24"/>
      <c r="J339" s="24"/>
      <c r="K339" s="74"/>
      <c r="L339" s="74"/>
      <c r="M339" s="76" t="str">
        <f t="shared" si="31"/>
        <v/>
      </c>
      <c r="N339" s="24"/>
      <c r="O339" s="111" t="str">
        <f t="shared" si="30"/>
        <v/>
      </c>
      <c r="P339" s="81"/>
      <c r="Q339" s="74"/>
      <c r="R339" s="74"/>
      <c r="S339" s="78" t="str">
        <f t="shared" si="32"/>
        <v/>
      </c>
      <c r="T339" s="24"/>
      <c r="U339" s="32"/>
      <c r="V339" s="40" t="str">
        <f t="shared" si="34"/>
        <v/>
      </c>
      <c r="W339" s="81"/>
      <c r="X339" s="74"/>
      <c r="Y339" s="74"/>
      <c r="Z339" s="79" t="str">
        <f t="shared" si="33"/>
        <v/>
      </c>
      <c r="AA339" s="24"/>
      <c r="AB339" s="32"/>
      <c r="AC339" s="31" t="str">
        <f t="shared" si="35"/>
        <v/>
      </c>
      <c r="AF339" s="109" t="str">
        <f>IF($M339="","",VLOOKUP($M339,'ORF Accuracy Value LookUp'!$D$4:$E$104,2,TRUE))</f>
        <v/>
      </c>
      <c r="AG339" s="47" t="str">
        <f>IF($S339="","",VLOOKUP($S339,'ORF Accuracy Value LookUp'!$G$4:$H$104,2,TRUE))</f>
        <v/>
      </c>
      <c r="AH339" s="110" t="str">
        <f>IF($Z339="","",VLOOKUP($Z339,'ORF Accuracy Value LookUp'!$G$4:$H$104,2,TRUE))</f>
        <v/>
      </c>
    </row>
    <row r="340" spans="1:34">
      <c r="A340" s="10"/>
      <c r="B340" s="9"/>
      <c r="C340" s="9"/>
      <c r="D340" s="9"/>
      <c r="E340" s="10"/>
      <c r="F340" s="11"/>
      <c r="G340" s="15"/>
      <c r="H340" s="81"/>
      <c r="I340" s="24"/>
      <c r="J340" s="24"/>
      <c r="K340" s="74"/>
      <c r="L340" s="74"/>
      <c r="M340" s="76" t="str">
        <f t="shared" si="31"/>
        <v/>
      </c>
      <c r="N340" s="24"/>
      <c r="O340" s="111" t="str">
        <f t="shared" si="30"/>
        <v/>
      </c>
      <c r="P340" s="81"/>
      <c r="Q340" s="74"/>
      <c r="R340" s="74"/>
      <c r="S340" s="78" t="str">
        <f t="shared" si="32"/>
        <v/>
      </c>
      <c r="T340" s="24"/>
      <c r="U340" s="32"/>
      <c r="V340" s="40" t="str">
        <f t="shared" si="34"/>
        <v/>
      </c>
      <c r="W340" s="81"/>
      <c r="X340" s="74"/>
      <c r="Y340" s="74"/>
      <c r="Z340" s="79" t="str">
        <f t="shared" si="33"/>
        <v/>
      </c>
      <c r="AA340" s="24"/>
      <c r="AB340" s="32"/>
      <c r="AC340" s="31" t="str">
        <f t="shared" si="35"/>
        <v/>
      </c>
      <c r="AF340" s="109" t="str">
        <f>IF($M340="","",VLOOKUP($M340,'ORF Accuracy Value LookUp'!$D$4:$E$104,2,TRUE))</f>
        <v/>
      </c>
      <c r="AG340" s="47" t="str">
        <f>IF($S340="","",VLOOKUP($S340,'ORF Accuracy Value LookUp'!$G$4:$H$104,2,TRUE))</f>
        <v/>
      </c>
      <c r="AH340" s="110" t="str">
        <f>IF($Z340="","",VLOOKUP($Z340,'ORF Accuracy Value LookUp'!$G$4:$H$104,2,TRUE))</f>
        <v/>
      </c>
    </row>
    <row r="341" spans="1:34">
      <c r="A341" s="10"/>
      <c r="B341" s="9"/>
      <c r="C341" s="9"/>
      <c r="D341" s="9"/>
      <c r="E341" s="10"/>
      <c r="F341" s="11"/>
      <c r="G341" s="15"/>
      <c r="H341" s="81"/>
      <c r="I341" s="24"/>
      <c r="J341" s="24"/>
      <c r="K341" s="74"/>
      <c r="L341" s="74"/>
      <c r="M341" s="76" t="str">
        <f t="shared" si="31"/>
        <v/>
      </c>
      <c r="N341" s="24"/>
      <c r="O341" s="111" t="str">
        <f t="shared" si="30"/>
        <v/>
      </c>
      <c r="P341" s="81"/>
      <c r="Q341" s="74"/>
      <c r="R341" s="74"/>
      <c r="S341" s="78" t="str">
        <f t="shared" si="32"/>
        <v/>
      </c>
      <c r="T341" s="24"/>
      <c r="U341" s="32"/>
      <c r="V341" s="40" t="str">
        <f t="shared" si="34"/>
        <v/>
      </c>
      <c r="W341" s="81"/>
      <c r="X341" s="74"/>
      <c r="Y341" s="74"/>
      <c r="Z341" s="79" t="str">
        <f t="shared" si="33"/>
        <v/>
      </c>
      <c r="AA341" s="24"/>
      <c r="AB341" s="32"/>
      <c r="AC341" s="31" t="str">
        <f t="shared" si="35"/>
        <v/>
      </c>
      <c r="AF341" s="109" t="str">
        <f>IF($M341="","",VLOOKUP($M341,'ORF Accuracy Value LookUp'!$D$4:$E$104,2,TRUE))</f>
        <v/>
      </c>
      <c r="AG341" s="47" t="str">
        <f>IF($S341="","",VLOOKUP($S341,'ORF Accuracy Value LookUp'!$G$4:$H$104,2,TRUE))</f>
        <v/>
      </c>
      <c r="AH341" s="110" t="str">
        <f>IF($Z341="","",VLOOKUP($Z341,'ORF Accuracy Value LookUp'!$G$4:$H$104,2,TRUE))</f>
        <v/>
      </c>
    </row>
    <row r="342" spans="1:34">
      <c r="A342" s="10"/>
      <c r="B342" s="9"/>
      <c r="C342" s="9"/>
      <c r="D342" s="9"/>
      <c r="E342" s="10"/>
      <c r="F342" s="11"/>
      <c r="G342" s="15"/>
      <c r="H342" s="81"/>
      <c r="I342" s="24"/>
      <c r="J342" s="24"/>
      <c r="K342" s="74"/>
      <c r="L342" s="74"/>
      <c r="M342" s="76" t="str">
        <f t="shared" si="31"/>
        <v/>
      </c>
      <c r="N342" s="24"/>
      <c r="O342" s="111" t="str">
        <f t="shared" si="30"/>
        <v/>
      </c>
      <c r="P342" s="81"/>
      <c r="Q342" s="74"/>
      <c r="R342" s="74"/>
      <c r="S342" s="78" t="str">
        <f t="shared" si="32"/>
        <v/>
      </c>
      <c r="T342" s="24"/>
      <c r="U342" s="32"/>
      <c r="V342" s="40" t="str">
        <f t="shared" si="34"/>
        <v/>
      </c>
      <c r="W342" s="81"/>
      <c r="X342" s="74"/>
      <c r="Y342" s="74"/>
      <c r="Z342" s="79" t="str">
        <f t="shared" si="33"/>
        <v/>
      </c>
      <c r="AA342" s="24"/>
      <c r="AB342" s="32"/>
      <c r="AC342" s="31" t="str">
        <f t="shared" si="35"/>
        <v/>
      </c>
      <c r="AF342" s="109" t="str">
        <f>IF($M342="","",VLOOKUP($M342,'ORF Accuracy Value LookUp'!$D$4:$E$104,2,TRUE))</f>
        <v/>
      </c>
      <c r="AG342" s="47" t="str">
        <f>IF($S342="","",VLOOKUP($S342,'ORF Accuracy Value LookUp'!$G$4:$H$104,2,TRUE))</f>
        <v/>
      </c>
      <c r="AH342" s="110" t="str">
        <f>IF($Z342="","",VLOOKUP($Z342,'ORF Accuracy Value LookUp'!$G$4:$H$104,2,TRUE))</f>
        <v/>
      </c>
    </row>
    <row r="343" spans="1:34">
      <c r="A343" s="10"/>
      <c r="B343" s="9"/>
      <c r="C343" s="9"/>
      <c r="D343" s="9"/>
      <c r="E343" s="10"/>
      <c r="F343" s="11"/>
      <c r="G343" s="15"/>
      <c r="H343" s="81"/>
      <c r="I343" s="24"/>
      <c r="J343" s="24"/>
      <c r="K343" s="74"/>
      <c r="L343" s="74"/>
      <c r="M343" s="76" t="str">
        <f t="shared" si="31"/>
        <v/>
      </c>
      <c r="N343" s="24"/>
      <c r="O343" s="111" t="str">
        <f t="shared" si="30"/>
        <v/>
      </c>
      <c r="P343" s="81"/>
      <c r="Q343" s="74"/>
      <c r="R343" s="74"/>
      <c r="S343" s="78" t="str">
        <f t="shared" si="32"/>
        <v/>
      </c>
      <c r="T343" s="24"/>
      <c r="U343" s="32"/>
      <c r="V343" s="40" t="str">
        <f t="shared" si="34"/>
        <v/>
      </c>
      <c r="W343" s="81"/>
      <c r="X343" s="74"/>
      <c r="Y343" s="74"/>
      <c r="Z343" s="79" t="str">
        <f t="shared" si="33"/>
        <v/>
      </c>
      <c r="AA343" s="24"/>
      <c r="AB343" s="32"/>
      <c r="AC343" s="31" t="str">
        <f t="shared" si="35"/>
        <v/>
      </c>
      <c r="AF343" s="109" t="str">
        <f>IF($M343="","",VLOOKUP($M343,'ORF Accuracy Value LookUp'!$D$4:$E$104,2,TRUE))</f>
        <v/>
      </c>
      <c r="AG343" s="47" t="str">
        <f>IF($S343="","",VLOOKUP($S343,'ORF Accuracy Value LookUp'!$G$4:$H$104,2,TRUE))</f>
        <v/>
      </c>
      <c r="AH343" s="110" t="str">
        <f>IF($Z343="","",VLOOKUP($Z343,'ORF Accuracy Value LookUp'!$G$4:$H$104,2,TRUE))</f>
        <v/>
      </c>
    </row>
    <row r="344" spans="1:34">
      <c r="A344" s="10"/>
      <c r="B344" s="9"/>
      <c r="C344" s="9"/>
      <c r="D344" s="9"/>
      <c r="E344" s="10"/>
      <c r="F344" s="11"/>
      <c r="G344" s="15"/>
      <c r="H344" s="81"/>
      <c r="I344" s="24"/>
      <c r="J344" s="24"/>
      <c r="K344" s="74"/>
      <c r="L344" s="74"/>
      <c r="M344" s="76" t="str">
        <f t="shared" si="31"/>
        <v/>
      </c>
      <c r="N344" s="24"/>
      <c r="O344" s="111" t="str">
        <f t="shared" si="30"/>
        <v/>
      </c>
      <c r="P344" s="81"/>
      <c r="Q344" s="74"/>
      <c r="R344" s="74"/>
      <c r="S344" s="78" t="str">
        <f t="shared" si="32"/>
        <v/>
      </c>
      <c r="T344" s="24"/>
      <c r="U344" s="32"/>
      <c r="V344" s="40" t="str">
        <f t="shared" si="34"/>
        <v/>
      </c>
      <c r="W344" s="81"/>
      <c r="X344" s="74"/>
      <c r="Y344" s="74"/>
      <c r="Z344" s="79" t="str">
        <f t="shared" si="33"/>
        <v/>
      </c>
      <c r="AA344" s="24"/>
      <c r="AB344" s="32"/>
      <c r="AC344" s="31" t="str">
        <f t="shared" si="35"/>
        <v/>
      </c>
      <c r="AF344" s="109" t="str">
        <f>IF($M344="","",VLOOKUP($M344,'ORF Accuracy Value LookUp'!$D$4:$E$104,2,TRUE))</f>
        <v/>
      </c>
      <c r="AG344" s="47" t="str">
        <f>IF($S344="","",VLOOKUP($S344,'ORF Accuracy Value LookUp'!$G$4:$H$104,2,TRUE))</f>
        <v/>
      </c>
      <c r="AH344" s="110" t="str">
        <f>IF($Z344="","",VLOOKUP($Z344,'ORF Accuracy Value LookUp'!$G$4:$H$104,2,TRUE))</f>
        <v/>
      </c>
    </row>
    <row r="345" spans="1:34">
      <c r="A345" s="10"/>
      <c r="B345" s="9"/>
      <c r="C345" s="9"/>
      <c r="D345" s="9"/>
      <c r="E345" s="10"/>
      <c r="F345" s="11"/>
      <c r="G345" s="15"/>
      <c r="H345" s="81"/>
      <c r="I345" s="24"/>
      <c r="J345" s="24"/>
      <c r="K345" s="74"/>
      <c r="L345" s="74"/>
      <c r="M345" s="76" t="str">
        <f t="shared" si="31"/>
        <v/>
      </c>
      <c r="N345" s="24"/>
      <c r="O345" s="111" t="str">
        <f t="shared" si="30"/>
        <v/>
      </c>
      <c r="P345" s="81"/>
      <c r="Q345" s="74"/>
      <c r="R345" s="74"/>
      <c r="S345" s="78" t="str">
        <f t="shared" si="32"/>
        <v/>
      </c>
      <c r="T345" s="24"/>
      <c r="U345" s="32"/>
      <c r="V345" s="40" t="str">
        <f t="shared" si="34"/>
        <v/>
      </c>
      <c r="W345" s="81"/>
      <c r="X345" s="74"/>
      <c r="Y345" s="74"/>
      <c r="Z345" s="79" t="str">
        <f t="shared" si="33"/>
        <v/>
      </c>
      <c r="AA345" s="24"/>
      <c r="AB345" s="32"/>
      <c r="AC345" s="31" t="str">
        <f t="shared" si="35"/>
        <v/>
      </c>
      <c r="AF345" s="109" t="str">
        <f>IF($M345="","",VLOOKUP($M345,'ORF Accuracy Value LookUp'!$D$4:$E$104,2,TRUE))</f>
        <v/>
      </c>
      <c r="AG345" s="47" t="str">
        <f>IF($S345="","",VLOOKUP($S345,'ORF Accuracy Value LookUp'!$G$4:$H$104,2,TRUE))</f>
        <v/>
      </c>
      <c r="AH345" s="110" t="str">
        <f>IF($Z345="","",VLOOKUP($Z345,'ORF Accuracy Value LookUp'!$G$4:$H$104,2,TRUE))</f>
        <v/>
      </c>
    </row>
    <row r="346" spans="1:34">
      <c r="A346" s="10"/>
      <c r="B346" s="9"/>
      <c r="C346" s="9"/>
      <c r="D346" s="9"/>
      <c r="E346" s="10"/>
      <c r="F346" s="11"/>
      <c r="G346" s="15"/>
      <c r="H346" s="81"/>
      <c r="I346" s="24"/>
      <c r="J346" s="24"/>
      <c r="K346" s="74"/>
      <c r="L346" s="74"/>
      <c r="M346" s="76" t="str">
        <f t="shared" si="31"/>
        <v/>
      </c>
      <c r="N346" s="24"/>
      <c r="O346" s="111" t="str">
        <f t="shared" si="30"/>
        <v/>
      </c>
      <c r="P346" s="81"/>
      <c r="Q346" s="74"/>
      <c r="R346" s="74"/>
      <c r="S346" s="78" t="str">
        <f t="shared" si="32"/>
        <v/>
      </c>
      <c r="T346" s="24"/>
      <c r="U346" s="32"/>
      <c r="V346" s="40" t="str">
        <f t="shared" si="34"/>
        <v/>
      </c>
      <c r="W346" s="81"/>
      <c r="X346" s="74"/>
      <c r="Y346" s="74"/>
      <c r="Z346" s="79" t="str">
        <f t="shared" si="33"/>
        <v/>
      </c>
      <c r="AA346" s="24"/>
      <c r="AB346" s="32"/>
      <c r="AC346" s="31" t="str">
        <f t="shared" si="35"/>
        <v/>
      </c>
      <c r="AF346" s="109" t="str">
        <f>IF($M346="","",VLOOKUP($M346,'ORF Accuracy Value LookUp'!$D$4:$E$104,2,TRUE))</f>
        <v/>
      </c>
      <c r="AG346" s="47" t="str">
        <f>IF($S346="","",VLOOKUP($S346,'ORF Accuracy Value LookUp'!$G$4:$H$104,2,TRUE))</f>
        <v/>
      </c>
      <c r="AH346" s="110" t="str">
        <f>IF($Z346="","",VLOOKUP($Z346,'ORF Accuracy Value LookUp'!$G$4:$H$104,2,TRUE))</f>
        <v/>
      </c>
    </row>
    <row r="347" spans="1:34">
      <c r="A347" s="10"/>
      <c r="B347" s="9"/>
      <c r="C347" s="9"/>
      <c r="D347" s="9"/>
      <c r="E347" s="10"/>
      <c r="F347" s="11"/>
      <c r="G347" s="15"/>
      <c r="H347" s="81"/>
      <c r="I347" s="24"/>
      <c r="J347" s="24"/>
      <c r="K347" s="74"/>
      <c r="L347" s="74"/>
      <c r="M347" s="76" t="str">
        <f t="shared" si="31"/>
        <v/>
      </c>
      <c r="N347" s="24"/>
      <c r="O347" s="111" t="str">
        <f t="shared" si="30"/>
        <v/>
      </c>
      <c r="P347" s="81"/>
      <c r="Q347" s="74"/>
      <c r="R347" s="74"/>
      <c r="S347" s="78" t="str">
        <f t="shared" si="32"/>
        <v/>
      </c>
      <c r="T347" s="24"/>
      <c r="U347" s="32"/>
      <c r="V347" s="40" t="str">
        <f t="shared" si="34"/>
        <v/>
      </c>
      <c r="W347" s="81"/>
      <c r="X347" s="74"/>
      <c r="Y347" s="74"/>
      <c r="Z347" s="79" t="str">
        <f t="shared" si="33"/>
        <v/>
      </c>
      <c r="AA347" s="24"/>
      <c r="AB347" s="32"/>
      <c r="AC347" s="31" t="str">
        <f t="shared" si="35"/>
        <v/>
      </c>
      <c r="AF347" s="109" t="str">
        <f>IF($M347="","",VLOOKUP($M347,'ORF Accuracy Value LookUp'!$D$4:$E$104,2,TRUE))</f>
        <v/>
      </c>
      <c r="AG347" s="47" t="str">
        <f>IF($S347="","",VLOOKUP($S347,'ORF Accuracy Value LookUp'!$G$4:$H$104,2,TRUE))</f>
        <v/>
      </c>
      <c r="AH347" s="110" t="str">
        <f>IF($Z347="","",VLOOKUP($Z347,'ORF Accuracy Value LookUp'!$G$4:$H$104,2,TRUE))</f>
        <v/>
      </c>
    </row>
    <row r="348" spans="1:34">
      <c r="A348" s="10"/>
      <c r="B348" s="9"/>
      <c r="C348" s="9"/>
      <c r="D348" s="9"/>
      <c r="E348" s="10"/>
      <c r="F348" s="11"/>
      <c r="G348" s="15"/>
      <c r="H348" s="81"/>
      <c r="I348" s="24"/>
      <c r="J348" s="24"/>
      <c r="K348" s="74"/>
      <c r="L348" s="74"/>
      <c r="M348" s="76" t="str">
        <f t="shared" si="31"/>
        <v/>
      </c>
      <c r="N348" s="24"/>
      <c r="O348" s="111" t="str">
        <f t="shared" si="30"/>
        <v/>
      </c>
      <c r="P348" s="81"/>
      <c r="Q348" s="74"/>
      <c r="R348" s="74"/>
      <c r="S348" s="78" t="str">
        <f t="shared" si="32"/>
        <v/>
      </c>
      <c r="T348" s="24"/>
      <c r="U348" s="32"/>
      <c r="V348" s="40" t="str">
        <f t="shared" si="34"/>
        <v/>
      </c>
      <c r="W348" s="81"/>
      <c r="X348" s="74"/>
      <c r="Y348" s="74"/>
      <c r="Z348" s="79" t="str">
        <f t="shared" si="33"/>
        <v/>
      </c>
      <c r="AA348" s="24"/>
      <c r="AB348" s="32"/>
      <c r="AC348" s="31" t="str">
        <f t="shared" si="35"/>
        <v/>
      </c>
      <c r="AF348" s="109" t="str">
        <f>IF($M348="","",VLOOKUP($M348,'ORF Accuracy Value LookUp'!$D$4:$E$104,2,TRUE))</f>
        <v/>
      </c>
      <c r="AG348" s="47" t="str">
        <f>IF($S348="","",VLOOKUP($S348,'ORF Accuracy Value LookUp'!$G$4:$H$104,2,TRUE))</f>
        <v/>
      </c>
      <c r="AH348" s="110" t="str">
        <f>IF($Z348="","",VLOOKUP($Z348,'ORF Accuracy Value LookUp'!$G$4:$H$104,2,TRUE))</f>
        <v/>
      </c>
    </row>
    <row r="349" spans="1:34">
      <c r="A349" s="10"/>
      <c r="B349" s="9"/>
      <c r="C349" s="9"/>
      <c r="D349" s="9"/>
      <c r="E349" s="10"/>
      <c r="F349" s="11"/>
      <c r="G349" s="15"/>
      <c r="H349" s="81"/>
      <c r="I349" s="24"/>
      <c r="J349" s="24"/>
      <c r="K349" s="74"/>
      <c r="L349" s="74"/>
      <c r="M349" s="76" t="str">
        <f t="shared" si="31"/>
        <v/>
      </c>
      <c r="N349" s="24"/>
      <c r="O349" s="111" t="str">
        <f t="shared" si="30"/>
        <v/>
      </c>
      <c r="P349" s="81"/>
      <c r="Q349" s="74"/>
      <c r="R349" s="74"/>
      <c r="S349" s="78" t="str">
        <f t="shared" si="32"/>
        <v/>
      </c>
      <c r="T349" s="24"/>
      <c r="U349" s="32"/>
      <c r="V349" s="40" t="str">
        <f t="shared" si="34"/>
        <v/>
      </c>
      <c r="W349" s="81"/>
      <c r="X349" s="74"/>
      <c r="Y349" s="74"/>
      <c r="Z349" s="79" t="str">
        <f t="shared" si="33"/>
        <v/>
      </c>
      <c r="AA349" s="24"/>
      <c r="AB349" s="32"/>
      <c r="AC349" s="31" t="str">
        <f t="shared" si="35"/>
        <v/>
      </c>
      <c r="AF349" s="109" t="str">
        <f>IF($M349="","",VLOOKUP($M349,'ORF Accuracy Value LookUp'!$D$4:$E$104,2,TRUE))</f>
        <v/>
      </c>
      <c r="AG349" s="47" t="str">
        <f>IF($S349="","",VLOOKUP($S349,'ORF Accuracy Value LookUp'!$G$4:$H$104,2,TRUE))</f>
        <v/>
      </c>
      <c r="AH349" s="110" t="str">
        <f>IF($Z349="","",VLOOKUP($Z349,'ORF Accuracy Value LookUp'!$G$4:$H$104,2,TRUE))</f>
        <v/>
      </c>
    </row>
    <row r="350" spans="1:34">
      <c r="A350" s="10"/>
      <c r="B350" s="9"/>
      <c r="C350" s="9"/>
      <c r="D350" s="9"/>
      <c r="E350" s="10"/>
      <c r="F350" s="11"/>
      <c r="G350" s="15"/>
      <c r="H350" s="81"/>
      <c r="I350" s="24"/>
      <c r="J350" s="24"/>
      <c r="K350" s="74"/>
      <c r="L350" s="74"/>
      <c r="M350" s="76" t="str">
        <f t="shared" si="31"/>
        <v/>
      </c>
      <c r="N350" s="24"/>
      <c r="O350" s="111" t="str">
        <f t="shared" si="30"/>
        <v/>
      </c>
      <c r="P350" s="81"/>
      <c r="Q350" s="74"/>
      <c r="R350" s="74"/>
      <c r="S350" s="78" t="str">
        <f t="shared" si="32"/>
        <v/>
      </c>
      <c r="T350" s="24"/>
      <c r="U350" s="32"/>
      <c r="V350" s="40" t="str">
        <f t="shared" si="34"/>
        <v/>
      </c>
      <c r="W350" s="81"/>
      <c r="X350" s="74"/>
      <c r="Y350" s="74"/>
      <c r="Z350" s="79" t="str">
        <f t="shared" si="33"/>
        <v/>
      </c>
      <c r="AA350" s="24"/>
      <c r="AB350" s="32"/>
      <c r="AC350" s="31" t="str">
        <f t="shared" si="35"/>
        <v/>
      </c>
      <c r="AF350" s="109" t="str">
        <f>IF($M350="","",VLOOKUP($M350,'ORF Accuracy Value LookUp'!$D$4:$E$104,2,TRUE))</f>
        <v/>
      </c>
      <c r="AG350" s="47" t="str">
        <f>IF($S350="","",VLOOKUP($S350,'ORF Accuracy Value LookUp'!$G$4:$H$104,2,TRUE))</f>
        <v/>
      </c>
      <c r="AH350" s="110" t="str">
        <f>IF($Z350="","",VLOOKUP($Z350,'ORF Accuracy Value LookUp'!$G$4:$H$104,2,TRUE))</f>
        <v/>
      </c>
    </row>
    <row r="351" spans="1:34">
      <c r="A351" s="10"/>
      <c r="B351" s="9"/>
      <c r="C351" s="9"/>
      <c r="D351" s="9"/>
      <c r="E351" s="10"/>
      <c r="F351" s="11"/>
      <c r="G351" s="15"/>
      <c r="H351" s="81"/>
      <c r="I351" s="24"/>
      <c r="J351" s="24"/>
      <c r="K351" s="74"/>
      <c r="L351" s="74"/>
      <c r="M351" s="76" t="str">
        <f t="shared" si="31"/>
        <v/>
      </c>
      <c r="N351" s="24"/>
      <c r="O351" s="111" t="str">
        <f t="shared" si="30"/>
        <v/>
      </c>
      <c r="P351" s="81"/>
      <c r="Q351" s="74"/>
      <c r="R351" s="74"/>
      <c r="S351" s="78" t="str">
        <f t="shared" si="32"/>
        <v/>
      </c>
      <c r="T351" s="24"/>
      <c r="U351" s="32"/>
      <c r="V351" s="40" t="str">
        <f t="shared" si="34"/>
        <v/>
      </c>
      <c r="W351" s="81"/>
      <c r="X351" s="74"/>
      <c r="Y351" s="74"/>
      <c r="Z351" s="79" t="str">
        <f t="shared" si="33"/>
        <v/>
      </c>
      <c r="AA351" s="24"/>
      <c r="AB351" s="32"/>
      <c r="AC351" s="31" t="str">
        <f t="shared" si="35"/>
        <v/>
      </c>
      <c r="AF351" s="109" t="str">
        <f>IF($M351="","",VLOOKUP($M351,'ORF Accuracy Value LookUp'!$D$4:$E$104,2,TRUE))</f>
        <v/>
      </c>
      <c r="AG351" s="47" t="str">
        <f>IF($S351="","",VLOOKUP($S351,'ORF Accuracy Value LookUp'!$G$4:$H$104,2,TRUE))</f>
        <v/>
      </c>
      <c r="AH351" s="110" t="str">
        <f>IF($Z351="","",VLOOKUP($Z351,'ORF Accuracy Value LookUp'!$G$4:$H$104,2,TRUE))</f>
        <v/>
      </c>
    </row>
    <row r="352" spans="1:34">
      <c r="A352" s="10"/>
      <c r="B352" s="9"/>
      <c r="C352" s="9"/>
      <c r="D352" s="9"/>
      <c r="E352" s="10"/>
      <c r="F352" s="11"/>
      <c r="G352" s="15"/>
      <c r="H352" s="81"/>
      <c r="I352" s="24"/>
      <c r="J352" s="24"/>
      <c r="K352" s="74"/>
      <c r="L352" s="74"/>
      <c r="M352" s="76" t="str">
        <f t="shared" si="31"/>
        <v/>
      </c>
      <c r="N352" s="24"/>
      <c r="O352" s="111" t="str">
        <f t="shared" si="30"/>
        <v/>
      </c>
      <c r="P352" s="81"/>
      <c r="Q352" s="74"/>
      <c r="R352" s="74"/>
      <c r="S352" s="78" t="str">
        <f t="shared" si="32"/>
        <v/>
      </c>
      <c r="T352" s="24"/>
      <c r="U352" s="32"/>
      <c r="V352" s="40" t="str">
        <f t="shared" si="34"/>
        <v/>
      </c>
      <c r="W352" s="81"/>
      <c r="X352" s="74"/>
      <c r="Y352" s="74"/>
      <c r="Z352" s="79" t="str">
        <f t="shared" si="33"/>
        <v/>
      </c>
      <c r="AA352" s="24"/>
      <c r="AB352" s="32"/>
      <c r="AC352" s="31" t="str">
        <f t="shared" si="35"/>
        <v/>
      </c>
      <c r="AF352" s="109" t="str">
        <f>IF($M352="","",VLOOKUP($M352,'ORF Accuracy Value LookUp'!$D$4:$E$104,2,TRUE))</f>
        <v/>
      </c>
      <c r="AG352" s="47" t="str">
        <f>IF($S352="","",VLOOKUP($S352,'ORF Accuracy Value LookUp'!$G$4:$H$104,2,TRUE))</f>
        <v/>
      </c>
      <c r="AH352" s="110" t="str">
        <f>IF($Z352="","",VLOOKUP($Z352,'ORF Accuracy Value LookUp'!$G$4:$H$104,2,TRUE))</f>
        <v/>
      </c>
    </row>
    <row r="353" spans="1:34">
      <c r="A353" s="10"/>
      <c r="B353" s="9"/>
      <c r="C353" s="9"/>
      <c r="D353" s="9"/>
      <c r="E353" s="10"/>
      <c r="F353" s="11"/>
      <c r="G353" s="15"/>
      <c r="H353" s="81"/>
      <c r="I353" s="24"/>
      <c r="J353" s="24"/>
      <c r="K353" s="74"/>
      <c r="L353" s="74"/>
      <c r="M353" s="76" t="str">
        <f t="shared" si="31"/>
        <v/>
      </c>
      <c r="N353" s="24"/>
      <c r="O353" s="111" t="str">
        <f t="shared" si="30"/>
        <v/>
      </c>
      <c r="P353" s="81"/>
      <c r="Q353" s="74"/>
      <c r="R353" s="74"/>
      <c r="S353" s="78" t="str">
        <f t="shared" si="32"/>
        <v/>
      </c>
      <c r="T353" s="24"/>
      <c r="U353" s="32"/>
      <c r="V353" s="40" t="str">
        <f t="shared" si="34"/>
        <v/>
      </c>
      <c r="W353" s="81"/>
      <c r="X353" s="74"/>
      <c r="Y353" s="74"/>
      <c r="Z353" s="79" t="str">
        <f t="shared" si="33"/>
        <v/>
      </c>
      <c r="AA353" s="24"/>
      <c r="AB353" s="32"/>
      <c r="AC353" s="31" t="str">
        <f t="shared" si="35"/>
        <v/>
      </c>
      <c r="AF353" s="109" t="str">
        <f>IF($M353="","",VLOOKUP($M353,'ORF Accuracy Value LookUp'!$D$4:$E$104,2,TRUE))</f>
        <v/>
      </c>
      <c r="AG353" s="47" t="str">
        <f>IF($S353="","",VLOOKUP($S353,'ORF Accuracy Value LookUp'!$G$4:$H$104,2,TRUE))</f>
        <v/>
      </c>
      <c r="AH353" s="110" t="str">
        <f>IF($Z353="","",VLOOKUP($Z353,'ORF Accuracy Value LookUp'!$G$4:$H$104,2,TRUE))</f>
        <v/>
      </c>
    </row>
    <row r="354" spans="1:34">
      <c r="A354" s="10"/>
      <c r="B354" s="9"/>
      <c r="C354" s="9"/>
      <c r="D354" s="9"/>
      <c r="E354" s="10"/>
      <c r="F354" s="11"/>
      <c r="G354" s="15"/>
      <c r="H354" s="81"/>
      <c r="I354" s="24"/>
      <c r="J354" s="24"/>
      <c r="K354" s="74"/>
      <c r="L354" s="74"/>
      <c r="M354" s="76" t="str">
        <f t="shared" si="31"/>
        <v/>
      </c>
      <c r="N354" s="24"/>
      <c r="O354" s="111" t="str">
        <f t="shared" si="30"/>
        <v/>
      </c>
      <c r="P354" s="81"/>
      <c r="Q354" s="74"/>
      <c r="R354" s="74"/>
      <c r="S354" s="78" t="str">
        <f t="shared" si="32"/>
        <v/>
      </c>
      <c r="T354" s="24"/>
      <c r="U354" s="32"/>
      <c r="V354" s="40" t="str">
        <f t="shared" si="34"/>
        <v/>
      </c>
      <c r="W354" s="81"/>
      <c r="X354" s="74"/>
      <c r="Y354" s="74"/>
      <c r="Z354" s="79" t="str">
        <f t="shared" si="33"/>
        <v/>
      </c>
      <c r="AA354" s="24"/>
      <c r="AB354" s="32"/>
      <c r="AC354" s="31" t="str">
        <f t="shared" si="35"/>
        <v/>
      </c>
      <c r="AF354" s="109" t="str">
        <f>IF($M354="","",VLOOKUP($M354,'ORF Accuracy Value LookUp'!$D$4:$E$104,2,TRUE))</f>
        <v/>
      </c>
      <c r="AG354" s="47" t="str">
        <f>IF($S354="","",VLOOKUP($S354,'ORF Accuracy Value LookUp'!$G$4:$H$104,2,TRUE))</f>
        <v/>
      </c>
      <c r="AH354" s="110" t="str">
        <f>IF($Z354="","",VLOOKUP($Z354,'ORF Accuracy Value LookUp'!$G$4:$H$104,2,TRUE))</f>
        <v/>
      </c>
    </row>
    <row r="355" spans="1:34">
      <c r="A355" s="10"/>
      <c r="B355" s="9"/>
      <c r="C355" s="9"/>
      <c r="D355" s="9"/>
      <c r="E355" s="10"/>
      <c r="F355" s="11"/>
      <c r="G355" s="15"/>
      <c r="H355" s="81"/>
      <c r="I355" s="24"/>
      <c r="J355" s="24"/>
      <c r="K355" s="74"/>
      <c r="L355" s="74"/>
      <c r="M355" s="76" t="str">
        <f t="shared" si="31"/>
        <v/>
      </c>
      <c r="N355" s="24"/>
      <c r="O355" s="111" t="str">
        <f t="shared" si="30"/>
        <v/>
      </c>
      <c r="P355" s="81"/>
      <c r="Q355" s="74"/>
      <c r="R355" s="74"/>
      <c r="S355" s="78" t="str">
        <f t="shared" si="32"/>
        <v/>
      </c>
      <c r="T355" s="24"/>
      <c r="U355" s="32"/>
      <c r="V355" s="40" t="str">
        <f t="shared" si="34"/>
        <v/>
      </c>
      <c r="W355" s="81"/>
      <c r="X355" s="74"/>
      <c r="Y355" s="74"/>
      <c r="Z355" s="79" t="str">
        <f t="shared" si="33"/>
        <v/>
      </c>
      <c r="AA355" s="24"/>
      <c r="AB355" s="32"/>
      <c r="AC355" s="31" t="str">
        <f t="shared" si="35"/>
        <v/>
      </c>
      <c r="AF355" s="109" t="str">
        <f>IF($M355="","",VLOOKUP($M355,'ORF Accuracy Value LookUp'!$D$4:$E$104,2,TRUE))</f>
        <v/>
      </c>
      <c r="AG355" s="47" t="str">
        <f>IF($S355="","",VLOOKUP($S355,'ORF Accuracy Value LookUp'!$G$4:$H$104,2,TRUE))</f>
        <v/>
      </c>
      <c r="AH355" s="110" t="str">
        <f>IF($Z355="","",VLOOKUP($Z355,'ORF Accuracy Value LookUp'!$G$4:$H$104,2,TRUE))</f>
        <v/>
      </c>
    </row>
    <row r="356" spans="1:34">
      <c r="A356" s="10"/>
      <c r="B356" s="9"/>
      <c r="C356" s="9"/>
      <c r="D356" s="9"/>
      <c r="E356" s="10"/>
      <c r="F356" s="11"/>
      <c r="G356" s="15"/>
      <c r="H356" s="81"/>
      <c r="I356" s="24"/>
      <c r="J356" s="24"/>
      <c r="K356" s="74"/>
      <c r="L356" s="74"/>
      <c r="M356" s="76" t="str">
        <f t="shared" si="31"/>
        <v/>
      </c>
      <c r="N356" s="24"/>
      <c r="O356" s="111" t="str">
        <f t="shared" si="30"/>
        <v/>
      </c>
      <c r="P356" s="81"/>
      <c r="Q356" s="74"/>
      <c r="R356" s="74"/>
      <c r="S356" s="78" t="str">
        <f t="shared" si="32"/>
        <v/>
      </c>
      <c r="T356" s="24"/>
      <c r="U356" s="32"/>
      <c r="V356" s="40" t="str">
        <f t="shared" si="34"/>
        <v/>
      </c>
      <c r="W356" s="81"/>
      <c r="X356" s="74"/>
      <c r="Y356" s="74"/>
      <c r="Z356" s="79" t="str">
        <f t="shared" si="33"/>
        <v/>
      </c>
      <c r="AA356" s="24"/>
      <c r="AB356" s="32"/>
      <c r="AC356" s="31" t="str">
        <f t="shared" si="35"/>
        <v/>
      </c>
      <c r="AF356" s="109" t="str">
        <f>IF($M356="","",VLOOKUP($M356,'ORF Accuracy Value LookUp'!$D$4:$E$104,2,TRUE))</f>
        <v/>
      </c>
      <c r="AG356" s="47" t="str">
        <f>IF($S356="","",VLOOKUP($S356,'ORF Accuracy Value LookUp'!$G$4:$H$104,2,TRUE))</f>
        <v/>
      </c>
      <c r="AH356" s="110" t="str">
        <f>IF($Z356="","",VLOOKUP($Z356,'ORF Accuracy Value LookUp'!$G$4:$H$104,2,TRUE))</f>
        <v/>
      </c>
    </row>
    <row r="357" spans="1:34">
      <c r="A357" s="10"/>
      <c r="B357" s="9"/>
      <c r="C357" s="9"/>
      <c r="D357" s="9"/>
      <c r="E357" s="10"/>
      <c r="F357" s="11"/>
      <c r="G357" s="15"/>
      <c r="H357" s="81"/>
      <c r="I357" s="24"/>
      <c r="J357" s="24"/>
      <c r="K357" s="74"/>
      <c r="L357" s="74"/>
      <c r="M357" s="76" t="str">
        <f t="shared" si="31"/>
        <v/>
      </c>
      <c r="N357" s="24"/>
      <c r="O357" s="111" t="str">
        <f t="shared" si="30"/>
        <v/>
      </c>
      <c r="P357" s="81"/>
      <c r="Q357" s="74"/>
      <c r="R357" s="74"/>
      <c r="S357" s="78" t="str">
        <f t="shared" si="32"/>
        <v/>
      </c>
      <c r="T357" s="24"/>
      <c r="U357" s="32"/>
      <c r="V357" s="40" t="str">
        <f t="shared" si="34"/>
        <v/>
      </c>
      <c r="W357" s="81"/>
      <c r="X357" s="74"/>
      <c r="Y357" s="74"/>
      <c r="Z357" s="79" t="str">
        <f t="shared" si="33"/>
        <v/>
      </c>
      <c r="AA357" s="24"/>
      <c r="AB357" s="32"/>
      <c r="AC357" s="31" t="str">
        <f t="shared" si="35"/>
        <v/>
      </c>
      <c r="AF357" s="109" t="str">
        <f>IF($M357="","",VLOOKUP($M357,'ORF Accuracy Value LookUp'!$D$4:$E$104,2,TRUE))</f>
        <v/>
      </c>
      <c r="AG357" s="47" t="str">
        <f>IF($S357="","",VLOOKUP($S357,'ORF Accuracy Value LookUp'!$G$4:$H$104,2,TRUE))</f>
        <v/>
      </c>
      <c r="AH357" s="110" t="str">
        <f>IF($Z357="","",VLOOKUP($Z357,'ORF Accuracy Value LookUp'!$G$4:$H$104,2,TRUE))</f>
        <v/>
      </c>
    </row>
    <row r="358" spans="1:34">
      <c r="A358" s="10"/>
      <c r="B358" s="9"/>
      <c r="C358" s="9"/>
      <c r="D358" s="9"/>
      <c r="E358" s="10"/>
      <c r="F358" s="11"/>
      <c r="G358" s="15"/>
      <c r="H358" s="81"/>
      <c r="I358" s="24"/>
      <c r="J358" s="24"/>
      <c r="K358" s="74"/>
      <c r="L358" s="74"/>
      <c r="M358" s="76" t="str">
        <f t="shared" si="31"/>
        <v/>
      </c>
      <c r="N358" s="24"/>
      <c r="O358" s="111" t="str">
        <f t="shared" si="30"/>
        <v/>
      </c>
      <c r="P358" s="81"/>
      <c r="Q358" s="74"/>
      <c r="R358" s="74"/>
      <c r="S358" s="78" t="str">
        <f t="shared" si="32"/>
        <v/>
      </c>
      <c r="T358" s="24"/>
      <c r="U358" s="32"/>
      <c r="V358" s="40" t="str">
        <f t="shared" si="34"/>
        <v/>
      </c>
      <c r="W358" s="81"/>
      <c r="X358" s="74"/>
      <c r="Y358" s="74"/>
      <c r="Z358" s="79" t="str">
        <f t="shared" si="33"/>
        <v/>
      </c>
      <c r="AA358" s="24"/>
      <c r="AB358" s="32"/>
      <c r="AC358" s="31" t="str">
        <f t="shared" si="35"/>
        <v/>
      </c>
      <c r="AF358" s="109" t="str">
        <f>IF($M358="","",VLOOKUP($M358,'ORF Accuracy Value LookUp'!$D$4:$E$104,2,TRUE))</f>
        <v/>
      </c>
      <c r="AG358" s="47" t="str">
        <f>IF($S358="","",VLOOKUP($S358,'ORF Accuracy Value LookUp'!$G$4:$H$104,2,TRUE))</f>
        <v/>
      </c>
      <c r="AH358" s="110" t="str">
        <f>IF($Z358="","",VLOOKUP($Z358,'ORF Accuracy Value LookUp'!$G$4:$H$104,2,TRUE))</f>
        <v/>
      </c>
    </row>
    <row r="359" spans="1:34">
      <c r="A359" s="10"/>
      <c r="B359" s="9"/>
      <c r="C359" s="9"/>
      <c r="D359" s="9"/>
      <c r="E359" s="10"/>
      <c r="F359" s="11"/>
      <c r="G359" s="15"/>
      <c r="H359" s="81"/>
      <c r="I359" s="24"/>
      <c r="J359" s="24"/>
      <c r="K359" s="74"/>
      <c r="L359" s="74"/>
      <c r="M359" s="76" t="str">
        <f t="shared" si="31"/>
        <v/>
      </c>
      <c r="N359" s="24"/>
      <c r="O359" s="111" t="str">
        <f t="shared" si="30"/>
        <v/>
      </c>
      <c r="P359" s="81"/>
      <c r="Q359" s="74"/>
      <c r="R359" s="74"/>
      <c r="S359" s="78" t="str">
        <f t="shared" si="32"/>
        <v/>
      </c>
      <c r="T359" s="24"/>
      <c r="U359" s="32"/>
      <c r="V359" s="40" t="str">
        <f t="shared" si="34"/>
        <v/>
      </c>
      <c r="W359" s="81"/>
      <c r="X359" s="74"/>
      <c r="Y359" s="74"/>
      <c r="Z359" s="79" t="str">
        <f t="shared" si="33"/>
        <v/>
      </c>
      <c r="AA359" s="24"/>
      <c r="AB359" s="32"/>
      <c r="AC359" s="31" t="str">
        <f t="shared" si="35"/>
        <v/>
      </c>
      <c r="AF359" s="109" t="str">
        <f>IF($M359="","",VLOOKUP($M359,'ORF Accuracy Value LookUp'!$D$4:$E$104,2,TRUE))</f>
        <v/>
      </c>
      <c r="AG359" s="47" t="str">
        <f>IF($S359="","",VLOOKUP($S359,'ORF Accuracy Value LookUp'!$G$4:$H$104,2,TRUE))</f>
        <v/>
      </c>
      <c r="AH359" s="110" t="str">
        <f>IF($Z359="","",VLOOKUP($Z359,'ORF Accuracy Value LookUp'!$G$4:$H$104,2,TRUE))</f>
        <v/>
      </c>
    </row>
    <row r="360" spans="1:34">
      <c r="A360" s="10"/>
      <c r="B360" s="9"/>
      <c r="C360" s="9"/>
      <c r="D360" s="9"/>
      <c r="E360" s="10"/>
      <c r="F360" s="11"/>
      <c r="G360" s="15"/>
      <c r="H360" s="81"/>
      <c r="I360" s="24"/>
      <c r="J360" s="24"/>
      <c r="K360" s="74"/>
      <c r="L360" s="74"/>
      <c r="M360" s="76" t="str">
        <f t="shared" si="31"/>
        <v/>
      </c>
      <c r="N360" s="24"/>
      <c r="O360" s="111" t="str">
        <f t="shared" si="30"/>
        <v/>
      </c>
      <c r="P360" s="81"/>
      <c r="Q360" s="74"/>
      <c r="R360" s="74"/>
      <c r="S360" s="78" t="str">
        <f t="shared" si="32"/>
        <v/>
      </c>
      <c r="T360" s="24"/>
      <c r="U360" s="32"/>
      <c r="V360" s="40" t="str">
        <f t="shared" si="34"/>
        <v/>
      </c>
      <c r="W360" s="81"/>
      <c r="X360" s="74"/>
      <c r="Y360" s="74"/>
      <c r="Z360" s="79" t="str">
        <f t="shared" si="33"/>
        <v/>
      </c>
      <c r="AA360" s="24"/>
      <c r="AB360" s="32"/>
      <c r="AC360" s="31" t="str">
        <f t="shared" si="35"/>
        <v/>
      </c>
      <c r="AF360" s="109" t="str">
        <f>IF($M360="","",VLOOKUP($M360,'ORF Accuracy Value LookUp'!$D$4:$E$104,2,TRUE))</f>
        <v/>
      </c>
      <c r="AG360" s="47" t="str">
        <f>IF($S360="","",VLOOKUP($S360,'ORF Accuracy Value LookUp'!$G$4:$H$104,2,TRUE))</f>
        <v/>
      </c>
      <c r="AH360" s="110" t="str">
        <f>IF($Z360="","",VLOOKUP($Z360,'ORF Accuracy Value LookUp'!$G$4:$H$104,2,TRUE))</f>
        <v/>
      </c>
    </row>
    <row r="361" spans="1:34">
      <c r="A361" s="10"/>
      <c r="B361" s="9"/>
      <c r="C361" s="9"/>
      <c r="D361" s="9"/>
      <c r="E361" s="10"/>
      <c r="F361" s="11"/>
      <c r="G361" s="15"/>
      <c r="H361" s="81"/>
      <c r="I361" s="24"/>
      <c r="J361" s="24"/>
      <c r="K361" s="74"/>
      <c r="L361" s="74"/>
      <c r="M361" s="76" t="str">
        <f t="shared" si="31"/>
        <v/>
      </c>
      <c r="N361" s="24"/>
      <c r="O361" s="111" t="str">
        <f t="shared" si="30"/>
        <v/>
      </c>
      <c r="P361" s="81"/>
      <c r="Q361" s="74"/>
      <c r="R361" s="74"/>
      <c r="S361" s="78" t="str">
        <f t="shared" si="32"/>
        <v/>
      </c>
      <c r="T361" s="24"/>
      <c r="U361" s="32"/>
      <c r="V361" s="40" t="str">
        <f t="shared" si="34"/>
        <v/>
      </c>
      <c r="W361" s="81"/>
      <c r="X361" s="74"/>
      <c r="Y361" s="74"/>
      <c r="Z361" s="79" t="str">
        <f t="shared" si="33"/>
        <v/>
      </c>
      <c r="AA361" s="24"/>
      <c r="AB361" s="32"/>
      <c r="AC361" s="31" t="str">
        <f t="shared" si="35"/>
        <v/>
      </c>
      <c r="AF361" s="109" t="str">
        <f>IF($M361="","",VLOOKUP($M361,'ORF Accuracy Value LookUp'!$D$4:$E$104,2,TRUE))</f>
        <v/>
      </c>
      <c r="AG361" s="47" t="str">
        <f>IF($S361="","",VLOOKUP($S361,'ORF Accuracy Value LookUp'!$G$4:$H$104,2,TRUE))</f>
        <v/>
      </c>
      <c r="AH361" s="110" t="str">
        <f>IF($Z361="","",VLOOKUP($Z361,'ORF Accuracy Value LookUp'!$G$4:$H$104,2,TRUE))</f>
        <v/>
      </c>
    </row>
    <row r="362" spans="1:34">
      <c r="A362" s="10"/>
      <c r="B362" s="9"/>
      <c r="C362" s="9"/>
      <c r="D362" s="9"/>
      <c r="E362" s="10"/>
      <c r="F362" s="11"/>
      <c r="G362" s="15"/>
      <c r="H362" s="81"/>
      <c r="I362" s="24"/>
      <c r="J362" s="24"/>
      <c r="K362" s="74"/>
      <c r="L362" s="74"/>
      <c r="M362" s="76" t="str">
        <f t="shared" si="31"/>
        <v/>
      </c>
      <c r="N362" s="24"/>
      <c r="O362" s="111" t="str">
        <f t="shared" si="30"/>
        <v/>
      </c>
      <c r="P362" s="81"/>
      <c r="Q362" s="74"/>
      <c r="R362" s="74"/>
      <c r="S362" s="78" t="str">
        <f t="shared" si="32"/>
        <v/>
      </c>
      <c r="T362" s="24"/>
      <c r="U362" s="32"/>
      <c r="V362" s="40" t="str">
        <f t="shared" si="34"/>
        <v/>
      </c>
      <c r="W362" s="81"/>
      <c r="X362" s="74"/>
      <c r="Y362" s="74"/>
      <c r="Z362" s="79" t="str">
        <f t="shared" si="33"/>
        <v/>
      </c>
      <c r="AA362" s="24"/>
      <c r="AB362" s="32"/>
      <c r="AC362" s="31" t="str">
        <f t="shared" si="35"/>
        <v/>
      </c>
      <c r="AF362" s="109" t="str">
        <f>IF($M362="","",VLOOKUP($M362,'ORF Accuracy Value LookUp'!$D$4:$E$104,2,TRUE))</f>
        <v/>
      </c>
      <c r="AG362" s="47" t="str">
        <f>IF($S362="","",VLOOKUP($S362,'ORF Accuracy Value LookUp'!$G$4:$H$104,2,TRUE))</f>
        <v/>
      </c>
      <c r="AH362" s="110" t="str">
        <f>IF($Z362="","",VLOOKUP($Z362,'ORF Accuracy Value LookUp'!$G$4:$H$104,2,TRUE))</f>
        <v/>
      </c>
    </row>
    <row r="363" spans="1:34">
      <c r="A363" s="10"/>
      <c r="B363" s="9"/>
      <c r="C363" s="9"/>
      <c r="D363" s="9"/>
      <c r="E363" s="10"/>
      <c r="F363" s="11"/>
      <c r="G363" s="15"/>
      <c r="H363" s="81"/>
      <c r="I363" s="24"/>
      <c r="J363" s="24"/>
      <c r="K363" s="74"/>
      <c r="L363" s="74"/>
      <c r="M363" s="76" t="str">
        <f t="shared" si="31"/>
        <v/>
      </c>
      <c r="N363" s="24"/>
      <c r="O363" s="111" t="str">
        <f t="shared" si="30"/>
        <v/>
      </c>
      <c r="P363" s="81"/>
      <c r="Q363" s="74"/>
      <c r="R363" s="74"/>
      <c r="S363" s="78" t="str">
        <f t="shared" si="32"/>
        <v/>
      </c>
      <c r="T363" s="24"/>
      <c r="U363" s="32"/>
      <c r="V363" s="40" t="str">
        <f t="shared" si="34"/>
        <v/>
      </c>
      <c r="W363" s="81"/>
      <c r="X363" s="74"/>
      <c r="Y363" s="74"/>
      <c r="Z363" s="79" t="str">
        <f t="shared" si="33"/>
        <v/>
      </c>
      <c r="AA363" s="24"/>
      <c r="AB363" s="32"/>
      <c r="AC363" s="31" t="str">
        <f t="shared" si="35"/>
        <v/>
      </c>
      <c r="AF363" s="109" t="str">
        <f>IF($M363="","",VLOOKUP($M363,'ORF Accuracy Value LookUp'!$D$4:$E$104,2,TRUE))</f>
        <v/>
      </c>
      <c r="AG363" s="47" t="str">
        <f>IF($S363="","",VLOOKUP($S363,'ORF Accuracy Value LookUp'!$G$4:$H$104,2,TRUE))</f>
        <v/>
      </c>
      <c r="AH363" s="110" t="str">
        <f>IF($Z363="","",VLOOKUP($Z363,'ORF Accuracy Value LookUp'!$G$4:$H$104,2,TRUE))</f>
        <v/>
      </c>
    </row>
    <row r="364" spans="1:34">
      <c r="A364" s="10"/>
      <c r="B364" s="9"/>
      <c r="C364" s="9"/>
      <c r="D364" s="9"/>
      <c r="E364" s="10"/>
      <c r="F364" s="11"/>
      <c r="G364" s="15"/>
      <c r="H364" s="81"/>
      <c r="I364" s="24"/>
      <c r="J364" s="24"/>
      <c r="K364" s="74"/>
      <c r="L364" s="74"/>
      <c r="M364" s="76" t="str">
        <f t="shared" si="31"/>
        <v/>
      </c>
      <c r="N364" s="24"/>
      <c r="O364" s="111" t="str">
        <f t="shared" si="30"/>
        <v/>
      </c>
      <c r="P364" s="81"/>
      <c r="Q364" s="74"/>
      <c r="R364" s="74"/>
      <c r="S364" s="78" t="str">
        <f t="shared" si="32"/>
        <v/>
      </c>
      <c r="T364" s="24"/>
      <c r="U364" s="32"/>
      <c r="V364" s="40" t="str">
        <f t="shared" si="34"/>
        <v/>
      </c>
      <c r="W364" s="81"/>
      <c r="X364" s="74"/>
      <c r="Y364" s="74"/>
      <c r="Z364" s="79" t="str">
        <f t="shared" si="33"/>
        <v/>
      </c>
      <c r="AA364" s="24"/>
      <c r="AB364" s="32"/>
      <c r="AC364" s="31" t="str">
        <f t="shared" si="35"/>
        <v/>
      </c>
      <c r="AF364" s="109" t="str">
        <f>IF($M364="","",VLOOKUP($M364,'ORF Accuracy Value LookUp'!$D$4:$E$104,2,TRUE))</f>
        <v/>
      </c>
      <c r="AG364" s="47" t="str">
        <f>IF($S364="","",VLOOKUP($S364,'ORF Accuracy Value LookUp'!$G$4:$H$104,2,TRUE))</f>
        <v/>
      </c>
      <c r="AH364" s="110" t="str">
        <f>IF($Z364="","",VLOOKUP($Z364,'ORF Accuracy Value LookUp'!$G$4:$H$104,2,TRUE))</f>
        <v/>
      </c>
    </row>
    <row r="365" spans="1:34">
      <c r="A365" s="10"/>
      <c r="B365" s="9"/>
      <c r="C365" s="9"/>
      <c r="D365" s="9"/>
      <c r="E365" s="10"/>
      <c r="F365" s="11"/>
      <c r="G365" s="15"/>
      <c r="H365" s="81"/>
      <c r="I365" s="24"/>
      <c r="J365" s="24"/>
      <c r="K365" s="74"/>
      <c r="L365" s="74"/>
      <c r="M365" s="76" t="str">
        <f t="shared" si="31"/>
        <v/>
      </c>
      <c r="N365" s="24"/>
      <c r="O365" s="111" t="str">
        <f t="shared" si="30"/>
        <v/>
      </c>
      <c r="P365" s="81"/>
      <c r="Q365" s="74"/>
      <c r="R365" s="74"/>
      <c r="S365" s="78" t="str">
        <f t="shared" si="32"/>
        <v/>
      </c>
      <c r="T365" s="24"/>
      <c r="U365" s="32"/>
      <c r="V365" s="40" t="str">
        <f t="shared" si="34"/>
        <v/>
      </c>
      <c r="W365" s="81"/>
      <c r="X365" s="74"/>
      <c r="Y365" s="74"/>
      <c r="Z365" s="79" t="str">
        <f t="shared" si="33"/>
        <v/>
      </c>
      <c r="AA365" s="24"/>
      <c r="AB365" s="32"/>
      <c r="AC365" s="31" t="str">
        <f t="shared" si="35"/>
        <v/>
      </c>
      <c r="AF365" s="109" t="str">
        <f>IF($M365="","",VLOOKUP($M365,'ORF Accuracy Value LookUp'!$D$4:$E$104,2,TRUE))</f>
        <v/>
      </c>
      <c r="AG365" s="47" t="str">
        <f>IF($S365="","",VLOOKUP($S365,'ORF Accuracy Value LookUp'!$G$4:$H$104,2,TRUE))</f>
        <v/>
      </c>
      <c r="AH365" s="110" t="str">
        <f>IF($Z365="","",VLOOKUP($Z365,'ORF Accuracy Value LookUp'!$G$4:$H$104,2,TRUE))</f>
        <v/>
      </c>
    </row>
    <row r="366" spans="1:34">
      <c r="A366" s="10"/>
      <c r="B366" s="9"/>
      <c r="C366" s="9"/>
      <c r="D366" s="9"/>
      <c r="E366" s="10"/>
      <c r="F366" s="11"/>
      <c r="G366" s="15"/>
      <c r="H366" s="81"/>
      <c r="I366" s="24"/>
      <c r="J366" s="24"/>
      <c r="K366" s="74"/>
      <c r="L366" s="74"/>
      <c r="M366" s="76" t="str">
        <f t="shared" si="31"/>
        <v/>
      </c>
      <c r="N366" s="24"/>
      <c r="O366" s="111" t="str">
        <f t="shared" si="30"/>
        <v/>
      </c>
      <c r="P366" s="81"/>
      <c r="Q366" s="74"/>
      <c r="R366" s="74"/>
      <c r="S366" s="78" t="str">
        <f t="shared" si="32"/>
        <v/>
      </c>
      <c r="T366" s="24"/>
      <c r="U366" s="32"/>
      <c r="V366" s="40" t="str">
        <f t="shared" si="34"/>
        <v/>
      </c>
      <c r="W366" s="81"/>
      <c r="X366" s="74"/>
      <c r="Y366" s="74"/>
      <c r="Z366" s="79" t="str">
        <f t="shared" si="33"/>
        <v/>
      </c>
      <c r="AA366" s="24"/>
      <c r="AB366" s="32"/>
      <c r="AC366" s="31" t="str">
        <f t="shared" si="35"/>
        <v/>
      </c>
      <c r="AF366" s="109" t="str">
        <f>IF($M366="","",VLOOKUP($M366,'ORF Accuracy Value LookUp'!$D$4:$E$104,2,TRUE))</f>
        <v/>
      </c>
      <c r="AG366" s="47" t="str">
        <f>IF($S366="","",VLOOKUP($S366,'ORF Accuracy Value LookUp'!$G$4:$H$104,2,TRUE))</f>
        <v/>
      </c>
      <c r="AH366" s="110" t="str">
        <f>IF($Z366="","",VLOOKUP($Z366,'ORF Accuracy Value LookUp'!$G$4:$H$104,2,TRUE))</f>
        <v/>
      </c>
    </row>
    <row r="367" spans="1:34">
      <c r="A367" s="10"/>
      <c r="B367" s="9"/>
      <c r="C367" s="9"/>
      <c r="D367" s="9"/>
      <c r="E367" s="10"/>
      <c r="F367" s="11"/>
      <c r="G367" s="15"/>
      <c r="H367" s="81"/>
      <c r="I367" s="24"/>
      <c r="J367" s="24"/>
      <c r="K367" s="74"/>
      <c r="L367" s="74"/>
      <c r="M367" s="76" t="str">
        <f t="shared" si="31"/>
        <v/>
      </c>
      <c r="N367" s="24"/>
      <c r="O367" s="111" t="str">
        <f t="shared" si="30"/>
        <v/>
      </c>
      <c r="P367" s="81"/>
      <c r="Q367" s="74"/>
      <c r="R367" s="74"/>
      <c r="S367" s="78" t="str">
        <f t="shared" si="32"/>
        <v/>
      </c>
      <c r="T367" s="24"/>
      <c r="U367" s="32"/>
      <c r="V367" s="40" t="str">
        <f t="shared" si="34"/>
        <v/>
      </c>
      <c r="W367" s="81"/>
      <c r="X367" s="74"/>
      <c r="Y367" s="74"/>
      <c r="Z367" s="79" t="str">
        <f t="shared" si="33"/>
        <v/>
      </c>
      <c r="AA367" s="24"/>
      <c r="AB367" s="32"/>
      <c r="AC367" s="31" t="str">
        <f t="shared" si="35"/>
        <v/>
      </c>
      <c r="AF367" s="109" t="str">
        <f>IF($M367="","",VLOOKUP($M367,'ORF Accuracy Value LookUp'!$D$4:$E$104,2,TRUE))</f>
        <v/>
      </c>
      <c r="AG367" s="47" t="str">
        <f>IF($S367="","",VLOOKUP($S367,'ORF Accuracy Value LookUp'!$G$4:$H$104,2,TRUE))</f>
        <v/>
      </c>
      <c r="AH367" s="110" t="str">
        <f>IF($Z367="","",VLOOKUP($Z367,'ORF Accuracy Value LookUp'!$G$4:$H$104,2,TRUE))</f>
        <v/>
      </c>
    </row>
    <row r="368" spans="1:34">
      <c r="A368" s="10"/>
      <c r="B368" s="9"/>
      <c r="C368" s="9"/>
      <c r="D368" s="9"/>
      <c r="E368" s="10"/>
      <c r="F368" s="11"/>
      <c r="G368" s="15"/>
      <c r="H368" s="81"/>
      <c r="I368" s="24"/>
      <c r="J368" s="24"/>
      <c r="K368" s="74"/>
      <c r="L368" s="74"/>
      <c r="M368" s="76" t="str">
        <f t="shared" si="31"/>
        <v/>
      </c>
      <c r="N368" s="24"/>
      <c r="O368" s="111" t="str">
        <f t="shared" si="30"/>
        <v/>
      </c>
      <c r="P368" s="81"/>
      <c r="Q368" s="74"/>
      <c r="R368" s="74"/>
      <c r="S368" s="78" t="str">
        <f t="shared" si="32"/>
        <v/>
      </c>
      <c r="T368" s="24"/>
      <c r="U368" s="32"/>
      <c r="V368" s="40" t="str">
        <f t="shared" si="34"/>
        <v/>
      </c>
      <c r="W368" s="81"/>
      <c r="X368" s="74"/>
      <c r="Y368" s="74"/>
      <c r="Z368" s="79" t="str">
        <f t="shared" si="33"/>
        <v/>
      </c>
      <c r="AA368" s="24"/>
      <c r="AB368" s="32"/>
      <c r="AC368" s="31" t="str">
        <f t="shared" si="35"/>
        <v/>
      </c>
      <c r="AF368" s="109" t="str">
        <f>IF($M368="","",VLOOKUP($M368,'ORF Accuracy Value LookUp'!$D$4:$E$104,2,TRUE))</f>
        <v/>
      </c>
      <c r="AG368" s="47" t="str">
        <f>IF($S368="","",VLOOKUP($S368,'ORF Accuracy Value LookUp'!$G$4:$H$104,2,TRUE))</f>
        <v/>
      </c>
      <c r="AH368" s="110" t="str">
        <f>IF($Z368="","",VLOOKUP($Z368,'ORF Accuracy Value LookUp'!$G$4:$H$104,2,TRUE))</f>
        <v/>
      </c>
    </row>
    <row r="369" spans="1:34">
      <c r="A369" s="10"/>
      <c r="B369" s="9"/>
      <c r="C369" s="9"/>
      <c r="D369" s="9"/>
      <c r="E369" s="10"/>
      <c r="F369" s="11"/>
      <c r="G369" s="15"/>
      <c r="H369" s="81"/>
      <c r="I369" s="24"/>
      <c r="J369" s="24"/>
      <c r="K369" s="74"/>
      <c r="L369" s="74"/>
      <c r="M369" s="76" t="str">
        <f t="shared" si="31"/>
        <v/>
      </c>
      <c r="N369" s="24"/>
      <c r="O369" s="111" t="str">
        <f t="shared" si="30"/>
        <v/>
      </c>
      <c r="P369" s="81"/>
      <c r="Q369" s="74"/>
      <c r="R369" s="74"/>
      <c r="S369" s="78" t="str">
        <f t="shared" si="32"/>
        <v/>
      </c>
      <c r="T369" s="24"/>
      <c r="U369" s="32"/>
      <c r="V369" s="40" t="str">
        <f t="shared" si="34"/>
        <v/>
      </c>
      <c r="W369" s="81"/>
      <c r="X369" s="74"/>
      <c r="Y369" s="74"/>
      <c r="Z369" s="79" t="str">
        <f t="shared" si="33"/>
        <v/>
      </c>
      <c r="AA369" s="24"/>
      <c r="AB369" s="32"/>
      <c r="AC369" s="31" t="str">
        <f t="shared" si="35"/>
        <v/>
      </c>
      <c r="AF369" s="109" t="str">
        <f>IF($M369="","",VLOOKUP($M369,'ORF Accuracy Value LookUp'!$D$4:$E$104,2,TRUE))</f>
        <v/>
      </c>
      <c r="AG369" s="47" t="str">
        <f>IF($S369="","",VLOOKUP($S369,'ORF Accuracy Value LookUp'!$G$4:$H$104,2,TRUE))</f>
        <v/>
      </c>
      <c r="AH369" s="110" t="str">
        <f>IF($Z369="","",VLOOKUP($Z369,'ORF Accuracy Value LookUp'!$G$4:$H$104,2,TRUE))</f>
        <v/>
      </c>
    </row>
    <row r="370" spans="1:34">
      <c r="A370" s="10"/>
      <c r="B370" s="9"/>
      <c r="C370" s="9"/>
      <c r="D370" s="9"/>
      <c r="E370" s="10"/>
      <c r="F370" s="11"/>
      <c r="G370" s="15"/>
      <c r="H370" s="81"/>
      <c r="I370" s="24"/>
      <c r="J370" s="24"/>
      <c r="K370" s="74"/>
      <c r="L370" s="74"/>
      <c r="M370" s="76" t="str">
        <f t="shared" si="31"/>
        <v/>
      </c>
      <c r="N370" s="24"/>
      <c r="O370" s="111" t="str">
        <f t="shared" si="30"/>
        <v/>
      </c>
      <c r="P370" s="81"/>
      <c r="Q370" s="74"/>
      <c r="R370" s="74"/>
      <c r="S370" s="78" t="str">
        <f t="shared" si="32"/>
        <v/>
      </c>
      <c r="T370" s="24"/>
      <c r="U370" s="32"/>
      <c r="V370" s="40" t="str">
        <f t="shared" si="34"/>
        <v/>
      </c>
      <c r="W370" s="81"/>
      <c r="X370" s="74"/>
      <c r="Y370" s="74"/>
      <c r="Z370" s="79" t="str">
        <f t="shared" si="33"/>
        <v/>
      </c>
      <c r="AA370" s="24"/>
      <c r="AB370" s="32"/>
      <c r="AC370" s="31" t="str">
        <f t="shared" si="35"/>
        <v/>
      </c>
      <c r="AF370" s="109" t="str">
        <f>IF($M370="","",VLOOKUP($M370,'ORF Accuracy Value LookUp'!$D$4:$E$104,2,TRUE))</f>
        <v/>
      </c>
      <c r="AG370" s="47" t="str">
        <f>IF($S370="","",VLOOKUP($S370,'ORF Accuracy Value LookUp'!$G$4:$H$104,2,TRUE))</f>
        <v/>
      </c>
      <c r="AH370" s="110" t="str">
        <f>IF($Z370="","",VLOOKUP($Z370,'ORF Accuracy Value LookUp'!$G$4:$H$104,2,TRUE))</f>
        <v/>
      </c>
    </row>
    <row r="371" spans="1:34">
      <c r="A371" s="10"/>
      <c r="B371" s="9"/>
      <c r="C371" s="9"/>
      <c r="D371" s="9"/>
      <c r="E371" s="10"/>
      <c r="F371" s="11"/>
      <c r="G371" s="15"/>
      <c r="H371" s="81"/>
      <c r="I371" s="24"/>
      <c r="J371" s="24"/>
      <c r="K371" s="74"/>
      <c r="L371" s="74"/>
      <c r="M371" s="76" t="str">
        <f t="shared" si="31"/>
        <v/>
      </c>
      <c r="N371" s="24"/>
      <c r="O371" s="111" t="str">
        <f t="shared" si="30"/>
        <v/>
      </c>
      <c r="P371" s="81"/>
      <c r="Q371" s="74"/>
      <c r="R371" s="74"/>
      <c r="S371" s="78" t="str">
        <f t="shared" si="32"/>
        <v/>
      </c>
      <c r="T371" s="24"/>
      <c r="U371" s="32"/>
      <c r="V371" s="40" t="str">
        <f t="shared" si="34"/>
        <v/>
      </c>
      <c r="W371" s="81"/>
      <c r="X371" s="74"/>
      <c r="Y371" s="74"/>
      <c r="Z371" s="79" t="str">
        <f t="shared" si="33"/>
        <v/>
      </c>
      <c r="AA371" s="24"/>
      <c r="AB371" s="32"/>
      <c r="AC371" s="31" t="str">
        <f t="shared" si="35"/>
        <v/>
      </c>
      <c r="AF371" s="109" t="str">
        <f>IF($M371="","",VLOOKUP($M371,'ORF Accuracy Value LookUp'!$D$4:$E$104,2,TRUE))</f>
        <v/>
      </c>
      <c r="AG371" s="47" t="str">
        <f>IF($S371="","",VLOOKUP($S371,'ORF Accuracy Value LookUp'!$G$4:$H$104,2,TRUE))</f>
        <v/>
      </c>
      <c r="AH371" s="110" t="str">
        <f>IF($Z371="","",VLOOKUP($Z371,'ORF Accuracy Value LookUp'!$G$4:$H$104,2,TRUE))</f>
        <v/>
      </c>
    </row>
    <row r="372" spans="1:34">
      <c r="A372" s="10"/>
      <c r="B372" s="9"/>
      <c r="C372" s="9"/>
      <c r="D372" s="9"/>
      <c r="E372" s="10"/>
      <c r="F372" s="11"/>
      <c r="G372" s="15"/>
      <c r="H372" s="81"/>
      <c r="I372" s="24"/>
      <c r="J372" s="24"/>
      <c r="K372" s="74"/>
      <c r="L372" s="74"/>
      <c r="M372" s="76" t="str">
        <f t="shared" si="31"/>
        <v/>
      </c>
      <c r="N372" s="24"/>
      <c r="O372" s="111" t="str">
        <f t="shared" si="30"/>
        <v/>
      </c>
      <c r="P372" s="81"/>
      <c r="Q372" s="74"/>
      <c r="R372" s="74"/>
      <c r="S372" s="78" t="str">
        <f t="shared" si="32"/>
        <v/>
      </c>
      <c r="T372" s="24"/>
      <c r="U372" s="32"/>
      <c r="V372" s="40" t="str">
        <f t="shared" si="34"/>
        <v/>
      </c>
      <c r="W372" s="81"/>
      <c r="X372" s="74"/>
      <c r="Y372" s="74"/>
      <c r="Z372" s="79" t="str">
        <f t="shared" si="33"/>
        <v/>
      </c>
      <c r="AA372" s="24"/>
      <c r="AB372" s="32"/>
      <c r="AC372" s="31" t="str">
        <f t="shared" si="35"/>
        <v/>
      </c>
      <c r="AF372" s="109" t="str">
        <f>IF($M372="","",VLOOKUP($M372,'ORF Accuracy Value LookUp'!$D$4:$E$104,2,TRUE))</f>
        <v/>
      </c>
      <c r="AG372" s="47" t="str">
        <f>IF($S372="","",VLOOKUP($S372,'ORF Accuracy Value LookUp'!$G$4:$H$104,2,TRUE))</f>
        <v/>
      </c>
      <c r="AH372" s="110" t="str">
        <f>IF($Z372="","",VLOOKUP($Z372,'ORF Accuracy Value LookUp'!$G$4:$H$104,2,TRUE))</f>
        <v/>
      </c>
    </row>
    <row r="373" spans="1:34">
      <c r="A373" s="10"/>
      <c r="B373" s="9"/>
      <c r="C373" s="9"/>
      <c r="D373" s="9"/>
      <c r="E373" s="10"/>
      <c r="F373" s="11"/>
      <c r="G373" s="15"/>
      <c r="H373" s="81"/>
      <c r="I373" s="24"/>
      <c r="J373" s="24"/>
      <c r="K373" s="74"/>
      <c r="L373" s="74"/>
      <c r="M373" s="76" t="str">
        <f t="shared" si="31"/>
        <v/>
      </c>
      <c r="N373" s="24"/>
      <c r="O373" s="111" t="str">
        <f t="shared" si="30"/>
        <v/>
      </c>
      <c r="P373" s="81"/>
      <c r="Q373" s="74"/>
      <c r="R373" s="74"/>
      <c r="S373" s="78" t="str">
        <f t="shared" si="32"/>
        <v/>
      </c>
      <c r="T373" s="24"/>
      <c r="U373" s="32"/>
      <c r="V373" s="40" t="str">
        <f t="shared" si="34"/>
        <v/>
      </c>
      <c r="W373" s="81"/>
      <c r="X373" s="74"/>
      <c r="Y373" s="74"/>
      <c r="Z373" s="79" t="str">
        <f t="shared" si="33"/>
        <v/>
      </c>
      <c r="AA373" s="24"/>
      <c r="AB373" s="32"/>
      <c r="AC373" s="31" t="str">
        <f t="shared" si="35"/>
        <v/>
      </c>
      <c r="AF373" s="109" t="str">
        <f>IF($M373="","",VLOOKUP($M373,'ORF Accuracy Value LookUp'!$D$4:$E$104,2,TRUE))</f>
        <v/>
      </c>
      <c r="AG373" s="47" t="str">
        <f>IF($S373="","",VLOOKUP($S373,'ORF Accuracy Value LookUp'!$G$4:$H$104,2,TRUE))</f>
        <v/>
      </c>
      <c r="AH373" s="110" t="str">
        <f>IF($Z373="","",VLOOKUP($Z373,'ORF Accuracy Value LookUp'!$G$4:$H$104,2,TRUE))</f>
        <v/>
      </c>
    </row>
    <row r="374" spans="1:34">
      <c r="A374" s="10"/>
      <c r="B374" s="9"/>
      <c r="C374" s="9"/>
      <c r="D374" s="9"/>
      <c r="E374" s="10"/>
      <c r="F374" s="11"/>
      <c r="G374" s="15"/>
      <c r="H374" s="81"/>
      <c r="I374" s="24"/>
      <c r="J374" s="24"/>
      <c r="K374" s="74"/>
      <c r="L374" s="74"/>
      <c r="M374" s="76" t="str">
        <f t="shared" si="31"/>
        <v/>
      </c>
      <c r="N374" s="24"/>
      <c r="O374" s="111" t="str">
        <f t="shared" si="30"/>
        <v/>
      </c>
      <c r="P374" s="81"/>
      <c r="Q374" s="74"/>
      <c r="R374" s="74"/>
      <c r="S374" s="78" t="str">
        <f t="shared" si="32"/>
        <v/>
      </c>
      <c r="T374" s="24"/>
      <c r="U374" s="32"/>
      <c r="V374" s="40" t="str">
        <f t="shared" si="34"/>
        <v/>
      </c>
      <c r="W374" s="81"/>
      <c r="X374" s="74"/>
      <c r="Y374" s="74"/>
      <c r="Z374" s="79" t="str">
        <f t="shared" si="33"/>
        <v/>
      </c>
      <c r="AA374" s="24"/>
      <c r="AB374" s="32"/>
      <c r="AC374" s="31" t="str">
        <f t="shared" si="35"/>
        <v/>
      </c>
      <c r="AF374" s="109" t="str">
        <f>IF($M374="","",VLOOKUP($M374,'ORF Accuracy Value LookUp'!$D$4:$E$104,2,TRUE))</f>
        <v/>
      </c>
      <c r="AG374" s="47" t="str">
        <f>IF($S374="","",VLOOKUP($S374,'ORF Accuracy Value LookUp'!$G$4:$H$104,2,TRUE))</f>
        <v/>
      </c>
      <c r="AH374" s="110" t="str">
        <f>IF($Z374="","",VLOOKUP($Z374,'ORF Accuracy Value LookUp'!$G$4:$H$104,2,TRUE))</f>
        <v/>
      </c>
    </row>
    <row r="375" spans="1:34">
      <c r="A375" s="10"/>
      <c r="B375" s="9"/>
      <c r="C375" s="9"/>
      <c r="D375" s="9"/>
      <c r="E375" s="10"/>
      <c r="F375" s="11"/>
      <c r="G375" s="15"/>
      <c r="H375" s="81"/>
      <c r="I375" s="24"/>
      <c r="J375" s="24"/>
      <c r="K375" s="74"/>
      <c r="L375" s="74"/>
      <c r="M375" s="76" t="str">
        <f t="shared" si="31"/>
        <v/>
      </c>
      <c r="N375" s="24"/>
      <c r="O375" s="111" t="str">
        <f t="shared" si="30"/>
        <v/>
      </c>
      <c r="P375" s="81"/>
      <c r="Q375" s="74"/>
      <c r="R375" s="74"/>
      <c r="S375" s="78" t="str">
        <f t="shared" si="32"/>
        <v/>
      </c>
      <c r="T375" s="24"/>
      <c r="U375" s="32"/>
      <c r="V375" s="40" t="str">
        <f t="shared" si="34"/>
        <v/>
      </c>
      <c r="W375" s="81"/>
      <c r="X375" s="74"/>
      <c r="Y375" s="74"/>
      <c r="Z375" s="79" t="str">
        <f t="shared" si="33"/>
        <v/>
      </c>
      <c r="AA375" s="24"/>
      <c r="AB375" s="32"/>
      <c r="AC375" s="31" t="str">
        <f t="shared" si="35"/>
        <v/>
      </c>
      <c r="AF375" s="109" t="str">
        <f>IF($M375="","",VLOOKUP($M375,'ORF Accuracy Value LookUp'!$D$4:$E$104,2,TRUE))</f>
        <v/>
      </c>
      <c r="AG375" s="47" t="str">
        <f>IF($S375="","",VLOOKUP($S375,'ORF Accuracy Value LookUp'!$G$4:$H$104,2,TRUE))</f>
        <v/>
      </c>
      <c r="AH375" s="110" t="str">
        <f>IF($Z375="","",VLOOKUP($Z375,'ORF Accuracy Value LookUp'!$G$4:$H$104,2,TRUE))</f>
        <v/>
      </c>
    </row>
    <row r="376" spans="1:34">
      <c r="A376" s="10"/>
      <c r="B376" s="9"/>
      <c r="C376" s="9"/>
      <c r="D376" s="9"/>
      <c r="E376" s="10"/>
      <c r="F376" s="11"/>
      <c r="G376" s="15"/>
      <c r="H376" s="81"/>
      <c r="I376" s="24"/>
      <c r="J376" s="24"/>
      <c r="K376" s="74"/>
      <c r="L376" s="74"/>
      <c r="M376" s="76" t="str">
        <f t="shared" si="31"/>
        <v/>
      </c>
      <c r="N376" s="24"/>
      <c r="O376" s="111" t="str">
        <f t="shared" si="30"/>
        <v/>
      </c>
      <c r="P376" s="81"/>
      <c r="Q376" s="74"/>
      <c r="R376" s="74"/>
      <c r="S376" s="78" t="str">
        <f t="shared" si="32"/>
        <v/>
      </c>
      <c r="T376" s="24"/>
      <c r="U376" s="32"/>
      <c r="V376" s="40" t="str">
        <f t="shared" si="34"/>
        <v/>
      </c>
      <c r="W376" s="81"/>
      <c r="X376" s="74"/>
      <c r="Y376" s="74"/>
      <c r="Z376" s="79" t="str">
        <f t="shared" si="33"/>
        <v/>
      </c>
      <c r="AA376" s="24"/>
      <c r="AB376" s="32"/>
      <c r="AC376" s="31" t="str">
        <f t="shared" si="35"/>
        <v/>
      </c>
      <c r="AF376" s="109" t="str">
        <f>IF($M376="","",VLOOKUP($M376,'ORF Accuracy Value LookUp'!$D$4:$E$104,2,TRUE))</f>
        <v/>
      </c>
      <c r="AG376" s="47" t="str">
        <f>IF($S376="","",VLOOKUP($S376,'ORF Accuracy Value LookUp'!$G$4:$H$104,2,TRUE))</f>
        <v/>
      </c>
      <c r="AH376" s="110" t="str">
        <f>IF($Z376="","",VLOOKUP($Z376,'ORF Accuracy Value LookUp'!$G$4:$H$104,2,TRUE))</f>
        <v/>
      </c>
    </row>
    <row r="377" spans="1:34">
      <c r="A377" s="10"/>
      <c r="B377" s="9"/>
      <c r="C377" s="9"/>
      <c r="D377" s="9"/>
      <c r="E377" s="10"/>
      <c r="F377" s="11"/>
      <c r="G377" s="15"/>
      <c r="H377" s="81"/>
      <c r="I377" s="24"/>
      <c r="J377" s="24"/>
      <c r="K377" s="74"/>
      <c r="L377" s="74"/>
      <c r="M377" s="76" t="str">
        <f t="shared" si="31"/>
        <v/>
      </c>
      <c r="N377" s="24"/>
      <c r="O377" s="111" t="str">
        <f t="shared" si="30"/>
        <v/>
      </c>
      <c r="P377" s="81"/>
      <c r="Q377" s="74"/>
      <c r="R377" s="74"/>
      <c r="S377" s="78" t="str">
        <f t="shared" si="32"/>
        <v/>
      </c>
      <c r="T377" s="24"/>
      <c r="U377" s="32"/>
      <c r="V377" s="40" t="str">
        <f t="shared" si="34"/>
        <v/>
      </c>
      <c r="W377" s="81"/>
      <c r="X377" s="74"/>
      <c r="Y377" s="74"/>
      <c r="Z377" s="79" t="str">
        <f t="shared" si="33"/>
        <v/>
      </c>
      <c r="AA377" s="24"/>
      <c r="AB377" s="32"/>
      <c r="AC377" s="31" t="str">
        <f t="shared" si="35"/>
        <v/>
      </c>
      <c r="AF377" s="109" t="str">
        <f>IF($M377="","",VLOOKUP($M377,'ORF Accuracy Value LookUp'!$D$4:$E$104,2,TRUE))</f>
        <v/>
      </c>
      <c r="AG377" s="47" t="str">
        <f>IF($S377="","",VLOOKUP($S377,'ORF Accuracy Value LookUp'!$G$4:$H$104,2,TRUE))</f>
        <v/>
      </c>
      <c r="AH377" s="110" t="str">
        <f>IF($Z377="","",VLOOKUP($Z377,'ORF Accuracy Value LookUp'!$G$4:$H$104,2,TRUE))</f>
        <v/>
      </c>
    </row>
    <row r="378" spans="1:34">
      <c r="A378" s="10"/>
      <c r="B378" s="9"/>
      <c r="C378" s="9"/>
      <c r="D378" s="9"/>
      <c r="E378" s="10"/>
      <c r="F378" s="11"/>
      <c r="G378" s="15"/>
      <c r="H378" s="81"/>
      <c r="I378" s="24"/>
      <c r="J378" s="24"/>
      <c r="K378" s="74"/>
      <c r="L378" s="74"/>
      <c r="M378" s="76" t="str">
        <f t="shared" si="31"/>
        <v/>
      </c>
      <c r="N378" s="24"/>
      <c r="O378" s="111" t="str">
        <f t="shared" si="30"/>
        <v/>
      </c>
      <c r="P378" s="81"/>
      <c r="Q378" s="74"/>
      <c r="R378" s="74"/>
      <c r="S378" s="78" t="str">
        <f t="shared" si="32"/>
        <v/>
      </c>
      <c r="T378" s="24"/>
      <c r="U378" s="32"/>
      <c r="V378" s="40" t="str">
        <f t="shared" si="34"/>
        <v/>
      </c>
      <c r="W378" s="81"/>
      <c r="X378" s="74"/>
      <c r="Y378" s="74"/>
      <c r="Z378" s="79" t="str">
        <f t="shared" si="33"/>
        <v/>
      </c>
      <c r="AA378" s="24"/>
      <c r="AB378" s="32"/>
      <c r="AC378" s="31" t="str">
        <f t="shared" si="35"/>
        <v/>
      </c>
      <c r="AF378" s="109" t="str">
        <f>IF($M378="","",VLOOKUP($M378,'ORF Accuracy Value LookUp'!$D$4:$E$104,2,TRUE))</f>
        <v/>
      </c>
      <c r="AG378" s="47" t="str">
        <f>IF($S378="","",VLOOKUP($S378,'ORF Accuracy Value LookUp'!$G$4:$H$104,2,TRUE))</f>
        <v/>
      </c>
      <c r="AH378" s="110" t="str">
        <f>IF($Z378="","",VLOOKUP($Z378,'ORF Accuracy Value LookUp'!$G$4:$H$104,2,TRUE))</f>
        <v/>
      </c>
    </row>
    <row r="379" spans="1:34">
      <c r="A379" s="10"/>
      <c r="B379" s="9"/>
      <c r="C379" s="9"/>
      <c r="D379" s="9"/>
      <c r="E379" s="10"/>
      <c r="F379" s="11"/>
      <c r="G379" s="15"/>
      <c r="H379" s="81"/>
      <c r="I379" s="24"/>
      <c r="J379" s="24"/>
      <c r="K379" s="74"/>
      <c r="L379" s="74"/>
      <c r="M379" s="76" t="str">
        <f t="shared" si="31"/>
        <v/>
      </c>
      <c r="N379" s="24"/>
      <c r="O379" s="111" t="str">
        <f t="shared" si="30"/>
        <v/>
      </c>
      <c r="P379" s="81"/>
      <c r="Q379" s="74"/>
      <c r="R379" s="74"/>
      <c r="S379" s="78" t="str">
        <f t="shared" si="32"/>
        <v/>
      </c>
      <c r="T379" s="24"/>
      <c r="U379" s="32"/>
      <c r="V379" s="40" t="str">
        <f t="shared" si="34"/>
        <v/>
      </c>
      <c r="W379" s="81"/>
      <c r="X379" s="74"/>
      <c r="Y379" s="74"/>
      <c r="Z379" s="79" t="str">
        <f t="shared" si="33"/>
        <v/>
      </c>
      <c r="AA379" s="24"/>
      <c r="AB379" s="32"/>
      <c r="AC379" s="31" t="str">
        <f t="shared" si="35"/>
        <v/>
      </c>
      <c r="AF379" s="109" t="str">
        <f>IF($M379="","",VLOOKUP($M379,'ORF Accuracy Value LookUp'!$D$4:$E$104,2,TRUE))</f>
        <v/>
      </c>
      <c r="AG379" s="47" t="str">
        <f>IF($S379="","",VLOOKUP($S379,'ORF Accuracy Value LookUp'!$G$4:$H$104,2,TRUE))</f>
        <v/>
      </c>
      <c r="AH379" s="110" t="str">
        <f>IF($Z379="","",VLOOKUP($Z379,'ORF Accuracy Value LookUp'!$G$4:$H$104,2,TRUE))</f>
        <v/>
      </c>
    </row>
    <row r="380" spans="1:34">
      <c r="A380" s="10"/>
      <c r="B380" s="9"/>
      <c r="C380" s="9"/>
      <c r="D380" s="9"/>
      <c r="E380" s="10"/>
      <c r="F380" s="11"/>
      <c r="G380" s="15"/>
      <c r="H380" s="81"/>
      <c r="I380" s="24"/>
      <c r="J380" s="24"/>
      <c r="K380" s="74"/>
      <c r="L380" s="74"/>
      <c r="M380" s="76" t="str">
        <f t="shared" si="31"/>
        <v/>
      </c>
      <c r="N380" s="24"/>
      <c r="O380" s="111" t="str">
        <f t="shared" si="30"/>
        <v/>
      </c>
      <c r="P380" s="81"/>
      <c r="Q380" s="74"/>
      <c r="R380" s="74"/>
      <c r="S380" s="78" t="str">
        <f t="shared" si="32"/>
        <v/>
      </c>
      <c r="T380" s="24"/>
      <c r="U380" s="32"/>
      <c r="V380" s="40" t="str">
        <f t="shared" si="34"/>
        <v/>
      </c>
      <c r="W380" s="81"/>
      <c r="X380" s="74"/>
      <c r="Y380" s="74"/>
      <c r="Z380" s="79" t="str">
        <f t="shared" si="33"/>
        <v/>
      </c>
      <c r="AA380" s="24"/>
      <c r="AB380" s="32"/>
      <c r="AC380" s="31" t="str">
        <f t="shared" si="35"/>
        <v/>
      </c>
      <c r="AF380" s="109" t="str">
        <f>IF($M380="","",VLOOKUP($M380,'ORF Accuracy Value LookUp'!$D$4:$E$104,2,TRUE))</f>
        <v/>
      </c>
      <c r="AG380" s="47" t="str">
        <f>IF($S380="","",VLOOKUP($S380,'ORF Accuracy Value LookUp'!$G$4:$H$104,2,TRUE))</f>
        <v/>
      </c>
      <c r="AH380" s="110" t="str">
        <f>IF($Z380="","",VLOOKUP($Z380,'ORF Accuracy Value LookUp'!$G$4:$H$104,2,TRUE))</f>
        <v/>
      </c>
    </row>
    <row r="381" spans="1:34">
      <c r="A381" s="10"/>
      <c r="B381" s="9"/>
      <c r="C381" s="9"/>
      <c r="D381" s="9"/>
      <c r="E381" s="10"/>
      <c r="F381" s="11"/>
      <c r="G381" s="15"/>
      <c r="H381" s="81"/>
      <c r="I381" s="24"/>
      <c r="J381" s="24"/>
      <c r="K381" s="74"/>
      <c r="L381" s="74"/>
      <c r="M381" s="76" t="str">
        <f t="shared" si="31"/>
        <v/>
      </c>
      <c r="N381" s="24"/>
      <c r="O381" s="111" t="str">
        <f t="shared" si="30"/>
        <v/>
      </c>
      <c r="P381" s="81"/>
      <c r="Q381" s="74"/>
      <c r="R381" s="74"/>
      <c r="S381" s="78" t="str">
        <f t="shared" si="32"/>
        <v/>
      </c>
      <c r="T381" s="24"/>
      <c r="U381" s="32"/>
      <c r="V381" s="40" t="str">
        <f t="shared" si="34"/>
        <v/>
      </c>
      <c r="W381" s="81"/>
      <c r="X381" s="74"/>
      <c r="Y381" s="74"/>
      <c r="Z381" s="79" t="str">
        <f t="shared" si="33"/>
        <v/>
      </c>
      <c r="AA381" s="24"/>
      <c r="AB381" s="32"/>
      <c r="AC381" s="31" t="str">
        <f t="shared" si="35"/>
        <v/>
      </c>
      <c r="AF381" s="109" t="str">
        <f>IF($M381="","",VLOOKUP($M381,'ORF Accuracy Value LookUp'!$D$4:$E$104,2,TRUE))</f>
        <v/>
      </c>
      <c r="AG381" s="47" t="str">
        <f>IF($S381="","",VLOOKUP($S381,'ORF Accuracy Value LookUp'!$G$4:$H$104,2,TRUE))</f>
        <v/>
      </c>
      <c r="AH381" s="110" t="str">
        <f>IF($Z381="","",VLOOKUP($Z381,'ORF Accuracy Value LookUp'!$G$4:$H$104,2,TRUE))</f>
        <v/>
      </c>
    </row>
    <row r="382" spans="1:34">
      <c r="A382" s="10"/>
      <c r="B382" s="9"/>
      <c r="C382" s="9"/>
      <c r="D382" s="9"/>
      <c r="E382" s="10"/>
      <c r="F382" s="11"/>
      <c r="G382" s="15"/>
      <c r="H382" s="81"/>
      <c r="I382" s="24"/>
      <c r="J382" s="24"/>
      <c r="K382" s="74"/>
      <c r="L382" s="74"/>
      <c r="M382" s="76" t="str">
        <f t="shared" si="31"/>
        <v/>
      </c>
      <c r="N382" s="24"/>
      <c r="O382" s="111" t="str">
        <f t="shared" si="30"/>
        <v/>
      </c>
      <c r="P382" s="81"/>
      <c r="Q382" s="74"/>
      <c r="R382" s="74"/>
      <c r="S382" s="78" t="str">
        <f t="shared" si="32"/>
        <v/>
      </c>
      <c r="T382" s="24"/>
      <c r="U382" s="32"/>
      <c r="V382" s="40" t="str">
        <f t="shared" si="34"/>
        <v/>
      </c>
      <c r="W382" s="81"/>
      <c r="X382" s="74"/>
      <c r="Y382" s="74"/>
      <c r="Z382" s="79" t="str">
        <f t="shared" si="33"/>
        <v/>
      </c>
      <c r="AA382" s="24"/>
      <c r="AB382" s="32"/>
      <c r="AC382" s="31" t="str">
        <f t="shared" si="35"/>
        <v/>
      </c>
      <c r="AF382" s="109" t="str">
        <f>IF($M382="","",VLOOKUP($M382,'ORF Accuracy Value LookUp'!$D$4:$E$104,2,TRUE))</f>
        <v/>
      </c>
      <c r="AG382" s="47" t="str">
        <f>IF($S382="","",VLOOKUP($S382,'ORF Accuracy Value LookUp'!$G$4:$H$104,2,TRUE))</f>
        <v/>
      </c>
      <c r="AH382" s="110" t="str">
        <f>IF($Z382="","",VLOOKUP($Z382,'ORF Accuracy Value LookUp'!$G$4:$H$104,2,TRUE))</f>
        <v/>
      </c>
    </row>
    <row r="383" spans="1:34">
      <c r="A383" s="10"/>
      <c r="B383" s="9"/>
      <c r="C383" s="9"/>
      <c r="D383" s="9"/>
      <c r="E383" s="10"/>
      <c r="F383" s="11"/>
      <c r="G383" s="15"/>
      <c r="H383" s="81"/>
      <c r="I383" s="24"/>
      <c r="J383" s="24"/>
      <c r="K383" s="74"/>
      <c r="L383" s="74"/>
      <c r="M383" s="76" t="str">
        <f t="shared" si="31"/>
        <v/>
      </c>
      <c r="N383" s="24"/>
      <c r="O383" s="111" t="str">
        <f t="shared" si="30"/>
        <v/>
      </c>
      <c r="P383" s="81"/>
      <c r="Q383" s="74"/>
      <c r="R383" s="74"/>
      <c r="S383" s="78" t="str">
        <f t="shared" si="32"/>
        <v/>
      </c>
      <c r="T383" s="24"/>
      <c r="U383" s="32"/>
      <c r="V383" s="40" t="str">
        <f t="shared" si="34"/>
        <v/>
      </c>
      <c r="W383" s="81"/>
      <c r="X383" s="74"/>
      <c r="Y383" s="74"/>
      <c r="Z383" s="79" t="str">
        <f t="shared" si="33"/>
        <v/>
      </c>
      <c r="AA383" s="24"/>
      <c r="AB383" s="32"/>
      <c r="AC383" s="31" t="str">
        <f t="shared" si="35"/>
        <v/>
      </c>
      <c r="AF383" s="109" t="str">
        <f>IF($M383="","",VLOOKUP($M383,'ORF Accuracy Value LookUp'!$D$4:$E$104,2,TRUE))</f>
        <v/>
      </c>
      <c r="AG383" s="47" t="str">
        <f>IF($S383="","",VLOOKUP($S383,'ORF Accuracy Value LookUp'!$G$4:$H$104,2,TRUE))</f>
        <v/>
      </c>
      <c r="AH383" s="110" t="str">
        <f>IF($Z383="","",VLOOKUP($Z383,'ORF Accuracy Value LookUp'!$G$4:$H$104,2,TRUE))</f>
        <v/>
      </c>
    </row>
    <row r="384" spans="1:34">
      <c r="A384" s="10"/>
      <c r="B384" s="9"/>
      <c r="C384" s="9"/>
      <c r="D384" s="9"/>
      <c r="E384" s="10"/>
      <c r="F384" s="11"/>
      <c r="G384" s="15"/>
      <c r="H384" s="81"/>
      <c r="I384" s="24"/>
      <c r="J384" s="24"/>
      <c r="K384" s="74"/>
      <c r="L384" s="74"/>
      <c r="M384" s="76" t="str">
        <f t="shared" si="31"/>
        <v/>
      </c>
      <c r="N384" s="24"/>
      <c r="O384" s="111" t="str">
        <f t="shared" si="30"/>
        <v/>
      </c>
      <c r="P384" s="81"/>
      <c r="Q384" s="74"/>
      <c r="R384" s="74"/>
      <c r="S384" s="78" t="str">
        <f t="shared" si="32"/>
        <v/>
      </c>
      <c r="T384" s="24"/>
      <c r="U384" s="32"/>
      <c r="V384" s="40" t="str">
        <f t="shared" si="34"/>
        <v/>
      </c>
      <c r="W384" s="81"/>
      <c r="X384" s="74"/>
      <c r="Y384" s="74"/>
      <c r="Z384" s="79" t="str">
        <f t="shared" si="33"/>
        <v/>
      </c>
      <c r="AA384" s="24"/>
      <c r="AB384" s="32"/>
      <c r="AC384" s="31" t="str">
        <f t="shared" si="35"/>
        <v/>
      </c>
      <c r="AF384" s="109" t="str">
        <f>IF($M384="","",VLOOKUP($M384,'ORF Accuracy Value LookUp'!$D$4:$E$104,2,TRUE))</f>
        <v/>
      </c>
      <c r="AG384" s="47" t="str">
        <f>IF($S384="","",VLOOKUP($S384,'ORF Accuracy Value LookUp'!$G$4:$H$104,2,TRUE))</f>
        <v/>
      </c>
      <c r="AH384" s="110" t="str">
        <f>IF($Z384="","",VLOOKUP($Z384,'ORF Accuracy Value LookUp'!$G$4:$H$104,2,TRUE))</f>
        <v/>
      </c>
    </row>
    <row r="385" spans="1:34">
      <c r="A385" s="10"/>
      <c r="B385" s="9"/>
      <c r="C385" s="9"/>
      <c r="D385" s="9"/>
      <c r="E385" s="10"/>
      <c r="F385" s="11"/>
      <c r="G385" s="15"/>
      <c r="H385" s="81"/>
      <c r="I385" s="24"/>
      <c r="J385" s="24"/>
      <c r="K385" s="74"/>
      <c r="L385" s="74"/>
      <c r="M385" s="76" t="str">
        <f t="shared" si="31"/>
        <v/>
      </c>
      <c r="N385" s="24"/>
      <c r="O385" s="111" t="str">
        <f t="shared" si="30"/>
        <v/>
      </c>
      <c r="P385" s="81"/>
      <c r="Q385" s="74"/>
      <c r="R385" s="74"/>
      <c r="S385" s="78" t="str">
        <f t="shared" si="32"/>
        <v/>
      </c>
      <c r="T385" s="24"/>
      <c r="U385" s="32"/>
      <c r="V385" s="40" t="str">
        <f t="shared" si="34"/>
        <v/>
      </c>
      <c r="W385" s="81"/>
      <c r="X385" s="74"/>
      <c r="Y385" s="74"/>
      <c r="Z385" s="79" t="str">
        <f t="shared" si="33"/>
        <v/>
      </c>
      <c r="AA385" s="24"/>
      <c r="AB385" s="32"/>
      <c r="AC385" s="31" t="str">
        <f t="shared" si="35"/>
        <v/>
      </c>
      <c r="AF385" s="109" t="str">
        <f>IF($M385="","",VLOOKUP($M385,'ORF Accuracy Value LookUp'!$D$4:$E$104,2,TRUE))</f>
        <v/>
      </c>
      <c r="AG385" s="47" t="str">
        <f>IF($S385="","",VLOOKUP($S385,'ORF Accuracy Value LookUp'!$G$4:$H$104,2,TRUE))</f>
        <v/>
      </c>
      <c r="AH385" s="110" t="str">
        <f>IF($Z385="","",VLOOKUP($Z385,'ORF Accuracy Value LookUp'!$G$4:$H$104,2,TRUE))</f>
        <v/>
      </c>
    </row>
    <row r="386" spans="1:34">
      <c r="A386" s="10"/>
      <c r="B386" s="9"/>
      <c r="C386" s="9"/>
      <c r="D386" s="9"/>
      <c r="E386" s="10"/>
      <c r="F386" s="11"/>
      <c r="G386" s="15"/>
      <c r="H386" s="81"/>
      <c r="I386" s="24"/>
      <c r="J386" s="24"/>
      <c r="K386" s="74"/>
      <c r="L386" s="74"/>
      <c r="M386" s="76" t="str">
        <f t="shared" si="31"/>
        <v/>
      </c>
      <c r="N386" s="24"/>
      <c r="O386" s="111" t="str">
        <f t="shared" si="30"/>
        <v/>
      </c>
      <c r="P386" s="81"/>
      <c r="Q386" s="74"/>
      <c r="R386" s="74"/>
      <c r="S386" s="78" t="str">
        <f t="shared" si="32"/>
        <v/>
      </c>
      <c r="T386" s="24"/>
      <c r="U386" s="32"/>
      <c r="V386" s="40" t="str">
        <f t="shared" si="34"/>
        <v/>
      </c>
      <c r="W386" s="81"/>
      <c r="X386" s="74"/>
      <c r="Y386" s="74"/>
      <c r="Z386" s="79" t="str">
        <f t="shared" si="33"/>
        <v/>
      </c>
      <c r="AA386" s="24"/>
      <c r="AB386" s="32"/>
      <c r="AC386" s="31" t="str">
        <f t="shared" si="35"/>
        <v/>
      </c>
      <c r="AF386" s="109" t="str">
        <f>IF($M386="","",VLOOKUP($M386,'ORF Accuracy Value LookUp'!$D$4:$E$104,2,TRUE))</f>
        <v/>
      </c>
      <c r="AG386" s="47" t="str">
        <f>IF($S386="","",VLOOKUP($S386,'ORF Accuracy Value LookUp'!$G$4:$H$104,2,TRUE))</f>
        <v/>
      </c>
      <c r="AH386" s="110" t="str">
        <f>IF($Z386="","",VLOOKUP($Z386,'ORF Accuracy Value LookUp'!$G$4:$H$104,2,TRUE))</f>
        <v/>
      </c>
    </row>
    <row r="387" spans="1:34">
      <c r="A387" s="10"/>
      <c r="B387" s="9"/>
      <c r="C387" s="9"/>
      <c r="D387" s="9"/>
      <c r="E387" s="10"/>
      <c r="F387" s="11"/>
      <c r="G387" s="15"/>
      <c r="H387" s="81"/>
      <c r="I387" s="24"/>
      <c r="J387" s="24"/>
      <c r="K387" s="74"/>
      <c r="L387" s="74"/>
      <c r="M387" s="76" t="str">
        <f t="shared" si="31"/>
        <v/>
      </c>
      <c r="N387" s="24"/>
      <c r="O387" s="111" t="str">
        <f t="shared" si="30"/>
        <v/>
      </c>
      <c r="P387" s="81"/>
      <c r="Q387" s="74"/>
      <c r="R387" s="74"/>
      <c r="S387" s="78" t="str">
        <f t="shared" si="32"/>
        <v/>
      </c>
      <c r="T387" s="24"/>
      <c r="U387" s="32"/>
      <c r="V387" s="40" t="str">
        <f t="shared" si="34"/>
        <v/>
      </c>
      <c r="W387" s="81"/>
      <c r="X387" s="74"/>
      <c r="Y387" s="74"/>
      <c r="Z387" s="79" t="str">
        <f t="shared" si="33"/>
        <v/>
      </c>
      <c r="AA387" s="24"/>
      <c r="AB387" s="32"/>
      <c r="AC387" s="31" t="str">
        <f t="shared" si="35"/>
        <v/>
      </c>
      <c r="AF387" s="109" t="str">
        <f>IF($M387="","",VLOOKUP($M387,'ORF Accuracy Value LookUp'!$D$4:$E$104,2,TRUE))</f>
        <v/>
      </c>
      <c r="AG387" s="47" t="str">
        <f>IF($S387="","",VLOOKUP($S387,'ORF Accuracy Value LookUp'!$G$4:$H$104,2,TRUE))</f>
        <v/>
      </c>
      <c r="AH387" s="110" t="str">
        <f>IF($Z387="","",VLOOKUP($Z387,'ORF Accuracy Value LookUp'!$G$4:$H$104,2,TRUE))</f>
        <v/>
      </c>
    </row>
    <row r="388" spans="1:34">
      <c r="A388" s="10"/>
      <c r="B388" s="9"/>
      <c r="C388" s="9"/>
      <c r="D388" s="9"/>
      <c r="E388" s="10"/>
      <c r="F388" s="11"/>
      <c r="G388" s="15"/>
      <c r="H388" s="81"/>
      <c r="I388" s="24"/>
      <c r="J388" s="24"/>
      <c r="K388" s="74"/>
      <c r="L388" s="74"/>
      <c r="M388" s="76" t="str">
        <f t="shared" si="31"/>
        <v/>
      </c>
      <c r="N388" s="24"/>
      <c r="O388" s="111" t="str">
        <f t="shared" si="30"/>
        <v/>
      </c>
      <c r="P388" s="81"/>
      <c r="Q388" s="74"/>
      <c r="R388" s="74"/>
      <c r="S388" s="78" t="str">
        <f t="shared" si="32"/>
        <v/>
      </c>
      <c r="T388" s="24"/>
      <c r="U388" s="32"/>
      <c r="V388" s="40" t="str">
        <f t="shared" si="34"/>
        <v/>
      </c>
      <c r="W388" s="81"/>
      <c r="X388" s="74"/>
      <c r="Y388" s="74"/>
      <c r="Z388" s="79" t="str">
        <f t="shared" si="33"/>
        <v/>
      </c>
      <c r="AA388" s="24"/>
      <c r="AB388" s="32"/>
      <c r="AC388" s="31" t="str">
        <f t="shared" si="35"/>
        <v/>
      </c>
      <c r="AF388" s="109" t="str">
        <f>IF($M388="","",VLOOKUP($M388,'ORF Accuracy Value LookUp'!$D$4:$E$104,2,TRUE))</f>
        <v/>
      </c>
      <c r="AG388" s="47" t="str">
        <f>IF($S388="","",VLOOKUP($S388,'ORF Accuracy Value LookUp'!$G$4:$H$104,2,TRUE))</f>
        <v/>
      </c>
      <c r="AH388" s="110" t="str">
        <f>IF($Z388="","",VLOOKUP($Z388,'ORF Accuracy Value LookUp'!$G$4:$H$104,2,TRUE))</f>
        <v/>
      </c>
    </row>
    <row r="389" spans="1:34">
      <c r="A389" s="10"/>
      <c r="B389" s="9"/>
      <c r="C389" s="9"/>
      <c r="D389" s="9"/>
      <c r="E389" s="10"/>
      <c r="F389" s="11"/>
      <c r="G389" s="15"/>
      <c r="H389" s="81"/>
      <c r="I389" s="24"/>
      <c r="J389" s="24"/>
      <c r="K389" s="74"/>
      <c r="L389" s="74"/>
      <c r="M389" s="76" t="str">
        <f t="shared" si="31"/>
        <v/>
      </c>
      <c r="N389" s="24"/>
      <c r="O389" s="111" t="str">
        <f t="shared" si="30"/>
        <v/>
      </c>
      <c r="P389" s="81"/>
      <c r="Q389" s="74"/>
      <c r="R389" s="74"/>
      <c r="S389" s="78" t="str">
        <f t="shared" si="32"/>
        <v/>
      </c>
      <c r="T389" s="24"/>
      <c r="U389" s="32"/>
      <c r="V389" s="40" t="str">
        <f t="shared" si="34"/>
        <v/>
      </c>
      <c r="W389" s="81"/>
      <c r="X389" s="74"/>
      <c r="Y389" s="74"/>
      <c r="Z389" s="79" t="str">
        <f t="shared" si="33"/>
        <v/>
      </c>
      <c r="AA389" s="24"/>
      <c r="AB389" s="32"/>
      <c r="AC389" s="31" t="str">
        <f t="shared" si="35"/>
        <v/>
      </c>
      <c r="AF389" s="109" t="str">
        <f>IF($M389="","",VLOOKUP($M389,'ORF Accuracy Value LookUp'!$D$4:$E$104,2,TRUE))</f>
        <v/>
      </c>
      <c r="AG389" s="47" t="str">
        <f>IF($S389="","",VLOOKUP($S389,'ORF Accuracy Value LookUp'!$G$4:$H$104,2,TRUE))</f>
        <v/>
      </c>
      <c r="AH389" s="110" t="str">
        <f>IF($Z389="","",VLOOKUP($Z389,'ORF Accuracy Value LookUp'!$G$4:$H$104,2,TRUE))</f>
        <v/>
      </c>
    </row>
    <row r="390" spans="1:34">
      <c r="A390" s="10"/>
      <c r="B390" s="9"/>
      <c r="C390" s="9"/>
      <c r="D390" s="9"/>
      <c r="E390" s="10"/>
      <c r="F390" s="11"/>
      <c r="G390" s="15"/>
      <c r="H390" s="81"/>
      <c r="I390" s="24"/>
      <c r="J390" s="24"/>
      <c r="K390" s="74"/>
      <c r="L390" s="74"/>
      <c r="M390" s="76" t="str">
        <f t="shared" si="31"/>
        <v/>
      </c>
      <c r="N390" s="24"/>
      <c r="O390" s="111" t="str">
        <f t="shared" ref="O390:O399" si="36">IF($B390="","",SUM(($J390*2)+$K390+$AF390))</f>
        <v/>
      </c>
      <c r="P390" s="81"/>
      <c r="Q390" s="74"/>
      <c r="R390" s="74"/>
      <c r="S390" s="78" t="str">
        <f t="shared" si="32"/>
        <v/>
      </c>
      <c r="T390" s="24"/>
      <c r="U390" s="32"/>
      <c r="V390" s="40" t="str">
        <f t="shared" si="34"/>
        <v/>
      </c>
      <c r="W390" s="81"/>
      <c r="X390" s="74"/>
      <c r="Y390" s="74"/>
      <c r="Z390" s="79" t="str">
        <f t="shared" si="33"/>
        <v/>
      </c>
      <c r="AA390" s="24"/>
      <c r="AB390" s="32"/>
      <c r="AC390" s="31" t="str">
        <f t="shared" si="35"/>
        <v/>
      </c>
      <c r="AF390" s="109" t="str">
        <f>IF($M390="","",VLOOKUP($M390,'ORF Accuracy Value LookUp'!$D$4:$E$104,2,TRUE))</f>
        <v/>
      </c>
      <c r="AG390" s="47" t="str">
        <f>IF($S390="","",VLOOKUP($S390,'ORF Accuracy Value LookUp'!$G$4:$H$104,2,TRUE))</f>
        <v/>
      </c>
      <c r="AH390" s="110" t="str">
        <f>IF($Z390="","",VLOOKUP($Z390,'ORF Accuracy Value LookUp'!$G$4:$H$104,2,TRUE))</f>
        <v/>
      </c>
    </row>
    <row r="391" spans="1:34">
      <c r="A391" s="10"/>
      <c r="B391" s="9"/>
      <c r="C391" s="9"/>
      <c r="D391" s="9"/>
      <c r="E391" s="10"/>
      <c r="F391" s="11"/>
      <c r="G391" s="15"/>
      <c r="H391" s="81"/>
      <c r="I391" s="24"/>
      <c r="J391" s="24"/>
      <c r="K391" s="74"/>
      <c r="L391" s="74"/>
      <c r="M391" s="76" t="str">
        <f t="shared" ref="M391:M399" si="37">IF($K391="","",SUM($K391/($K391+$L391)))</f>
        <v/>
      </c>
      <c r="N391" s="24"/>
      <c r="O391" s="111" t="str">
        <f t="shared" si="36"/>
        <v/>
      </c>
      <c r="P391" s="81"/>
      <c r="Q391" s="74"/>
      <c r="R391" s="74"/>
      <c r="S391" s="78" t="str">
        <f t="shared" ref="S391:S399" si="38">IF($Q391="","",SUM($Q391/($Q391+$R391)))</f>
        <v/>
      </c>
      <c r="T391" s="24"/>
      <c r="U391" s="32"/>
      <c r="V391" s="40" t="str">
        <f t="shared" si="34"/>
        <v/>
      </c>
      <c r="W391" s="81"/>
      <c r="X391" s="74"/>
      <c r="Y391" s="74"/>
      <c r="Z391" s="79" t="str">
        <f t="shared" ref="Z391:Z399" si="39">IF($X391="","",SUM($X391/($X391+$Y391)))</f>
        <v/>
      </c>
      <c r="AA391" s="24"/>
      <c r="AB391" s="32"/>
      <c r="AC391" s="31" t="str">
        <f t="shared" si="35"/>
        <v/>
      </c>
      <c r="AF391" s="109" t="str">
        <f>IF($M391="","",VLOOKUP($M391,'ORF Accuracy Value LookUp'!$D$4:$E$104,2,TRUE))</f>
        <v/>
      </c>
      <c r="AG391" s="47" t="str">
        <f>IF($S391="","",VLOOKUP($S391,'ORF Accuracy Value LookUp'!$G$4:$H$104,2,TRUE))</f>
        <v/>
      </c>
      <c r="AH391" s="110" t="str">
        <f>IF($Z391="","",VLOOKUP($Z391,'ORF Accuracy Value LookUp'!$G$4:$H$104,2,TRUE))</f>
        <v/>
      </c>
    </row>
    <row r="392" spans="1:34">
      <c r="A392" s="10"/>
      <c r="B392" s="9"/>
      <c r="C392" s="9"/>
      <c r="D392" s="9"/>
      <c r="E392" s="10"/>
      <c r="F392" s="11"/>
      <c r="G392" s="15"/>
      <c r="H392" s="81"/>
      <c r="I392" s="24"/>
      <c r="J392" s="24"/>
      <c r="K392" s="74"/>
      <c r="L392" s="74"/>
      <c r="M392" s="76" t="str">
        <f t="shared" si="37"/>
        <v/>
      </c>
      <c r="N392" s="24"/>
      <c r="O392" s="111" t="str">
        <f t="shared" si="36"/>
        <v/>
      </c>
      <c r="P392" s="81"/>
      <c r="Q392" s="74"/>
      <c r="R392" s="74"/>
      <c r="S392" s="78" t="str">
        <f t="shared" si="38"/>
        <v/>
      </c>
      <c r="T392" s="24"/>
      <c r="U392" s="32"/>
      <c r="V392" s="40" t="str">
        <f t="shared" ref="V392:V399" si="40">IF($P392="","",SUM($Q392+$AG392+($T392*2)))</f>
        <v/>
      </c>
      <c r="W392" s="81"/>
      <c r="X392" s="74"/>
      <c r="Y392" s="74"/>
      <c r="Z392" s="79" t="str">
        <f t="shared" si="39"/>
        <v/>
      </c>
      <c r="AA392" s="24"/>
      <c r="AB392" s="32"/>
      <c r="AC392" s="31" t="str">
        <f t="shared" ref="AC392:AC399" si="41">IF($W392="","",SUM($X392+$AH392+($AA392*2)))</f>
        <v/>
      </c>
      <c r="AF392" s="109" t="str">
        <f>IF($M392="","",VLOOKUP($M392,'ORF Accuracy Value LookUp'!$D$4:$E$104,2,TRUE))</f>
        <v/>
      </c>
      <c r="AG392" s="47" t="str">
        <f>IF($S392="","",VLOOKUP($S392,'ORF Accuracy Value LookUp'!$G$4:$H$104,2,TRUE))</f>
        <v/>
      </c>
      <c r="AH392" s="110" t="str">
        <f>IF($Z392="","",VLOOKUP($Z392,'ORF Accuracy Value LookUp'!$G$4:$H$104,2,TRUE))</f>
        <v/>
      </c>
    </row>
    <row r="393" spans="1:34">
      <c r="A393" s="10"/>
      <c r="B393" s="9"/>
      <c r="C393" s="9"/>
      <c r="D393" s="9"/>
      <c r="E393" s="10"/>
      <c r="F393" s="11"/>
      <c r="G393" s="15"/>
      <c r="H393" s="81"/>
      <c r="I393" s="24"/>
      <c r="J393" s="24"/>
      <c r="K393" s="74"/>
      <c r="L393" s="74"/>
      <c r="M393" s="76" t="str">
        <f t="shared" si="37"/>
        <v/>
      </c>
      <c r="N393" s="24"/>
      <c r="O393" s="111" t="str">
        <f t="shared" si="36"/>
        <v/>
      </c>
      <c r="P393" s="81"/>
      <c r="Q393" s="74"/>
      <c r="R393" s="74"/>
      <c r="S393" s="78" t="str">
        <f t="shared" si="38"/>
        <v/>
      </c>
      <c r="T393" s="24"/>
      <c r="U393" s="32"/>
      <c r="V393" s="40" t="str">
        <f t="shared" si="40"/>
        <v/>
      </c>
      <c r="W393" s="81"/>
      <c r="X393" s="74"/>
      <c r="Y393" s="74"/>
      <c r="Z393" s="79" t="str">
        <f t="shared" si="39"/>
        <v/>
      </c>
      <c r="AA393" s="24"/>
      <c r="AB393" s="32"/>
      <c r="AC393" s="31" t="str">
        <f t="shared" si="41"/>
        <v/>
      </c>
      <c r="AF393" s="109" t="str">
        <f>IF($M393="","",VLOOKUP($M393,'ORF Accuracy Value LookUp'!$D$4:$E$104,2,TRUE))</f>
        <v/>
      </c>
      <c r="AG393" s="47" t="str">
        <f>IF($S393="","",VLOOKUP($S393,'ORF Accuracy Value LookUp'!$G$4:$H$104,2,TRUE))</f>
        <v/>
      </c>
      <c r="AH393" s="110" t="str">
        <f>IF($Z393="","",VLOOKUP($Z393,'ORF Accuracy Value LookUp'!$G$4:$H$104,2,TRUE))</f>
        <v/>
      </c>
    </row>
    <row r="394" spans="1:34">
      <c r="A394" s="10"/>
      <c r="B394" s="9"/>
      <c r="C394" s="9"/>
      <c r="D394" s="9"/>
      <c r="E394" s="10"/>
      <c r="F394" s="11"/>
      <c r="G394" s="15"/>
      <c r="H394" s="81"/>
      <c r="I394" s="24"/>
      <c r="J394" s="24"/>
      <c r="K394" s="74"/>
      <c r="L394" s="74"/>
      <c r="M394" s="76" t="str">
        <f t="shared" si="37"/>
        <v/>
      </c>
      <c r="N394" s="24"/>
      <c r="O394" s="111" t="str">
        <f t="shared" si="36"/>
        <v/>
      </c>
      <c r="P394" s="81"/>
      <c r="Q394" s="74"/>
      <c r="R394" s="74"/>
      <c r="S394" s="78" t="str">
        <f t="shared" si="38"/>
        <v/>
      </c>
      <c r="T394" s="24"/>
      <c r="U394" s="32"/>
      <c r="V394" s="40" t="str">
        <f t="shared" si="40"/>
        <v/>
      </c>
      <c r="W394" s="81"/>
      <c r="X394" s="74"/>
      <c r="Y394" s="74"/>
      <c r="Z394" s="79" t="str">
        <f t="shared" si="39"/>
        <v/>
      </c>
      <c r="AA394" s="24"/>
      <c r="AB394" s="32"/>
      <c r="AC394" s="31" t="str">
        <f t="shared" si="41"/>
        <v/>
      </c>
      <c r="AF394" s="109" t="str">
        <f>IF($M394="","",VLOOKUP($M394,'ORF Accuracy Value LookUp'!$D$4:$E$104,2,TRUE))</f>
        <v/>
      </c>
      <c r="AG394" s="47" t="str">
        <f>IF($S394="","",VLOOKUP($S394,'ORF Accuracy Value LookUp'!$G$4:$H$104,2,TRUE))</f>
        <v/>
      </c>
      <c r="AH394" s="110" t="str">
        <f>IF($Z394="","",VLOOKUP($Z394,'ORF Accuracy Value LookUp'!$G$4:$H$104,2,TRUE))</f>
        <v/>
      </c>
    </row>
    <row r="395" spans="1:34">
      <c r="A395" s="10"/>
      <c r="B395" s="9"/>
      <c r="C395" s="9"/>
      <c r="D395" s="9"/>
      <c r="E395" s="10"/>
      <c r="F395" s="11"/>
      <c r="G395" s="15"/>
      <c r="H395" s="81"/>
      <c r="I395" s="24"/>
      <c r="J395" s="24"/>
      <c r="K395" s="74"/>
      <c r="L395" s="74"/>
      <c r="M395" s="76" t="str">
        <f t="shared" si="37"/>
        <v/>
      </c>
      <c r="N395" s="24"/>
      <c r="O395" s="111" t="str">
        <f t="shared" si="36"/>
        <v/>
      </c>
      <c r="P395" s="81"/>
      <c r="Q395" s="74"/>
      <c r="R395" s="74"/>
      <c r="S395" s="78" t="str">
        <f t="shared" si="38"/>
        <v/>
      </c>
      <c r="T395" s="24"/>
      <c r="U395" s="32"/>
      <c r="V395" s="40" t="str">
        <f t="shared" si="40"/>
        <v/>
      </c>
      <c r="W395" s="81"/>
      <c r="X395" s="74"/>
      <c r="Y395" s="74"/>
      <c r="Z395" s="79" t="str">
        <f t="shared" si="39"/>
        <v/>
      </c>
      <c r="AA395" s="24"/>
      <c r="AB395" s="32"/>
      <c r="AC395" s="31" t="str">
        <f t="shared" si="41"/>
        <v/>
      </c>
      <c r="AF395" s="109" t="str">
        <f>IF($M395="","",VLOOKUP($M395,'ORF Accuracy Value LookUp'!$D$4:$E$104,2,TRUE))</f>
        <v/>
      </c>
      <c r="AG395" s="47" t="str">
        <f>IF($S395="","",VLOOKUP($S395,'ORF Accuracy Value LookUp'!$G$4:$H$104,2,TRUE))</f>
        <v/>
      </c>
      <c r="AH395" s="110" t="str">
        <f>IF($Z395="","",VLOOKUP($Z395,'ORF Accuracy Value LookUp'!$G$4:$H$104,2,TRUE))</f>
        <v/>
      </c>
    </row>
    <row r="396" spans="1:34">
      <c r="A396" s="10"/>
      <c r="B396" s="9"/>
      <c r="C396" s="9"/>
      <c r="D396" s="9"/>
      <c r="E396" s="10"/>
      <c r="F396" s="11"/>
      <c r="G396" s="15"/>
      <c r="H396" s="81"/>
      <c r="I396" s="24"/>
      <c r="J396" s="24"/>
      <c r="K396" s="74"/>
      <c r="L396" s="74"/>
      <c r="M396" s="76" t="str">
        <f t="shared" si="37"/>
        <v/>
      </c>
      <c r="N396" s="24"/>
      <c r="O396" s="111" t="str">
        <f t="shared" si="36"/>
        <v/>
      </c>
      <c r="P396" s="81"/>
      <c r="Q396" s="74"/>
      <c r="R396" s="74"/>
      <c r="S396" s="78" t="str">
        <f t="shared" si="38"/>
        <v/>
      </c>
      <c r="T396" s="24"/>
      <c r="U396" s="32"/>
      <c r="V396" s="40" t="str">
        <f t="shared" si="40"/>
        <v/>
      </c>
      <c r="W396" s="81"/>
      <c r="X396" s="74"/>
      <c r="Y396" s="74"/>
      <c r="Z396" s="79" t="str">
        <f t="shared" si="39"/>
        <v/>
      </c>
      <c r="AA396" s="24"/>
      <c r="AB396" s="32"/>
      <c r="AC396" s="31" t="str">
        <f t="shared" si="41"/>
        <v/>
      </c>
      <c r="AF396" s="109" t="str">
        <f>IF($M396="","",VLOOKUP($M396,'ORF Accuracy Value LookUp'!$D$4:$E$104,2,TRUE))</f>
        <v/>
      </c>
      <c r="AG396" s="47" t="str">
        <f>IF($S396="","",VLOOKUP($S396,'ORF Accuracy Value LookUp'!$G$4:$H$104,2,TRUE))</f>
        <v/>
      </c>
      <c r="AH396" s="110" t="str">
        <f>IF($Z396="","",VLOOKUP($Z396,'ORF Accuracy Value LookUp'!$G$4:$H$104,2,TRUE))</f>
        <v/>
      </c>
    </row>
    <row r="397" spans="1:34">
      <c r="A397" s="10"/>
      <c r="B397" s="9"/>
      <c r="C397" s="9"/>
      <c r="D397" s="9"/>
      <c r="E397" s="10"/>
      <c r="F397" s="11"/>
      <c r="G397" s="15"/>
      <c r="H397" s="81"/>
      <c r="I397" s="24"/>
      <c r="J397" s="24"/>
      <c r="K397" s="74"/>
      <c r="L397" s="74"/>
      <c r="M397" s="76" t="str">
        <f t="shared" si="37"/>
        <v/>
      </c>
      <c r="N397" s="24"/>
      <c r="O397" s="111" t="str">
        <f t="shared" si="36"/>
        <v/>
      </c>
      <c r="P397" s="81"/>
      <c r="Q397" s="74"/>
      <c r="R397" s="74"/>
      <c r="S397" s="78" t="str">
        <f t="shared" si="38"/>
        <v/>
      </c>
      <c r="T397" s="24"/>
      <c r="U397" s="32"/>
      <c r="V397" s="40" t="str">
        <f t="shared" si="40"/>
        <v/>
      </c>
      <c r="W397" s="81"/>
      <c r="X397" s="74"/>
      <c r="Y397" s="74"/>
      <c r="Z397" s="79" t="str">
        <f t="shared" si="39"/>
        <v/>
      </c>
      <c r="AA397" s="24"/>
      <c r="AB397" s="32"/>
      <c r="AC397" s="31" t="str">
        <f t="shared" si="41"/>
        <v/>
      </c>
      <c r="AF397" s="109" t="str">
        <f>IF($M397="","",VLOOKUP($M397,'ORF Accuracy Value LookUp'!$D$4:$E$104,2,TRUE))</f>
        <v/>
      </c>
      <c r="AG397" s="47" t="str">
        <f>IF($S397="","",VLOOKUP($S397,'ORF Accuracy Value LookUp'!$G$4:$H$104,2,TRUE))</f>
        <v/>
      </c>
      <c r="AH397" s="110" t="str">
        <f>IF($Z397="","",VLOOKUP($Z397,'ORF Accuracy Value LookUp'!$G$4:$H$104,2,TRUE))</f>
        <v/>
      </c>
    </row>
    <row r="398" spans="1:34">
      <c r="A398" s="10"/>
      <c r="B398" s="9"/>
      <c r="C398" s="9"/>
      <c r="D398" s="9"/>
      <c r="E398" s="10"/>
      <c r="F398" s="11"/>
      <c r="G398" s="15"/>
      <c r="H398" s="81"/>
      <c r="I398" s="24"/>
      <c r="J398" s="24"/>
      <c r="K398" s="74"/>
      <c r="L398" s="74"/>
      <c r="M398" s="76" t="str">
        <f t="shared" si="37"/>
        <v/>
      </c>
      <c r="N398" s="24"/>
      <c r="O398" s="111" t="str">
        <f t="shared" si="36"/>
        <v/>
      </c>
      <c r="P398" s="81"/>
      <c r="Q398" s="74"/>
      <c r="R398" s="74"/>
      <c r="S398" s="78" t="str">
        <f t="shared" si="38"/>
        <v/>
      </c>
      <c r="T398" s="24"/>
      <c r="U398" s="32"/>
      <c r="V398" s="40" t="str">
        <f t="shared" si="40"/>
        <v/>
      </c>
      <c r="W398" s="81"/>
      <c r="X398" s="74"/>
      <c r="Y398" s="74"/>
      <c r="Z398" s="79" t="str">
        <f t="shared" si="39"/>
        <v/>
      </c>
      <c r="AA398" s="24"/>
      <c r="AB398" s="32"/>
      <c r="AC398" s="31" t="str">
        <f t="shared" si="41"/>
        <v/>
      </c>
      <c r="AF398" s="109" t="str">
        <f>IF($M398="","",VLOOKUP($M398,'ORF Accuracy Value LookUp'!$D$4:$E$104,2,TRUE))</f>
        <v/>
      </c>
      <c r="AG398" s="47" t="str">
        <f>IF($S398="","",VLOOKUP($S398,'ORF Accuracy Value LookUp'!$G$4:$H$104,2,TRUE))</f>
        <v/>
      </c>
      <c r="AH398" s="110" t="str">
        <f>IF($Z398="","",VLOOKUP($Z398,'ORF Accuracy Value LookUp'!$G$4:$H$104,2,TRUE))</f>
        <v/>
      </c>
    </row>
    <row r="399" spans="1:34" ht="15.75" thickBot="1">
      <c r="A399" s="10"/>
      <c r="B399" s="9"/>
      <c r="C399" s="9"/>
      <c r="D399" s="9"/>
      <c r="E399" s="10"/>
      <c r="F399" s="11"/>
      <c r="G399" s="15"/>
      <c r="H399" s="82"/>
      <c r="I399" s="26"/>
      <c r="J399" s="26"/>
      <c r="K399" s="75"/>
      <c r="L399" s="75"/>
      <c r="M399" s="126" t="str">
        <f t="shared" si="37"/>
        <v/>
      </c>
      <c r="N399" s="26"/>
      <c r="O399" s="127" t="str">
        <f t="shared" si="36"/>
        <v/>
      </c>
      <c r="P399" s="82"/>
      <c r="Q399" s="75"/>
      <c r="R399" s="75"/>
      <c r="S399" s="128" t="str">
        <f t="shared" si="38"/>
        <v/>
      </c>
      <c r="T399" s="26"/>
      <c r="U399" s="33"/>
      <c r="V399" s="40" t="str">
        <f t="shared" si="40"/>
        <v/>
      </c>
      <c r="W399" s="82"/>
      <c r="X399" s="75"/>
      <c r="Y399" s="75"/>
      <c r="Z399" s="112" t="str">
        <f t="shared" si="39"/>
        <v/>
      </c>
      <c r="AA399" s="26"/>
      <c r="AB399" s="33"/>
      <c r="AC399" s="31" t="str">
        <f t="shared" si="41"/>
        <v/>
      </c>
      <c r="AF399" s="109" t="str">
        <f>IF($M399="","",VLOOKUP($M399,'ORF Accuracy Value LookUp'!$D$4:$E$104,2,TRUE))</f>
        <v/>
      </c>
      <c r="AG399" s="47" t="str">
        <f>IF($S399="","",VLOOKUP($S399,'ORF Accuracy Value LookUp'!$G$4:$H$104,2,TRUE))</f>
        <v/>
      </c>
      <c r="AH399" s="110" t="str">
        <f>IF($Z399="","",VLOOKUP($Z399,'ORF Accuracy Value LookUp'!$G$4:$H$104,2,TRUE))</f>
        <v/>
      </c>
    </row>
    <row r="400" spans="1:34">
      <c r="A400" s="6"/>
      <c r="B400" s="7"/>
      <c r="C400" s="7"/>
      <c r="D400" s="7"/>
      <c r="E400" s="6"/>
      <c r="F400" s="8"/>
      <c r="G400" s="6"/>
    </row>
    <row r="401" spans="1:7">
      <c r="A401" s="6"/>
      <c r="B401" s="7"/>
      <c r="C401" s="7"/>
      <c r="D401" s="7"/>
      <c r="E401" s="6"/>
      <c r="F401" s="8"/>
      <c r="G401" s="6"/>
    </row>
    <row r="402" spans="1:7">
      <c r="A402" s="6"/>
      <c r="B402" s="7"/>
      <c r="C402" s="7"/>
      <c r="D402" s="7"/>
      <c r="E402" s="6"/>
      <c r="F402" s="8"/>
      <c r="G402" s="6"/>
    </row>
    <row r="403" spans="1:7">
      <c r="A403" s="6"/>
      <c r="B403" s="7"/>
      <c r="C403" s="7"/>
      <c r="D403" s="7"/>
      <c r="E403" s="6"/>
      <c r="F403" s="8"/>
      <c r="G403" s="6"/>
    </row>
    <row r="404" spans="1:7">
      <c r="A404" s="6"/>
      <c r="B404" s="7"/>
      <c r="C404" s="7"/>
      <c r="D404" s="7"/>
      <c r="E404" s="6"/>
      <c r="F404" s="8"/>
      <c r="G404" s="6"/>
    </row>
    <row r="405" spans="1:7">
      <c r="A405" s="6"/>
      <c r="B405" s="7"/>
      <c r="C405" s="7"/>
      <c r="D405" s="7"/>
      <c r="E405" s="6"/>
      <c r="F405" s="8"/>
      <c r="G405" s="6"/>
    </row>
    <row r="406" spans="1:7">
      <c r="A406" s="6"/>
      <c r="B406" s="7"/>
      <c r="C406" s="7"/>
      <c r="D406" s="7"/>
      <c r="E406" s="6"/>
      <c r="F406" s="8"/>
      <c r="G406" s="6"/>
    </row>
    <row r="407" spans="1:7">
      <c r="A407" s="6"/>
      <c r="B407" s="7"/>
      <c r="C407" s="7"/>
      <c r="D407" s="7"/>
      <c r="E407" s="6"/>
      <c r="F407" s="8"/>
      <c r="G407" s="6"/>
    </row>
    <row r="408" spans="1:7">
      <c r="A408" s="6"/>
      <c r="B408" s="7"/>
      <c r="C408" s="7"/>
      <c r="D408" s="7"/>
      <c r="E408" s="6"/>
      <c r="F408" s="8"/>
      <c r="G408" s="6"/>
    </row>
  </sheetData>
  <mergeCells count="12">
    <mergeCell ref="A1:G2"/>
    <mergeCell ref="I6:J6"/>
    <mergeCell ref="K6:N6"/>
    <mergeCell ref="I1:Z2"/>
    <mergeCell ref="W5:AC5"/>
    <mergeCell ref="P5:V5"/>
    <mergeCell ref="H5:O5"/>
    <mergeCell ref="X6:AB6"/>
    <mergeCell ref="Q6:U6"/>
    <mergeCell ref="H3:O3"/>
    <mergeCell ref="P3:V3"/>
    <mergeCell ref="W3:AC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8B6B-3F34-AB43-A550-FF1010DE3C0C}">
  <dimension ref="A1:AS406"/>
  <sheetViews>
    <sheetView topLeftCell="A6" zoomScaleNormal="100" workbookViewId="0">
      <pane xSplit="7" topLeftCell="H1" activePane="topRight" state="frozen"/>
      <selection pane="topRight" activeCell="A19" sqref="A19:XFD21"/>
    </sheetView>
  </sheetViews>
  <sheetFormatPr defaultColWidth="10" defaultRowHeight="15"/>
  <cols>
    <col min="1" max="1" width="7.85546875" customWidth="1"/>
    <col min="2" max="2" width="10" customWidth="1"/>
    <col min="3" max="5" width="8.7109375" customWidth="1"/>
    <col min="6" max="6" width="13" customWidth="1"/>
    <col min="7" max="7" width="8.7109375" customWidth="1"/>
    <col min="8" max="8" width="12" customWidth="1"/>
    <col min="9" max="9" width="10.85546875" customWidth="1"/>
    <col min="10" max="10" width="6.85546875" bestFit="1" customWidth="1"/>
    <col min="11" max="11" width="11.42578125" style="90" bestFit="1" customWidth="1"/>
    <col min="12" max="12" width="8.7109375" bestFit="1" customWidth="1"/>
    <col min="13" max="13" width="9.42578125" customWidth="1"/>
    <col min="14" max="14" width="8.7109375" bestFit="1" customWidth="1"/>
    <col min="15" max="15" width="6.85546875" bestFit="1" customWidth="1"/>
    <col min="16" max="16" width="9.28515625" style="92" bestFit="1" customWidth="1"/>
    <col min="17" max="17" width="10.28515625" customWidth="1"/>
    <col min="18" max="18" width="12.42578125" customWidth="1"/>
    <col min="19" max="19" width="11.28515625" customWidth="1"/>
    <col min="20" max="20" width="6.85546875" bestFit="1" customWidth="1"/>
    <col min="21" max="21" width="11.42578125" style="90" bestFit="1" customWidth="1"/>
    <col min="22" max="22" width="8.7109375" bestFit="1" customWidth="1"/>
    <col min="23" max="23" width="10" customWidth="1"/>
    <col min="24" max="24" width="8.7109375" bestFit="1" customWidth="1"/>
    <col min="25" max="25" width="6.85546875" bestFit="1" customWidth="1"/>
    <col min="26" max="26" width="9.28515625" style="92" bestFit="1" customWidth="1"/>
    <col min="27" max="27" width="10.42578125" customWidth="1"/>
    <col min="28" max="28" width="12.28515625" customWidth="1"/>
    <col min="29" max="29" width="11" customWidth="1"/>
    <col min="30" max="30" width="6.85546875" bestFit="1" customWidth="1"/>
    <col min="31" max="31" width="11.42578125" style="90" bestFit="1" customWidth="1"/>
    <col min="32" max="32" width="8.7109375" bestFit="1" customWidth="1"/>
    <col min="33" max="33" width="10.140625" customWidth="1"/>
    <col min="34" max="34" width="8.7109375" bestFit="1" customWidth="1"/>
    <col min="35" max="35" width="6.85546875" bestFit="1" customWidth="1"/>
    <col min="36" max="36" width="9.28515625" style="92" bestFit="1" customWidth="1"/>
    <col min="37" max="37" width="10.42578125" customWidth="1"/>
    <col min="40" max="40" width="9.42578125" customWidth="1"/>
    <col min="41" max="41" width="11.42578125" style="92" customWidth="1"/>
    <col min="42" max="42" width="9.42578125" customWidth="1"/>
    <col min="43" max="43" width="10.42578125" style="92" customWidth="1"/>
    <col min="44" max="44" width="9.7109375" customWidth="1"/>
    <col min="45" max="45" width="11.42578125" style="92" customWidth="1"/>
  </cols>
  <sheetData>
    <row r="1" spans="1:45" ht="36" customHeight="1">
      <c r="A1" s="244" t="s">
        <v>27</v>
      </c>
      <c r="B1" s="244"/>
      <c r="C1" s="244"/>
      <c r="D1" s="244"/>
      <c r="E1" s="244"/>
      <c r="F1" s="244"/>
      <c r="G1" s="244"/>
      <c r="H1" s="35"/>
      <c r="I1" s="260" t="s">
        <v>45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B1" s="35"/>
    </row>
    <row r="2" spans="1:45" ht="29.25" customHeight="1">
      <c r="A2" s="244"/>
      <c r="B2" s="244"/>
      <c r="C2" s="244"/>
      <c r="D2" s="244"/>
      <c r="E2" s="244"/>
      <c r="F2" s="244"/>
      <c r="G2" s="244"/>
      <c r="H2" s="35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B2" s="35"/>
    </row>
    <row r="3" spans="1:45" ht="15" customHeight="1">
      <c r="H3" s="283" t="s">
        <v>48</v>
      </c>
      <c r="I3" s="283"/>
      <c r="J3" s="283"/>
      <c r="K3" s="283"/>
      <c r="L3" s="283"/>
      <c r="M3" s="283"/>
      <c r="N3" s="283"/>
      <c r="O3" s="283"/>
      <c r="P3" s="283"/>
      <c r="Q3" s="283"/>
      <c r="R3" s="283" t="s">
        <v>48</v>
      </c>
      <c r="S3" s="283"/>
      <c r="T3" s="283"/>
      <c r="U3" s="283"/>
      <c r="V3" s="283"/>
      <c r="W3" s="283"/>
      <c r="X3" s="283"/>
      <c r="Y3" s="283"/>
      <c r="Z3" s="283"/>
      <c r="AA3" s="283"/>
      <c r="AB3" s="283" t="s">
        <v>48</v>
      </c>
      <c r="AC3" s="283"/>
      <c r="AD3" s="283"/>
      <c r="AE3" s="283"/>
      <c r="AF3" s="283"/>
      <c r="AG3" s="283"/>
      <c r="AH3" s="283"/>
      <c r="AI3" s="283"/>
      <c r="AJ3" s="283"/>
      <c r="AK3" s="283"/>
    </row>
    <row r="4" spans="1:45" s="36" customFormat="1" ht="15.75" thickBot="1">
      <c r="A4" s="37" t="s">
        <v>4</v>
      </c>
      <c r="B4" s="37" t="s">
        <v>4</v>
      </c>
      <c r="C4" s="37" t="s">
        <v>4</v>
      </c>
      <c r="D4" s="37" t="s">
        <v>4</v>
      </c>
      <c r="E4" s="48" t="s">
        <v>3</v>
      </c>
      <c r="F4" s="37" t="s">
        <v>4</v>
      </c>
      <c r="G4" s="38" t="s">
        <v>3</v>
      </c>
      <c r="H4" s="37" t="s">
        <v>4</v>
      </c>
      <c r="I4" s="37" t="s">
        <v>4</v>
      </c>
      <c r="J4" s="48" t="s">
        <v>3</v>
      </c>
      <c r="K4" s="91" t="s">
        <v>4</v>
      </c>
      <c r="L4" s="37" t="s">
        <v>4</v>
      </c>
      <c r="M4" s="48" t="s">
        <v>3</v>
      </c>
      <c r="N4" s="48" t="s">
        <v>3</v>
      </c>
      <c r="O4" s="48" t="s">
        <v>3</v>
      </c>
      <c r="P4" s="96" t="s">
        <v>4</v>
      </c>
      <c r="Q4" s="37"/>
      <c r="R4" s="37" t="s">
        <v>4</v>
      </c>
      <c r="S4" s="37" t="s">
        <v>4</v>
      </c>
      <c r="T4" s="48" t="s">
        <v>3</v>
      </c>
      <c r="U4" s="91" t="s">
        <v>4</v>
      </c>
      <c r="V4" s="39" t="s">
        <v>4</v>
      </c>
      <c r="W4" s="48" t="s">
        <v>3</v>
      </c>
      <c r="X4" s="48" t="s">
        <v>3</v>
      </c>
      <c r="Y4" s="48" t="s">
        <v>3</v>
      </c>
      <c r="Z4" s="96" t="s">
        <v>4</v>
      </c>
      <c r="AA4" s="37"/>
      <c r="AB4" s="37" t="s">
        <v>4</v>
      </c>
      <c r="AC4" s="37" t="s">
        <v>4</v>
      </c>
      <c r="AD4" s="48" t="s">
        <v>3</v>
      </c>
      <c r="AE4" s="91" t="s">
        <v>4</v>
      </c>
      <c r="AF4" s="39" t="s">
        <v>4</v>
      </c>
      <c r="AG4" s="48" t="s">
        <v>3</v>
      </c>
      <c r="AH4" s="48" t="s">
        <v>3</v>
      </c>
      <c r="AI4" s="48" t="s">
        <v>3</v>
      </c>
      <c r="AJ4" s="96" t="s">
        <v>4</v>
      </c>
      <c r="AK4" s="37"/>
      <c r="AN4" s="117"/>
      <c r="AO4" s="117"/>
      <c r="AP4" s="117"/>
      <c r="AQ4" s="117"/>
      <c r="AR4" s="117"/>
      <c r="AS4" s="117"/>
    </row>
    <row r="5" spans="1:45" s="1" customFormat="1" ht="30.95" customHeight="1" thickBot="1">
      <c r="A5" s="157"/>
      <c r="B5" s="157"/>
      <c r="C5" s="157"/>
      <c r="D5" s="157"/>
      <c r="E5" s="158"/>
      <c r="F5" s="157"/>
      <c r="G5" s="158"/>
      <c r="H5" s="285" t="s">
        <v>23</v>
      </c>
      <c r="I5" s="286"/>
      <c r="J5" s="286"/>
      <c r="K5" s="286"/>
      <c r="L5" s="286"/>
      <c r="M5" s="286"/>
      <c r="N5" s="286"/>
      <c r="O5" s="286"/>
      <c r="P5" s="286"/>
      <c r="Q5" s="287"/>
      <c r="R5" s="290" t="s">
        <v>24</v>
      </c>
      <c r="S5" s="291"/>
      <c r="T5" s="291"/>
      <c r="U5" s="291"/>
      <c r="V5" s="291"/>
      <c r="W5" s="291"/>
      <c r="X5" s="291"/>
      <c r="Y5" s="291"/>
      <c r="Z5" s="291"/>
      <c r="AA5" s="292"/>
      <c r="AB5" s="293" t="s">
        <v>25</v>
      </c>
      <c r="AC5" s="294"/>
      <c r="AD5" s="294"/>
      <c r="AE5" s="294"/>
      <c r="AF5" s="294"/>
      <c r="AG5" s="294"/>
      <c r="AH5" s="294"/>
      <c r="AI5" s="294"/>
      <c r="AJ5" s="294"/>
      <c r="AK5" s="295"/>
      <c r="AN5" s="116"/>
      <c r="AO5" s="116"/>
      <c r="AP5" s="116"/>
      <c r="AQ5" s="116"/>
      <c r="AR5" s="116"/>
      <c r="AS5" s="116"/>
    </row>
    <row r="6" spans="1:45" s="1" customFormat="1" ht="33" customHeight="1" thickBot="1">
      <c r="A6" s="154"/>
      <c r="B6" s="155"/>
      <c r="C6" s="154"/>
      <c r="D6" s="155"/>
      <c r="E6" s="156"/>
      <c r="F6" s="155"/>
      <c r="G6" s="161"/>
      <c r="H6" s="177"/>
      <c r="I6" s="252" t="s">
        <v>10</v>
      </c>
      <c r="J6" s="252"/>
      <c r="K6" s="252"/>
      <c r="L6" s="252"/>
      <c r="M6" s="300"/>
      <c r="N6" s="288" t="s">
        <v>13</v>
      </c>
      <c r="O6" s="289"/>
      <c r="P6" s="289"/>
      <c r="Q6" s="181"/>
      <c r="R6" s="178"/>
      <c r="S6" s="265" t="s">
        <v>10</v>
      </c>
      <c r="T6" s="265"/>
      <c r="U6" s="265"/>
      <c r="V6" s="265"/>
      <c r="W6" s="284"/>
      <c r="X6" s="296" t="s">
        <v>13</v>
      </c>
      <c r="Y6" s="297"/>
      <c r="Z6" s="297"/>
      <c r="AA6" s="182"/>
      <c r="AB6" s="179"/>
      <c r="AC6" s="270" t="s">
        <v>10</v>
      </c>
      <c r="AD6" s="270"/>
      <c r="AE6" s="270"/>
      <c r="AF6" s="270"/>
      <c r="AG6" s="255"/>
      <c r="AH6" s="298" t="s">
        <v>13</v>
      </c>
      <c r="AI6" s="299"/>
      <c r="AJ6" s="299"/>
      <c r="AK6" s="179"/>
      <c r="AN6" s="301" t="s">
        <v>23</v>
      </c>
      <c r="AO6" s="302"/>
      <c r="AP6" s="264" t="s">
        <v>24</v>
      </c>
      <c r="AQ6" s="284"/>
      <c r="AR6" s="269" t="s">
        <v>25</v>
      </c>
      <c r="AS6" s="255"/>
    </row>
    <row r="7" spans="1:45" s="16" customFormat="1" ht="90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83" t="s">
        <v>5</v>
      </c>
      <c r="I7" s="149" t="s">
        <v>14</v>
      </c>
      <c r="J7" s="193" t="s">
        <v>15</v>
      </c>
      <c r="K7" s="204" t="s">
        <v>36</v>
      </c>
      <c r="L7" s="34" t="s">
        <v>28</v>
      </c>
      <c r="M7" s="205" t="s">
        <v>29</v>
      </c>
      <c r="N7" s="205" t="s">
        <v>32</v>
      </c>
      <c r="O7" s="193" t="s">
        <v>33</v>
      </c>
      <c r="P7" s="206" t="s">
        <v>34</v>
      </c>
      <c r="Q7" s="207" t="s">
        <v>8</v>
      </c>
      <c r="R7" s="171" t="s">
        <v>5</v>
      </c>
      <c r="S7" s="148" t="s">
        <v>14</v>
      </c>
      <c r="T7" s="193" t="s">
        <v>15</v>
      </c>
      <c r="U7" s="210" t="s">
        <v>36</v>
      </c>
      <c r="V7" s="29" t="s">
        <v>28</v>
      </c>
      <c r="W7" s="205" t="s">
        <v>29</v>
      </c>
      <c r="X7" s="205" t="s">
        <v>32</v>
      </c>
      <c r="Y7" s="193" t="s">
        <v>33</v>
      </c>
      <c r="Z7" s="211" t="s">
        <v>34</v>
      </c>
      <c r="AA7" s="209" t="s">
        <v>8</v>
      </c>
      <c r="AB7" s="172" t="s">
        <v>5</v>
      </c>
      <c r="AC7" s="100" t="s">
        <v>14</v>
      </c>
      <c r="AD7" s="193" t="s">
        <v>15</v>
      </c>
      <c r="AE7" s="203" t="s">
        <v>36</v>
      </c>
      <c r="AF7" s="30" t="s">
        <v>28</v>
      </c>
      <c r="AG7" s="205" t="s">
        <v>29</v>
      </c>
      <c r="AH7" s="205" t="s">
        <v>32</v>
      </c>
      <c r="AI7" s="193" t="s">
        <v>33</v>
      </c>
      <c r="AJ7" s="208" t="s">
        <v>34</v>
      </c>
      <c r="AK7" s="172" t="s">
        <v>8</v>
      </c>
      <c r="AN7" s="34" t="s">
        <v>26</v>
      </c>
      <c r="AO7" s="93" t="s">
        <v>35</v>
      </c>
      <c r="AP7" s="29" t="s">
        <v>26</v>
      </c>
      <c r="AQ7" s="93" t="s">
        <v>35</v>
      </c>
      <c r="AR7" s="30" t="s">
        <v>26</v>
      </c>
      <c r="AS7" s="93" t="s">
        <v>35</v>
      </c>
    </row>
    <row r="8" spans="1:45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180">
        <v>45376</v>
      </c>
      <c r="I8" s="24">
        <v>2</v>
      </c>
      <c r="J8" s="24">
        <v>1</v>
      </c>
      <c r="K8" s="114">
        <v>0.66666666666666663</v>
      </c>
      <c r="L8" s="24">
        <v>0</v>
      </c>
      <c r="M8" s="24">
        <v>2</v>
      </c>
      <c r="N8" s="24">
        <v>0</v>
      </c>
      <c r="O8" s="24">
        <v>1</v>
      </c>
      <c r="P8" s="97">
        <v>0</v>
      </c>
      <c r="Q8" s="113">
        <v>2</v>
      </c>
      <c r="R8" s="180">
        <v>45441</v>
      </c>
      <c r="S8" s="24">
        <v>5</v>
      </c>
      <c r="T8" s="24">
        <v>1</v>
      </c>
      <c r="U8" s="78">
        <v>0.83333333333333337</v>
      </c>
      <c r="V8" s="24">
        <v>0</v>
      </c>
      <c r="W8" s="24">
        <v>2</v>
      </c>
      <c r="X8" s="24">
        <v>0</v>
      </c>
      <c r="Y8" s="24">
        <v>1</v>
      </c>
      <c r="Z8" s="98">
        <v>0</v>
      </c>
      <c r="AA8" s="40">
        <v>5</v>
      </c>
      <c r="AB8" s="180">
        <v>45580</v>
      </c>
      <c r="AC8" s="24">
        <v>8</v>
      </c>
      <c r="AD8" s="24">
        <v>1</v>
      </c>
      <c r="AE8" s="79">
        <v>0.88888888888888884</v>
      </c>
      <c r="AF8" s="24">
        <v>0</v>
      </c>
      <c r="AG8" s="24">
        <v>2</v>
      </c>
      <c r="AH8" s="24">
        <v>0</v>
      </c>
      <c r="AI8" s="24">
        <v>1</v>
      </c>
      <c r="AJ8" s="99">
        <v>0</v>
      </c>
      <c r="AK8" s="31">
        <v>32</v>
      </c>
      <c r="AN8" s="134">
        <f>IF($K8="","",VLOOKUP($K8,'ORF Accuracy Value LookUp'!$G$4:$H$104,2,TRUE))</f>
        <v>0</v>
      </c>
      <c r="AO8" s="135">
        <f t="shared" ref="AO8:AO68" si="0">IF($N8="","",($N8-($O8/2)))</f>
        <v>-0.5</v>
      </c>
      <c r="AP8" s="136">
        <f>IF($U8="","",VLOOKUP($U8,'ORF Accuracy Value LookUp'!$G$4:$H$104,2,TRUE))</f>
        <v>0</v>
      </c>
      <c r="AQ8" s="135">
        <f t="shared" ref="AQ8:AQ68" si="1">IF($X8="","",$X8-($Y8/2))</f>
        <v>-0.5</v>
      </c>
      <c r="AR8" s="137">
        <f>IF($AE8="","",VLOOKUP($AE8,'ORF Accuracy Value LookUp'!$G$4:$H$104,2,TRUE))</f>
        <v>24</v>
      </c>
      <c r="AS8" s="138">
        <f t="shared" ref="AS8:AS68" si="2">IF($AH8="","",$AH8-($AI8/2))</f>
        <v>-0.5</v>
      </c>
    </row>
    <row r="9" spans="1:45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7">
        <v>45376</v>
      </c>
      <c r="I9" s="24">
        <v>15</v>
      </c>
      <c r="J9" s="24">
        <v>3</v>
      </c>
      <c r="K9" s="114">
        <v>0.83333333333333337</v>
      </c>
      <c r="L9" s="24">
        <v>5</v>
      </c>
      <c r="M9" s="24">
        <v>2</v>
      </c>
      <c r="N9" s="24">
        <v>1</v>
      </c>
      <c r="O9" s="24">
        <v>3</v>
      </c>
      <c r="P9" s="97">
        <v>0</v>
      </c>
      <c r="Q9" s="113">
        <v>25</v>
      </c>
      <c r="R9" s="87">
        <v>45441</v>
      </c>
      <c r="S9" s="24">
        <v>28</v>
      </c>
      <c r="T9" s="24">
        <v>3</v>
      </c>
      <c r="U9" s="78">
        <v>0.90322580645161288</v>
      </c>
      <c r="V9" s="24">
        <v>9</v>
      </c>
      <c r="W9" s="24">
        <v>2</v>
      </c>
      <c r="X9" s="24">
        <v>1</v>
      </c>
      <c r="Y9" s="24">
        <v>3</v>
      </c>
      <c r="Z9" s="98">
        <v>0</v>
      </c>
      <c r="AA9" s="40">
        <v>86</v>
      </c>
      <c r="AB9" s="87">
        <v>45580</v>
      </c>
      <c r="AC9" s="24">
        <v>33</v>
      </c>
      <c r="AD9" s="24">
        <v>3</v>
      </c>
      <c r="AE9" s="79">
        <v>0.91666666666666663</v>
      </c>
      <c r="AF9" s="24">
        <v>11</v>
      </c>
      <c r="AG9" s="24">
        <v>2</v>
      </c>
      <c r="AH9" s="24">
        <v>1</v>
      </c>
      <c r="AI9" s="24">
        <v>3</v>
      </c>
      <c r="AJ9" s="99">
        <v>0</v>
      </c>
      <c r="AK9" s="31">
        <v>103</v>
      </c>
      <c r="AN9" s="139">
        <f>IF($K9="","",VLOOKUP($K9,'ORF Accuracy Value LookUp'!$G$4:$H$104,2,TRUE))</f>
        <v>0</v>
      </c>
      <c r="AO9" s="94">
        <f t="shared" si="0"/>
        <v>-0.5</v>
      </c>
      <c r="AP9" s="47">
        <f>IF($U9="","",VLOOKUP($U9,'ORF Accuracy Value LookUp'!$G$4:$H$104,2,TRUE))</f>
        <v>40</v>
      </c>
      <c r="AQ9" s="94">
        <f t="shared" si="1"/>
        <v>-0.5</v>
      </c>
      <c r="AR9" s="46">
        <f>IF($AE9="","",VLOOKUP($AE9,'ORF Accuracy Value LookUp'!$G$4:$H$104,2,TRUE))</f>
        <v>48</v>
      </c>
      <c r="AS9" s="140">
        <f t="shared" si="2"/>
        <v>-0.5</v>
      </c>
    </row>
    <row r="10" spans="1:45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7">
        <v>45376</v>
      </c>
      <c r="I10" s="24">
        <v>29</v>
      </c>
      <c r="J10" s="24">
        <v>3</v>
      </c>
      <c r="K10" s="114">
        <v>0.90625</v>
      </c>
      <c r="L10" s="24">
        <v>11</v>
      </c>
      <c r="M10" s="24">
        <v>2</v>
      </c>
      <c r="N10" s="24">
        <v>1</v>
      </c>
      <c r="O10" s="24">
        <v>3</v>
      </c>
      <c r="P10" s="97">
        <v>0</v>
      </c>
      <c r="Q10" s="113">
        <v>91</v>
      </c>
      <c r="R10" s="87">
        <v>45441</v>
      </c>
      <c r="S10" s="24">
        <v>43</v>
      </c>
      <c r="T10" s="24">
        <v>3</v>
      </c>
      <c r="U10" s="78">
        <v>0.93478260869565222</v>
      </c>
      <c r="V10" s="24">
        <v>14</v>
      </c>
      <c r="W10" s="24">
        <v>2</v>
      </c>
      <c r="X10" s="24">
        <v>1</v>
      </c>
      <c r="Y10" s="24">
        <v>3</v>
      </c>
      <c r="Z10" s="98">
        <v>0</v>
      </c>
      <c r="AA10" s="40">
        <v>135</v>
      </c>
      <c r="AB10" s="87">
        <v>45580</v>
      </c>
      <c r="AC10" s="24">
        <v>55</v>
      </c>
      <c r="AD10" s="24">
        <v>3</v>
      </c>
      <c r="AE10" s="79">
        <v>0.94827586206896552</v>
      </c>
      <c r="AF10" s="24">
        <v>17</v>
      </c>
      <c r="AG10" s="24">
        <v>2</v>
      </c>
      <c r="AH10" s="24">
        <v>1</v>
      </c>
      <c r="AI10" s="24">
        <v>3</v>
      </c>
      <c r="AJ10" s="99">
        <v>0</v>
      </c>
      <c r="AK10" s="31">
        <v>161</v>
      </c>
      <c r="AN10" s="139">
        <f>IF($K10="","",VLOOKUP($K10,'ORF Accuracy Value LookUp'!$G$4:$H$104,2,TRUE))</f>
        <v>40</v>
      </c>
      <c r="AO10" s="94">
        <f t="shared" si="0"/>
        <v>-0.5</v>
      </c>
      <c r="AP10" s="47">
        <f>IF($U10="","",VLOOKUP($U10,'ORF Accuracy Value LookUp'!$G$4:$H$104,2,TRUE))</f>
        <v>64</v>
      </c>
      <c r="AQ10" s="94">
        <f t="shared" si="1"/>
        <v>-0.5</v>
      </c>
      <c r="AR10" s="46">
        <f>IF($AE10="","",VLOOKUP($AE10,'ORF Accuracy Value LookUp'!$G$4:$H$104,2,TRUE))</f>
        <v>72</v>
      </c>
      <c r="AS10" s="140">
        <f t="shared" si="2"/>
        <v>-0.5</v>
      </c>
    </row>
    <row r="11" spans="1:45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7">
        <v>45376</v>
      </c>
      <c r="I11" s="24">
        <v>40</v>
      </c>
      <c r="J11" s="24">
        <v>4</v>
      </c>
      <c r="K11" s="114">
        <v>0.90909090909090906</v>
      </c>
      <c r="L11" s="24">
        <v>14</v>
      </c>
      <c r="M11" s="24">
        <v>1</v>
      </c>
      <c r="N11" s="24">
        <v>3</v>
      </c>
      <c r="O11" s="24">
        <v>4</v>
      </c>
      <c r="P11" s="97">
        <v>1</v>
      </c>
      <c r="Q11" s="113">
        <v>110</v>
      </c>
      <c r="R11" s="87">
        <v>45441</v>
      </c>
      <c r="S11" s="24">
        <v>54</v>
      </c>
      <c r="T11" s="24">
        <v>4</v>
      </c>
      <c r="U11" s="78">
        <v>0.93103448275862066</v>
      </c>
      <c r="V11" s="24">
        <v>18</v>
      </c>
      <c r="W11" s="24">
        <v>1</v>
      </c>
      <c r="X11" s="24">
        <v>3</v>
      </c>
      <c r="Y11" s="24">
        <v>4</v>
      </c>
      <c r="Z11" s="98">
        <v>1</v>
      </c>
      <c r="AA11" s="40">
        <v>158</v>
      </c>
      <c r="AB11" s="87">
        <v>45580</v>
      </c>
      <c r="AC11" s="24">
        <v>67</v>
      </c>
      <c r="AD11" s="24">
        <v>4</v>
      </c>
      <c r="AE11" s="79">
        <v>0.94366197183098588</v>
      </c>
      <c r="AF11" s="24">
        <v>21</v>
      </c>
      <c r="AG11" s="24">
        <v>1</v>
      </c>
      <c r="AH11" s="24">
        <v>3</v>
      </c>
      <c r="AI11" s="24">
        <v>4</v>
      </c>
      <c r="AJ11" s="99">
        <v>1</v>
      </c>
      <c r="AK11" s="31">
        <v>185</v>
      </c>
      <c r="AN11" s="139">
        <f>IF($K11="","",VLOOKUP($K11,'ORF Accuracy Value LookUp'!$G$4:$H$104,2,TRUE))</f>
        <v>40</v>
      </c>
      <c r="AO11" s="94">
        <f t="shared" si="0"/>
        <v>1</v>
      </c>
      <c r="AP11" s="47">
        <f>IF($U11="","",VLOOKUP($U11,'ORF Accuracy Value LookUp'!$G$4:$H$104,2,TRUE))</f>
        <v>64</v>
      </c>
      <c r="AQ11" s="94">
        <f t="shared" si="1"/>
        <v>1</v>
      </c>
      <c r="AR11" s="46">
        <f>IF($AE11="","",VLOOKUP($AE11,'ORF Accuracy Value LookUp'!$G$4:$H$104,2,TRUE))</f>
        <v>72</v>
      </c>
      <c r="AS11" s="140">
        <f t="shared" si="2"/>
        <v>1</v>
      </c>
    </row>
    <row r="12" spans="1:45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7">
        <v>45376</v>
      </c>
      <c r="I12" s="24">
        <v>49</v>
      </c>
      <c r="J12" s="24">
        <v>3</v>
      </c>
      <c r="K12" s="114">
        <v>0.94230769230769229</v>
      </c>
      <c r="L12" s="24">
        <v>17</v>
      </c>
      <c r="M12" s="24">
        <v>0</v>
      </c>
      <c r="N12" s="24">
        <v>4</v>
      </c>
      <c r="O12" s="24">
        <v>3</v>
      </c>
      <c r="P12" s="97">
        <v>2.5</v>
      </c>
      <c r="Q12" s="113">
        <v>160</v>
      </c>
      <c r="R12" s="87">
        <v>45441</v>
      </c>
      <c r="S12" s="24">
        <v>63</v>
      </c>
      <c r="T12" s="24">
        <v>3</v>
      </c>
      <c r="U12" s="78">
        <v>0.95454545454545459</v>
      </c>
      <c r="V12" s="24">
        <v>21</v>
      </c>
      <c r="W12" s="24">
        <v>0</v>
      </c>
      <c r="X12" s="24">
        <v>4</v>
      </c>
      <c r="Y12" s="24">
        <v>3</v>
      </c>
      <c r="Z12" s="98">
        <v>2.5</v>
      </c>
      <c r="AA12" s="40">
        <v>195</v>
      </c>
      <c r="AB12" s="87">
        <v>45580</v>
      </c>
      <c r="AC12" s="24">
        <v>75</v>
      </c>
      <c r="AD12" s="24">
        <v>3</v>
      </c>
      <c r="AE12" s="79">
        <v>0.96153846153846156</v>
      </c>
      <c r="AF12" s="24">
        <v>25</v>
      </c>
      <c r="AG12" s="24">
        <v>0</v>
      </c>
      <c r="AH12" s="24">
        <v>4</v>
      </c>
      <c r="AI12" s="24">
        <v>3</v>
      </c>
      <c r="AJ12" s="99">
        <v>2.5</v>
      </c>
      <c r="AK12" s="31">
        <v>223</v>
      </c>
      <c r="AN12" s="139">
        <f>IF($K12="","",VLOOKUP($K12,'ORF Accuracy Value LookUp'!$G$4:$H$104,2,TRUE))</f>
        <v>72</v>
      </c>
      <c r="AO12" s="94">
        <f t="shared" si="0"/>
        <v>2.5</v>
      </c>
      <c r="AP12" s="47">
        <f>IF($U12="","",VLOOKUP($U12,'ORF Accuracy Value LookUp'!$G$4:$H$104,2,TRUE))</f>
        <v>80</v>
      </c>
      <c r="AQ12" s="94">
        <f t="shared" si="1"/>
        <v>2.5</v>
      </c>
      <c r="AR12" s="46">
        <f>IF($AE12="","",VLOOKUP($AE12,'ORF Accuracy Value LookUp'!$G$4:$H$104,2,TRUE))</f>
        <v>88</v>
      </c>
      <c r="AS12" s="140">
        <f t="shared" si="2"/>
        <v>2.5</v>
      </c>
    </row>
    <row r="13" spans="1:45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7">
        <v>45376</v>
      </c>
      <c r="I13" s="24">
        <v>55</v>
      </c>
      <c r="J13" s="24">
        <v>4</v>
      </c>
      <c r="K13" s="114">
        <v>0.93220338983050843</v>
      </c>
      <c r="L13" s="24">
        <v>19</v>
      </c>
      <c r="M13" s="24">
        <v>0</v>
      </c>
      <c r="N13" s="24">
        <v>5</v>
      </c>
      <c r="O13" s="24">
        <v>4</v>
      </c>
      <c r="P13" s="97">
        <v>3</v>
      </c>
      <c r="Q13" s="113">
        <v>163</v>
      </c>
      <c r="R13" s="87">
        <v>45441</v>
      </c>
      <c r="S13" s="24">
        <v>71</v>
      </c>
      <c r="T13" s="24">
        <v>4</v>
      </c>
      <c r="U13" s="78">
        <v>0.94666666666666666</v>
      </c>
      <c r="V13" s="24">
        <v>24</v>
      </c>
      <c r="W13" s="24">
        <v>0</v>
      </c>
      <c r="X13" s="24">
        <v>5</v>
      </c>
      <c r="Y13" s="24">
        <v>4</v>
      </c>
      <c r="Z13" s="98">
        <v>3</v>
      </c>
      <c r="AA13" s="40">
        <v>203</v>
      </c>
      <c r="AB13" s="87">
        <v>45580</v>
      </c>
      <c r="AC13" s="24">
        <v>82</v>
      </c>
      <c r="AD13" s="24">
        <v>4</v>
      </c>
      <c r="AE13" s="79">
        <v>0.95348837209302328</v>
      </c>
      <c r="AF13" s="24">
        <v>28</v>
      </c>
      <c r="AG13" s="24">
        <v>0</v>
      </c>
      <c r="AH13" s="24">
        <v>5</v>
      </c>
      <c r="AI13" s="24">
        <v>4</v>
      </c>
      <c r="AJ13" s="99">
        <v>3</v>
      </c>
      <c r="AK13" s="31">
        <v>230</v>
      </c>
      <c r="AN13" s="139">
        <f>IF($K13="","",VLOOKUP($K13,'ORF Accuracy Value LookUp'!$G$4:$H$104,2,TRUE))</f>
        <v>64</v>
      </c>
      <c r="AO13" s="94">
        <f t="shared" si="0"/>
        <v>3</v>
      </c>
      <c r="AP13" s="47">
        <f>IF($U13="","",VLOOKUP($U13,'ORF Accuracy Value LookUp'!$G$4:$H$104,2,TRUE))</f>
        <v>72</v>
      </c>
      <c r="AQ13" s="94">
        <f t="shared" si="1"/>
        <v>3</v>
      </c>
      <c r="AR13" s="46">
        <f>IF($AE13="","",VLOOKUP($AE13,'ORF Accuracy Value LookUp'!$G$4:$H$104,2,TRUE))</f>
        <v>80</v>
      </c>
      <c r="AS13" s="140">
        <f t="shared" si="2"/>
        <v>3</v>
      </c>
    </row>
    <row r="14" spans="1:45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7">
        <v>45376</v>
      </c>
      <c r="I14" s="24">
        <v>61</v>
      </c>
      <c r="J14" s="24">
        <v>1</v>
      </c>
      <c r="K14" s="114">
        <v>0.9838709677419355</v>
      </c>
      <c r="L14" s="24">
        <v>21</v>
      </c>
      <c r="M14" s="24">
        <v>2</v>
      </c>
      <c r="N14" s="24">
        <v>5</v>
      </c>
      <c r="O14" s="24">
        <v>1</v>
      </c>
      <c r="P14" s="97">
        <v>4.5</v>
      </c>
      <c r="Q14" s="113">
        <v>216</v>
      </c>
      <c r="R14" s="87">
        <v>45441</v>
      </c>
      <c r="S14" s="24">
        <v>78</v>
      </c>
      <c r="T14" s="24">
        <v>1</v>
      </c>
      <c r="U14" s="78">
        <v>0.98734177215189878</v>
      </c>
      <c r="V14" s="24">
        <v>26</v>
      </c>
      <c r="W14" s="24">
        <v>2</v>
      </c>
      <c r="X14" s="24">
        <v>5</v>
      </c>
      <c r="Y14" s="24">
        <v>1</v>
      </c>
      <c r="Z14" s="98">
        <v>4.5</v>
      </c>
      <c r="AA14" s="40">
        <v>252</v>
      </c>
      <c r="AB14" s="87">
        <v>45580</v>
      </c>
      <c r="AC14" s="24">
        <v>89</v>
      </c>
      <c r="AD14" s="24">
        <v>1</v>
      </c>
      <c r="AE14" s="79">
        <v>0.98888888888888893</v>
      </c>
      <c r="AF14" s="24">
        <v>31</v>
      </c>
      <c r="AG14" s="24">
        <v>2</v>
      </c>
      <c r="AH14" s="24">
        <v>5</v>
      </c>
      <c r="AI14" s="24">
        <v>1</v>
      </c>
      <c r="AJ14" s="99">
        <v>4.5</v>
      </c>
      <c r="AK14" s="31">
        <v>273</v>
      </c>
      <c r="AN14" s="139">
        <f>IF($K14="","",VLOOKUP($K14,'ORF Accuracy Value LookUp'!$G$4:$H$104,2,TRUE))</f>
        <v>104</v>
      </c>
      <c r="AO14" s="94">
        <f t="shared" si="0"/>
        <v>4.5</v>
      </c>
      <c r="AP14" s="47">
        <f>IF($U14="","",VLOOKUP($U14,'ORF Accuracy Value LookUp'!$G$4:$H$104,2,TRUE))</f>
        <v>104</v>
      </c>
      <c r="AQ14" s="94">
        <f t="shared" si="1"/>
        <v>4.5</v>
      </c>
      <c r="AR14" s="46">
        <f>IF($AE14="","",VLOOKUP($AE14,'ORF Accuracy Value LookUp'!$G$4:$H$104,2,TRUE))</f>
        <v>104</v>
      </c>
      <c r="AS14" s="140">
        <f t="shared" si="2"/>
        <v>4.5</v>
      </c>
    </row>
    <row r="15" spans="1:45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7">
        <v>45376</v>
      </c>
      <c r="I15" s="24">
        <v>67</v>
      </c>
      <c r="J15" s="24">
        <v>2</v>
      </c>
      <c r="K15" s="114">
        <v>0.97101449275362317</v>
      </c>
      <c r="L15" s="24">
        <v>23</v>
      </c>
      <c r="M15" s="24">
        <v>1</v>
      </c>
      <c r="N15" s="24">
        <v>6</v>
      </c>
      <c r="O15" s="24">
        <v>2</v>
      </c>
      <c r="P15" s="97">
        <v>5</v>
      </c>
      <c r="Q15" s="113">
        <v>219</v>
      </c>
      <c r="R15" s="87">
        <v>45441</v>
      </c>
      <c r="S15" s="24">
        <v>84</v>
      </c>
      <c r="T15" s="24">
        <v>2</v>
      </c>
      <c r="U15" s="78">
        <v>0.97674418604651159</v>
      </c>
      <c r="V15" s="24">
        <v>28</v>
      </c>
      <c r="W15" s="24">
        <v>1</v>
      </c>
      <c r="X15" s="24">
        <v>6</v>
      </c>
      <c r="Y15" s="24">
        <v>2</v>
      </c>
      <c r="Z15" s="98">
        <v>5</v>
      </c>
      <c r="AA15" s="40">
        <v>256</v>
      </c>
      <c r="AB15" s="87">
        <v>45580</v>
      </c>
      <c r="AC15" s="24">
        <v>95</v>
      </c>
      <c r="AD15" s="24">
        <v>2</v>
      </c>
      <c r="AE15" s="79">
        <v>0.97938144329896903</v>
      </c>
      <c r="AF15" s="24">
        <v>34</v>
      </c>
      <c r="AG15" s="24">
        <v>1</v>
      </c>
      <c r="AH15" s="24">
        <v>6</v>
      </c>
      <c r="AI15" s="24">
        <v>2</v>
      </c>
      <c r="AJ15" s="99">
        <v>5</v>
      </c>
      <c r="AK15" s="31">
        <v>279</v>
      </c>
      <c r="AN15" s="139">
        <f>IF($K15="","",VLOOKUP($K15,'ORF Accuracy Value LookUp'!$G$4:$H$104,2,TRUE))</f>
        <v>96</v>
      </c>
      <c r="AO15" s="94">
        <f t="shared" si="0"/>
        <v>5</v>
      </c>
      <c r="AP15" s="47">
        <f>IF($U15="","",VLOOKUP($U15,'ORF Accuracy Value LookUp'!$G$4:$H$104,2,TRUE))</f>
        <v>96</v>
      </c>
      <c r="AQ15" s="94">
        <f t="shared" si="1"/>
        <v>5</v>
      </c>
      <c r="AR15" s="46">
        <f>IF($AE15="","",VLOOKUP($AE15,'ORF Accuracy Value LookUp'!$G$4:$H$104,2,TRUE))</f>
        <v>96</v>
      </c>
      <c r="AS15" s="140">
        <f t="shared" si="2"/>
        <v>5</v>
      </c>
    </row>
    <row r="16" spans="1:45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7">
        <v>45376</v>
      </c>
      <c r="I16" s="24">
        <v>73</v>
      </c>
      <c r="J16" s="24">
        <v>5</v>
      </c>
      <c r="K16" s="114">
        <v>0.9358974358974359</v>
      </c>
      <c r="L16" s="24">
        <v>25</v>
      </c>
      <c r="M16" s="24">
        <v>2</v>
      </c>
      <c r="N16" s="24">
        <v>7</v>
      </c>
      <c r="O16" s="24">
        <v>2</v>
      </c>
      <c r="P16" s="97">
        <v>6</v>
      </c>
      <c r="Q16" s="113">
        <v>199</v>
      </c>
      <c r="R16" s="87">
        <v>45441</v>
      </c>
      <c r="S16" s="24">
        <v>88</v>
      </c>
      <c r="T16" s="24">
        <v>5</v>
      </c>
      <c r="U16" s="78">
        <v>0.94623655913978499</v>
      </c>
      <c r="V16" s="24">
        <v>31</v>
      </c>
      <c r="W16" s="24">
        <v>2</v>
      </c>
      <c r="X16" s="24">
        <v>7</v>
      </c>
      <c r="Y16" s="24">
        <v>2</v>
      </c>
      <c r="Z16" s="98">
        <v>6</v>
      </c>
      <c r="AA16" s="40">
        <v>246</v>
      </c>
      <c r="AB16" s="87">
        <v>45580</v>
      </c>
      <c r="AC16" s="24">
        <v>100</v>
      </c>
      <c r="AD16" s="24">
        <v>5</v>
      </c>
      <c r="AE16" s="79">
        <v>0.95238095238095233</v>
      </c>
      <c r="AF16" s="24">
        <v>36</v>
      </c>
      <c r="AG16" s="24">
        <v>2</v>
      </c>
      <c r="AH16" s="24">
        <v>7</v>
      </c>
      <c r="AI16" s="24">
        <v>2</v>
      </c>
      <c r="AJ16" s="99">
        <v>6</v>
      </c>
      <c r="AK16" s="31">
        <v>276</v>
      </c>
      <c r="AN16" s="139">
        <f>IF($K16="","",VLOOKUP($K16,'ORF Accuracy Value LookUp'!$G$4:$H$104,2,TRUE))</f>
        <v>64</v>
      </c>
      <c r="AO16" s="94">
        <f t="shared" si="0"/>
        <v>6</v>
      </c>
      <c r="AP16" s="47">
        <f>IF($U16="","",VLOOKUP($U16,'ORF Accuracy Value LookUp'!$G$4:$H$104,2,TRUE))</f>
        <v>72</v>
      </c>
      <c r="AQ16" s="94">
        <f t="shared" si="1"/>
        <v>6</v>
      </c>
      <c r="AR16" s="46">
        <f>IF($AE16="","",VLOOKUP($AE16,'ORF Accuracy Value LookUp'!$G$4:$H$104,2,TRUE))</f>
        <v>80</v>
      </c>
      <c r="AS16" s="140">
        <f t="shared" si="2"/>
        <v>6</v>
      </c>
    </row>
    <row r="17" spans="1:45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7">
        <v>45376</v>
      </c>
      <c r="I17" s="24">
        <v>77</v>
      </c>
      <c r="J17" s="24">
        <v>7</v>
      </c>
      <c r="K17" s="114">
        <v>0.91666666666666663</v>
      </c>
      <c r="L17" s="24">
        <v>27</v>
      </c>
      <c r="M17" s="24">
        <v>1</v>
      </c>
      <c r="N17" s="24">
        <v>8</v>
      </c>
      <c r="O17" s="24">
        <v>1</v>
      </c>
      <c r="P17" s="97">
        <v>7.5</v>
      </c>
      <c r="Q17" s="113">
        <v>194</v>
      </c>
      <c r="R17" s="87">
        <v>45441</v>
      </c>
      <c r="S17" s="24">
        <v>92</v>
      </c>
      <c r="T17" s="24">
        <v>7</v>
      </c>
      <c r="U17" s="78">
        <v>0.92929292929292928</v>
      </c>
      <c r="V17" s="24">
        <v>33</v>
      </c>
      <c r="W17" s="24">
        <v>1</v>
      </c>
      <c r="X17" s="24">
        <v>8</v>
      </c>
      <c r="Y17" s="24">
        <v>1</v>
      </c>
      <c r="Z17" s="98">
        <v>7.5</v>
      </c>
      <c r="AA17" s="40">
        <v>244</v>
      </c>
      <c r="AB17" s="87">
        <v>45580</v>
      </c>
      <c r="AC17" s="24">
        <v>105</v>
      </c>
      <c r="AD17" s="24">
        <v>7</v>
      </c>
      <c r="AE17" s="79">
        <v>0.9375</v>
      </c>
      <c r="AF17" s="24">
        <v>39</v>
      </c>
      <c r="AG17" s="24">
        <v>1</v>
      </c>
      <c r="AH17" s="24">
        <v>8</v>
      </c>
      <c r="AI17" s="24">
        <v>1</v>
      </c>
      <c r="AJ17" s="99">
        <v>7.5</v>
      </c>
      <c r="AK17" s="31">
        <v>277</v>
      </c>
      <c r="AN17" s="139">
        <f>IF($K17="","",VLOOKUP($K17,'ORF Accuracy Value LookUp'!$G$4:$H$104,2,TRUE))</f>
        <v>48</v>
      </c>
      <c r="AO17" s="94">
        <f t="shared" si="0"/>
        <v>7.5</v>
      </c>
      <c r="AP17" s="47">
        <f>IF($U17="","",VLOOKUP($U17,'ORF Accuracy Value LookUp'!$G$4:$H$104,2,TRUE))</f>
        <v>56</v>
      </c>
      <c r="AQ17" s="94">
        <f t="shared" si="1"/>
        <v>7.5</v>
      </c>
      <c r="AR17" s="46">
        <f>IF($AE17="","",VLOOKUP($AE17,'ORF Accuracy Value LookUp'!$G$4:$H$104,2,TRUE))</f>
        <v>64</v>
      </c>
      <c r="AS17" s="140">
        <f t="shared" si="2"/>
        <v>7.5</v>
      </c>
    </row>
    <row r="18" spans="1:45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7">
        <v>45376</v>
      </c>
      <c r="I18" s="24">
        <v>81</v>
      </c>
      <c r="J18" s="24">
        <v>9</v>
      </c>
      <c r="K18" s="114">
        <v>0.9</v>
      </c>
      <c r="L18" s="24">
        <v>29</v>
      </c>
      <c r="M18" s="24">
        <v>1</v>
      </c>
      <c r="N18" s="24">
        <v>9</v>
      </c>
      <c r="O18" s="24">
        <v>1</v>
      </c>
      <c r="P18" s="97">
        <v>8.5</v>
      </c>
      <c r="Q18" s="113">
        <v>196</v>
      </c>
      <c r="R18" s="87">
        <v>45441</v>
      </c>
      <c r="S18" s="24">
        <v>96</v>
      </c>
      <c r="T18" s="24">
        <v>9</v>
      </c>
      <c r="U18" s="78">
        <v>0.91428571428571426</v>
      </c>
      <c r="V18" s="24">
        <v>35</v>
      </c>
      <c r="W18" s="24">
        <v>1</v>
      </c>
      <c r="X18" s="24">
        <v>9</v>
      </c>
      <c r="Y18" s="24">
        <v>1</v>
      </c>
      <c r="Z18" s="98">
        <v>8.5</v>
      </c>
      <c r="AA18" s="40">
        <v>248</v>
      </c>
      <c r="AB18" s="87">
        <v>45580</v>
      </c>
      <c r="AC18" s="24">
        <v>110</v>
      </c>
      <c r="AD18" s="24">
        <v>9</v>
      </c>
      <c r="AE18" s="79">
        <v>0.92436974789915971</v>
      </c>
      <c r="AF18" s="24">
        <v>41</v>
      </c>
      <c r="AG18" s="24">
        <v>1</v>
      </c>
      <c r="AH18" s="24">
        <v>9</v>
      </c>
      <c r="AI18" s="24">
        <v>1</v>
      </c>
      <c r="AJ18" s="99">
        <v>8.5</v>
      </c>
      <c r="AK18" s="31">
        <v>282</v>
      </c>
      <c r="AN18" s="139">
        <f>IF($K18="","",VLOOKUP($K18,'ORF Accuracy Value LookUp'!$G$4:$H$104,2,TRUE))</f>
        <v>40</v>
      </c>
      <c r="AO18" s="94">
        <f t="shared" si="0"/>
        <v>8.5</v>
      </c>
      <c r="AP18" s="47">
        <f>IF($U18="","",VLOOKUP($U18,'ORF Accuracy Value LookUp'!$G$4:$H$104,2,TRUE))</f>
        <v>48</v>
      </c>
      <c r="AQ18" s="94">
        <f t="shared" si="1"/>
        <v>8.5</v>
      </c>
      <c r="AR18" s="46">
        <f>IF($AE18="","",VLOOKUP($AE18,'ORF Accuracy Value LookUp'!$G$4:$H$104,2,TRUE))</f>
        <v>56</v>
      </c>
      <c r="AS18" s="140">
        <f t="shared" si="2"/>
        <v>8.5</v>
      </c>
    </row>
    <row r="19" spans="1:45">
      <c r="A19" s="10"/>
      <c r="B19" s="12"/>
      <c r="C19" s="13"/>
      <c r="D19" s="14"/>
      <c r="E19" s="10"/>
      <c r="F19" s="11"/>
      <c r="G19" s="15"/>
      <c r="H19" s="87"/>
      <c r="I19" s="24"/>
      <c r="J19" s="24"/>
      <c r="K19" s="114" t="str">
        <f t="shared" ref="K19:K68" si="3">IF($I19="","",SUM($I19/($I19+$J19)))</f>
        <v/>
      </c>
      <c r="L19" s="24"/>
      <c r="M19" s="24"/>
      <c r="N19" s="24"/>
      <c r="O19" s="24"/>
      <c r="P19" s="97" t="str">
        <f t="shared" ref="P19:P68" si="4">IF($AO19&gt;0,$AO19,0)</f>
        <v/>
      </c>
      <c r="Q19" s="113" t="str">
        <f t="shared" ref="Q19:Q68" si="5">IF($B19="","",SUM($I19+$AN19+($L19*2)+($P19*2)))</f>
        <v/>
      </c>
      <c r="R19" s="87"/>
      <c r="S19" s="24"/>
      <c r="T19" s="24"/>
      <c r="U19" s="78" t="str">
        <f t="shared" ref="U19:U68" si="6">IF($S19="","",SUM($S19/($S19+$T19)))</f>
        <v/>
      </c>
      <c r="V19" s="24"/>
      <c r="W19" s="24"/>
      <c r="X19" s="24"/>
      <c r="Y19" s="24"/>
      <c r="Z19" s="98" t="str">
        <f t="shared" ref="Z19:Z68" si="7">IF($AQ19&gt;0,$AQ19,0)</f>
        <v/>
      </c>
      <c r="AA19" s="40" t="str">
        <f t="shared" ref="AA19:AA69" si="8">IF($R19="","",SUM($S19+$AP19+($V19*2)+($Z19*4)))</f>
        <v/>
      </c>
      <c r="AB19" s="87"/>
      <c r="AC19" s="24"/>
      <c r="AD19" s="24"/>
      <c r="AE19" s="79" t="str">
        <f t="shared" ref="AE19:AE68" si="9">IF($AC19="","",SUM($AC19/($AC19+$AD19)))</f>
        <v/>
      </c>
      <c r="AF19" s="24"/>
      <c r="AG19" s="24"/>
      <c r="AH19" s="24"/>
      <c r="AI19" s="24"/>
      <c r="AJ19" s="99" t="str">
        <f t="shared" ref="AJ19:AJ68" si="10">IF($AS19&gt;0,$AS19,0)</f>
        <v/>
      </c>
      <c r="AK19" s="31" t="str">
        <f t="shared" ref="AK19:AK69" si="11">IF($AB19="","",SUM($AC19+$AR19+($AF19*2)+($AJ19*4)))</f>
        <v/>
      </c>
      <c r="AN19" s="139" t="str">
        <f>IF($K19="","",VLOOKUP($K19,'ORF Accuracy Value LookUp'!$G$4:$H$104,2,TRUE))</f>
        <v/>
      </c>
      <c r="AO19" s="94" t="str">
        <f t="shared" si="0"/>
        <v/>
      </c>
      <c r="AP19" s="47" t="str">
        <f>IF($U19="","",VLOOKUP($U19,'ORF Accuracy Value LookUp'!$G$4:$H$104,2,TRUE))</f>
        <v/>
      </c>
      <c r="AQ19" s="94" t="str">
        <f t="shared" si="1"/>
        <v/>
      </c>
      <c r="AR19" s="46" t="str">
        <f>IF($AE19="","",VLOOKUP($AE19,'ORF Accuracy Value LookUp'!$G$4:$H$104,2,TRUE))</f>
        <v/>
      </c>
      <c r="AS19" s="140" t="str">
        <f t="shared" si="2"/>
        <v/>
      </c>
    </row>
    <row r="20" spans="1:45">
      <c r="A20" s="10"/>
      <c r="B20" s="12"/>
      <c r="C20" s="13"/>
      <c r="D20" s="14"/>
      <c r="E20" s="10"/>
      <c r="F20" s="11"/>
      <c r="G20" s="15"/>
      <c r="H20" s="87"/>
      <c r="I20" s="24"/>
      <c r="J20" s="24"/>
      <c r="K20" s="114" t="str">
        <f t="shared" si="3"/>
        <v/>
      </c>
      <c r="L20" s="24"/>
      <c r="M20" s="24"/>
      <c r="N20" s="24"/>
      <c r="O20" s="24"/>
      <c r="P20" s="97" t="str">
        <f t="shared" si="4"/>
        <v/>
      </c>
      <c r="Q20" s="113" t="str">
        <f t="shared" si="5"/>
        <v/>
      </c>
      <c r="R20" s="87"/>
      <c r="S20" s="24"/>
      <c r="T20" s="24"/>
      <c r="U20" s="78" t="str">
        <f t="shared" si="6"/>
        <v/>
      </c>
      <c r="V20" s="24"/>
      <c r="W20" s="24"/>
      <c r="X20" s="24"/>
      <c r="Y20" s="24"/>
      <c r="Z20" s="98" t="str">
        <f t="shared" si="7"/>
        <v/>
      </c>
      <c r="AA20" s="40" t="str">
        <f t="shared" si="8"/>
        <v/>
      </c>
      <c r="AB20" s="87"/>
      <c r="AC20" s="24"/>
      <c r="AD20" s="24"/>
      <c r="AE20" s="79" t="str">
        <f t="shared" si="9"/>
        <v/>
      </c>
      <c r="AF20" s="24"/>
      <c r="AG20" s="24"/>
      <c r="AH20" s="24"/>
      <c r="AI20" s="24"/>
      <c r="AJ20" s="99" t="str">
        <f t="shared" si="10"/>
        <v/>
      </c>
      <c r="AK20" s="31" t="str">
        <f t="shared" si="11"/>
        <v/>
      </c>
      <c r="AN20" s="139" t="str">
        <f>IF($K20="","",VLOOKUP($K20,'ORF Accuracy Value LookUp'!$G$4:$H$104,2,TRUE))</f>
        <v/>
      </c>
      <c r="AO20" s="94" t="str">
        <f t="shared" si="0"/>
        <v/>
      </c>
      <c r="AP20" s="47" t="str">
        <f>IF($U20="","",VLOOKUP($U20,'ORF Accuracy Value LookUp'!$G$4:$H$104,2,TRUE))</f>
        <v/>
      </c>
      <c r="AQ20" s="94" t="str">
        <f t="shared" si="1"/>
        <v/>
      </c>
      <c r="AR20" s="46" t="str">
        <f>IF($AE20="","",VLOOKUP($AE20,'ORF Accuracy Value LookUp'!$G$4:$H$104,2,TRUE))</f>
        <v/>
      </c>
      <c r="AS20" s="140" t="str">
        <f t="shared" si="2"/>
        <v/>
      </c>
    </row>
    <row r="21" spans="1:45">
      <c r="A21" s="10"/>
      <c r="B21" s="12"/>
      <c r="C21" s="13"/>
      <c r="D21" s="14"/>
      <c r="E21" s="10"/>
      <c r="F21" s="11"/>
      <c r="G21" s="15"/>
      <c r="H21" s="87"/>
      <c r="I21" s="24"/>
      <c r="J21" s="24"/>
      <c r="K21" s="114" t="str">
        <f t="shared" si="3"/>
        <v/>
      </c>
      <c r="L21" s="24"/>
      <c r="M21" s="24"/>
      <c r="N21" s="24"/>
      <c r="O21" s="24"/>
      <c r="P21" s="97" t="str">
        <f t="shared" si="4"/>
        <v/>
      </c>
      <c r="Q21" s="113" t="str">
        <f t="shared" si="5"/>
        <v/>
      </c>
      <c r="R21" s="87"/>
      <c r="S21" s="24"/>
      <c r="T21" s="24"/>
      <c r="U21" s="78" t="str">
        <f t="shared" si="6"/>
        <v/>
      </c>
      <c r="V21" s="24"/>
      <c r="W21" s="24"/>
      <c r="X21" s="24"/>
      <c r="Y21" s="24"/>
      <c r="Z21" s="98" t="str">
        <f t="shared" si="7"/>
        <v/>
      </c>
      <c r="AA21" s="40" t="str">
        <f t="shared" si="8"/>
        <v/>
      </c>
      <c r="AB21" s="87"/>
      <c r="AC21" s="24"/>
      <c r="AD21" s="24"/>
      <c r="AE21" s="79" t="str">
        <f t="shared" si="9"/>
        <v/>
      </c>
      <c r="AF21" s="24"/>
      <c r="AG21" s="24"/>
      <c r="AH21" s="24"/>
      <c r="AI21" s="24"/>
      <c r="AJ21" s="99" t="str">
        <f t="shared" si="10"/>
        <v/>
      </c>
      <c r="AK21" s="31" t="str">
        <f t="shared" si="11"/>
        <v/>
      </c>
      <c r="AN21" s="139" t="str">
        <f>IF($K21="","",VLOOKUP($K21,'ORF Accuracy Value LookUp'!$G$4:$H$104,2,TRUE))</f>
        <v/>
      </c>
      <c r="AO21" s="94" t="str">
        <f t="shared" si="0"/>
        <v/>
      </c>
      <c r="AP21" s="47" t="str">
        <f>IF($U21="","",VLOOKUP($U21,'ORF Accuracy Value LookUp'!$G$4:$H$104,2,TRUE))</f>
        <v/>
      </c>
      <c r="AQ21" s="94" t="str">
        <f t="shared" si="1"/>
        <v/>
      </c>
      <c r="AR21" s="46" t="str">
        <f>IF($AE21="","",VLOOKUP($AE21,'ORF Accuracy Value LookUp'!$G$4:$H$104,2,TRUE))</f>
        <v/>
      </c>
      <c r="AS21" s="140" t="str">
        <f t="shared" si="2"/>
        <v/>
      </c>
    </row>
    <row r="22" spans="1:45">
      <c r="A22" s="10"/>
      <c r="B22" s="12"/>
      <c r="C22" s="13"/>
      <c r="D22" s="14"/>
      <c r="E22" s="10"/>
      <c r="F22" s="11"/>
      <c r="G22" s="15"/>
      <c r="H22" s="87"/>
      <c r="I22" s="24"/>
      <c r="J22" s="24"/>
      <c r="K22" s="114" t="str">
        <f t="shared" si="3"/>
        <v/>
      </c>
      <c r="L22" s="24"/>
      <c r="M22" s="24"/>
      <c r="N22" s="24"/>
      <c r="O22" s="24"/>
      <c r="P22" s="97" t="str">
        <f t="shared" si="4"/>
        <v/>
      </c>
      <c r="Q22" s="113" t="str">
        <f t="shared" si="5"/>
        <v/>
      </c>
      <c r="R22" s="87"/>
      <c r="S22" s="24"/>
      <c r="T22" s="24"/>
      <c r="U22" s="78" t="str">
        <f t="shared" si="6"/>
        <v/>
      </c>
      <c r="V22" s="24"/>
      <c r="W22" s="24"/>
      <c r="X22" s="24"/>
      <c r="Y22" s="24"/>
      <c r="Z22" s="98" t="str">
        <f t="shared" si="7"/>
        <v/>
      </c>
      <c r="AA22" s="40" t="str">
        <f t="shared" si="8"/>
        <v/>
      </c>
      <c r="AB22" s="87"/>
      <c r="AC22" s="24"/>
      <c r="AD22" s="24"/>
      <c r="AE22" s="79" t="str">
        <f t="shared" si="9"/>
        <v/>
      </c>
      <c r="AF22" s="24"/>
      <c r="AG22" s="24"/>
      <c r="AH22" s="24"/>
      <c r="AI22" s="24"/>
      <c r="AJ22" s="99" t="str">
        <f t="shared" si="10"/>
        <v/>
      </c>
      <c r="AK22" s="31" t="str">
        <f t="shared" si="11"/>
        <v/>
      </c>
      <c r="AN22" s="139" t="str">
        <f>IF($K22="","",VLOOKUP($K22,'ORF Accuracy Value LookUp'!$G$4:$H$104,2,TRUE))</f>
        <v/>
      </c>
      <c r="AO22" s="94" t="str">
        <f t="shared" si="0"/>
        <v/>
      </c>
      <c r="AP22" s="47" t="str">
        <f>IF($U22="","",VLOOKUP($U22,'ORF Accuracy Value LookUp'!$G$4:$H$104,2,TRUE))</f>
        <v/>
      </c>
      <c r="AQ22" s="94" t="str">
        <f t="shared" si="1"/>
        <v/>
      </c>
      <c r="AR22" s="46" t="str">
        <f>IF($AE22="","",VLOOKUP($AE22,'ORF Accuracy Value LookUp'!$G$4:$H$104,2,TRUE))</f>
        <v/>
      </c>
      <c r="AS22" s="140" t="str">
        <f t="shared" si="2"/>
        <v/>
      </c>
    </row>
    <row r="23" spans="1:45">
      <c r="A23" s="10"/>
      <c r="B23" s="12"/>
      <c r="C23" s="13"/>
      <c r="D23" s="14"/>
      <c r="E23" s="10"/>
      <c r="F23" s="11"/>
      <c r="G23" s="15"/>
      <c r="H23" s="87"/>
      <c r="I23" s="24"/>
      <c r="J23" s="24"/>
      <c r="K23" s="114" t="str">
        <f t="shared" si="3"/>
        <v/>
      </c>
      <c r="L23" s="24"/>
      <c r="M23" s="24"/>
      <c r="N23" s="24"/>
      <c r="O23" s="24"/>
      <c r="P23" s="97" t="str">
        <f t="shared" si="4"/>
        <v/>
      </c>
      <c r="Q23" s="113" t="str">
        <f t="shared" si="5"/>
        <v/>
      </c>
      <c r="R23" s="87"/>
      <c r="S23" s="24"/>
      <c r="T23" s="24"/>
      <c r="U23" s="78" t="str">
        <f t="shared" si="6"/>
        <v/>
      </c>
      <c r="V23" s="24"/>
      <c r="W23" s="24"/>
      <c r="X23" s="24"/>
      <c r="Y23" s="24"/>
      <c r="Z23" s="98" t="str">
        <f t="shared" si="7"/>
        <v/>
      </c>
      <c r="AA23" s="40" t="str">
        <f t="shared" si="8"/>
        <v/>
      </c>
      <c r="AB23" s="87"/>
      <c r="AC23" s="24"/>
      <c r="AD23" s="24"/>
      <c r="AE23" s="79" t="str">
        <f t="shared" si="9"/>
        <v/>
      </c>
      <c r="AF23" s="24"/>
      <c r="AG23" s="24"/>
      <c r="AH23" s="24"/>
      <c r="AI23" s="24"/>
      <c r="AJ23" s="99" t="str">
        <f t="shared" si="10"/>
        <v/>
      </c>
      <c r="AK23" s="31" t="str">
        <f t="shared" si="11"/>
        <v/>
      </c>
      <c r="AN23" s="139" t="str">
        <f>IF($K23="","",VLOOKUP($K23,'ORF Accuracy Value LookUp'!$G$4:$H$104,2,TRUE))</f>
        <v/>
      </c>
      <c r="AO23" s="94" t="str">
        <f t="shared" si="0"/>
        <v/>
      </c>
      <c r="AP23" s="47" t="str">
        <f>IF($U23="","",VLOOKUP($U23,'ORF Accuracy Value LookUp'!$G$4:$H$104,2,TRUE))</f>
        <v/>
      </c>
      <c r="AQ23" s="94" t="str">
        <f t="shared" si="1"/>
        <v/>
      </c>
      <c r="AR23" s="46" t="str">
        <f>IF($AE23="","",VLOOKUP($AE23,'ORF Accuracy Value LookUp'!$G$4:$H$104,2,TRUE))</f>
        <v/>
      </c>
      <c r="AS23" s="140" t="str">
        <f t="shared" si="2"/>
        <v/>
      </c>
    </row>
    <row r="24" spans="1:45">
      <c r="A24" s="10"/>
      <c r="B24" s="12"/>
      <c r="C24" s="13"/>
      <c r="D24" s="14"/>
      <c r="E24" s="10"/>
      <c r="F24" s="11"/>
      <c r="G24" s="15"/>
      <c r="H24" s="87"/>
      <c r="I24" s="24"/>
      <c r="J24" s="24"/>
      <c r="K24" s="114" t="str">
        <f t="shared" si="3"/>
        <v/>
      </c>
      <c r="L24" s="24"/>
      <c r="M24" s="24"/>
      <c r="N24" s="24"/>
      <c r="O24" s="24"/>
      <c r="P24" s="97" t="str">
        <f t="shared" si="4"/>
        <v/>
      </c>
      <c r="Q24" s="113" t="str">
        <f t="shared" si="5"/>
        <v/>
      </c>
      <c r="R24" s="87"/>
      <c r="S24" s="24"/>
      <c r="T24" s="24"/>
      <c r="U24" s="78" t="str">
        <f t="shared" si="6"/>
        <v/>
      </c>
      <c r="V24" s="24"/>
      <c r="W24" s="24"/>
      <c r="X24" s="24"/>
      <c r="Y24" s="24"/>
      <c r="Z24" s="98" t="str">
        <f t="shared" si="7"/>
        <v/>
      </c>
      <c r="AA24" s="40" t="str">
        <f t="shared" si="8"/>
        <v/>
      </c>
      <c r="AB24" s="87"/>
      <c r="AC24" s="24"/>
      <c r="AD24" s="24"/>
      <c r="AE24" s="79" t="str">
        <f t="shared" si="9"/>
        <v/>
      </c>
      <c r="AF24" s="24"/>
      <c r="AG24" s="24"/>
      <c r="AH24" s="24"/>
      <c r="AI24" s="24"/>
      <c r="AJ24" s="99" t="str">
        <f t="shared" si="10"/>
        <v/>
      </c>
      <c r="AK24" s="31" t="str">
        <f t="shared" si="11"/>
        <v/>
      </c>
      <c r="AN24" s="139" t="str">
        <f>IF($K24="","",VLOOKUP($K24,'ORF Accuracy Value LookUp'!$G$4:$H$104,2,TRUE))</f>
        <v/>
      </c>
      <c r="AO24" s="94" t="str">
        <f t="shared" si="0"/>
        <v/>
      </c>
      <c r="AP24" s="47" t="str">
        <f>IF($U24="","",VLOOKUP($U24,'ORF Accuracy Value LookUp'!$G$4:$H$104,2,TRUE))</f>
        <v/>
      </c>
      <c r="AQ24" s="94" t="str">
        <f t="shared" si="1"/>
        <v/>
      </c>
      <c r="AR24" s="46" t="str">
        <f>IF($AE24="","",VLOOKUP($AE24,'ORF Accuracy Value LookUp'!$G$4:$H$104,2,TRUE))</f>
        <v/>
      </c>
      <c r="AS24" s="140" t="str">
        <f t="shared" si="2"/>
        <v/>
      </c>
    </row>
    <row r="25" spans="1:45">
      <c r="A25" s="10"/>
      <c r="B25" s="12"/>
      <c r="C25" s="13"/>
      <c r="D25" s="14"/>
      <c r="E25" s="10"/>
      <c r="F25" s="11"/>
      <c r="G25" s="15"/>
      <c r="H25" s="87"/>
      <c r="I25" s="24"/>
      <c r="J25" s="24"/>
      <c r="K25" s="114" t="str">
        <f t="shared" si="3"/>
        <v/>
      </c>
      <c r="L25" s="24"/>
      <c r="M25" s="24"/>
      <c r="N25" s="24"/>
      <c r="O25" s="24"/>
      <c r="P25" s="97" t="str">
        <f t="shared" si="4"/>
        <v/>
      </c>
      <c r="Q25" s="113" t="str">
        <f t="shared" si="5"/>
        <v/>
      </c>
      <c r="R25" s="87"/>
      <c r="S25" s="24"/>
      <c r="T25" s="24"/>
      <c r="U25" s="78" t="str">
        <f t="shared" si="6"/>
        <v/>
      </c>
      <c r="V25" s="24"/>
      <c r="W25" s="24"/>
      <c r="X25" s="24"/>
      <c r="Y25" s="24"/>
      <c r="Z25" s="98" t="str">
        <f t="shared" si="7"/>
        <v/>
      </c>
      <c r="AA25" s="40" t="str">
        <f t="shared" si="8"/>
        <v/>
      </c>
      <c r="AB25" s="87"/>
      <c r="AC25" s="24"/>
      <c r="AD25" s="24"/>
      <c r="AE25" s="79" t="str">
        <f t="shared" si="9"/>
        <v/>
      </c>
      <c r="AF25" s="24"/>
      <c r="AG25" s="24"/>
      <c r="AH25" s="24"/>
      <c r="AI25" s="24"/>
      <c r="AJ25" s="99" t="str">
        <f t="shared" si="10"/>
        <v/>
      </c>
      <c r="AK25" s="31" t="str">
        <f t="shared" si="11"/>
        <v/>
      </c>
      <c r="AN25" s="139" t="str">
        <f>IF($K25="","",VLOOKUP($K25,'ORF Accuracy Value LookUp'!$G$4:$H$104,2,TRUE))</f>
        <v/>
      </c>
      <c r="AO25" s="94" t="str">
        <f t="shared" si="0"/>
        <v/>
      </c>
      <c r="AP25" s="47" t="str">
        <f>IF($U25="","",VLOOKUP($U25,'ORF Accuracy Value LookUp'!$G$4:$H$104,2,TRUE))</f>
        <v/>
      </c>
      <c r="AQ25" s="94" t="str">
        <f t="shared" si="1"/>
        <v/>
      </c>
      <c r="AR25" s="46" t="str">
        <f>IF($AE25="","",VLOOKUP($AE25,'ORF Accuracy Value LookUp'!$G$4:$H$104,2,TRUE))</f>
        <v/>
      </c>
      <c r="AS25" s="140" t="str">
        <f t="shared" si="2"/>
        <v/>
      </c>
    </row>
    <row r="26" spans="1:45">
      <c r="A26" s="10"/>
      <c r="B26" s="12"/>
      <c r="C26" s="13"/>
      <c r="D26" s="14"/>
      <c r="E26" s="10"/>
      <c r="F26" s="11"/>
      <c r="G26" s="15"/>
      <c r="H26" s="87"/>
      <c r="I26" s="24"/>
      <c r="J26" s="24"/>
      <c r="K26" s="114" t="str">
        <f t="shared" si="3"/>
        <v/>
      </c>
      <c r="L26" s="24"/>
      <c r="M26" s="24"/>
      <c r="N26" s="24"/>
      <c r="O26" s="24"/>
      <c r="P26" s="97" t="str">
        <f t="shared" si="4"/>
        <v/>
      </c>
      <c r="Q26" s="113" t="str">
        <f t="shared" si="5"/>
        <v/>
      </c>
      <c r="R26" s="87"/>
      <c r="S26" s="24"/>
      <c r="T26" s="24"/>
      <c r="U26" s="78" t="str">
        <f t="shared" si="6"/>
        <v/>
      </c>
      <c r="V26" s="24"/>
      <c r="W26" s="24"/>
      <c r="X26" s="24"/>
      <c r="Y26" s="24"/>
      <c r="Z26" s="98" t="str">
        <f t="shared" si="7"/>
        <v/>
      </c>
      <c r="AA26" s="40" t="str">
        <f t="shared" si="8"/>
        <v/>
      </c>
      <c r="AB26" s="87"/>
      <c r="AC26" s="24"/>
      <c r="AD26" s="24"/>
      <c r="AE26" s="79" t="str">
        <f t="shared" si="9"/>
        <v/>
      </c>
      <c r="AF26" s="24"/>
      <c r="AG26" s="24"/>
      <c r="AH26" s="24"/>
      <c r="AI26" s="24"/>
      <c r="AJ26" s="99" t="str">
        <f t="shared" si="10"/>
        <v/>
      </c>
      <c r="AK26" s="31" t="str">
        <f t="shared" si="11"/>
        <v/>
      </c>
      <c r="AN26" s="139" t="str">
        <f>IF($K26="","",VLOOKUP($K26,'ORF Accuracy Value LookUp'!$G$4:$H$104,2,TRUE))</f>
        <v/>
      </c>
      <c r="AO26" s="94" t="str">
        <f t="shared" si="0"/>
        <v/>
      </c>
      <c r="AP26" s="47" t="str">
        <f>IF($U26="","",VLOOKUP($U26,'ORF Accuracy Value LookUp'!$G$4:$H$104,2,TRUE))</f>
        <v/>
      </c>
      <c r="AQ26" s="94" t="str">
        <f t="shared" si="1"/>
        <v/>
      </c>
      <c r="AR26" s="46" t="str">
        <f>IF($AE26="","",VLOOKUP($AE26,'ORF Accuracy Value LookUp'!$G$4:$H$104,2,TRUE))</f>
        <v/>
      </c>
      <c r="AS26" s="140" t="str">
        <f t="shared" si="2"/>
        <v/>
      </c>
    </row>
    <row r="27" spans="1:45">
      <c r="A27" s="10"/>
      <c r="B27" s="12"/>
      <c r="C27" s="13"/>
      <c r="D27" s="14"/>
      <c r="E27" s="10"/>
      <c r="F27" s="11"/>
      <c r="G27" s="15"/>
      <c r="H27" s="87"/>
      <c r="I27" s="24"/>
      <c r="J27" s="24"/>
      <c r="K27" s="114" t="str">
        <f t="shared" si="3"/>
        <v/>
      </c>
      <c r="L27" s="24"/>
      <c r="M27" s="24"/>
      <c r="N27" s="24"/>
      <c r="O27" s="24"/>
      <c r="P27" s="97" t="str">
        <f t="shared" si="4"/>
        <v/>
      </c>
      <c r="Q27" s="113" t="str">
        <f t="shared" si="5"/>
        <v/>
      </c>
      <c r="R27" s="87"/>
      <c r="S27" s="24"/>
      <c r="T27" s="24"/>
      <c r="U27" s="78" t="str">
        <f t="shared" si="6"/>
        <v/>
      </c>
      <c r="V27" s="24"/>
      <c r="W27" s="24"/>
      <c r="X27" s="24"/>
      <c r="Y27" s="24"/>
      <c r="Z27" s="98" t="str">
        <f t="shared" si="7"/>
        <v/>
      </c>
      <c r="AA27" s="40" t="str">
        <f t="shared" si="8"/>
        <v/>
      </c>
      <c r="AB27" s="87"/>
      <c r="AC27" s="24"/>
      <c r="AD27" s="24"/>
      <c r="AE27" s="79" t="str">
        <f t="shared" si="9"/>
        <v/>
      </c>
      <c r="AF27" s="24"/>
      <c r="AG27" s="24"/>
      <c r="AH27" s="24"/>
      <c r="AI27" s="24"/>
      <c r="AJ27" s="99" t="str">
        <f t="shared" si="10"/>
        <v/>
      </c>
      <c r="AK27" s="31" t="str">
        <f t="shared" si="11"/>
        <v/>
      </c>
      <c r="AN27" s="139" t="str">
        <f>IF($K27="","",VLOOKUP($K27,'ORF Accuracy Value LookUp'!$G$4:$H$104,2,TRUE))</f>
        <v/>
      </c>
      <c r="AO27" s="94" t="str">
        <f t="shared" si="0"/>
        <v/>
      </c>
      <c r="AP27" s="47" t="str">
        <f>IF($U27="","",VLOOKUP($U27,'ORF Accuracy Value LookUp'!$G$4:$H$104,2,TRUE))</f>
        <v/>
      </c>
      <c r="AQ27" s="94" t="str">
        <f t="shared" si="1"/>
        <v/>
      </c>
      <c r="AR27" s="46" t="str">
        <f>IF($AE27="","",VLOOKUP($AE27,'ORF Accuracy Value LookUp'!$G$4:$H$104,2,TRUE))</f>
        <v/>
      </c>
      <c r="AS27" s="140" t="str">
        <f t="shared" si="2"/>
        <v/>
      </c>
    </row>
    <row r="28" spans="1:45">
      <c r="A28" s="10"/>
      <c r="B28" s="12"/>
      <c r="C28" s="13"/>
      <c r="D28" s="14"/>
      <c r="E28" s="10"/>
      <c r="F28" s="11"/>
      <c r="G28" s="15"/>
      <c r="H28" s="87"/>
      <c r="I28" s="24"/>
      <c r="J28" s="24"/>
      <c r="K28" s="114" t="str">
        <f t="shared" si="3"/>
        <v/>
      </c>
      <c r="L28" s="24"/>
      <c r="M28" s="24"/>
      <c r="N28" s="24"/>
      <c r="O28" s="24"/>
      <c r="P28" s="97" t="str">
        <f t="shared" si="4"/>
        <v/>
      </c>
      <c r="Q28" s="113" t="str">
        <f t="shared" si="5"/>
        <v/>
      </c>
      <c r="R28" s="87"/>
      <c r="S28" s="24"/>
      <c r="T28" s="24"/>
      <c r="U28" s="78" t="str">
        <f t="shared" si="6"/>
        <v/>
      </c>
      <c r="V28" s="24"/>
      <c r="W28" s="24"/>
      <c r="X28" s="24"/>
      <c r="Y28" s="24"/>
      <c r="Z28" s="98" t="str">
        <f t="shared" si="7"/>
        <v/>
      </c>
      <c r="AA28" s="40" t="str">
        <f t="shared" si="8"/>
        <v/>
      </c>
      <c r="AB28" s="87"/>
      <c r="AC28" s="24"/>
      <c r="AD28" s="24"/>
      <c r="AE28" s="79" t="str">
        <f t="shared" si="9"/>
        <v/>
      </c>
      <c r="AF28" s="24"/>
      <c r="AG28" s="24"/>
      <c r="AH28" s="24"/>
      <c r="AI28" s="24"/>
      <c r="AJ28" s="99" t="str">
        <f t="shared" si="10"/>
        <v/>
      </c>
      <c r="AK28" s="31" t="str">
        <f t="shared" si="11"/>
        <v/>
      </c>
      <c r="AN28" s="139" t="str">
        <f>IF($K28="","",VLOOKUP($K28,'ORF Accuracy Value LookUp'!$G$4:$H$104,2,TRUE))</f>
        <v/>
      </c>
      <c r="AO28" s="94" t="str">
        <f t="shared" si="0"/>
        <v/>
      </c>
      <c r="AP28" s="47" t="str">
        <f>IF($U28="","",VLOOKUP($U28,'ORF Accuracy Value LookUp'!$G$4:$H$104,2,TRUE))</f>
        <v/>
      </c>
      <c r="AQ28" s="94" t="str">
        <f t="shared" si="1"/>
        <v/>
      </c>
      <c r="AR28" s="46" t="str">
        <f>IF($AE28="","",VLOOKUP($AE28,'ORF Accuracy Value LookUp'!$G$4:$H$104,2,TRUE))</f>
        <v/>
      </c>
      <c r="AS28" s="140" t="str">
        <f t="shared" si="2"/>
        <v/>
      </c>
    </row>
    <row r="29" spans="1:45">
      <c r="A29" s="10"/>
      <c r="B29" s="12"/>
      <c r="C29" s="13"/>
      <c r="D29" s="14"/>
      <c r="E29" s="10"/>
      <c r="F29" s="11"/>
      <c r="G29" s="15"/>
      <c r="H29" s="87"/>
      <c r="I29" s="24"/>
      <c r="J29" s="24"/>
      <c r="K29" s="114" t="str">
        <f t="shared" si="3"/>
        <v/>
      </c>
      <c r="L29" s="24"/>
      <c r="M29" s="24"/>
      <c r="N29" s="24"/>
      <c r="O29" s="24"/>
      <c r="P29" s="97" t="str">
        <f t="shared" si="4"/>
        <v/>
      </c>
      <c r="Q29" s="113" t="str">
        <f t="shared" si="5"/>
        <v/>
      </c>
      <c r="R29" s="87"/>
      <c r="S29" s="24"/>
      <c r="T29" s="24"/>
      <c r="U29" s="78" t="str">
        <f t="shared" si="6"/>
        <v/>
      </c>
      <c r="V29" s="24"/>
      <c r="W29" s="24"/>
      <c r="X29" s="24"/>
      <c r="Y29" s="24"/>
      <c r="Z29" s="98" t="str">
        <f t="shared" si="7"/>
        <v/>
      </c>
      <c r="AA29" s="40" t="str">
        <f t="shared" si="8"/>
        <v/>
      </c>
      <c r="AB29" s="87"/>
      <c r="AC29" s="24"/>
      <c r="AD29" s="24"/>
      <c r="AE29" s="79" t="str">
        <f t="shared" si="9"/>
        <v/>
      </c>
      <c r="AF29" s="24"/>
      <c r="AG29" s="24"/>
      <c r="AH29" s="24"/>
      <c r="AI29" s="24"/>
      <c r="AJ29" s="99" t="str">
        <f t="shared" si="10"/>
        <v/>
      </c>
      <c r="AK29" s="31" t="str">
        <f t="shared" si="11"/>
        <v/>
      </c>
      <c r="AN29" s="139" t="str">
        <f>IF($K29="","",VLOOKUP($K29,'ORF Accuracy Value LookUp'!$G$4:$H$104,2,TRUE))</f>
        <v/>
      </c>
      <c r="AO29" s="94" t="str">
        <f t="shared" si="0"/>
        <v/>
      </c>
      <c r="AP29" s="47" t="str">
        <f>IF($U29="","",VLOOKUP($U29,'ORF Accuracy Value LookUp'!$G$4:$H$104,2,TRUE))</f>
        <v/>
      </c>
      <c r="AQ29" s="94" t="str">
        <f t="shared" si="1"/>
        <v/>
      </c>
      <c r="AR29" s="46" t="str">
        <f>IF($AE29="","",VLOOKUP($AE29,'ORF Accuracy Value LookUp'!$G$4:$H$104,2,TRUE))</f>
        <v/>
      </c>
      <c r="AS29" s="140" t="str">
        <f t="shared" si="2"/>
        <v/>
      </c>
    </row>
    <row r="30" spans="1:45">
      <c r="A30" s="10"/>
      <c r="B30" s="12"/>
      <c r="C30" s="13"/>
      <c r="D30" s="14"/>
      <c r="E30" s="10"/>
      <c r="F30" s="11"/>
      <c r="G30" s="15"/>
      <c r="H30" s="87"/>
      <c r="I30" s="24"/>
      <c r="J30" s="24"/>
      <c r="K30" s="114" t="str">
        <f t="shared" si="3"/>
        <v/>
      </c>
      <c r="L30" s="24"/>
      <c r="M30" s="24"/>
      <c r="N30" s="24"/>
      <c r="O30" s="24"/>
      <c r="P30" s="97" t="str">
        <f t="shared" si="4"/>
        <v/>
      </c>
      <c r="Q30" s="113" t="str">
        <f t="shared" si="5"/>
        <v/>
      </c>
      <c r="R30" s="87"/>
      <c r="S30" s="24"/>
      <c r="T30" s="24"/>
      <c r="U30" s="78" t="str">
        <f t="shared" si="6"/>
        <v/>
      </c>
      <c r="V30" s="24"/>
      <c r="W30" s="24"/>
      <c r="X30" s="24"/>
      <c r="Y30" s="24"/>
      <c r="Z30" s="98" t="str">
        <f t="shared" si="7"/>
        <v/>
      </c>
      <c r="AA30" s="40" t="str">
        <f t="shared" si="8"/>
        <v/>
      </c>
      <c r="AB30" s="87"/>
      <c r="AC30" s="24"/>
      <c r="AD30" s="24"/>
      <c r="AE30" s="79" t="str">
        <f t="shared" si="9"/>
        <v/>
      </c>
      <c r="AF30" s="24"/>
      <c r="AG30" s="24"/>
      <c r="AH30" s="24"/>
      <c r="AI30" s="24"/>
      <c r="AJ30" s="99" t="str">
        <f t="shared" si="10"/>
        <v/>
      </c>
      <c r="AK30" s="31" t="str">
        <f t="shared" si="11"/>
        <v/>
      </c>
      <c r="AN30" s="139" t="str">
        <f>IF($K30="","",VLOOKUP($K30,'ORF Accuracy Value LookUp'!$G$4:$H$104,2,TRUE))</f>
        <v/>
      </c>
      <c r="AO30" s="94" t="str">
        <f t="shared" si="0"/>
        <v/>
      </c>
      <c r="AP30" s="47" t="str">
        <f>IF($U30="","",VLOOKUP($U30,'ORF Accuracy Value LookUp'!$G$4:$H$104,2,TRUE))</f>
        <v/>
      </c>
      <c r="AQ30" s="94" t="str">
        <f t="shared" si="1"/>
        <v/>
      </c>
      <c r="AR30" s="46" t="str">
        <f>IF($AE30="","",VLOOKUP($AE30,'ORF Accuracy Value LookUp'!$G$4:$H$104,2,TRUE))</f>
        <v/>
      </c>
      <c r="AS30" s="140" t="str">
        <f t="shared" si="2"/>
        <v/>
      </c>
    </row>
    <row r="31" spans="1:45">
      <c r="A31" s="10"/>
      <c r="B31" s="12"/>
      <c r="C31" s="13"/>
      <c r="D31" s="14"/>
      <c r="E31" s="10"/>
      <c r="F31" s="11"/>
      <c r="G31" s="15"/>
      <c r="H31" s="87"/>
      <c r="I31" s="24"/>
      <c r="J31" s="24"/>
      <c r="K31" s="114" t="str">
        <f t="shared" si="3"/>
        <v/>
      </c>
      <c r="L31" s="24"/>
      <c r="M31" s="24"/>
      <c r="N31" s="24"/>
      <c r="O31" s="24"/>
      <c r="P31" s="97" t="str">
        <f t="shared" si="4"/>
        <v/>
      </c>
      <c r="Q31" s="113" t="str">
        <f t="shared" si="5"/>
        <v/>
      </c>
      <c r="R31" s="87"/>
      <c r="S31" s="24"/>
      <c r="T31" s="24"/>
      <c r="U31" s="78" t="str">
        <f t="shared" si="6"/>
        <v/>
      </c>
      <c r="V31" s="24"/>
      <c r="W31" s="24"/>
      <c r="X31" s="24"/>
      <c r="Y31" s="24"/>
      <c r="Z31" s="98" t="str">
        <f t="shared" si="7"/>
        <v/>
      </c>
      <c r="AA31" s="40" t="str">
        <f t="shared" si="8"/>
        <v/>
      </c>
      <c r="AB31" s="87"/>
      <c r="AC31" s="24"/>
      <c r="AD31" s="24"/>
      <c r="AE31" s="79" t="str">
        <f t="shared" si="9"/>
        <v/>
      </c>
      <c r="AF31" s="24"/>
      <c r="AG31" s="24"/>
      <c r="AH31" s="24"/>
      <c r="AI31" s="24"/>
      <c r="AJ31" s="99" t="str">
        <f t="shared" si="10"/>
        <v/>
      </c>
      <c r="AK31" s="31" t="str">
        <f t="shared" si="11"/>
        <v/>
      </c>
      <c r="AN31" s="139" t="str">
        <f>IF($K31="","",VLOOKUP($K31,'ORF Accuracy Value LookUp'!$G$4:$H$104,2,TRUE))</f>
        <v/>
      </c>
      <c r="AO31" s="94" t="str">
        <f t="shared" si="0"/>
        <v/>
      </c>
      <c r="AP31" s="47" t="str">
        <f>IF($U31="","",VLOOKUP($U31,'ORF Accuracy Value LookUp'!$G$4:$H$104,2,TRUE))</f>
        <v/>
      </c>
      <c r="AQ31" s="94" t="str">
        <f t="shared" si="1"/>
        <v/>
      </c>
      <c r="AR31" s="46" t="str">
        <f>IF($AE31="","",VLOOKUP($AE31,'ORF Accuracy Value LookUp'!$G$4:$H$104,2,TRUE))</f>
        <v/>
      </c>
      <c r="AS31" s="140" t="str">
        <f t="shared" si="2"/>
        <v/>
      </c>
    </row>
    <row r="32" spans="1:45">
      <c r="A32" s="10"/>
      <c r="B32" s="12"/>
      <c r="C32" s="13"/>
      <c r="D32" s="14"/>
      <c r="E32" s="10"/>
      <c r="F32" s="11"/>
      <c r="G32" s="15"/>
      <c r="H32" s="87"/>
      <c r="I32" s="24"/>
      <c r="J32" s="24"/>
      <c r="K32" s="114" t="str">
        <f t="shared" si="3"/>
        <v/>
      </c>
      <c r="L32" s="24"/>
      <c r="M32" s="24"/>
      <c r="N32" s="24"/>
      <c r="O32" s="24"/>
      <c r="P32" s="97" t="str">
        <f t="shared" si="4"/>
        <v/>
      </c>
      <c r="Q32" s="113" t="str">
        <f t="shared" si="5"/>
        <v/>
      </c>
      <c r="R32" s="87"/>
      <c r="S32" s="24"/>
      <c r="T32" s="24"/>
      <c r="U32" s="78" t="str">
        <f t="shared" si="6"/>
        <v/>
      </c>
      <c r="V32" s="24"/>
      <c r="W32" s="24"/>
      <c r="X32" s="24"/>
      <c r="Y32" s="24"/>
      <c r="Z32" s="98" t="str">
        <f t="shared" si="7"/>
        <v/>
      </c>
      <c r="AA32" s="40" t="str">
        <f t="shared" si="8"/>
        <v/>
      </c>
      <c r="AB32" s="87"/>
      <c r="AC32" s="24"/>
      <c r="AD32" s="24"/>
      <c r="AE32" s="79" t="str">
        <f t="shared" si="9"/>
        <v/>
      </c>
      <c r="AF32" s="24"/>
      <c r="AG32" s="24"/>
      <c r="AH32" s="24"/>
      <c r="AI32" s="24"/>
      <c r="AJ32" s="99" t="str">
        <f t="shared" si="10"/>
        <v/>
      </c>
      <c r="AK32" s="31" t="str">
        <f t="shared" si="11"/>
        <v/>
      </c>
      <c r="AN32" s="139" t="str">
        <f>IF($K32="","",VLOOKUP($K32,'ORF Accuracy Value LookUp'!$G$4:$H$104,2,TRUE))</f>
        <v/>
      </c>
      <c r="AO32" s="94" t="str">
        <f t="shared" si="0"/>
        <v/>
      </c>
      <c r="AP32" s="47" t="str">
        <f>IF($U32="","",VLOOKUP($U32,'ORF Accuracy Value LookUp'!$G$4:$H$104,2,TRUE))</f>
        <v/>
      </c>
      <c r="AQ32" s="94" t="str">
        <f t="shared" si="1"/>
        <v/>
      </c>
      <c r="AR32" s="46" t="str">
        <f>IF($AE32="","",VLOOKUP($AE32,'ORF Accuracy Value LookUp'!$G$4:$H$104,2,TRUE))</f>
        <v/>
      </c>
      <c r="AS32" s="140" t="str">
        <f t="shared" si="2"/>
        <v/>
      </c>
    </row>
    <row r="33" spans="1:45">
      <c r="A33" s="10"/>
      <c r="B33" s="12"/>
      <c r="C33" s="13"/>
      <c r="D33" s="14"/>
      <c r="E33" s="10"/>
      <c r="F33" s="11"/>
      <c r="G33" s="15"/>
      <c r="H33" s="87"/>
      <c r="I33" s="24"/>
      <c r="J33" s="24"/>
      <c r="K33" s="114" t="str">
        <f t="shared" si="3"/>
        <v/>
      </c>
      <c r="L33" s="24"/>
      <c r="M33" s="24"/>
      <c r="N33" s="24"/>
      <c r="O33" s="24"/>
      <c r="P33" s="97" t="str">
        <f t="shared" si="4"/>
        <v/>
      </c>
      <c r="Q33" s="113" t="str">
        <f t="shared" si="5"/>
        <v/>
      </c>
      <c r="R33" s="87"/>
      <c r="S33" s="24"/>
      <c r="T33" s="24"/>
      <c r="U33" s="78" t="str">
        <f t="shared" si="6"/>
        <v/>
      </c>
      <c r="V33" s="24"/>
      <c r="W33" s="24"/>
      <c r="X33" s="24"/>
      <c r="Y33" s="24"/>
      <c r="Z33" s="98" t="str">
        <f t="shared" si="7"/>
        <v/>
      </c>
      <c r="AA33" s="40" t="str">
        <f t="shared" si="8"/>
        <v/>
      </c>
      <c r="AB33" s="87"/>
      <c r="AC33" s="24"/>
      <c r="AD33" s="24"/>
      <c r="AE33" s="79" t="str">
        <f t="shared" si="9"/>
        <v/>
      </c>
      <c r="AF33" s="24"/>
      <c r="AG33" s="24"/>
      <c r="AH33" s="24"/>
      <c r="AI33" s="24"/>
      <c r="AJ33" s="99" t="str">
        <f t="shared" si="10"/>
        <v/>
      </c>
      <c r="AK33" s="31" t="str">
        <f t="shared" si="11"/>
        <v/>
      </c>
      <c r="AN33" s="139" t="str">
        <f>IF($K33="","",VLOOKUP($K33,'ORF Accuracy Value LookUp'!$G$4:$H$104,2,TRUE))</f>
        <v/>
      </c>
      <c r="AO33" s="94" t="str">
        <f t="shared" si="0"/>
        <v/>
      </c>
      <c r="AP33" s="47" t="str">
        <f>IF($U33="","",VLOOKUP($U33,'ORF Accuracy Value LookUp'!$G$4:$H$104,2,TRUE))</f>
        <v/>
      </c>
      <c r="AQ33" s="94" t="str">
        <f t="shared" si="1"/>
        <v/>
      </c>
      <c r="AR33" s="46" t="str">
        <f>IF($AE33="","",VLOOKUP($AE33,'ORF Accuracy Value LookUp'!$G$4:$H$104,2,TRUE))</f>
        <v/>
      </c>
      <c r="AS33" s="140" t="str">
        <f t="shared" si="2"/>
        <v/>
      </c>
    </row>
    <row r="34" spans="1:45">
      <c r="A34" s="10"/>
      <c r="B34" s="12"/>
      <c r="C34" s="13"/>
      <c r="D34" s="14"/>
      <c r="E34" s="10"/>
      <c r="F34" s="11"/>
      <c r="G34" s="15"/>
      <c r="H34" s="87"/>
      <c r="I34" s="24"/>
      <c r="J34" s="24"/>
      <c r="K34" s="114" t="str">
        <f t="shared" si="3"/>
        <v/>
      </c>
      <c r="L34" s="24"/>
      <c r="M34" s="24"/>
      <c r="N34" s="24"/>
      <c r="O34" s="24"/>
      <c r="P34" s="97" t="str">
        <f t="shared" si="4"/>
        <v/>
      </c>
      <c r="Q34" s="113" t="str">
        <f t="shared" si="5"/>
        <v/>
      </c>
      <c r="R34" s="87"/>
      <c r="S34" s="24"/>
      <c r="T34" s="24"/>
      <c r="U34" s="78" t="str">
        <f t="shared" si="6"/>
        <v/>
      </c>
      <c r="V34" s="24"/>
      <c r="W34" s="24"/>
      <c r="X34" s="24"/>
      <c r="Y34" s="24"/>
      <c r="Z34" s="98" t="str">
        <f t="shared" si="7"/>
        <v/>
      </c>
      <c r="AA34" s="40" t="str">
        <f t="shared" si="8"/>
        <v/>
      </c>
      <c r="AB34" s="87"/>
      <c r="AC34" s="24"/>
      <c r="AD34" s="24"/>
      <c r="AE34" s="79" t="str">
        <f t="shared" si="9"/>
        <v/>
      </c>
      <c r="AF34" s="24"/>
      <c r="AG34" s="24"/>
      <c r="AH34" s="24"/>
      <c r="AI34" s="24"/>
      <c r="AJ34" s="99" t="str">
        <f t="shared" si="10"/>
        <v/>
      </c>
      <c r="AK34" s="31" t="str">
        <f t="shared" si="11"/>
        <v/>
      </c>
      <c r="AN34" s="139" t="str">
        <f>IF($K34="","",VLOOKUP($K34,'ORF Accuracy Value LookUp'!$G$4:$H$104,2,TRUE))</f>
        <v/>
      </c>
      <c r="AO34" s="94" t="str">
        <f t="shared" si="0"/>
        <v/>
      </c>
      <c r="AP34" s="47" t="str">
        <f>IF($U34="","",VLOOKUP($U34,'ORF Accuracy Value LookUp'!$G$4:$H$104,2,TRUE))</f>
        <v/>
      </c>
      <c r="AQ34" s="94" t="str">
        <f t="shared" si="1"/>
        <v/>
      </c>
      <c r="AR34" s="46" t="str">
        <f>IF($AE34="","",VLOOKUP($AE34,'ORF Accuracy Value LookUp'!$G$4:$H$104,2,TRUE))</f>
        <v/>
      </c>
      <c r="AS34" s="140" t="str">
        <f t="shared" si="2"/>
        <v/>
      </c>
    </row>
    <row r="35" spans="1:45">
      <c r="A35" s="10"/>
      <c r="B35" s="12"/>
      <c r="C35" s="13"/>
      <c r="D35" s="14"/>
      <c r="E35" s="10"/>
      <c r="F35" s="11"/>
      <c r="G35" s="15"/>
      <c r="H35" s="87"/>
      <c r="I35" s="24"/>
      <c r="J35" s="24"/>
      <c r="K35" s="114" t="str">
        <f t="shared" si="3"/>
        <v/>
      </c>
      <c r="L35" s="24"/>
      <c r="M35" s="24"/>
      <c r="N35" s="24"/>
      <c r="O35" s="24"/>
      <c r="P35" s="97" t="str">
        <f t="shared" si="4"/>
        <v/>
      </c>
      <c r="Q35" s="113" t="str">
        <f t="shared" si="5"/>
        <v/>
      </c>
      <c r="R35" s="87"/>
      <c r="S35" s="24"/>
      <c r="T35" s="24"/>
      <c r="U35" s="78" t="str">
        <f t="shared" si="6"/>
        <v/>
      </c>
      <c r="V35" s="24"/>
      <c r="W35" s="24"/>
      <c r="X35" s="24"/>
      <c r="Y35" s="24"/>
      <c r="Z35" s="98" t="str">
        <f t="shared" si="7"/>
        <v/>
      </c>
      <c r="AA35" s="40" t="str">
        <f t="shared" si="8"/>
        <v/>
      </c>
      <c r="AB35" s="87"/>
      <c r="AC35" s="24"/>
      <c r="AD35" s="24"/>
      <c r="AE35" s="79" t="str">
        <f t="shared" si="9"/>
        <v/>
      </c>
      <c r="AF35" s="24"/>
      <c r="AG35" s="24"/>
      <c r="AH35" s="24"/>
      <c r="AI35" s="24"/>
      <c r="AJ35" s="99" t="str">
        <f t="shared" si="10"/>
        <v/>
      </c>
      <c r="AK35" s="31" t="str">
        <f t="shared" si="11"/>
        <v/>
      </c>
      <c r="AN35" s="139" t="str">
        <f>IF($K35="","",VLOOKUP($K35,'ORF Accuracy Value LookUp'!$G$4:$H$104,2,TRUE))</f>
        <v/>
      </c>
      <c r="AO35" s="94" t="str">
        <f t="shared" si="0"/>
        <v/>
      </c>
      <c r="AP35" s="47" t="str">
        <f>IF($U35="","",VLOOKUP($U35,'ORF Accuracy Value LookUp'!$G$4:$H$104,2,TRUE))</f>
        <v/>
      </c>
      <c r="AQ35" s="94" t="str">
        <f t="shared" si="1"/>
        <v/>
      </c>
      <c r="AR35" s="46" t="str">
        <f>IF($AE35="","",VLOOKUP($AE35,'ORF Accuracy Value LookUp'!$G$4:$H$104,2,TRUE))</f>
        <v/>
      </c>
      <c r="AS35" s="140" t="str">
        <f t="shared" si="2"/>
        <v/>
      </c>
    </row>
    <row r="36" spans="1:45">
      <c r="A36" s="10"/>
      <c r="B36" s="12"/>
      <c r="C36" s="13"/>
      <c r="D36" s="14"/>
      <c r="E36" s="10"/>
      <c r="F36" s="11"/>
      <c r="G36" s="15"/>
      <c r="H36" s="87"/>
      <c r="I36" s="24"/>
      <c r="J36" s="24"/>
      <c r="K36" s="114" t="str">
        <f t="shared" si="3"/>
        <v/>
      </c>
      <c r="L36" s="24"/>
      <c r="M36" s="24"/>
      <c r="N36" s="24"/>
      <c r="O36" s="24"/>
      <c r="P36" s="97" t="str">
        <f t="shared" si="4"/>
        <v/>
      </c>
      <c r="Q36" s="113" t="str">
        <f t="shared" si="5"/>
        <v/>
      </c>
      <c r="R36" s="87"/>
      <c r="S36" s="24"/>
      <c r="T36" s="24"/>
      <c r="U36" s="78" t="str">
        <f t="shared" si="6"/>
        <v/>
      </c>
      <c r="V36" s="24"/>
      <c r="W36" s="24"/>
      <c r="X36" s="24"/>
      <c r="Y36" s="24"/>
      <c r="Z36" s="98" t="str">
        <f t="shared" si="7"/>
        <v/>
      </c>
      <c r="AA36" s="40" t="str">
        <f t="shared" si="8"/>
        <v/>
      </c>
      <c r="AB36" s="87"/>
      <c r="AC36" s="24"/>
      <c r="AD36" s="24"/>
      <c r="AE36" s="79" t="str">
        <f t="shared" si="9"/>
        <v/>
      </c>
      <c r="AF36" s="24"/>
      <c r="AG36" s="24"/>
      <c r="AH36" s="24"/>
      <c r="AI36" s="24"/>
      <c r="AJ36" s="99" t="str">
        <f t="shared" si="10"/>
        <v/>
      </c>
      <c r="AK36" s="31" t="str">
        <f t="shared" si="11"/>
        <v/>
      </c>
      <c r="AN36" s="139" t="str">
        <f>IF($K36="","",VLOOKUP($K36,'ORF Accuracy Value LookUp'!$G$4:$H$104,2,TRUE))</f>
        <v/>
      </c>
      <c r="AO36" s="94" t="str">
        <f t="shared" si="0"/>
        <v/>
      </c>
      <c r="AP36" s="47" t="str">
        <f>IF($U36="","",VLOOKUP($U36,'ORF Accuracy Value LookUp'!$G$4:$H$104,2,TRUE))</f>
        <v/>
      </c>
      <c r="AQ36" s="94" t="str">
        <f t="shared" si="1"/>
        <v/>
      </c>
      <c r="AR36" s="46" t="str">
        <f>IF($AE36="","",VLOOKUP($AE36,'ORF Accuracy Value LookUp'!$G$4:$H$104,2,TRUE))</f>
        <v/>
      </c>
      <c r="AS36" s="140" t="str">
        <f t="shared" si="2"/>
        <v/>
      </c>
    </row>
    <row r="37" spans="1:45">
      <c r="A37" s="10"/>
      <c r="B37" s="12"/>
      <c r="C37" s="13"/>
      <c r="D37" s="14"/>
      <c r="E37" s="10"/>
      <c r="F37" s="11"/>
      <c r="G37" s="15"/>
      <c r="H37" s="87"/>
      <c r="I37" s="24"/>
      <c r="J37" s="24"/>
      <c r="K37" s="114" t="str">
        <f t="shared" si="3"/>
        <v/>
      </c>
      <c r="L37" s="24"/>
      <c r="M37" s="24"/>
      <c r="N37" s="24"/>
      <c r="O37" s="24"/>
      <c r="P37" s="97" t="str">
        <f t="shared" si="4"/>
        <v/>
      </c>
      <c r="Q37" s="113" t="str">
        <f t="shared" si="5"/>
        <v/>
      </c>
      <c r="R37" s="87"/>
      <c r="S37" s="24"/>
      <c r="T37" s="24"/>
      <c r="U37" s="78" t="str">
        <f t="shared" si="6"/>
        <v/>
      </c>
      <c r="V37" s="24"/>
      <c r="W37" s="24"/>
      <c r="X37" s="24"/>
      <c r="Y37" s="24"/>
      <c r="Z37" s="98" t="str">
        <f t="shared" si="7"/>
        <v/>
      </c>
      <c r="AA37" s="40" t="str">
        <f t="shared" si="8"/>
        <v/>
      </c>
      <c r="AB37" s="87"/>
      <c r="AC37" s="24"/>
      <c r="AD37" s="24"/>
      <c r="AE37" s="79" t="str">
        <f t="shared" si="9"/>
        <v/>
      </c>
      <c r="AF37" s="24"/>
      <c r="AG37" s="24"/>
      <c r="AH37" s="24"/>
      <c r="AI37" s="24"/>
      <c r="AJ37" s="99" t="str">
        <f t="shared" si="10"/>
        <v/>
      </c>
      <c r="AK37" s="31" t="str">
        <f t="shared" si="11"/>
        <v/>
      </c>
      <c r="AN37" s="139" t="str">
        <f>IF($K37="","",VLOOKUP($K37,'ORF Accuracy Value LookUp'!$G$4:$H$104,2,TRUE))</f>
        <v/>
      </c>
      <c r="AO37" s="94" t="str">
        <f t="shared" si="0"/>
        <v/>
      </c>
      <c r="AP37" s="47" t="str">
        <f>IF($U37="","",VLOOKUP($U37,'ORF Accuracy Value LookUp'!$G$4:$H$104,2,TRUE))</f>
        <v/>
      </c>
      <c r="AQ37" s="94" t="str">
        <f t="shared" si="1"/>
        <v/>
      </c>
      <c r="AR37" s="46" t="str">
        <f>IF($AE37="","",VLOOKUP($AE37,'ORF Accuracy Value LookUp'!$G$4:$H$104,2,TRUE))</f>
        <v/>
      </c>
      <c r="AS37" s="140" t="str">
        <f t="shared" si="2"/>
        <v/>
      </c>
    </row>
    <row r="38" spans="1:45">
      <c r="A38" s="10"/>
      <c r="B38" s="12"/>
      <c r="C38" s="13"/>
      <c r="D38" s="14"/>
      <c r="E38" s="10"/>
      <c r="F38" s="11"/>
      <c r="G38" s="15"/>
      <c r="H38" s="87"/>
      <c r="I38" s="24"/>
      <c r="J38" s="24"/>
      <c r="K38" s="114" t="str">
        <f t="shared" si="3"/>
        <v/>
      </c>
      <c r="L38" s="24"/>
      <c r="M38" s="24"/>
      <c r="N38" s="24"/>
      <c r="O38" s="24"/>
      <c r="P38" s="97" t="str">
        <f t="shared" si="4"/>
        <v/>
      </c>
      <c r="Q38" s="113" t="str">
        <f t="shared" si="5"/>
        <v/>
      </c>
      <c r="R38" s="87"/>
      <c r="S38" s="24"/>
      <c r="T38" s="24"/>
      <c r="U38" s="78" t="str">
        <f t="shared" si="6"/>
        <v/>
      </c>
      <c r="V38" s="24"/>
      <c r="W38" s="24"/>
      <c r="X38" s="24"/>
      <c r="Y38" s="24"/>
      <c r="Z38" s="98" t="str">
        <f t="shared" si="7"/>
        <v/>
      </c>
      <c r="AA38" s="40" t="str">
        <f t="shared" si="8"/>
        <v/>
      </c>
      <c r="AB38" s="87"/>
      <c r="AC38" s="24"/>
      <c r="AD38" s="24"/>
      <c r="AE38" s="79" t="str">
        <f t="shared" si="9"/>
        <v/>
      </c>
      <c r="AF38" s="24"/>
      <c r="AG38" s="24"/>
      <c r="AH38" s="24"/>
      <c r="AI38" s="24"/>
      <c r="AJ38" s="99" t="str">
        <f t="shared" si="10"/>
        <v/>
      </c>
      <c r="AK38" s="31" t="str">
        <f t="shared" si="11"/>
        <v/>
      </c>
      <c r="AN38" s="139" t="str">
        <f>IF($K38="","",VLOOKUP($K38,'ORF Accuracy Value LookUp'!$G$4:$H$104,2,TRUE))</f>
        <v/>
      </c>
      <c r="AO38" s="94" t="str">
        <f t="shared" si="0"/>
        <v/>
      </c>
      <c r="AP38" s="47" t="str">
        <f>IF($U38="","",VLOOKUP($U38,'ORF Accuracy Value LookUp'!$G$4:$H$104,2,TRUE))</f>
        <v/>
      </c>
      <c r="AQ38" s="94" t="str">
        <f t="shared" si="1"/>
        <v/>
      </c>
      <c r="AR38" s="46" t="str">
        <f>IF($AE38="","",VLOOKUP($AE38,'ORF Accuracy Value LookUp'!$G$4:$H$104,2,TRUE))</f>
        <v/>
      </c>
      <c r="AS38" s="140" t="str">
        <f t="shared" si="2"/>
        <v/>
      </c>
    </row>
    <row r="39" spans="1:45">
      <c r="A39" s="10"/>
      <c r="B39" s="12"/>
      <c r="C39" s="13"/>
      <c r="D39" s="14"/>
      <c r="E39" s="10"/>
      <c r="F39" s="11"/>
      <c r="G39" s="15"/>
      <c r="H39" s="87"/>
      <c r="I39" s="24"/>
      <c r="J39" s="24"/>
      <c r="K39" s="114" t="str">
        <f t="shared" si="3"/>
        <v/>
      </c>
      <c r="L39" s="24"/>
      <c r="M39" s="24"/>
      <c r="N39" s="24"/>
      <c r="O39" s="24"/>
      <c r="P39" s="97" t="str">
        <f t="shared" si="4"/>
        <v/>
      </c>
      <c r="Q39" s="113" t="str">
        <f t="shared" si="5"/>
        <v/>
      </c>
      <c r="R39" s="87"/>
      <c r="S39" s="24"/>
      <c r="T39" s="24"/>
      <c r="U39" s="78" t="str">
        <f t="shared" si="6"/>
        <v/>
      </c>
      <c r="V39" s="24"/>
      <c r="W39" s="24"/>
      <c r="X39" s="24"/>
      <c r="Y39" s="24"/>
      <c r="Z39" s="98" t="str">
        <f t="shared" si="7"/>
        <v/>
      </c>
      <c r="AA39" s="40" t="str">
        <f t="shared" si="8"/>
        <v/>
      </c>
      <c r="AB39" s="87"/>
      <c r="AC39" s="24"/>
      <c r="AD39" s="24"/>
      <c r="AE39" s="79" t="str">
        <f t="shared" si="9"/>
        <v/>
      </c>
      <c r="AF39" s="24"/>
      <c r="AG39" s="24"/>
      <c r="AH39" s="24"/>
      <c r="AI39" s="24"/>
      <c r="AJ39" s="99" t="str">
        <f t="shared" si="10"/>
        <v/>
      </c>
      <c r="AK39" s="31" t="str">
        <f t="shared" si="11"/>
        <v/>
      </c>
      <c r="AN39" s="139" t="str">
        <f>IF($K39="","",VLOOKUP($K39,'ORF Accuracy Value LookUp'!$G$4:$H$104,2,TRUE))</f>
        <v/>
      </c>
      <c r="AO39" s="94" t="str">
        <f t="shared" si="0"/>
        <v/>
      </c>
      <c r="AP39" s="47" t="str">
        <f>IF($U39="","",VLOOKUP($U39,'ORF Accuracy Value LookUp'!$G$4:$H$104,2,TRUE))</f>
        <v/>
      </c>
      <c r="AQ39" s="94" t="str">
        <f t="shared" si="1"/>
        <v/>
      </c>
      <c r="AR39" s="46" t="str">
        <f>IF($AE39="","",VLOOKUP($AE39,'ORF Accuracy Value LookUp'!$G$4:$H$104,2,TRUE))</f>
        <v/>
      </c>
      <c r="AS39" s="140" t="str">
        <f t="shared" si="2"/>
        <v/>
      </c>
    </row>
    <row r="40" spans="1:45">
      <c r="A40" s="10"/>
      <c r="B40" s="12"/>
      <c r="C40" s="13"/>
      <c r="D40" s="14"/>
      <c r="E40" s="10"/>
      <c r="F40" s="11"/>
      <c r="G40" s="15"/>
      <c r="H40" s="87"/>
      <c r="I40" s="24"/>
      <c r="J40" s="24"/>
      <c r="K40" s="114" t="str">
        <f t="shared" si="3"/>
        <v/>
      </c>
      <c r="L40" s="24"/>
      <c r="M40" s="24"/>
      <c r="N40" s="24"/>
      <c r="O40" s="24"/>
      <c r="P40" s="97" t="str">
        <f t="shared" si="4"/>
        <v/>
      </c>
      <c r="Q40" s="113" t="str">
        <f t="shared" si="5"/>
        <v/>
      </c>
      <c r="R40" s="87"/>
      <c r="S40" s="24"/>
      <c r="T40" s="24"/>
      <c r="U40" s="78" t="str">
        <f t="shared" si="6"/>
        <v/>
      </c>
      <c r="V40" s="24"/>
      <c r="W40" s="24"/>
      <c r="X40" s="24"/>
      <c r="Y40" s="24"/>
      <c r="Z40" s="98" t="str">
        <f t="shared" si="7"/>
        <v/>
      </c>
      <c r="AA40" s="40" t="str">
        <f t="shared" si="8"/>
        <v/>
      </c>
      <c r="AB40" s="87"/>
      <c r="AC40" s="24"/>
      <c r="AD40" s="24"/>
      <c r="AE40" s="79" t="str">
        <f t="shared" si="9"/>
        <v/>
      </c>
      <c r="AF40" s="24"/>
      <c r="AG40" s="24"/>
      <c r="AH40" s="24"/>
      <c r="AI40" s="24"/>
      <c r="AJ40" s="99" t="str">
        <f t="shared" si="10"/>
        <v/>
      </c>
      <c r="AK40" s="31" t="str">
        <f t="shared" si="11"/>
        <v/>
      </c>
      <c r="AN40" s="139" t="str">
        <f>IF($K40="","",VLOOKUP($K40,'ORF Accuracy Value LookUp'!$G$4:$H$104,2,TRUE))</f>
        <v/>
      </c>
      <c r="AO40" s="94" t="str">
        <f t="shared" si="0"/>
        <v/>
      </c>
      <c r="AP40" s="47" t="str">
        <f>IF($U40="","",VLOOKUP($U40,'ORF Accuracy Value LookUp'!$G$4:$H$104,2,TRUE))</f>
        <v/>
      </c>
      <c r="AQ40" s="94" t="str">
        <f t="shared" si="1"/>
        <v/>
      </c>
      <c r="AR40" s="46" t="str">
        <f>IF($AE40="","",VLOOKUP($AE40,'ORF Accuracy Value LookUp'!$G$4:$H$104,2,TRUE))</f>
        <v/>
      </c>
      <c r="AS40" s="140" t="str">
        <f t="shared" si="2"/>
        <v/>
      </c>
    </row>
    <row r="41" spans="1:45">
      <c r="A41" s="10"/>
      <c r="B41" s="12"/>
      <c r="C41" s="13"/>
      <c r="D41" s="14"/>
      <c r="E41" s="10"/>
      <c r="F41" s="11"/>
      <c r="G41" s="15"/>
      <c r="H41" s="87"/>
      <c r="I41" s="24"/>
      <c r="J41" s="24"/>
      <c r="K41" s="114" t="str">
        <f t="shared" si="3"/>
        <v/>
      </c>
      <c r="L41" s="24"/>
      <c r="M41" s="24"/>
      <c r="N41" s="24"/>
      <c r="O41" s="24"/>
      <c r="P41" s="97" t="str">
        <f t="shared" si="4"/>
        <v/>
      </c>
      <c r="Q41" s="113" t="str">
        <f t="shared" si="5"/>
        <v/>
      </c>
      <c r="R41" s="87"/>
      <c r="S41" s="24"/>
      <c r="T41" s="24"/>
      <c r="U41" s="78" t="str">
        <f t="shared" si="6"/>
        <v/>
      </c>
      <c r="V41" s="24"/>
      <c r="W41" s="24"/>
      <c r="X41" s="24"/>
      <c r="Y41" s="24"/>
      <c r="Z41" s="98" t="str">
        <f t="shared" si="7"/>
        <v/>
      </c>
      <c r="AA41" s="40" t="str">
        <f t="shared" si="8"/>
        <v/>
      </c>
      <c r="AB41" s="87"/>
      <c r="AC41" s="24"/>
      <c r="AD41" s="24"/>
      <c r="AE41" s="79" t="str">
        <f t="shared" si="9"/>
        <v/>
      </c>
      <c r="AF41" s="24"/>
      <c r="AG41" s="24"/>
      <c r="AH41" s="24"/>
      <c r="AI41" s="24"/>
      <c r="AJ41" s="99" t="str">
        <f t="shared" si="10"/>
        <v/>
      </c>
      <c r="AK41" s="31" t="str">
        <f t="shared" si="11"/>
        <v/>
      </c>
      <c r="AN41" s="139" t="str">
        <f>IF($K41="","",VLOOKUP($K41,'ORF Accuracy Value LookUp'!$G$4:$H$104,2,TRUE))</f>
        <v/>
      </c>
      <c r="AO41" s="94" t="str">
        <f t="shared" si="0"/>
        <v/>
      </c>
      <c r="AP41" s="47" t="str">
        <f>IF($U41="","",VLOOKUP($U41,'ORF Accuracy Value LookUp'!$G$4:$H$104,2,TRUE))</f>
        <v/>
      </c>
      <c r="AQ41" s="94" t="str">
        <f t="shared" si="1"/>
        <v/>
      </c>
      <c r="AR41" s="46" t="str">
        <f>IF($AE41="","",VLOOKUP($AE41,'ORF Accuracy Value LookUp'!$G$4:$H$104,2,TRUE))</f>
        <v/>
      </c>
      <c r="AS41" s="140" t="str">
        <f t="shared" si="2"/>
        <v/>
      </c>
    </row>
    <row r="42" spans="1:45">
      <c r="A42" s="10"/>
      <c r="B42" s="12"/>
      <c r="C42" s="13"/>
      <c r="D42" s="14"/>
      <c r="E42" s="10"/>
      <c r="F42" s="11"/>
      <c r="G42" s="15"/>
      <c r="H42" s="87"/>
      <c r="I42" s="24"/>
      <c r="J42" s="24"/>
      <c r="K42" s="114" t="str">
        <f t="shared" si="3"/>
        <v/>
      </c>
      <c r="L42" s="24"/>
      <c r="M42" s="24"/>
      <c r="N42" s="24"/>
      <c r="O42" s="24"/>
      <c r="P42" s="97" t="str">
        <f t="shared" si="4"/>
        <v/>
      </c>
      <c r="Q42" s="113" t="str">
        <f t="shared" si="5"/>
        <v/>
      </c>
      <c r="R42" s="87"/>
      <c r="S42" s="24"/>
      <c r="T42" s="24"/>
      <c r="U42" s="78" t="str">
        <f t="shared" si="6"/>
        <v/>
      </c>
      <c r="V42" s="24"/>
      <c r="W42" s="24"/>
      <c r="X42" s="24"/>
      <c r="Y42" s="24"/>
      <c r="Z42" s="98" t="str">
        <f t="shared" si="7"/>
        <v/>
      </c>
      <c r="AA42" s="40" t="str">
        <f t="shared" si="8"/>
        <v/>
      </c>
      <c r="AB42" s="87"/>
      <c r="AC42" s="24"/>
      <c r="AD42" s="24"/>
      <c r="AE42" s="79" t="str">
        <f t="shared" si="9"/>
        <v/>
      </c>
      <c r="AF42" s="24"/>
      <c r="AG42" s="24"/>
      <c r="AH42" s="24"/>
      <c r="AI42" s="24"/>
      <c r="AJ42" s="99" t="str">
        <f t="shared" si="10"/>
        <v/>
      </c>
      <c r="AK42" s="31" t="str">
        <f t="shared" si="11"/>
        <v/>
      </c>
      <c r="AN42" s="139" t="str">
        <f>IF($K42="","",VLOOKUP($K42,'ORF Accuracy Value LookUp'!$G$4:$H$104,2,TRUE))</f>
        <v/>
      </c>
      <c r="AO42" s="94" t="str">
        <f t="shared" si="0"/>
        <v/>
      </c>
      <c r="AP42" s="47" t="str">
        <f>IF($U42="","",VLOOKUP($U42,'ORF Accuracy Value LookUp'!$G$4:$H$104,2,TRUE))</f>
        <v/>
      </c>
      <c r="AQ42" s="94" t="str">
        <f t="shared" si="1"/>
        <v/>
      </c>
      <c r="AR42" s="46" t="str">
        <f>IF($AE42="","",VLOOKUP($AE42,'ORF Accuracy Value LookUp'!$G$4:$H$104,2,TRUE))</f>
        <v/>
      </c>
      <c r="AS42" s="140" t="str">
        <f t="shared" si="2"/>
        <v/>
      </c>
    </row>
    <row r="43" spans="1:45">
      <c r="A43" s="10"/>
      <c r="B43" s="12"/>
      <c r="C43" s="13"/>
      <c r="D43" s="14"/>
      <c r="E43" s="10"/>
      <c r="F43" s="11"/>
      <c r="G43" s="15"/>
      <c r="H43" s="87"/>
      <c r="I43" s="24"/>
      <c r="J43" s="24"/>
      <c r="K43" s="114" t="str">
        <f t="shared" si="3"/>
        <v/>
      </c>
      <c r="L43" s="24"/>
      <c r="M43" s="24"/>
      <c r="N43" s="24"/>
      <c r="O43" s="24"/>
      <c r="P43" s="97" t="str">
        <f t="shared" si="4"/>
        <v/>
      </c>
      <c r="Q43" s="113" t="str">
        <f t="shared" si="5"/>
        <v/>
      </c>
      <c r="R43" s="87"/>
      <c r="S43" s="24"/>
      <c r="T43" s="24"/>
      <c r="U43" s="78" t="str">
        <f t="shared" si="6"/>
        <v/>
      </c>
      <c r="V43" s="24"/>
      <c r="W43" s="24"/>
      <c r="X43" s="24"/>
      <c r="Y43" s="24"/>
      <c r="Z43" s="98" t="str">
        <f t="shared" si="7"/>
        <v/>
      </c>
      <c r="AA43" s="40" t="str">
        <f t="shared" si="8"/>
        <v/>
      </c>
      <c r="AB43" s="87"/>
      <c r="AC43" s="24"/>
      <c r="AD43" s="24"/>
      <c r="AE43" s="79" t="str">
        <f t="shared" si="9"/>
        <v/>
      </c>
      <c r="AF43" s="24"/>
      <c r="AG43" s="24"/>
      <c r="AH43" s="24"/>
      <c r="AI43" s="24"/>
      <c r="AJ43" s="99" t="str">
        <f t="shared" si="10"/>
        <v/>
      </c>
      <c r="AK43" s="31" t="str">
        <f t="shared" si="11"/>
        <v/>
      </c>
      <c r="AN43" s="139" t="str">
        <f>IF($K43="","",VLOOKUP($K43,'ORF Accuracy Value LookUp'!$G$4:$H$104,2,TRUE))</f>
        <v/>
      </c>
      <c r="AO43" s="94" t="str">
        <f t="shared" si="0"/>
        <v/>
      </c>
      <c r="AP43" s="47" t="str">
        <f>IF($U43="","",VLOOKUP($U43,'ORF Accuracy Value LookUp'!$G$4:$H$104,2,TRUE))</f>
        <v/>
      </c>
      <c r="AQ43" s="94" t="str">
        <f t="shared" si="1"/>
        <v/>
      </c>
      <c r="AR43" s="46" t="str">
        <f>IF($AE43="","",VLOOKUP($AE43,'ORF Accuracy Value LookUp'!$G$4:$H$104,2,TRUE))</f>
        <v/>
      </c>
      <c r="AS43" s="140" t="str">
        <f t="shared" si="2"/>
        <v/>
      </c>
    </row>
    <row r="44" spans="1:45">
      <c r="A44" s="10"/>
      <c r="B44" s="12"/>
      <c r="C44" s="13"/>
      <c r="D44" s="14"/>
      <c r="E44" s="10"/>
      <c r="F44" s="11"/>
      <c r="G44" s="15"/>
      <c r="H44" s="87"/>
      <c r="I44" s="24"/>
      <c r="J44" s="24"/>
      <c r="K44" s="114" t="str">
        <f t="shared" si="3"/>
        <v/>
      </c>
      <c r="L44" s="24"/>
      <c r="M44" s="24"/>
      <c r="N44" s="24"/>
      <c r="O44" s="24"/>
      <c r="P44" s="97" t="str">
        <f t="shared" si="4"/>
        <v/>
      </c>
      <c r="Q44" s="113" t="str">
        <f t="shared" si="5"/>
        <v/>
      </c>
      <c r="R44" s="87"/>
      <c r="S44" s="24"/>
      <c r="T44" s="24"/>
      <c r="U44" s="78" t="str">
        <f t="shared" si="6"/>
        <v/>
      </c>
      <c r="V44" s="24"/>
      <c r="W44" s="24"/>
      <c r="X44" s="24"/>
      <c r="Y44" s="24"/>
      <c r="Z44" s="98" t="str">
        <f t="shared" si="7"/>
        <v/>
      </c>
      <c r="AA44" s="40" t="str">
        <f t="shared" si="8"/>
        <v/>
      </c>
      <c r="AB44" s="87"/>
      <c r="AC44" s="24"/>
      <c r="AD44" s="24"/>
      <c r="AE44" s="79" t="str">
        <f t="shared" si="9"/>
        <v/>
      </c>
      <c r="AF44" s="24"/>
      <c r="AG44" s="24"/>
      <c r="AH44" s="24"/>
      <c r="AI44" s="24"/>
      <c r="AJ44" s="99" t="str">
        <f t="shared" si="10"/>
        <v/>
      </c>
      <c r="AK44" s="31" t="str">
        <f t="shared" si="11"/>
        <v/>
      </c>
      <c r="AN44" s="139" t="str">
        <f>IF($K44="","",VLOOKUP($K44,'ORF Accuracy Value LookUp'!$G$4:$H$104,2,TRUE))</f>
        <v/>
      </c>
      <c r="AO44" s="94" t="str">
        <f t="shared" si="0"/>
        <v/>
      </c>
      <c r="AP44" s="47" t="str">
        <f>IF($U44="","",VLOOKUP($U44,'ORF Accuracy Value LookUp'!$G$4:$H$104,2,TRUE))</f>
        <v/>
      </c>
      <c r="AQ44" s="94" t="str">
        <f t="shared" si="1"/>
        <v/>
      </c>
      <c r="AR44" s="46" t="str">
        <f>IF($AE44="","",VLOOKUP($AE44,'ORF Accuracy Value LookUp'!$G$4:$H$104,2,TRUE))</f>
        <v/>
      </c>
      <c r="AS44" s="140" t="str">
        <f t="shared" si="2"/>
        <v/>
      </c>
    </row>
    <row r="45" spans="1:45">
      <c r="A45" s="10"/>
      <c r="B45" s="12"/>
      <c r="C45" s="13"/>
      <c r="D45" s="14"/>
      <c r="E45" s="10"/>
      <c r="F45" s="11"/>
      <c r="G45" s="15"/>
      <c r="H45" s="87"/>
      <c r="I45" s="24"/>
      <c r="J45" s="24"/>
      <c r="K45" s="114" t="str">
        <f t="shared" si="3"/>
        <v/>
      </c>
      <c r="L45" s="24"/>
      <c r="M45" s="24"/>
      <c r="N45" s="24"/>
      <c r="O45" s="24"/>
      <c r="P45" s="97" t="str">
        <f t="shared" si="4"/>
        <v/>
      </c>
      <c r="Q45" s="113" t="str">
        <f t="shared" si="5"/>
        <v/>
      </c>
      <c r="R45" s="87"/>
      <c r="S45" s="24"/>
      <c r="T45" s="24"/>
      <c r="U45" s="78" t="str">
        <f t="shared" si="6"/>
        <v/>
      </c>
      <c r="V45" s="24"/>
      <c r="W45" s="24"/>
      <c r="X45" s="24"/>
      <c r="Y45" s="24"/>
      <c r="Z45" s="98" t="str">
        <f t="shared" si="7"/>
        <v/>
      </c>
      <c r="AA45" s="40" t="str">
        <f t="shared" si="8"/>
        <v/>
      </c>
      <c r="AB45" s="87"/>
      <c r="AC45" s="24"/>
      <c r="AD45" s="24"/>
      <c r="AE45" s="79" t="str">
        <f t="shared" si="9"/>
        <v/>
      </c>
      <c r="AF45" s="24"/>
      <c r="AG45" s="24"/>
      <c r="AH45" s="24"/>
      <c r="AI45" s="24"/>
      <c r="AJ45" s="99" t="str">
        <f t="shared" si="10"/>
        <v/>
      </c>
      <c r="AK45" s="31" t="str">
        <f t="shared" si="11"/>
        <v/>
      </c>
      <c r="AN45" s="139" t="str">
        <f>IF($K45="","",VLOOKUP($K45,'ORF Accuracy Value LookUp'!$G$4:$H$104,2,TRUE))</f>
        <v/>
      </c>
      <c r="AO45" s="94" t="str">
        <f t="shared" si="0"/>
        <v/>
      </c>
      <c r="AP45" s="47" t="str">
        <f>IF($U45="","",VLOOKUP($U45,'ORF Accuracy Value LookUp'!$G$4:$H$104,2,TRUE))</f>
        <v/>
      </c>
      <c r="AQ45" s="94" t="str">
        <f t="shared" si="1"/>
        <v/>
      </c>
      <c r="AR45" s="46" t="str">
        <f>IF($AE45="","",VLOOKUP($AE45,'ORF Accuracy Value LookUp'!$G$4:$H$104,2,TRUE))</f>
        <v/>
      </c>
      <c r="AS45" s="140" t="str">
        <f t="shared" si="2"/>
        <v/>
      </c>
    </row>
    <row r="46" spans="1:45">
      <c r="A46" s="10"/>
      <c r="B46" s="12"/>
      <c r="C46" s="13"/>
      <c r="D46" s="14"/>
      <c r="E46" s="10"/>
      <c r="F46" s="11"/>
      <c r="G46" s="15"/>
      <c r="H46" s="87"/>
      <c r="I46" s="24"/>
      <c r="J46" s="24"/>
      <c r="K46" s="114" t="str">
        <f t="shared" si="3"/>
        <v/>
      </c>
      <c r="L46" s="24"/>
      <c r="M46" s="24"/>
      <c r="N46" s="24"/>
      <c r="O46" s="24"/>
      <c r="P46" s="97" t="str">
        <f t="shared" si="4"/>
        <v/>
      </c>
      <c r="Q46" s="113" t="str">
        <f t="shared" si="5"/>
        <v/>
      </c>
      <c r="R46" s="87"/>
      <c r="S46" s="24"/>
      <c r="T46" s="24"/>
      <c r="U46" s="78" t="str">
        <f t="shared" si="6"/>
        <v/>
      </c>
      <c r="V46" s="24"/>
      <c r="W46" s="24"/>
      <c r="X46" s="24"/>
      <c r="Y46" s="24"/>
      <c r="Z46" s="98" t="str">
        <f t="shared" si="7"/>
        <v/>
      </c>
      <c r="AA46" s="40" t="str">
        <f t="shared" si="8"/>
        <v/>
      </c>
      <c r="AB46" s="87"/>
      <c r="AC46" s="24"/>
      <c r="AD46" s="24"/>
      <c r="AE46" s="79" t="str">
        <f t="shared" si="9"/>
        <v/>
      </c>
      <c r="AF46" s="24"/>
      <c r="AG46" s="24"/>
      <c r="AH46" s="24"/>
      <c r="AI46" s="24"/>
      <c r="AJ46" s="99" t="str">
        <f t="shared" si="10"/>
        <v/>
      </c>
      <c r="AK46" s="31" t="str">
        <f t="shared" si="11"/>
        <v/>
      </c>
      <c r="AN46" s="139" t="str">
        <f>IF($K46="","",VLOOKUP($K46,'ORF Accuracy Value LookUp'!$G$4:$H$104,2,TRUE))</f>
        <v/>
      </c>
      <c r="AO46" s="94" t="str">
        <f t="shared" si="0"/>
        <v/>
      </c>
      <c r="AP46" s="47" t="str">
        <f>IF($U46="","",VLOOKUP($U46,'ORF Accuracy Value LookUp'!$G$4:$H$104,2,TRUE))</f>
        <v/>
      </c>
      <c r="AQ46" s="94" t="str">
        <f t="shared" si="1"/>
        <v/>
      </c>
      <c r="AR46" s="46" t="str">
        <f>IF($AE46="","",VLOOKUP($AE46,'ORF Accuracy Value LookUp'!$G$4:$H$104,2,TRUE))</f>
        <v/>
      </c>
      <c r="AS46" s="140" t="str">
        <f t="shared" si="2"/>
        <v/>
      </c>
    </row>
    <row r="47" spans="1:45">
      <c r="A47" s="10"/>
      <c r="B47" s="12"/>
      <c r="C47" s="13"/>
      <c r="D47" s="14"/>
      <c r="E47" s="10"/>
      <c r="F47" s="11"/>
      <c r="G47" s="15"/>
      <c r="H47" s="87"/>
      <c r="I47" s="24"/>
      <c r="J47" s="24"/>
      <c r="K47" s="114" t="str">
        <f t="shared" si="3"/>
        <v/>
      </c>
      <c r="L47" s="24"/>
      <c r="M47" s="24"/>
      <c r="N47" s="24"/>
      <c r="O47" s="24"/>
      <c r="P47" s="97" t="str">
        <f t="shared" si="4"/>
        <v/>
      </c>
      <c r="Q47" s="113" t="str">
        <f t="shared" si="5"/>
        <v/>
      </c>
      <c r="R47" s="87"/>
      <c r="S47" s="24"/>
      <c r="T47" s="24"/>
      <c r="U47" s="78" t="str">
        <f t="shared" si="6"/>
        <v/>
      </c>
      <c r="V47" s="24"/>
      <c r="W47" s="24"/>
      <c r="X47" s="24"/>
      <c r="Y47" s="24"/>
      <c r="Z47" s="98" t="str">
        <f t="shared" si="7"/>
        <v/>
      </c>
      <c r="AA47" s="40" t="str">
        <f t="shared" si="8"/>
        <v/>
      </c>
      <c r="AB47" s="87"/>
      <c r="AC47" s="24"/>
      <c r="AD47" s="24"/>
      <c r="AE47" s="79" t="str">
        <f t="shared" si="9"/>
        <v/>
      </c>
      <c r="AF47" s="24"/>
      <c r="AG47" s="24"/>
      <c r="AH47" s="24"/>
      <c r="AI47" s="24"/>
      <c r="AJ47" s="99" t="str">
        <f t="shared" si="10"/>
        <v/>
      </c>
      <c r="AK47" s="31" t="str">
        <f t="shared" si="11"/>
        <v/>
      </c>
      <c r="AN47" s="139" t="str">
        <f>IF($K47="","",VLOOKUP($K47,'ORF Accuracy Value LookUp'!$G$4:$H$104,2,TRUE))</f>
        <v/>
      </c>
      <c r="AO47" s="94" t="str">
        <f t="shared" si="0"/>
        <v/>
      </c>
      <c r="AP47" s="47" t="str">
        <f>IF($U47="","",VLOOKUP($U47,'ORF Accuracy Value LookUp'!$G$4:$H$104,2,TRUE))</f>
        <v/>
      </c>
      <c r="AQ47" s="94" t="str">
        <f t="shared" si="1"/>
        <v/>
      </c>
      <c r="AR47" s="46" t="str">
        <f>IF($AE47="","",VLOOKUP($AE47,'ORF Accuracy Value LookUp'!$G$4:$H$104,2,TRUE))</f>
        <v/>
      </c>
      <c r="AS47" s="140" t="str">
        <f t="shared" si="2"/>
        <v/>
      </c>
    </row>
    <row r="48" spans="1:45">
      <c r="A48" s="10"/>
      <c r="B48" s="12"/>
      <c r="C48" s="13"/>
      <c r="D48" s="14"/>
      <c r="E48" s="10"/>
      <c r="F48" s="11"/>
      <c r="G48" s="15"/>
      <c r="H48" s="87"/>
      <c r="I48" s="24"/>
      <c r="J48" s="24"/>
      <c r="K48" s="114" t="str">
        <f t="shared" si="3"/>
        <v/>
      </c>
      <c r="L48" s="24"/>
      <c r="M48" s="24"/>
      <c r="N48" s="24"/>
      <c r="O48" s="24"/>
      <c r="P48" s="97" t="str">
        <f t="shared" si="4"/>
        <v/>
      </c>
      <c r="Q48" s="113" t="str">
        <f t="shared" si="5"/>
        <v/>
      </c>
      <c r="R48" s="87"/>
      <c r="S48" s="24"/>
      <c r="T48" s="24"/>
      <c r="U48" s="78" t="str">
        <f t="shared" si="6"/>
        <v/>
      </c>
      <c r="V48" s="24"/>
      <c r="W48" s="24"/>
      <c r="X48" s="24"/>
      <c r="Y48" s="24"/>
      <c r="Z48" s="98" t="str">
        <f t="shared" si="7"/>
        <v/>
      </c>
      <c r="AA48" s="40" t="str">
        <f t="shared" si="8"/>
        <v/>
      </c>
      <c r="AB48" s="87"/>
      <c r="AC48" s="24"/>
      <c r="AD48" s="24"/>
      <c r="AE48" s="79" t="str">
        <f t="shared" si="9"/>
        <v/>
      </c>
      <c r="AF48" s="24"/>
      <c r="AG48" s="24"/>
      <c r="AH48" s="24"/>
      <c r="AI48" s="24"/>
      <c r="AJ48" s="99" t="str">
        <f t="shared" si="10"/>
        <v/>
      </c>
      <c r="AK48" s="31" t="str">
        <f t="shared" si="11"/>
        <v/>
      </c>
      <c r="AN48" s="139" t="str">
        <f>IF($K48="","",VLOOKUP($K48,'ORF Accuracy Value LookUp'!$G$4:$H$104,2,TRUE))</f>
        <v/>
      </c>
      <c r="AO48" s="94" t="str">
        <f t="shared" si="0"/>
        <v/>
      </c>
      <c r="AP48" s="47" t="str">
        <f>IF($U48="","",VLOOKUP($U48,'ORF Accuracy Value LookUp'!$G$4:$H$104,2,TRUE))</f>
        <v/>
      </c>
      <c r="AQ48" s="94" t="str">
        <f t="shared" si="1"/>
        <v/>
      </c>
      <c r="AR48" s="46" t="str">
        <f>IF($AE48="","",VLOOKUP($AE48,'ORF Accuracy Value LookUp'!$G$4:$H$104,2,TRUE))</f>
        <v/>
      </c>
      <c r="AS48" s="140" t="str">
        <f t="shared" si="2"/>
        <v/>
      </c>
    </row>
    <row r="49" spans="1:45">
      <c r="A49" s="10"/>
      <c r="B49" s="12"/>
      <c r="C49" s="13"/>
      <c r="D49" s="14"/>
      <c r="E49" s="10"/>
      <c r="F49" s="11"/>
      <c r="G49" s="15"/>
      <c r="H49" s="87"/>
      <c r="I49" s="24"/>
      <c r="J49" s="24"/>
      <c r="K49" s="114" t="str">
        <f t="shared" si="3"/>
        <v/>
      </c>
      <c r="L49" s="24"/>
      <c r="M49" s="24"/>
      <c r="N49" s="24"/>
      <c r="O49" s="24"/>
      <c r="P49" s="97" t="str">
        <f t="shared" si="4"/>
        <v/>
      </c>
      <c r="Q49" s="113" t="str">
        <f t="shared" si="5"/>
        <v/>
      </c>
      <c r="R49" s="87"/>
      <c r="S49" s="24"/>
      <c r="T49" s="24"/>
      <c r="U49" s="78" t="str">
        <f t="shared" si="6"/>
        <v/>
      </c>
      <c r="V49" s="24"/>
      <c r="W49" s="24"/>
      <c r="X49" s="24"/>
      <c r="Y49" s="24"/>
      <c r="Z49" s="98" t="str">
        <f t="shared" si="7"/>
        <v/>
      </c>
      <c r="AA49" s="40" t="str">
        <f t="shared" si="8"/>
        <v/>
      </c>
      <c r="AB49" s="87"/>
      <c r="AC49" s="24"/>
      <c r="AD49" s="24"/>
      <c r="AE49" s="79" t="str">
        <f t="shared" si="9"/>
        <v/>
      </c>
      <c r="AF49" s="24"/>
      <c r="AG49" s="24"/>
      <c r="AH49" s="24"/>
      <c r="AI49" s="24"/>
      <c r="AJ49" s="99" t="str">
        <f t="shared" si="10"/>
        <v/>
      </c>
      <c r="AK49" s="31" t="str">
        <f t="shared" si="11"/>
        <v/>
      </c>
      <c r="AN49" s="139" t="str">
        <f>IF($K49="","",VLOOKUP($K49,'ORF Accuracy Value LookUp'!$G$4:$H$104,2,TRUE))</f>
        <v/>
      </c>
      <c r="AO49" s="94" t="str">
        <f t="shared" si="0"/>
        <v/>
      </c>
      <c r="AP49" s="47" t="str">
        <f>IF($U49="","",VLOOKUP($U49,'ORF Accuracy Value LookUp'!$G$4:$H$104,2,TRUE))</f>
        <v/>
      </c>
      <c r="AQ49" s="94" t="str">
        <f t="shared" si="1"/>
        <v/>
      </c>
      <c r="AR49" s="46" t="str">
        <f>IF($AE49="","",VLOOKUP($AE49,'ORF Accuracy Value LookUp'!$G$4:$H$104,2,TRUE))</f>
        <v/>
      </c>
      <c r="AS49" s="140" t="str">
        <f t="shared" si="2"/>
        <v/>
      </c>
    </row>
    <row r="50" spans="1:45">
      <c r="A50" s="10"/>
      <c r="B50" s="12"/>
      <c r="C50" s="13"/>
      <c r="D50" s="14"/>
      <c r="E50" s="10"/>
      <c r="F50" s="11"/>
      <c r="G50" s="15"/>
      <c r="H50" s="87"/>
      <c r="I50" s="24"/>
      <c r="J50" s="24"/>
      <c r="K50" s="114" t="str">
        <f t="shared" si="3"/>
        <v/>
      </c>
      <c r="L50" s="24"/>
      <c r="M50" s="24"/>
      <c r="N50" s="24"/>
      <c r="O50" s="24"/>
      <c r="P50" s="97" t="str">
        <f t="shared" si="4"/>
        <v/>
      </c>
      <c r="Q50" s="113" t="str">
        <f t="shared" si="5"/>
        <v/>
      </c>
      <c r="R50" s="87"/>
      <c r="S50" s="24"/>
      <c r="T50" s="24"/>
      <c r="U50" s="78" t="str">
        <f t="shared" si="6"/>
        <v/>
      </c>
      <c r="V50" s="24"/>
      <c r="W50" s="24"/>
      <c r="X50" s="24"/>
      <c r="Y50" s="24"/>
      <c r="Z50" s="98" t="str">
        <f t="shared" si="7"/>
        <v/>
      </c>
      <c r="AA50" s="40" t="str">
        <f t="shared" si="8"/>
        <v/>
      </c>
      <c r="AB50" s="87"/>
      <c r="AC50" s="24"/>
      <c r="AD50" s="24"/>
      <c r="AE50" s="79" t="str">
        <f t="shared" si="9"/>
        <v/>
      </c>
      <c r="AF50" s="24"/>
      <c r="AG50" s="24"/>
      <c r="AH50" s="24"/>
      <c r="AI50" s="24"/>
      <c r="AJ50" s="99" t="str">
        <f t="shared" si="10"/>
        <v/>
      </c>
      <c r="AK50" s="31" t="str">
        <f t="shared" si="11"/>
        <v/>
      </c>
      <c r="AN50" s="139" t="str">
        <f>IF($K50="","",VLOOKUP($K50,'ORF Accuracy Value LookUp'!$G$4:$H$104,2,TRUE))</f>
        <v/>
      </c>
      <c r="AO50" s="94" t="str">
        <f t="shared" si="0"/>
        <v/>
      </c>
      <c r="AP50" s="47" t="str">
        <f>IF($U50="","",VLOOKUP($U50,'ORF Accuracy Value LookUp'!$G$4:$H$104,2,TRUE))</f>
        <v/>
      </c>
      <c r="AQ50" s="94" t="str">
        <f t="shared" si="1"/>
        <v/>
      </c>
      <c r="AR50" s="46" t="str">
        <f>IF($AE50="","",VLOOKUP($AE50,'ORF Accuracy Value LookUp'!$G$4:$H$104,2,TRUE))</f>
        <v/>
      </c>
      <c r="AS50" s="140" t="str">
        <f t="shared" si="2"/>
        <v/>
      </c>
    </row>
    <row r="51" spans="1:45">
      <c r="A51" s="10"/>
      <c r="B51" s="12"/>
      <c r="C51" s="13"/>
      <c r="D51" s="14"/>
      <c r="E51" s="10"/>
      <c r="F51" s="11"/>
      <c r="G51" s="15"/>
      <c r="H51" s="87"/>
      <c r="I51" s="24"/>
      <c r="J51" s="24"/>
      <c r="K51" s="114" t="str">
        <f t="shared" si="3"/>
        <v/>
      </c>
      <c r="L51" s="24"/>
      <c r="M51" s="24"/>
      <c r="N51" s="24"/>
      <c r="O51" s="24"/>
      <c r="P51" s="97" t="str">
        <f t="shared" si="4"/>
        <v/>
      </c>
      <c r="Q51" s="113" t="str">
        <f t="shared" si="5"/>
        <v/>
      </c>
      <c r="R51" s="87"/>
      <c r="S51" s="24"/>
      <c r="T51" s="24"/>
      <c r="U51" s="78" t="str">
        <f t="shared" si="6"/>
        <v/>
      </c>
      <c r="V51" s="24"/>
      <c r="W51" s="24"/>
      <c r="X51" s="24"/>
      <c r="Y51" s="24"/>
      <c r="Z51" s="98" t="str">
        <f t="shared" si="7"/>
        <v/>
      </c>
      <c r="AA51" s="40" t="str">
        <f t="shared" si="8"/>
        <v/>
      </c>
      <c r="AB51" s="87"/>
      <c r="AC51" s="24"/>
      <c r="AD51" s="24"/>
      <c r="AE51" s="79" t="str">
        <f t="shared" si="9"/>
        <v/>
      </c>
      <c r="AF51" s="24"/>
      <c r="AG51" s="24"/>
      <c r="AH51" s="24"/>
      <c r="AI51" s="24"/>
      <c r="AJ51" s="99" t="str">
        <f t="shared" si="10"/>
        <v/>
      </c>
      <c r="AK51" s="31" t="str">
        <f t="shared" si="11"/>
        <v/>
      </c>
      <c r="AN51" s="139" t="str">
        <f>IF($K51="","",VLOOKUP($K51,'ORF Accuracy Value LookUp'!$G$4:$H$104,2,TRUE))</f>
        <v/>
      </c>
      <c r="AO51" s="94" t="str">
        <f t="shared" si="0"/>
        <v/>
      </c>
      <c r="AP51" s="47" t="str">
        <f>IF($U51="","",VLOOKUP($U51,'ORF Accuracy Value LookUp'!$G$4:$H$104,2,TRUE))</f>
        <v/>
      </c>
      <c r="AQ51" s="94" t="str">
        <f t="shared" si="1"/>
        <v/>
      </c>
      <c r="AR51" s="46" t="str">
        <f>IF($AE51="","",VLOOKUP($AE51,'ORF Accuracy Value LookUp'!$G$4:$H$104,2,TRUE))</f>
        <v/>
      </c>
      <c r="AS51" s="140" t="str">
        <f t="shared" si="2"/>
        <v/>
      </c>
    </row>
    <row r="52" spans="1:45">
      <c r="A52" s="10"/>
      <c r="B52" s="12"/>
      <c r="C52" s="13"/>
      <c r="D52" s="14"/>
      <c r="E52" s="10"/>
      <c r="F52" s="11"/>
      <c r="G52" s="15"/>
      <c r="H52" s="87"/>
      <c r="I52" s="24"/>
      <c r="J52" s="24"/>
      <c r="K52" s="114" t="str">
        <f t="shared" si="3"/>
        <v/>
      </c>
      <c r="L52" s="24"/>
      <c r="M52" s="24"/>
      <c r="N52" s="24"/>
      <c r="O52" s="24"/>
      <c r="P52" s="97" t="str">
        <f t="shared" si="4"/>
        <v/>
      </c>
      <c r="Q52" s="113" t="str">
        <f t="shared" si="5"/>
        <v/>
      </c>
      <c r="R52" s="87"/>
      <c r="S52" s="24"/>
      <c r="T52" s="24"/>
      <c r="U52" s="78" t="str">
        <f t="shared" si="6"/>
        <v/>
      </c>
      <c r="V52" s="24"/>
      <c r="W52" s="24"/>
      <c r="X52" s="24"/>
      <c r="Y52" s="24"/>
      <c r="Z52" s="98" t="str">
        <f t="shared" si="7"/>
        <v/>
      </c>
      <c r="AA52" s="40" t="str">
        <f t="shared" si="8"/>
        <v/>
      </c>
      <c r="AB52" s="87"/>
      <c r="AC52" s="24"/>
      <c r="AD52" s="24"/>
      <c r="AE52" s="79" t="str">
        <f t="shared" si="9"/>
        <v/>
      </c>
      <c r="AF52" s="24"/>
      <c r="AG52" s="24"/>
      <c r="AH52" s="24"/>
      <c r="AI52" s="24"/>
      <c r="AJ52" s="99" t="str">
        <f t="shared" si="10"/>
        <v/>
      </c>
      <c r="AK52" s="31" t="str">
        <f t="shared" si="11"/>
        <v/>
      </c>
      <c r="AN52" s="139" t="str">
        <f>IF($K52="","",VLOOKUP($K52,'ORF Accuracy Value LookUp'!$G$4:$H$104,2,TRUE))</f>
        <v/>
      </c>
      <c r="AO52" s="94" t="str">
        <f t="shared" si="0"/>
        <v/>
      </c>
      <c r="AP52" s="47" t="str">
        <f>IF($U52="","",VLOOKUP($U52,'ORF Accuracy Value LookUp'!$G$4:$H$104,2,TRUE))</f>
        <v/>
      </c>
      <c r="AQ52" s="94" t="str">
        <f t="shared" si="1"/>
        <v/>
      </c>
      <c r="AR52" s="46" t="str">
        <f>IF($AE52="","",VLOOKUP($AE52,'ORF Accuracy Value LookUp'!$G$4:$H$104,2,TRUE))</f>
        <v/>
      </c>
      <c r="AS52" s="140" t="str">
        <f t="shared" si="2"/>
        <v/>
      </c>
    </row>
    <row r="53" spans="1:45">
      <c r="A53" s="10"/>
      <c r="B53" s="12"/>
      <c r="C53" s="13"/>
      <c r="D53" s="14"/>
      <c r="E53" s="10"/>
      <c r="F53" s="11"/>
      <c r="G53" s="15"/>
      <c r="H53" s="87"/>
      <c r="I53" s="24"/>
      <c r="J53" s="24"/>
      <c r="K53" s="114" t="str">
        <f t="shared" si="3"/>
        <v/>
      </c>
      <c r="L53" s="24"/>
      <c r="M53" s="24"/>
      <c r="N53" s="24"/>
      <c r="O53" s="24"/>
      <c r="P53" s="97" t="str">
        <f t="shared" si="4"/>
        <v/>
      </c>
      <c r="Q53" s="113" t="str">
        <f t="shared" si="5"/>
        <v/>
      </c>
      <c r="R53" s="87"/>
      <c r="S53" s="24"/>
      <c r="T53" s="24"/>
      <c r="U53" s="78" t="str">
        <f t="shared" si="6"/>
        <v/>
      </c>
      <c r="V53" s="24"/>
      <c r="W53" s="24"/>
      <c r="X53" s="24"/>
      <c r="Y53" s="24"/>
      <c r="Z53" s="98" t="str">
        <f t="shared" si="7"/>
        <v/>
      </c>
      <c r="AA53" s="40" t="str">
        <f t="shared" si="8"/>
        <v/>
      </c>
      <c r="AB53" s="87"/>
      <c r="AC53" s="24"/>
      <c r="AD53" s="24"/>
      <c r="AE53" s="79" t="str">
        <f t="shared" si="9"/>
        <v/>
      </c>
      <c r="AF53" s="24"/>
      <c r="AG53" s="24"/>
      <c r="AH53" s="24"/>
      <c r="AI53" s="24"/>
      <c r="AJ53" s="99" t="str">
        <f t="shared" si="10"/>
        <v/>
      </c>
      <c r="AK53" s="31" t="str">
        <f t="shared" si="11"/>
        <v/>
      </c>
      <c r="AN53" s="139" t="str">
        <f>IF($K53="","",VLOOKUP($K53,'ORF Accuracy Value LookUp'!$G$4:$H$104,2,TRUE))</f>
        <v/>
      </c>
      <c r="AO53" s="94" t="str">
        <f t="shared" si="0"/>
        <v/>
      </c>
      <c r="AP53" s="47" t="str">
        <f>IF($U53="","",VLOOKUP($U53,'ORF Accuracy Value LookUp'!$G$4:$H$104,2,TRUE))</f>
        <v/>
      </c>
      <c r="AQ53" s="94" t="str">
        <f t="shared" si="1"/>
        <v/>
      </c>
      <c r="AR53" s="46" t="str">
        <f>IF($AE53="","",VLOOKUP($AE53,'ORF Accuracy Value LookUp'!$G$4:$H$104,2,TRUE))</f>
        <v/>
      </c>
      <c r="AS53" s="140" t="str">
        <f t="shared" si="2"/>
        <v/>
      </c>
    </row>
    <row r="54" spans="1:45">
      <c r="A54" s="10"/>
      <c r="B54" s="12"/>
      <c r="C54" s="13"/>
      <c r="D54" s="14"/>
      <c r="E54" s="10"/>
      <c r="F54" s="11"/>
      <c r="G54" s="15"/>
      <c r="H54" s="87"/>
      <c r="I54" s="24"/>
      <c r="J54" s="24"/>
      <c r="K54" s="114" t="str">
        <f t="shared" si="3"/>
        <v/>
      </c>
      <c r="L54" s="24"/>
      <c r="M54" s="24"/>
      <c r="N54" s="24"/>
      <c r="O54" s="24"/>
      <c r="P54" s="97" t="str">
        <f t="shared" si="4"/>
        <v/>
      </c>
      <c r="Q54" s="113" t="str">
        <f t="shared" si="5"/>
        <v/>
      </c>
      <c r="R54" s="87"/>
      <c r="S54" s="24"/>
      <c r="T54" s="24"/>
      <c r="U54" s="78" t="str">
        <f t="shared" si="6"/>
        <v/>
      </c>
      <c r="V54" s="24"/>
      <c r="W54" s="24"/>
      <c r="X54" s="24"/>
      <c r="Y54" s="24"/>
      <c r="Z54" s="98" t="str">
        <f t="shared" si="7"/>
        <v/>
      </c>
      <c r="AA54" s="40" t="str">
        <f t="shared" si="8"/>
        <v/>
      </c>
      <c r="AB54" s="87"/>
      <c r="AC54" s="24"/>
      <c r="AD54" s="24"/>
      <c r="AE54" s="79" t="str">
        <f t="shared" si="9"/>
        <v/>
      </c>
      <c r="AF54" s="24"/>
      <c r="AG54" s="24"/>
      <c r="AH54" s="24"/>
      <c r="AI54" s="24"/>
      <c r="AJ54" s="99" t="str">
        <f t="shared" si="10"/>
        <v/>
      </c>
      <c r="AK54" s="31" t="str">
        <f t="shared" si="11"/>
        <v/>
      </c>
      <c r="AN54" s="139" t="str">
        <f>IF($K54="","",VLOOKUP($K54,'ORF Accuracy Value LookUp'!$G$4:$H$104,2,TRUE))</f>
        <v/>
      </c>
      <c r="AO54" s="94" t="str">
        <f t="shared" si="0"/>
        <v/>
      </c>
      <c r="AP54" s="47" t="str">
        <f>IF($U54="","",VLOOKUP($U54,'ORF Accuracy Value LookUp'!$G$4:$H$104,2,TRUE))</f>
        <v/>
      </c>
      <c r="AQ54" s="94" t="str">
        <f t="shared" si="1"/>
        <v/>
      </c>
      <c r="AR54" s="46" t="str">
        <f>IF($AE54="","",VLOOKUP($AE54,'ORF Accuracy Value LookUp'!$G$4:$H$104,2,TRUE))</f>
        <v/>
      </c>
      <c r="AS54" s="140" t="str">
        <f t="shared" si="2"/>
        <v/>
      </c>
    </row>
    <row r="55" spans="1:45">
      <c r="A55" s="10"/>
      <c r="B55" s="12"/>
      <c r="C55" s="13"/>
      <c r="D55" s="14"/>
      <c r="E55" s="10"/>
      <c r="F55" s="11"/>
      <c r="G55" s="15"/>
      <c r="H55" s="87"/>
      <c r="I55" s="24"/>
      <c r="J55" s="24"/>
      <c r="K55" s="114" t="str">
        <f t="shared" si="3"/>
        <v/>
      </c>
      <c r="L55" s="24"/>
      <c r="M55" s="24"/>
      <c r="N55" s="24"/>
      <c r="O55" s="24"/>
      <c r="P55" s="97" t="str">
        <f t="shared" si="4"/>
        <v/>
      </c>
      <c r="Q55" s="113" t="str">
        <f t="shared" si="5"/>
        <v/>
      </c>
      <c r="R55" s="87"/>
      <c r="S55" s="24"/>
      <c r="T55" s="24"/>
      <c r="U55" s="78" t="str">
        <f t="shared" si="6"/>
        <v/>
      </c>
      <c r="V55" s="24"/>
      <c r="W55" s="24"/>
      <c r="X55" s="24"/>
      <c r="Y55" s="24"/>
      <c r="Z55" s="98" t="str">
        <f t="shared" si="7"/>
        <v/>
      </c>
      <c r="AA55" s="40" t="str">
        <f t="shared" si="8"/>
        <v/>
      </c>
      <c r="AB55" s="87"/>
      <c r="AC55" s="24"/>
      <c r="AD55" s="24"/>
      <c r="AE55" s="79" t="str">
        <f t="shared" si="9"/>
        <v/>
      </c>
      <c r="AF55" s="24"/>
      <c r="AG55" s="24"/>
      <c r="AH55" s="24"/>
      <c r="AI55" s="24"/>
      <c r="AJ55" s="99" t="str">
        <f t="shared" si="10"/>
        <v/>
      </c>
      <c r="AK55" s="31" t="str">
        <f t="shared" si="11"/>
        <v/>
      </c>
      <c r="AN55" s="139" t="str">
        <f>IF($K55="","",VLOOKUP($K55,'ORF Accuracy Value LookUp'!$G$4:$H$104,2,TRUE))</f>
        <v/>
      </c>
      <c r="AO55" s="94" t="str">
        <f t="shared" si="0"/>
        <v/>
      </c>
      <c r="AP55" s="47" t="str">
        <f>IF($U55="","",VLOOKUP($U55,'ORF Accuracy Value LookUp'!$G$4:$H$104,2,TRUE))</f>
        <v/>
      </c>
      <c r="AQ55" s="94" t="str">
        <f t="shared" si="1"/>
        <v/>
      </c>
      <c r="AR55" s="46" t="str">
        <f>IF($AE55="","",VLOOKUP($AE55,'ORF Accuracy Value LookUp'!$G$4:$H$104,2,TRUE))</f>
        <v/>
      </c>
      <c r="AS55" s="140" t="str">
        <f t="shared" si="2"/>
        <v/>
      </c>
    </row>
    <row r="56" spans="1:45">
      <c r="A56" s="10"/>
      <c r="B56" s="12"/>
      <c r="C56" s="13"/>
      <c r="D56" s="14"/>
      <c r="E56" s="10"/>
      <c r="F56" s="11"/>
      <c r="G56" s="15"/>
      <c r="H56" s="87"/>
      <c r="I56" s="24"/>
      <c r="J56" s="24"/>
      <c r="K56" s="114" t="str">
        <f t="shared" si="3"/>
        <v/>
      </c>
      <c r="L56" s="24"/>
      <c r="M56" s="24"/>
      <c r="N56" s="24"/>
      <c r="O56" s="24"/>
      <c r="P56" s="97" t="str">
        <f t="shared" si="4"/>
        <v/>
      </c>
      <c r="Q56" s="113" t="str">
        <f t="shared" si="5"/>
        <v/>
      </c>
      <c r="R56" s="87"/>
      <c r="S56" s="24"/>
      <c r="T56" s="24"/>
      <c r="U56" s="78" t="str">
        <f t="shared" si="6"/>
        <v/>
      </c>
      <c r="V56" s="24"/>
      <c r="W56" s="24"/>
      <c r="X56" s="24"/>
      <c r="Y56" s="24"/>
      <c r="Z56" s="98" t="str">
        <f t="shared" si="7"/>
        <v/>
      </c>
      <c r="AA56" s="40" t="str">
        <f t="shared" si="8"/>
        <v/>
      </c>
      <c r="AB56" s="87"/>
      <c r="AC56" s="24"/>
      <c r="AD56" s="24"/>
      <c r="AE56" s="79" t="str">
        <f t="shared" si="9"/>
        <v/>
      </c>
      <c r="AF56" s="24"/>
      <c r="AG56" s="24"/>
      <c r="AH56" s="24"/>
      <c r="AI56" s="24"/>
      <c r="AJ56" s="99" t="str">
        <f t="shared" si="10"/>
        <v/>
      </c>
      <c r="AK56" s="31" t="str">
        <f t="shared" si="11"/>
        <v/>
      </c>
      <c r="AN56" s="139" t="str">
        <f>IF($K56="","",VLOOKUP($K56,'ORF Accuracy Value LookUp'!$G$4:$H$104,2,TRUE))</f>
        <v/>
      </c>
      <c r="AO56" s="94" t="str">
        <f t="shared" si="0"/>
        <v/>
      </c>
      <c r="AP56" s="47" t="str">
        <f>IF($U56="","",VLOOKUP($U56,'ORF Accuracy Value LookUp'!$G$4:$H$104,2,TRUE))</f>
        <v/>
      </c>
      <c r="AQ56" s="94" t="str">
        <f t="shared" si="1"/>
        <v/>
      </c>
      <c r="AR56" s="46" t="str">
        <f>IF($AE56="","",VLOOKUP($AE56,'ORF Accuracy Value LookUp'!$G$4:$H$104,2,TRUE))</f>
        <v/>
      </c>
      <c r="AS56" s="140" t="str">
        <f t="shared" si="2"/>
        <v/>
      </c>
    </row>
    <row r="57" spans="1:45">
      <c r="A57" s="10"/>
      <c r="B57" s="12"/>
      <c r="C57" s="13"/>
      <c r="D57" s="14"/>
      <c r="E57" s="10"/>
      <c r="F57" s="11"/>
      <c r="G57" s="15"/>
      <c r="H57" s="87"/>
      <c r="I57" s="24"/>
      <c r="J57" s="24"/>
      <c r="K57" s="114" t="str">
        <f t="shared" si="3"/>
        <v/>
      </c>
      <c r="L57" s="24"/>
      <c r="M57" s="24"/>
      <c r="N57" s="24"/>
      <c r="O57" s="24"/>
      <c r="P57" s="97" t="str">
        <f t="shared" si="4"/>
        <v/>
      </c>
      <c r="Q57" s="113" t="str">
        <f t="shared" si="5"/>
        <v/>
      </c>
      <c r="R57" s="87"/>
      <c r="S57" s="24"/>
      <c r="T57" s="24"/>
      <c r="U57" s="78" t="str">
        <f t="shared" si="6"/>
        <v/>
      </c>
      <c r="V57" s="24"/>
      <c r="W57" s="24"/>
      <c r="X57" s="24"/>
      <c r="Y57" s="24"/>
      <c r="Z57" s="98" t="str">
        <f t="shared" si="7"/>
        <v/>
      </c>
      <c r="AA57" s="40" t="str">
        <f t="shared" si="8"/>
        <v/>
      </c>
      <c r="AB57" s="87"/>
      <c r="AC57" s="24"/>
      <c r="AD57" s="24"/>
      <c r="AE57" s="79" t="str">
        <f t="shared" si="9"/>
        <v/>
      </c>
      <c r="AF57" s="24"/>
      <c r="AG57" s="24"/>
      <c r="AH57" s="24"/>
      <c r="AI57" s="24"/>
      <c r="AJ57" s="99" t="str">
        <f t="shared" si="10"/>
        <v/>
      </c>
      <c r="AK57" s="31" t="str">
        <f t="shared" si="11"/>
        <v/>
      </c>
      <c r="AN57" s="139" t="str">
        <f>IF($K57="","",VLOOKUP($K57,'ORF Accuracy Value LookUp'!$G$4:$H$104,2,TRUE))</f>
        <v/>
      </c>
      <c r="AO57" s="94" t="str">
        <f t="shared" si="0"/>
        <v/>
      </c>
      <c r="AP57" s="47" t="str">
        <f>IF($U57="","",VLOOKUP($U57,'ORF Accuracy Value LookUp'!$G$4:$H$104,2,TRUE))</f>
        <v/>
      </c>
      <c r="AQ57" s="94" t="str">
        <f t="shared" si="1"/>
        <v/>
      </c>
      <c r="AR57" s="46" t="str">
        <f>IF($AE57="","",VLOOKUP($AE57,'ORF Accuracy Value LookUp'!$G$4:$H$104,2,TRUE))</f>
        <v/>
      </c>
      <c r="AS57" s="140" t="str">
        <f t="shared" si="2"/>
        <v/>
      </c>
    </row>
    <row r="58" spans="1:45">
      <c r="A58" s="10"/>
      <c r="B58" s="12"/>
      <c r="C58" s="13"/>
      <c r="D58" s="14"/>
      <c r="E58" s="10"/>
      <c r="F58" s="11"/>
      <c r="G58" s="15"/>
      <c r="H58" s="87"/>
      <c r="I58" s="24"/>
      <c r="J58" s="24"/>
      <c r="K58" s="114" t="str">
        <f t="shared" si="3"/>
        <v/>
      </c>
      <c r="L58" s="24"/>
      <c r="M58" s="24"/>
      <c r="N58" s="24"/>
      <c r="O58" s="24"/>
      <c r="P58" s="97" t="str">
        <f t="shared" si="4"/>
        <v/>
      </c>
      <c r="Q58" s="113" t="str">
        <f t="shared" si="5"/>
        <v/>
      </c>
      <c r="R58" s="87"/>
      <c r="S58" s="24"/>
      <c r="T58" s="24"/>
      <c r="U58" s="78" t="str">
        <f t="shared" si="6"/>
        <v/>
      </c>
      <c r="V58" s="24"/>
      <c r="W58" s="24"/>
      <c r="X58" s="24"/>
      <c r="Y58" s="24"/>
      <c r="Z58" s="98" t="str">
        <f t="shared" si="7"/>
        <v/>
      </c>
      <c r="AA58" s="40" t="str">
        <f t="shared" si="8"/>
        <v/>
      </c>
      <c r="AB58" s="87"/>
      <c r="AC58" s="24"/>
      <c r="AD58" s="24"/>
      <c r="AE58" s="79" t="str">
        <f t="shared" si="9"/>
        <v/>
      </c>
      <c r="AF58" s="24"/>
      <c r="AG58" s="24"/>
      <c r="AH58" s="24"/>
      <c r="AI58" s="24"/>
      <c r="AJ58" s="99" t="str">
        <f t="shared" si="10"/>
        <v/>
      </c>
      <c r="AK58" s="31" t="str">
        <f t="shared" si="11"/>
        <v/>
      </c>
      <c r="AN58" s="139" t="str">
        <f>IF($K58="","",VLOOKUP($K58,'ORF Accuracy Value LookUp'!$G$4:$H$104,2,TRUE))</f>
        <v/>
      </c>
      <c r="AO58" s="94" t="str">
        <f t="shared" si="0"/>
        <v/>
      </c>
      <c r="AP58" s="47" t="str">
        <f>IF($U58="","",VLOOKUP($U58,'ORF Accuracy Value LookUp'!$G$4:$H$104,2,TRUE))</f>
        <v/>
      </c>
      <c r="AQ58" s="94" t="str">
        <f t="shared" si="1"/>
        <v/>
      </c>
      <c r="AR58" s="46" t="str">
        <f>IF($AE58="","",VLOOKUP($AE58,'ORF Accuracy Value LookUp'!$G$4:$H$104,2,TRUE))</f>
        <v/>
      </c>
      <c r="AS58" s="140" t="str">
        <f t="shared" si="2"/>
        <v/>
      </c>
    </row>
    <row r="59" spans="1:45">
      <c r="A59" s="10"/>
      <c r="B59" s="12"/>
      <c r="C59" s="13"/>
      <c r="D59" s="14"/>
      <c r="E59" s="10"/>
      <c r="F59" s="11"/>
      <c r="G59" s="15"/>
      <c r="H59" s="87"/>
      <c r="I59" s="24"/>
      <c r="J59" s="24"/>
      <c r="K59" s="114" t="str">
        <f t="shared" si="3"/>
        <v/>
      </c>
      <c r="L59" s="24"/>
      <c r="M59" s="24"/>
      <c r="N59" s="24"/>
      <c r="O59" s="24"/>
      <c r="P59" s="97" t="str">
        <f t="shared" si="4"/>
        <v/>
      </c>
      <c r="Q59" s="113" t="str">
        <f t="shared" si="5"/>
        <v/>
      </c>
      <c r="R59" s="87"/>
      <c r="S59" s="24"/>
      <c r="T59" s="24"/>
      <c r="U59" s="78" t="str">
        <f t="shared" si="6"/>
        <v/>
      </c>
      <c r="V59" s="24"/>
      <c r="W59" s="24"/>
      <c r="X59" s="24"/>
      <c r="Y59" s="24"/>
      <c r="Z59" s="98" t="str">
        <f t="shared" si="7"/>
        <v/>
      </c>
      <c r="AA59" s="40" t="str">
        <f t="shared" si="8"/>
        <v/>
      </c>
      <c r="AB59" s="87"/>
      <c r="AC59" s="24"/>
      <c r="AD59" s="24"/>
      <c r="AE59" s="79" t="str">
        <f t="shared" si="9"/>
        <v/>
      </c>
      <c r="AF59" s="24"/>
      <c r="AG59" s="24"/>
      <c r="AH59" s="24"/>
      <c r="AI59" s="24"/>
      <c r="AJ59" s="99" t="str">
        <f t="shared" si="10"/>
        <v/>
      </c>
      <c r="AK59" s="31" t="str">
        <f t="shared" si="11"/>
        <v/>
      </c>
      <c r="AN59" s="139" t="str">
        <f>IF($K59="","",VLOOKUP($K59,'ORF Accuracy Value LookUp'!$G$4:$H$104,2,TRUE))</f>
        <v/>
      </c>
      <c r="AO59" s="94" t="str">
        <f t="shared" si="0"/>
        <v/>
      </c>
      <c r="AP59" s="47" t="str">
        <f>IF($U59="","",VLOOKUP($U59,'ORF Accuracy Value LookUp'!$G$4:$H$104,2,TRUE))</f>
        <v/>
      </c>
      <c r="AQ59" s="94" t="str">
        <f t="shared" si="1"/>
        <v/>
      </c>
      <c r="AR59" s="46" t="str">
        <f>IF($AE59="","",VLOOKUP($AE59,'ORF Accuracy Value LookUp'!$G$4:$H$104,2,TRUE))</f>
        <v/>
      </c>
      <c r="AS59" s="140" t="str">
        <f t="shared" si="2"/>
        <v/>
      </c>
    </row>
    <row r="60" spans="1:45">
      <c r="A60" s="10"/>
      <c r="B60" s="12"/>
      <c r="C60" s="13"/>
      <c r="D60" s="14"/>
      <c r="E60" s="10"/>
      <c r="F60" s="11"/>
      <c r="G60" s="15"/>
      <c r="H60" s="87"/>
      <c r="I60" s="24"/>
      <c r="J60" s="24"/>
      <c r="K60" s="114" t="str">
        <f t="shared" si="3"/>
        <v/>
      </c>
      <c r="L60" s="24"/>
      <c r="M60" s="24"/>
      <c r="N60" s="24"/>
      <c r="O60" s="24"/>
      <c r="P60" s="97" t="str">
        <f t="shared" si="4"/>
        <v/>
      </c>
      <c r="Q60" s="113" t="str">
        <f t="shared" si="5"/>
        <v/>
      </c>
      <c r="R60" s="87"/>
      <c r="S60" s="24"/>
      <c r="T60" s="24"/>
      <c r="U60" s="78" t="str">
        <f t="shared" si="6"/>
        <v/>
      </c>
      <c r="V60" s="24"/>
      <c r="W60" s="24"/>
      <c r="X60" s="24"/>
      <c r="Y60" s="24"/>
      <c r="Z60" s="98" t="str">
        <f t="shared" si="7"/>
        <v/>
      </c>
      <c r="AA60" s="40" t="str">
        <f t="shared" si="8"/>
        <v/>
      </c>
      <c r="AB60" s="87"/>
      <c r="AC60" s="24"/>
      <c r="AD60" s="24"/>
      <c r="AE60" s="79" t="str">
        <f t="shared" si="9"/>
        <v/>
      </c>
      <c r="AF60" s="24"/>
      <c r="AG60" s="24"/>
      <c r="AH60" s="24"/>
      <c r="AI60" s="24"/>
      <c r="AJ60" s="99" t="str">
        <f t="shared" si="10"/>
        <v/>
      </c>
      <c r="AK60" s="31" t="str">
        <f t="shared" si="11"/>
        <v/>
      </c>
      <c r="AN60" s="139" t="str">
        <f>IF($K60="","",VLOOKUP($K60,'ORF Accuracy Value LookUp'!$G$4:$H$104,2,TRUE))</f>
        <v/>
      </c>
      <c r="AO60" s="94" t="str">
        <f t="shared" si="0"/>
        <v/>
      </c>
      <c r="AP60" s="47" t="str">
        <f>IF($U60="","",VLOOKUP($U60,'ORF Accuracy Value LookUp'!$G$4:$H$104,2,TRUE))</f>
        <v/>
      </c>
      <c r="AQ60" s="94" t="str">
        <f t="shared" si="1"/>
        <v/>
      </c>
      <c r="AR60" s="46" t="str">
        <f>IF($AE60="","",VLOOKUP($AE60,'ORF Accuracy Value LookUp'!$G$4:$H$104,2,TRUE))</f>
        <v/>
      </c>
      <c r="AS60" s="140" t="str">
        <f t="shared" si="2"/>
        <v/>
      </c>
    </row>
    <row r="61" spans="1:45">
      <c r="A61" s="10"/>
      <c r="B61" s="12"/>
      <c r="C61" s="13"/>
      <c r="D61" s="14"/>
      <c r="E61" s="10"/>
      <c r="F61" s="11"/>
      <c r="G61" s="15"/>
      <c r="H61" s="87"/>
      <c r="I61" s="24"/>
      <c r="J61" s="24"/>
      <c r="K61" s="114" t="str">
        <f t="shared" si="3"/>
        <v/>
      </c>
      <c r="L61" s="24"/>
      <c r="M61" s="24"/>
      <c r="N61" s="24"/>
      <c r="O61" s="24"/>
      <c r="P61" s="97" t="str">
        <f t="shared" si="4"/>
        <v/>
      </c>
      <c r="Q61" s="113" t="str">
        <f t="shared" si="5"/>
        <v/>
      </c>
      <c r="R61" s="87"/>
      <c r="S61" s="24"/>
      <c r="T61" s="24"/>
      <c r="U61" s="78" t="str">
        <f t="shared" si="6"/>
        <v/>
      </c>
      <c r="V61" s="24"/>
      <c r="W61" s="24"/>
      <c r="X61" s="24"/>
      <c r="Y61" s="24"/>
      <c r="Z61" s="98" t="str">
        <f t="shared" si="7"/>
        <v/>
      </c>
      <c r="AA61" s="40" t="str">
        <f t="shared" si="8"/>
        <v/>
      </c>
      <c r="AB61" s="87"/>
      <c r="AC61" s="24"/>
      <c r="AD61" s="24"/>
      <c r="AE61" s="79" t="str">
        <f t="shared" si="9"/>
        <v/>
      </c>
      <c r="AF61" s="24"/>
      <c r="AG61" s="24"/>
      <c r="AH61" s="24"/>
      <c r="AI61" s="24"/>
      <c r="AJ61" s="99" t="str">
        <f t="shared" si="10"/>
        <v/>
      </c>
      <c r="AK61" s="31" t="str">
        <f t="shared" si="11"/>
        <v/>
      </c>
      <c r="AN61" s="139" t="str">
        <f>IF($K61="","",VLOOKUP($K61,'ORF Accuracy Value LookUp'!$G$4:$H$104,2,TRUE))</f>
        <v/>
      </c>
      <c r="AO61" s="94" t="str">
        <f t="shared" si="0"/>
        <v/>
      </c>
      <c r="AP61" s="47" t="str">
        <f>IF($U61="","",VLOOKUP($U61,'ORF Accuracy Value LookUp'!$G$4:$H$104,2,TRUE))</f>
        <v/>
      </c>
      <c r="AQ61" s="94" t="str">
        <f t="shared" si="1"/>
        <v/>
      </c>
      <c r="AR61" s="46" t="str">
        <f>IF($AE61="","",VLOOKUP($AE61,'ORF Accuracy Value LookUp'!$G$4:$H$104,2,TRUE))</f>
        <v/>
      </c>
      <c r="AS61" s="140" t="str">
        <f t="shared" si="2"/>
        <v/>
      </c>
    </row>
    <row r="62" spans="1:45">
      <c r="A62" s="10"/>
      <c r="B62" s="12"/>
      <c r="C62" s="13"/>
      <c r="D62" s="14"/>
      <c r="E62" s="10"/>
      <c r="F62" s="11"/>
      <c r="G62" s="15"/>
      <c r="H62" s="87"/>
      <c r="I62" s="24"/>
      <c r="J62" s="24"/>
      <c r="K62" s="114" t="str">
        <f t="shared" si="3"/>
        <v/>
      </c>
      <c r="L62" s="24"/>
      <c r="M62" s="24"/>
      <c r="N62" s="24"/>
      <c r="O62" s="24"/>
      <c r="P62" s="97" t="str">
        <f t="shared" si="4"/>
        <v/>
      </c>
      <c r="Q62" s="113" t="str">
        <f t="shared" si="5"/>
        <v/>
      </c>
      <c r="R62" s="87"/>
      <c r="S62" s="24"/>
      <c r="T62" s="24"/>
      <c r="U62" s="78" t="str">
        <f t="shared" si="6"/>
        <v/>
      </c>
      <c r="V62" s="24"/>
      <c r="W62" s="24"/>
      <c r="X62" s="24"/>
      <c r="Y62" s="24"/>
      <c r="Z62" s="98" t="str">
        <f t="shared" si="7"/>
        <v/>
      </c>
      <c r="AA62" s="40" t="str">
        <f t="shared" si="8"/>
        <v/>
      </c>
      <c r="AB62" s="87"/>
      <c r="AC62" s="24"/>
      <c r="AD62" s="24"/>
      <c r="AE62" s="79" t="str">
        <f t="shared" si="9"/>
        <v/>
      </c>
      <c r="AF62" s="24"/>
      <c r="AG62" s="24"/>
      <c r="AH62" s="24"/>
      <c r="AI62" s="24"/>
      <c r="AJ62" s="99" t="str">
        <f t="shared" si="10"/>
        <v/>
      </c>
      <c r="AK62" s="31" t="str">
        <f t="shared" si="11"/>
        <v/>
      </c>
      <c r="AN62" s="139" t="str">
        <f>IF($K62="","",VLOOKUP($K62,'ORF Accuracy Value LookUp'!$G$4:$H$104,2,TRUE))</f>
        <v/>
      </c>
      <c r="AO62" s="94" t="str">
        <f t="shared" si="0"/>
        <v/>
      </c>
      <c r="AP62" s="47" t="str">
        <f>IF($U62="","",VLOOKUP($U62,'ORF Accuracy Value LookUp'!$G$4:$H$104,2,TRUE))</f>
        <v/>
      </c>
      <c r="AQ62" s="94" t="str">
        <f t="shared" si="1"/>
        <v/>
      </c>
      <c r="AR62" s="46" t="str">
        <f>IF($AE62="","",VLOOKUP($AE62,'ORF Accuracy Value LookUp'!$G$4:$H$104,2,TRUE))</f>
        <v/>
      </c>
      <c r="AS62" s="140" t="str">
        <f t="shared" si="2"/>
        <v/>
      </c>
    </row>
    <row r="63" spans="1:45">
      <c r="A63" s="10"/>
      <c r="B63" s="12"/>
      <c r="C63" s="13"/>
      <c r="D63" s="14"/>
      <c r="E63" s="10"/>
      <c r="F63" s="11"/>
      <c r="G63" s="15"/>
      <c r="H63" s="87"/>
      <c r="I63" s="24"/>
      <c r="J63" s="24"/>
      <c r="K63" s="114" t="str">
        <f t="shared" si="3"/>
        <v/>
      </c>
      <c r="L63" s="24"/>
      <c r="M63" s="24"/>
      <c r="N63" s="24"/>
      <c r="O63" s="24"/>
      <c r="P63" s="97" t="str">
        <f t="shared" si="4"/>
        <v/>
      </c>
      <c r="Q63" s="113" t="str">
        <f t="shared" si="5"/>
        <v/>
      </c>
      <c r="R63" s="87"/>
      <c r="S63" s="24"/>
      <c r="T63" s="24"/>
      <c r="U63" s="78" t="str">
        <f t="shared" si="6"/>
        <v/>
      </c>
      <c r="V63" s="24"/>
      <c r="W63" s="24"/>
      <c r="X63" s="24"/>
      <c r="Y63" s="24"/>
      <c r="Z63" s="98" t="str">
        <f t="shared" si="7"/>
        <v/>
      </c>
      <c r="AA63" s="40" t="str">
        <f t="shared" si="8"/>
        <v/>
      </c>
      <c r="AB63" s="87"/>
      <c r="AC63" s="24"/>
      <c r="AD63" s="24"/>
      <c r="AE63" s="79" t="str">
        <f t="shared" si="9"/>
        <v/>
      </c>
      <c r="AF63" s="24"/>
      <c r="AG63" s="24"/>
      <c r="AH63" s="24"/>
      <c r="AI63" s="24"/>
      <c r="AJ63" s="99" t="str">
        <f t="shared" si="10"/>
        <v/>
      </c>
      <c r="AK63" s="31" t="str">
        <f t="shared" si="11"/>
        <v/>
      </c>
      <c r="AN63" s="139" t="str">
        <f>IF($K63="","",VLOOKUP($K63,'ORF Accuracy Value LookUp'!$G$4:$H$104,2,TRUE))</f>
        <v/>
      </c>
      <c r="AO63" s="94" t="str">
        <f t="shared" si="0"/>
        <v/>
      </c>
      <c r="AP63" s="47" t="str">
        <f>IF($U63="","",VLOOKUP($U63,'ORF Accuracy Value LookUp'!$G$4:$H$104,2,TRUE))</f>
        <v/>
      </c>
      <c r="AQ63" s="94" t="str">
        <f t="shared" si="1"/>
        <v/>
      </c>
      <c r="AR63" s="46" t="str">
        <f>IF($AE63="","",VLOOKUP($AE63,'ORF Accuracy Value LookUp'!$G$4:$H$104,2,TRUE))</f>
        <v/>
      </c>
      <c r="AS63" s="140" t="str">
        <f t="shared" si="2"/>
        <v/>
      </c>
    </row>
    <row r="64" spans="1:45">
      <c r="A64" s="10"/>
      <c r="B64" s="12"/>
      <c r="C64" s="13"/>
      <c r="D64" s="14"/>
      <c r="E64" s="10"/>
      <c r="F64" s="11"/>
      <c r="G64" s="15"/>
      <c r="H64" s="87"/>
      <c r="I64" s="24"/>
      <c r="J64" s="24"/>
      <c r="K64" s="114" t="str">
        <f t="shared" si="3"/>
        <v/>
      </c>
      <c r="L64" s="24"/>
      <c r="M64" s="24"/>
      <c r="N64" s="24"/>
      <c r="O64" s="24"/>
      <c r="P64" s="97" t="str">
        <f t="shared" si="4"/>
        <v/>
      </c>
      <c r="Q64" s="113" t="str">
        <f t="shared" si="5"/>
        <v/>
      </c>
      <c r="R64" s="87"/>
      <c r="S64" s="24"/>
      <c r="T64" s="24"/>
      <c r="U64" s="78" t="str">
        <f t="shared" si="6"/>
        <v/>
      </c>
      <c r="V64" s="24"/>
      <c r="W64" s="24"/>
      <c r="X64" s="24"/>
      <c r="Y64" s="24"/>
      <c r="Z64" s="98" t="str">
        <f t="shared" si="7"/>
        <v/>
      </c>
      <c r="AA64" s="40" t="str">
        <f t="shared" si="8"/>
        <v/>
      </c>
      <c r="AB64" s="87"/>
      <c r="AC64" s="24"/>
      <c r="AD64" s="24"/>
      <c r="AE64" s="79" t="str">
        <f t="shared" si="9"/>
        <v/>
      </c>
      <c r="AF64" s="24"/>
      <c r="AG64" s="24"/>
      <c r="AH64" s="24"/>
      <c r="AI64" s="24"/>
      <c r="AJ64" s="99" t="str">
        <f t="shared" si="10"/>
        <v/>
      </c>
      <c r="AK64" s="31" t="str">
        <f t="shared" si="11"/>
        <v/>
      </c>
      <c r="AN64" s="139" t="str">
        <f>IF($K64="","",VLOOKUP($K64,'ORF Accuracy Value LookUp'!$G$4:$H$104,2,TRUE))</f>
        <v/>
      </c>
      <c r="AO64" s="94" t="str">
        <f t="shared" si="0"/>
        <v/>
      </c>
      <c r="AP64" s="47" t="str">
        <f>IF($U64="","",VLOOKUP($U64,'ORF Accuracy Value LookUp'!$G$4:$H$104,2,TRUE))</f>
        <v/>
      </c>
      <c r="AQ64" s="94" t="str">
        <f t="shared" si="1"/>
        <v/>
      </c>
      <c r="AR64" s="46" t="str">
        <f>IF($AE64="","",VLOOKUP($AE64,'ORF Accuracy Value LookUp'!$G$4:$H$104,2,TRUE))</f>
        <v/>
      </c>
      <c r="AS64" s="140" t="str">
        <f t="shared" si="2"/>
        <v/>
      </c>
    </row>
    <row r="65" spans="1:45">
      <c r="A65" s="10"/>
      <c r="B65" s="12"/>
      <c r="C65" s="13"/>
      <c r="D65" s="14"/>
      <c r="E65" s="10"/>
      <c r="F65" s="11"/>
      <c r="G65" s="15"/>
      <c r="H65" s="87"/>
      <c r="I65" s="24"/>
      <c r="J65" s="24"/>
      <c r="K65" s="114" t="str">
        <f t="shared" si="3"/>
        <v/>
      </c>
      <c r="L65" s="24"/>
      <c r="M65" s="24"/>
      <c r="N65" s="24"/>
      <c r="O65" s="24"/>
      <c r="P65" s="97" t="str">
        <f t="shared" si="4"/>
        <v/>
      </c>
      <c r="Q65" s="113" t="str">
        <f t="shared" si="5"/>
        <v/>
      </c>
      <c r="R65" s="87"/>
      <c r="S65" s="24"/>
      <c r="T65" s="24"/>
      <c r="U65" s="78" t="str">
        <f t="shared" si="6"/>
        <v/>
      </c>
      <c r="V65" s="24"/>
      <c r="W65" s="24"/>
      <c r="X65" s="24"/>
      <c r="Y65" s="24"/>
      <c r="Z65" s="98" t="str">
        <f t="shared" si="7"/>
        <v/>
      </c>
      <c r="AA65" s="40" t="str">
        <f t="shared" si="8"/>
        <v/>
      </c>
      <c r="AB65" s="87"/>
      <c r="AC65" s="24"/>
      <c r="AD65" s="24"/>
      <c r="AE65" s="79" t="str">
        <f t="shared" si="9"/>
        <v/>
      </c>
      <c r="AF65" s="24"/>
      <c r="AG65" s="24"/>
      <c r="AH65" s="24"/>
      <c r="AI65" s="24"/>
      <c r="AJ65" s="99" t="str">
        <f t="shared" si="10"/>
        <v/>
      </c>
      <c r="AK65" s="31" t="str">
        <f t="shared" si="11"/>
        <v/>
      </c>
      <c r="AN65" s="139" t="str">
        <f>IF($K65="","",VLOOKUP($K65,'ORF Accuracy Value LookUp'!$G$4:$H$104,2,TRUE))</f>
        <v/>
      </c>
      <c r="AO65" s="94" t="str">
        <f t="shared" si="0"/>
        <v/>
      </c>
      <c r="AP65" s="47" t="str">
        <f>IF($U65="","",VLOOKUP($U65,'ORF Accuracy Value LookUp'!$G$4:$H$104,2,TRUE))</f>
        <v/>
      </c>
      <c r="AQ65" s="94" t="str">
        <f t="shared" si="1"/>
        <v/>
      </c>
      <c r="AR65" s="46" t="str">
        <f>IF($AE65="","",VLOOKUP($AE65,'ORF Accuracy Value LookUp'!$G$4:$H$104,2,TRUE))</f>
        <v/>
      </c>
      <c r="AS65" s="140" t="str">
        <f t="shared" si="2"/>
        <v/>
      </c>
    </row>
    <row r="66" spans="1:45">
      <c r="A66" s="10"/>
      <c r="B66" s="12"/>
      <c r="C66" s="13"/>
      <c r="D66" s="14"/>
      <c r="E66" s="10"/>
      <c r="F66" s="11"/>
      <c r="G66" s="15"/>
      <c r="H66" s="87"/>
      <c r="I66" s="24"/>
      <c r="J66" s="24"/>
      <c r="K66" s="114" t="str">
        <f t="shared" si="3"/>
        <v/>
      </c>
      <c r="L66" s="24"/>
      <c r="M66" s="24"/>
      <c r="N66" s="24"/>
      <c r="O66" s="24"/>
      <c r="P66" s="97" t="str">
        <f t="shared" si="4"/>
        <v/>
      </c>
      <c r="Q66" s="113" t="str">
        <f t="shared" si="5"/>
        <v/>
      </c>
      <c r="R66" s="87"/>
      <c r="S66" s="24"/>
      <c r="T66" s="24"/>
      <c r="U66" s="78" t="str">
        <f t="shared" si="6"/>
        <v/>
      </c>
      <c r="V66" s="24"/>
      <c r="W66" s="24"/>
      <c r="X66" s="24"/>
      <c r="Y66" s="24"/>
      <c r="Z66" s="98" t="str">
        <f t="shared" si="7"/>
        <v/>
      </c>
      <c r="AA66" s="40" t="str">
        <f t="shared" si="8"/>
        <v/>
      </c>
      <c r="AB66" s="87"/>
      <c r="AC66" s="24"/>
      <c r="AD66" s="24"/>
      <c r="AE66" s="79" t="str">
        <f t="shared" si="9"/>
        <v/>
      </c>
      <c r="AF66" s="24"/>
      <c r="AG66" s="24"/>
      <c r="AH66" s="24"/>
      <c r="AI66" s="24"/>
      <c r="AJ66" s="99" t="str">
        <f t="shared" si="10"/>
        <v/>
      </c>
      <c r="AK66" s="31" t="str">
        <f t="shared" si="11"/>
        <v/>
      </c>
      <c r="AN66" s="139" t="str">
        <f>IF($K66="","",VLOOKUP($K66,'ORF Accuracy Value LookUp'!$G$4:$H$104,2,TRUE))</f>
        <v/>
      </c>
      <c r="AO66" s="94" t="str">
        <f t="shared" si="0"/>
        <v/>
      </c>
      <c r="AP66" s="47" t="str">
        <f>IF($U66="","",VLOOKUP($U66,'ORF Accuracy Value LookUp'!$G$4:$H$104,2,TRUE))</f>
        <v/>
      </c>
      <c r="AQ66" s="94" t="str">
        <f t="shared" si="1"/>
        <v/>
      </c>
      <c r="AR66" s="46" t="str">
        <f>IF($AE66="","",VLOOKUP($AE66,'ORF Accuracy Value LookUp'!$G$4:$H$104,2,TRUE))</f>
        <v/>
      </c>
      <c r="AS66" s="140" t="str">
        <f t="shared" si="2"/>
        <v/>
      </c>
    </row>
    <row r="67" spans="1:45">
      <c r="A67" s="10"/>
      <c r="B67" s="12"/>
      <c r="C67" s="13"/>
      <c r="D67" s="14"/>
      <c r="E67" s="10"/>
      <c r="F67" s="11"/>
      <c r="G67" s="15"/>
      <c r="H67" s="87"/>
      <c r="I67" s="24"/>
      <c r="J67" s="24"/>
      <c r="K67" s="114" t="str">
        <f t="shared" si="3"/>
        <v/>
      </c>
      <c r="L67" s="24"/>
      <c r="M67" s="24"/>
      <c r="N67" s="24"/>
      <c r="O67" s="24"/>
      <c r="P67" s="97" t="str">
        <f t="shared" si="4"/>
        <v/>
      </c>
      <c r="Q67" s="113" t="str">
        <f t="shared" si="5"/>
        <v/>
      </c>
      <c r="R67" s="87"/>
      <c r="S67" s="24"/>
      <c r="T67" s="24"/>
      <c r="U67" s="78" t="str">
        <f t="shared" si="6"/>
        <v/>
      </c>
      <c r="V67" s="24"/>
      <c r="W67" s="24"/>
      <c r="X67" s="24"/>
      <c r="Y67" s="24"/>
      <c r="Z67" s="98" t="str">
        <f t="shared" si="7"/>
        <v/>
      </c>
      <c r="AA67" s="40" t="str">
        <f t="shared" si="8"/>
        <v/>
      </c>
      <c r="AB67" s="87"/>
      <c r="AC67" s="24"/>
      <c r="AD67" s="24"/>
      <c r="AE67" s="79" t="str">
        <f t="shared" si="9"/>
        <v/>
      </c>
      <c r="AF67" s="24"/>
      <c r="AG67" s="24"/>
      <c r="AH67" s="24"/>
      <c r="AI67" s="24"/>
      <c r="AJ67" s="99" t="str">
        <f t="shared" si="10"/>
        <v/>
      </c>
      <c r="AK67" s="31" t="str">
        <f t="shared" si="11"/>
        <v/>
      </c>
      <c r="AN67" s="139" t="str">
        <f>IF($K67="","",VLOOKUP($K67,'ORF Accuracy Value LookUp'!$G$4:$H$104,2,TRUE))</f>
        <v/>
      </c>
      <c r="AO67" s="94" t="str">
        <f t="shared" si="0"/>
        <v/>
      </c>
      <c r="AP67" s="47" t="str">
        <f>IF($U67="","",VLOOKUP($U67,'ORF Accuracy Value LookUp'!$G$4:$H$104,2,TRUE))</f>
        <v/>
      </c>
      <c r="AQ67" s="94" t="str">
        <f t="shared" si="1"/>
        <v/>
      </c>
      <c r="AR67" s="46" t="str">
        <f>IF($AE67="","",VLOOKUP($AE67,'ORF Accuracy Value LookUp'!$G$4:$H$104,2,TRUE))</f>
        <v/>
      </c>
      <c r="AS67" s="140" t="str">
        <f t="shared" si="2"/>
        <v/>
      </c>
    </row>
    <row r="68" spans="1:45">
      <c r="A68" s="10"/>
      <c r="B68" s="12"/>
      <c r="C68" s="13"/>
      <c r="D68" s="14"/>
      <c r="E68" s="10"/>
      <c r="F68" s="11"/>
      <c r="G68" s="15"/>
      <c r="H68" s="87"/>
      <c r="I68" s="24"/>
      <c r="J68" s="24"/>
      <c r="K68" s="114" t="str">
        <f t="shared" si="3"/>
        <v/>
      </c>
      <c r="L68" s="24"/>
      <c r="M68" s="24"/>
      <c r="N68" s="24"/>
      <c r="O68" s="24"/>
      <c r="P68" s="97" t="str">
        <f t="shared" si="4"/>
        <v/>
      </c>
      <c r="Q68" s="113" t="str">
        <f t="shared" si="5"/>
        <v/>
      </c>
      <c r="R68" s="87"/>
      <c r="S68" s="24"/>
      <c r="T68" s="24"/>
      <c r="U68" s="78" t="str">
        <f t="shared" si="6"/>
        <v/>
      </c>
      <c r="V68" s="24"/>
      <c r="W68" s="24"/>
      <c r="X68" s="24"/>
      <c r="Y68" s="24"/>
      <c r="Z68" s="98" t="str">
        <f t="shared" si="7"/>
        <v/>
      </c>
      <c r="AA68" s="40" t="str">
        <f t="shared" si="8"/>
        <v/>
      </c>
      <c r="AB68" s="87"/>
      <c r="AC68" s="24"/>
      <c r="AD68" s="24"/>
      <c r="AE68" s="79" t="str">
        <f t="shared" si="9"/>
        <v/>
      </c>
      <c r="AF68" s="24"/>
      <c r="AG68" s="24"/>
      <c r="AH68" s="24"/>
      <c r="AI68" s="24"/>
      <c r="AJ68" s="99" t="str">
        <f t="shared" si="10"/>
        <v/>
      </c>
      <c r="AK68" s="31" t="str">
        <f t="shared" si="11"/>
        <v/>
      </c>
      <c r="AN68" s="139" t="str">
        <f>IF($K68="","",VLOOKUP($K68,'ORF Accuracy Value LookUp'!$G$4:$H$104,2,TRUE))</f>
        <v/>
      </c>
      <c r="AO68" s="94" t="str">
        <f t="shared" si="0"/>
        <v/>
      </c>
      <c r="AP68" s="47" t="str">
        <f>IF($U68="","",VLOOKUP($U68,'ORF Accuracy Value LookUp'!$G$4:$H$104,2,TRUE))</f>
        <v/>
      </c>
      <c r="AQ68" s="94" t="str">
        <f t="shared" si="1"/>
        <v/>
      </c>
      <c r="AR68" s="46" t="str">
        <f>IF($AE68="","",VLOOKUP($AE68,'ORF Accuracy Value LookUp'!$G$4:$H$104,2,TRUE))</f>
        <v/>
      </c>
      <c r="AS68" s="140" t="str">
        <f t="shared" si="2"/>
        <v/>
      </c>
    </row>
    <row r="69" spans="1:45">
      <c r="A69" s="10"/>
      <c r="B69" s="12"/>
      <c r="C69" s="13"/>
      <c r="D69" s="14"/>
      <c r="E69" s="10"/>
      <c r="F69" s="11"/>
      <c r="G69" s="15"/>
      <c r="H69" s="87"/>
      <c r="I69" s="24"/>
      <c r="J69" s="24"/>
      <c r="K69" s="114" t="str">
        <f t="shared" ref="K69:K132" si="12">IF($I69="","",SUM($I69/($I69+$J69)))</f>
        <v/>
      </c>
      <c r="L69" s="24"/>
      <c r="M69" s="24"/>
      <c r="N69" s="24"/>
      <c r="O69" s="24"/>
      <c r="P69" s="97" t="str">
        <f t="shared" ref="P69:P132" si="13">IF($AO69&gt;0,$AO69,0)</f>
        <v/>
      </c>
      <c r="Q69" s="113" t="str">
        <f t="shared" ref="Q69:Q132" si="14">IF($B69="","",SUM($I69+$AN69+($L69*2)+($P69*2)))</f>
        <v/>
      </c>
      <c r="R69" s="87"/>
      <c r="S69" s="24"/>
      <c r="T69" s="24"/>
      <c r="U69" s="78" t="str">
        <f t="shared" ref="U69:U132" si="15">IF($S69="","",SUM($S69/($S69+$T69)))</f>
        <v/>
      </c>
      <c r="V69" s="24"/>
      <c r="W69" s="24"/>
      <c r="X69" s="24"/>
      <c r="Y69" s="24"/>
      <c r="Z69" s="98" t="str">
        <f t="shared" ref="Z69:Z132" si="16">IF($AQ69&gt;0,$AQ69,0)</f>
        <v/>
      </c>
      <c r="AA69" s="40" t="str">
        <f t="shared" si="8"/>
        <v/>
      </c>
      <c r="AB69" s="87"/>
      <c r="AC69" s="24"/>
      <c r="AD69" s="24"/>
      <c r="AE69" s="79" t="str">
        <f t="shared" ref="AE69:AE132" si="17">IF($AC69="","",SUM($AC69/($AC69+$AD69)))</f>
        <v/>
      </c>
      <c r="AF69" s="24"/>
      <c r="AG69" s="24"/>
      <c r="AH69" s="24"/>
      <c r="AI69" s="24"/>
      <c r="AJ69" s="99" t="str">
        <f t="shared" ref="AJ69:AJ132" si="18">IF($AS69&gt;0,$AS69,0)</f>
        <v/>
      </c>
      <c r="AK69" s="31" t="str">
        <f t="shared" si="11"/>
        <v/>
      </c>
      <c r="AN69" s="139" t="str">
        <f>IF($K69="","",VLOOKUP($K69,'ORF Accuracy Value LookUp'!$G$4:$H$104,2,TRUE))</f>
        <v/>
      </c>
      <c r="AO69" s="94" t="str">
        <f t="shared" ref="AO69:AO132" si="19">IF($N69="","",($N69-($O69/2)))</f>
        <v/>
      </c>
      <c r="AP69" s="47" t="str">
        <f>IF($U69="","",VLOOKUP($U69,'ORF Accuracy Value LookUp'!$G$4:$H$104,2,TRUE))</f>
        <v/>
      </c>
      <c r="AQ69" s="94" t="str">
        <f t="shared" ref="AQ69:AQ132" si="20">IF($X69="","",$X69-($Y69/2))</f>
        <v/>
      </c>
      <c r="AR69" s="46" t="str">
        <f>IF($AE69="","",VLOOKUP($AE69,'ORF Accuracy Value LookUp'!$G$4:$H$104,2,TRUE))</f>
        <v/>
      </c>
      <c r="AS69" s="140" t="str">
        <f t="shared" ref="AS69:AS132" si="21">IF($AH69="","",$AH69-($AI69/2))</f>
        <v/>
      </c>
    </row>
    <row r="70" spans="1:45">
      <c r="A70" s="10"/>
      <c r="B70" s="12"/>
      <c r="C70" s="13"/>
      <c r="D70" s="14"/>
      <c r="E70" s="10"/>
      <c r="F70" s="11"/>
      <c r="G70" s="15"/>
      <c r="H70" s="87"/>
      <c r="I70" s="24"/>
      <c r="J70" s="24"/>
      <c r="K70" s="114" t="str">
        <f t="shared" si="12"/>
        <v/>
      </c>
      <c r="L70" s="24"/>
      <c r="M70" s="24"/>
      <c r="N70" s="24"/>
      <c r="O70" s="24"/>
      <c r="P70" s="97" t="str">
        <f t="shared" si="13"/>
        <v/>
      </c>
      <c r="Q70" s="113" t="str">
        <f t="shared" si="14"/>
        <v/>
      </c>
      <c r="R70" s="87"/>
      <c r="S70" s="24"/>
      <c r="T70" s="24"/>
      <c r="U70" s="78" t="str">
        <f t="shared" si="15"/>
        <v/>
      </c>
      <c r="V70" s="24"/>
      <c r="W70" s="24"/>
      <c r="X70" s="24"/>
      <c r="Y70" s="24"/>
      <c r="Z70" s="98" t="str">
        <f t="shared" si="16"/>
        <v/>
      </c>
      <c r="AA70" s="40" t="str">
        <f t="shared" ref="AA70:AA133" si="22">IF($R70="","",SUM($S70+$AP70+($V70*2)+($Z70*4)))</f>
        <v/>
      </c>
      <c r="AB70" s="87"/>
      <c r="AC70" s="24"/>
      <c r="AD70" s="24"/>
      <c r="AE70" s="79" t="str">
        <f t="shared" si="17"/>
        <v/>
      </c>
      <c r="AF70" s="24"/>
      <c r="AG70" s="24"/>
      <c r="AH70" s="24"/>
      <c r="AI70" s="24"/>
      <c r="AJ70" s="99" t="str">
        <f t="shared" si="18"/>
        <v/>
      </c>
      <c r="AK70" s="31" t="str">
        <f t="shared" ref="AK70:AK133" si="23">IF($AB70="","",SUM($AC70+$AR70+($AF70*2)+($AJ70*4)))</f>
        <v/>
      </c>
      <c r="AN70" s="139" t="str">
        <f>IF($K70="","",VLOOKUP($K70,'ORF Accuracy Value LookUp'!$G$4:$H$104,2,TRUE))</f>
        <v/>
      </c>
      <c r="AO70" s="94" t="str">
        <f t="shared" si="19"/>
        <v/>
      </c>
      <c r="AP70" s="47" t="str">
        <f>IF($U70="","",VLOOKUP($U70,'ORF Accuracy Value LookUp'!$G$4:$H$104,2,TRUE))</f>
        <v/>
      </c>
      <c r="AQ70" s="94" t="str">
        <f t="shared" si="20"/>
        <v/>
      </c>
      <c r="AR70" s="46" t="str">
        <f>IF($AE70="","",VLOOKUP($AE70,'ORF Accuracy Value LookUp'!$G$4:$H$104,2,TRUE))</f>
        <v/>
      </c>
      <c r="AS70" s="140" t="str">
        <f t="shared" si="21"/>
        <v/>
      </c>
    </row>
    <row r="71" spans="1:45">
      <c r="A71" s="10"/>
      <c r="B71" s="12"/>
      <c r="C71" s="13"/>
      <c r="D71" s="14"/>
      <c r="E71" s="10"/>
      <c r="F71" s="11"/>
      <c r="G71" s="15"/>
      <c r="H71" s="87"/>
      <c r="I71" s="24"/>
      <c r="J71" s="24"/>
      <c r="K71" s="114" t="str">
        <f t="shared" si="12"/>
        <v/>
      </c>
      <c r="L71" s="24"/>
      <c r="M71" s="24"/>
      <c r="N71" s="24"/>
      <c r="O71" s="24"/>
      <c r="P71" s="97" t="str">
        <f t="shared" si="13"/>
        <v/>
      </c>
      <c r="Q71" s="113" t="str">
        <f t="shared" si="14"/>
        <v/>
      </c>
      <c r="R71" s="87"/>
      <c r="S71" s="24"/>
      <c r="T71" s="24"/>
      <c r="U71" s="78" t="str">
        <f t="shared" si="15"/>
        <v/>
      </c>
      <c r="V71" s="24"/>
      <c r="W71" s="24"/>
      <c r="X71" s="24"/>
      <c r="Y71" s="24"/>
      <c r="Z71" s="98" t="str">
        <f t="shared" si="16"/>
        <v/>
      </c>
      <c r="AA71" s="40" t="str">
        <f t="shared" si="22"/>
        <v/>
      </c>
      <c r="AB71" s="87"/>
      <c r="AC71" s="24"/>
      <c r="AD71" s="24"/>
      <c r="AE71" s="79" t="str">
        <f t="shared" si="17"/>
        <v/>
      </c>
      <c r="AF71" s="24"/>
      <c r="AG71" s="24"/>
      <c r="AH71" s="24"/>
      <c r="AI71" s="24"/>
      <c r="AJ71" s="99" t="str">
        <f t="shared" si="18"/>
        <v/>
      </c>
      <c r="AK71" s="31" t="str">
        <f t="shared" si="23"/>
        <v/>
      </c>
      <c r="AN71" s="139" t="str">
        <f>IF($K71="","",VLOOKUP($K71,'ORF Accuracy Value LookUp'!$G$4:$H$104,2,TRUE))</f>
        <v/>
      </c>
      <c r="AO71" s="94" t="str">
        <f t="shared" si="19"/>
        <v/>
      </c>
      <c r="AP71" s="47" t="str">
        <f>IF($U71="","",VLOOKUP($U71,'ORF Accuracy Value LookUp'!$G$4:$H$104,2,TRUE))</f>
        <v/>
      </c>
      <c r="AQ71" s="94" t="str">
        <f t="shared" si="20"/>
        <v/>
      </c>
      <c r="AR71" s="46" t="str">
        <f>IF($AE71="","",VLOOKUP($AE71,'ORF Accuracy Value LookUp'!$G$4:$H$104,2,TRUE))</f>
        <v/>
      </c>
      <c r="AS71" s="140" t="str">
        <f t="shared" si="21"/>
        <v/>
      </c>
    </row>
    <row r="72" spans="1:45">
      <c r="A72" s="10"/>
      <c r="B72" s="12"/>
      <c r="C72" s="13"/>
      <c r="D72" s="14"/>
      <c r="E72" s="10"/>
      <c r="F72" s="11"/>
      <c r="G72" s="15"/>
      <c r="H72" s="87"/>
      <c r="I72" s="24"/>
      <c r="J72" s="24"/>
      <c r="K72" s="114" t="str">
        <f t="shared" si="12"/>
        <v/>
      </c>
      <c r="L72" s="24"/>
      <c r="M72" s="24"/>
      <c r="N72" s="24"/>
      <c r="O72" s="24"/>
      <c r="P72" s="97" t="str">
        <f t="shared" si="13"/>
        <v/>
      </c>
      <c r="Q72" s="113" t="str">
        <f t="shared" si="14"/>
        <v/>
      </c>
      <c r="R72" s="87"/>
      <c r="S72" s="24"/>
      <c r="T72" s="24"/>
      <c r="U72" s="78" t="str">
        <f t="shared" si="15"/>
        <v/>
      </c>
      <c r="V72" s="24"/>
      <c r="W72" s="24"/>
      <c r="X72" s="24"/>
      <c r="Y72" s="24"/>
      <c r="Z72" s="98" t="str">
        <f t="shared" si="16"/>
        <v/>
      </c>
      <c r="AA72" s="40" t="str">
        <f t="shared" si="22"/>
        <v/>
      </c>
      <c r="AB72" s="87"/>
      <c r="AC72" s="24"/>
      <c r="AD72" s="24"/>
      <c r="AE72" s="79" t="str">
        <f t="shared" si="17"/>
        <v/>
      </c>
      <c r="AF72" s="24"/>
      <c r="AG72" s="24"/>
      <c r="AH72" s="24"/>
      <c r="AI72" s="24"/>
      <c r="AJ72" s="99" t="str">
        <f t="shared" si="18"/>
        <v/>
      </c>
      <c r="AK72" s="31" t="str">
        <f t="shared" si="23"/>
        <v/>
      </c>
      <c r="AN72" s="139" t="str">
        <f>IF($K72="","",VLOOKUP($K72,'ORF Accuracy Value LookUp'!$G$4:$H$104,2,TRUE))</f>
        <v/>
      </c>
      <c r="AO72" s="94" t="str">
        <f t="shared" si="19"/>
        <v/>
      </c>
      <c r="AP72" s="47" t="str">
        <f>IF($U72="","",VLOOKUP($U72,'ORF Accuracy Value LookUp'!$G$4:$H$104,2,TRUE))</f>
        <v/>
      </c>
      <c r="AQ72" s="94" t="str">
        <f t="shared" si="20"/>
        <v/>
      </c>
      <c r="AR72" s="46" t="str">
        <f>IF($AE72="","",VLOOKUP($AE72,'ORF Accuracy Value LookUp'!$G$4:$H$104,2,TRUE))</f>
        <v/>
      </c>
      <c r="AS72" s="140" t="str">
        <f t="shared" si="21"/>
        <v/>
      </c>
    </row>
    <row r="73" spans="1:45">
      <c r="A73" s="10"/>
      <c r="B73" s="12"/>
      <c r="C73" s="13"/>
      <c r="D73" s="14"/>
      <c r="E73" s="10"/>
      <c r="F73" s="11"/>
      <c r="G73" s="15"/>
      <c r="H73" s="87"/>
      <c r="I73" s="24"/>
      <c r="J73" s="24"/>
      <c r="K73" s="114" t="str">
        <f t="shared" si="12"/>
        <v/>
      </c>
      <c r="L73" s="24"/>
      <c r="M73" s="24"/>
      <c r="N73" s="24"/>
      <c r="O73" s="24"/>
      <c r="P73" s="97" t="str">
        <f t="shared" si="13"/>
        <v/>
      </c>
      <c r="Q73" s="113" t="str">
        <f t="shared" si="14"/>
        <v/>
      </c>
      <c r="R73" s="87"/>
      <c r="S73" s="24"/>
      <c r="T73" s="24"/>
      <c r="U73" s="78" t="str">
        <f t="shared" si="15"/>
        <v/>
      </c>
      <c r="V73" s="24"/>
      <c r="W73" s="24"/>
      <c r="X73" s="24"/>
      <c r="Y73" s="24"/>
      <c r="Z73" s="98" t="str">
        <f t="shared" si="16"/>
        <v/>
      </c>
      <c r="AA73" s="40" t="str">
        <f t="shared" si="22"/>
        <v/>
      </c>
      <c r="AB73" s="87"/>
      <c r="AC73" s="24"/>
      <c r="AD73" s="24"/>
      <c r="AE73" s="79" t="str">
        <f t="shared" si="17"/>
        <v/>
      </c>
      <c r="AF73" s="24"/>
      <c r="AG73" s="24"/>
      <c r="AH73" s="24"/>
      <c r="AI73" s="24"/>
      <c r="AJ73" s="99" t="str">
        <f t="shared" si="18"/>
        <v/>
      </c>
      <c r="AK73" s="31" t="str">
        <f t="shared" si="23"/>
        <v/>
      </c>
      <c r="AN73" s="139" t="str">
        <f>IF($K73="","",VLOOKUP($K73,'ORF Accuracy Value LookUp'!$G$4:$H$104,2,TRUE))</f>
        <v/>
      </c>
      <c r="AO73" s="94" t="str">
        <f t="shared" si="19"/>
        <v/>
      </c>
      <c r="AP73" s="47" t="str">
        <f>IF($U73="","",VLOOKUP($U73,'ORF Accuracy Value LookUp'!$G$4:$H$104,2,TRUE))</f>
        <v/>
      </c>
      <c r="AQ73" s="94" t="str">
        <f t="shared" si="20"/>
        <v/>
      </c>
      <c r="AR73" s="46" t="str">
        <f>IF($AE73="","",VLOOKUP($AE73,'ORF Accuracy Value LookUp'!$G$4:$H$104,2,TRUE))</f>
        <v/>
      </c>
      <c r="AS73" s="140" t="str">
        <f t="shared" si="21"/>
        <v/>
      </c>
    </row>
    <row r="74" spans="1:45">
      <c r="A74" s="10"/>
      <c r="B74" s="12"/>
      <c r="C74" s="13"/>
      <c r="D74" s="14"/>
      <c r="E74" s="10"/>
      <c r="F74" s="11"/>
      <c r="G74" s="15"/>
      <c r="H74" s="87"/>
      <c r="I74" s="24"/>
      <c r="J74" s="24"/>
      <c r="K74" s="114" t="str">
        <f t="shared" si="12"/>
        <v/>
      </c>
      <c r="L74" s="24"/>
      <c r="M74" s="24"/>
      <c r="N74" s="24"/>
      <c r="O74" s="24"/>
      <c r="P74" s="97" t="str">
        <f t="shared" si="13"/>
        <v/>
      </c>
      <c r="Q74" s="113" t="str">
        <f t="shared" si="14"/>
        <v/>
      </c>
      <c r="R74" s="87"/>
      <c r="S74" s="24"/>
      <c r="T74" s="24"/>
      <c r="U74" s="78" t="str">
        <f t="shared" si="15"/>
        <v/>
      </c>
      <c r="V74" s="24"/>
      <c r="W74" s="24"/>
      <c r="X74" s="24"/>
      <c r="Y74" s="24"/>
      <c r="Z74" s="98" t="str">
        <f t="shared" si="16"/>
        <v/>
      </c>
      <c r="AA74" s="40" t="str">
        <f t="shared" si="22"/>
        <v/>
      </c>
      <c r="AB74" s="87"/>
      <c r="AC74" s="24"/>
      <c r="AD74" s="24"/>
      <c r="AE74" s="79" t="str">
        <f t="shared" si="17"/>
        <v/>
      </c>
      <c r="AF74" s="24"/>
      <c r="AG74" s="24"/>
      <c r="AH74" s="24"/>
      <c r="AI74" s="24"/>
      <c r="AJ74" s="99" t="str">
        <f t="shared" si="18"/>
        <v/>
      </c>
      <c r="AK74" s="31" t="str">
        <f t="shared" si="23"/>
        <v/>
      </c>
      <c r="AN74" s="139" t="str">
        <f>IF($K74="","",VLOOKUP($K74,'ORF Accuracy Value LookUp'!$G$4:$H$104,2,TRUE))</f>
        <v/>
      </c>
      <c r="AO74" s="94" t="str">
        <f t="shared" si="19"/>
        <v/>
      </c>
      <c r="AP74" s="47" t="str">
        <f>IF($U74="","",VLOOKUP($U74,'ORF Accuracy Value LookUp'!$G$4:$H$104,2,TRUE))</f>
        <v/>
      </c>
      <c r="AQ74" s="94" t="str">
        <f t="shared" si="20"/>
        <v/>
      </c>
      <c r="AR74" s="46" t="str">
        <f>IF($AE74="","",VLOOKUP($AE74,'ORF Accuracy Value LookUp'!$G$4:$H$104,2,TRUE))</f>
        <v/>
      </c>
      <c r="AS74" s="140" t="str">
        <f t="shared" si="21"/>
        <v/>
      </c>
    </row>
    <row r="75" spans="1:45">
      <c r="A75" s="10"/>
      <c r="B75" s="12"/>
      <c r="C75" s="13"/>
      <c r="D75" s="14"/>
      <c r="E75" s="10"/>
      <c r="F75" s="11"/>
      <c r="G75" s="15"/>
      <c r="H75" s="87"/>
      <c r="I75" s="24"/>
      <c r="J75" s="24"/>
      <c r="K75" s="114" t="str">
        <f t="shared" si="12"/>
        <v/>
      </c>
      <c r="L75" s="24"/>
      <c r="M75" s="24"/>
      <c r="N75" s="24"/>
      <c r="O75" s="24"/>
      <c r="P75" s="97" t="str">
        <f t="shared" si="13"/>
        <v/>
      </c>
      <c r="Q75" s="113" t="str">
        <f t="shared" si="14"/>
        <v/>
      </c>
      <c r="R75" s="87"/>
      <c r="S75" s="24"/>
      <c r="T75" s="24"/>
      <c r="U75" s="78" t="str">
        <f t="shared" si="15"/>
        <v/>
      </c>
      <c r="V75" s="24"/>
      <c r="W75" s="24"/>
      <c r="X75" s="24"/>
      <c r="Y75" s="24"/>
      <c r="Z75" s="98" t="str">
        <f t="shared" si="16"/>
        <v/>
      </c>
      <c r="AA75" s="40" t="str">
        <f t="shared" si="22"/>
        <v/>
      </c>
      <c r="AB75" s="87"/>
      <c r="AC75" s="24"/>
      <c r="AD75" s="24"/>
      <c r="AE75" s="79" t="str">
        <f t="shared" si="17"/>
        <v/>
      </c>
      <c r="AF75" s="24"/>
      <c r="AG75" s="24"/>
      <c r="AH75" s="24"/>
      <c r="AI75" s="24"/>
      <c r="AJ75" s="99" t="str">
        <f t="shared" si="18"/>
        <v/>
      </c>
      <c r="AK75" s="31" t="str">
        <f t="shared" si="23"/>
        <v/>
      </c>
      <c r="AN75" s="139" t="str">
        <f>IF($K75="","",VLOOKUP($K75,'ORF Accuracy Value LookUp'!$G$4:$H$104,2,TRUE))</f>
        <v/>
      </c>
      <c r="AO75" s="94" t="str">
        <f t="shared" si="19"/>
        <v/>
      </c>
      <c r="AP75" s="47" t="str">
        <f>IF($U75="","",VLOOKUP($U75,'ORF Accuracy Value LookUp'!$G$4:$H$104,2,TRUE))</f>
        <v/>
      </c>
      <c r="AQ75" s="94" t="str">
        <f t="shared" si="20"/>
        <v/>
      </c>
      <c r="AR75" s="46" t="str">
        <f>IF($AE75="","",VLOOKUP($AE75,'ORF Accuracy Value LookUp'!$G$4:$H$104,2,TRUE))</f>
        <v/>
      </c>
      <c r="AS75" s="140" t="str">
        <f t="shared" si="21"/>
        <v/>
      </c>
    </row>
    <row r="76" spans="1:45">
      <c r="A76" s="10"/>
      <c r="B76" s="12"/>
      <c r="C76" s="13"/>
      <c r="D76" s="14"/>
      <c r="E76" s="10"/>
      <c r="F76" s="11"/>
      <c r="G76" s="15"/>
      <c r="H76" s="87"/>
      <c r="I76" s="24"/>
      <c r="J76" s="24"/>
      <c r="K76" s="114" t="str">
        <f t="shared" si="12"/>
        <v/>
      </c>
      <c r="L76" s="24"/>
      <c r="M76" s="24"/>
      <c r="N76" s="24"/>
      <c r="O76" s="24"/>
      <c r="P76" s="97" t="str">
        <f t="shared" si="13"/>
        <v/>
      </c>
      <c r="Q76" s="113" t="str">
        <f t="shared" si="14"/>
        <v/>
      </c>
      <c r="R76" s="87"/>
      <c r="S76" s="24"/>
      <c r="T76" s="24"/>
      <c r="U76" s="78" t="str">
        <f t="shared" si="15"/>
        <v/>
      </c>
      <c r="V76" s="24"/>
      <c r="W76" s="24"/>
      <c r="X76" s="24"/>
      <c r="Y76" s="24"/>
      <c r="Z76" s="98" t="str">
        <f t="shared" si="16"/>
        <v/>
      </c>
      <c r="AA76" s="40" t="str">
        <f t="shared" si="22"/>
        <v/>
      </c>
      <c r="AB76" s="87"/>
      <c r="AC76" s="24"/>
      <c r="AD76" s="24"/>
      <c r="AE76" s="79" t="str">
        <f t="shared" si="17"/>
        <v/>
      </c>
      <c r="AF76" s="24"/>
      <c r="AG76" s="24"/>
      <c r="AH76" s="24"/>
      <c r="AI76" s="24"/>
      <c r="AJ76" s="99" t="str">
        <f t="shared" si="18"/>
        <v/>
      </c>
      <c r="AK76" s="31" t="str">
        <f t="shared" si="23"/>
        <v/>
      </c>
      <c r="AN76" s="139" t="str">
        <f>IF($K76="","",VLOOKUP($K76,'ORF Accuracy Value LookUp'!$G$4:$H$104,2,TRUE))</f>
        <v/>
      </c>
      <c r="AO76" s="94" t="str">
        <f t="shared" si="19"/>
        <v/>
      </c>
      <c r="AP76" s="47" t="str">
        <f>IF($U76="","",VLOOKUP($U76,'ORF Accuracy Value LookUp'!$G$4:$H$104,2,TRUE))</f>
        <v/>
      </c>
      <c r="AQ76" s="94" t="str">
        <f t="shared" si="20"/>
        <v/>
      </c>
      <c r="AR76" s="46" t="str">
        <f>IF($AE76="","",VLOOKUP($AE76,'ORF Accuracy Value LookUp'!$G$4:$H$104,2,TRUE))</f>
        <v/>
      </c>
      <c r="AS76" s="140" t="str">
        <f t="shared" si="21"/>
        <v/>
      </c>
    </row>
    <row r="77" spans="1:45">
      <c r="A77" s="10"/>
      <c r="B77" s="12"/>
      <c r="C77" s="13"/>
      <c r="D77" s="14"/>
      <c r="E77" s="10"/>
      <c r="F77" s="11"/>
      <c r="G77" s="15"/>
      <c r="H77" s="87"/>
      <c r="I77" s="24"/>
      <c r="J77" s="24"/>
      <c r="K77" s="114" t="str">
        <f t="shared" si="12"/>
        <v/>
      </c>
      <c r="L77" s="24"/>
      <c r="M77" s="24"/>
      <c r="N77" s="24"/>
      <c r="O77" s="24"/>
      <c r="P77" s="97" t="str">
        <f t="shared" si="13"/>
        <v/>
      </c>
      <c r="Q77" s="113" t="str">
        <f t="shared" si="14"/>
        <v/>
      </c>
      <c r="R77" s="87"/>
      <c r="S77" s="24"/>
      <c r="T77" s="24"/>
      <c r="U77" s="78" t="str">
        <f t="shared" si="15"/>
        <v/>
      </c>
      <c r="V77" s="24"/>
      <c r="W77" s="24"/>
      <c r="X77" s="24"/>
      <c r="Y77" s="24"/>
      <c r="Z77" s="98" t="str">
        <f t="shared" si="16"/>
        <v/>
      </c>
      <c r="AA77" s="40" t="str">
        <f t="shared" si="22"/>
        <v/>
      </c>
      <c r="AB77" s="87"/>
      <c r="AC77" s="24"/>
      <c r="AD77" s="24"/>
      <c r="AE77" s="79" t="str">
        <f t="shared" si="17"/>
        <v/>
      </c>
      <c r="AF77" s="24"/>
      <c r="AG77" s="24"/>
      <c r="AH77" s="24"/>
      <c r="AI77" s="24"/>
      <c r="AJ77" s="99" t="str">
        <f t="shared" si="18"/>
        <v/>
      </c>
      <c r="AK77" s="31" t="str">
        <f t="shared" si="23"/>
        <v/>
      </c>
      <c r="AN77" s="139" t="str">
        <f>IF($K77="","",VLOOKUP($K77,'ORF Accuracy Value LookUp'!$G$4:$H$104,2,TRUE))</f>
        <v/>
      </c>
      <c r="AO77" s="94" t="str">
        <f t="shared" si="19"/>
        <v/>
      </c>
      <c r="AP77" s="47" t="str">
        <f>IF($U77="","",VLOOKUP($U77,'ORF Accuracy Value LookUp'!$G$4:$H$104,2,TRUE))</f>
        <v/>
      </c>
      <c r="AQ77" s="94" t="str">
        <f t="shared" si="20"/>
        <v/>
      </c>
      <c r="AR77" s="46" t="str">
        <f>IF($AE77="","",VLOOKUP($AE77,'ORF Accuracy Value LookUp'!$G$4:$H$104,2,TRUE))</f>
        <v/>
      </c>
      <c r="AS77" s="140" t="str">
        <f t="shared" si="21"/>
        <v/>
      </c>
    </row>
    <row r="78" spans="1:45">
      <c r="A78" s="10"/>
      <c r="B78" s="12"/>
      <c r="C78" s="13"/>
      <c r="D78" s="14"/>
      <c r="E78" s="10"/>
      <c r="F78" s="11"/>
      <c r="G78" s="15"/>
      <c r="H78" s="87"/>
      <c r="I78" s="24"/>
      <c r="J78" s="24"/>
      <c r="K78" s="114" t="str">
        <f t="shared" si="12"/>
        <v/>
      </c>
      <c r="L78" s="24"/>
      <c r="M78" s="24"/>
      <c r="N78" s="24"/>
      <c r="O78" s="24"/>
      <c r="P78" s="97" t="str">
        <f t="shared" si="13"/>
        <v/>
      </c>
      <c r="Q78" s="113" t="str">
        <f t="shared" si="14"/>
        <v/>
      </c>
      <c r="R78" s="87"/>
      <c r="S78" s="24"/>
      <c r="T78" s="24"/>
      <c r="U78" s="78" t="str">
        <f t="shared" si="15"/>
        <v/>
      </c>
      <c r="V78" s="24"/>
      <c r="W78" s="24"/>
      <c r="X78" s="24"/>
      <c r="Y78" s="24"/>
      <c r="Z78" s="98" t="str">
        <f t="shared" si="16"/>
        <v/>
      </c>
      <c r="AA78" s="40" t="str">
        <f t="shared" si="22"/>
        <v/>
      </c>
      <c r="AB78" s="87"/>
      <c r="AC78" s="24"/>
      <c r="AD78" s="24"/>
      <c r="AE78" s="79" t="str">
        <f t="shared" si="17"/>
        <v/>
      </c>
      <c r="AF78" s="24"/>
      <c r="AG78" s="24"/>
      <c r="AH78" s="24"/>
      <c r="AI78" s="24"/>
      <c r="AJ78" s="99" t="str">
        <f t="shared" si="18"/>
        <v/>
      </c>
      <c r="AK78" s="31" t="str">
        <f t="shared" si="23"/>
        <v/>
      </c>
      <c r="AN78" s="139" t="str">
        <f>IF($K78="","",VLOOKUP($K78,'ORF Accuracy Value LookUp'!$G$4:$H$104,2,TRUE))</f>
        <v/>
      </c>
      <c r="AO78" s="94" t="str">
        <f t="shared" si="19"/>
        <v/>
      </c>
      <c r="AP78" s="47" t="str">
        <f>IF($U78="","",VLOOKUP($U78,'ORF Accuracy Value LookUp'!$G$4:$H$104,2,TRUE))</f>
        <v/>
      </c>
      <c r="AQ78" s="94" t="str">
        <f t="shared" si="20"/>
        <v/>
      </c>
      <c r="AR78" s="46" t="str">
        <f>IF($AE78="","",VLOOKUP($AE78,'ORF Accuracy Value LookUp'!$G$4:$H$104,2,TRUE))</f>
        <v/>
      </c>
      <c r="AS78" s="140" t="str">
        <f t="shared" si="21"/>
        <v/>
      </c>
    </row>
    <row r="79" spans="1:45">
      <c r="A79" s="10"/>
      <c r="B79" s="12"/>
      <c r="C79" s="13"/>
      <c r="D79" s="14"/>
      <c r="E79" s="10"/>
      <c r="F79" s="11"/>
      <c r="G79" s="15"/>
      <c r="H79" s="87"/>
      <c r="I79" s="24"/>
      <c r="J79" s="24"/>
      <c r="K79" s="114" t="str">
        <f t="shared" si="12"/>
        <v/>
      </c>
      <c r="L79" s="24"/>
      <c r="M79" s="24"/>
      <c r="N79" s="24"/>
      <c r="O79" s="24"/>
      <c r="P79" s="97" t="str">
        <f t="shared" si="13"/>
        <v/>
      </c>
      <c r="Q79" s="113" t="str">
        <f t="shared" si="14"/>
        <v/>
      </c>
      <c r="R79" s="87"/>
      <c r="S79" s="24"/>
      <c r="T79" s="24"/>
      <c r="U79" s="78" t="str">
        <f t="shared" si="15"/>
        <v/>
      </c>
      <c r="V79" s="24"/>
      <c r="W79" s="24"/>
      <c r="X79" s="24"/>
      <c r="Y79" s="24"/>
      <c r="Z79" s="98" t="str">
        <f t="shared" si="16"/>
        <v/>
      </c>
      <c r="AA79" s="40" t="str">
        <f t="shared" si="22"/>
        <v/>
      </c>
      <c r="AB79" s="87"/>
      <c r="AC79" s="24"/>
      <c r="AD79" s="24"/>
      <c r="AE79" s="79" t="str">
        <f t="shared" si="17"/>
        <v/>
      </c>
      <c r="AF79" s="24"/>
      <c r="AG79" s="24"/>
      <c r="AH79" s="24"/>
      <c r="AI79" s="24"/>
      <c r="AJ79" s="99" t="str">
        <f t="shared" si="18"/>
        <v/>
      </c>
      <c r="AK79" s="31" t="str">
        <f t="shared" si="23"/>
        <v/>
      </c>
      <c r="AN79" s="139" t="str">
        <f>IF($K79="","",VLOOKUP($K79,'ORF Accuracy Value LookUp'!$G$4:$H$104,2,TRUE))</f>
        <v/>
      </c>
      <c r="AO79" s="94" t="str">
        <f t="shared" si="19"/>
        <v/>
      </c>
      <c r="AP79" s="47" t="str">
        <f>IF($U79="","",VLOOKUP($U79,'ORF Accuracy Value LookUp'!$G$4:$H$104,2,TRUE))</f>
        <v/>
      </c>
      <c r="AQ79" s="94" t="str">
        <f t="shared" si="20"/>
        <v/>
      </c>
      <c r="AR79" s="46" t="str">
        <f>IF($AE79="","",VLOOKUP($AE79,'ORF Accuracy Value LookUp'!$G$4:$H$104,2,TRUE))</f>
        <v/>
      </c>
      <c r="AS79" s="140" t="str">
        <f t="shared" si="21"/>
        <v/>
      </c>
    </row>
    <row r="80" spans="1:45">
      <c r="A80" s="10"/>
      <c r="B80" s="12"/>
      <c r="C80" s="13"/>
      <c r="D80" s="14"/>
      <c r="E80" s="10"/>
      <c r="F80" s="11"/>
      <c r="G80" s="15"/>
      <c r="H80" s="87"/>
      <c r="I80" s="24"/>
      <c r="J80" s="24"/>
      <c r="K80" s="114" t="str">
        <f t="shared" si="12"/>
        <v/>
      </c>
      <c r="L80" s="24"/>
      <c r="M80" s="24"/>
      <c r="N80" s="24"/>
      <c r="O80" s="24"/>
      <c r="P80" s="97" t="str">
        <f t="shared" si="13"/>
        <v/>
      </c>
      <c r="Q80" s="113" t="str">
        <f t="shared" si="14"/>
        <v/>
      </c>
      <c r="R80" s="87"/>
      <c r="S80" s="24"/>
      <c r="T80" s="24"/>
      <c r="U80" s="78" t="str">
        <f t="shared" si="15"/>
        <v/>
      </c>
      <c r="V80" s="24"/>
      <c r="W80" s="24"/>
      <c r="X80" s="24"/>
      <c r="Y80" s="24"/>
      <c r="Z80" s="98" t="str">
        <f t="shared" si="16"/>
        <v/>
      </c>
      <c r="AA80" s="40" t="str">
        <f t="shared" si="22"/>
        <v/>
      </c>
      <c r="AB80" s="87"/>
      <c r="AC80" s="24"/>
      <c r="AD80" s="24"/>
      <c r="AE80" s="79" t="str">
        <f t="shared" si="17"/>
        <v/>
      </c>
      <c r="AF80" s="24"/>
      <c r="AG80" s="24"/>
      <c r="AH80" s="24"/>
      <c r="AI80" s="24"/>
      <c r="AJ80" s="99" t="str">
        <f t="shared" si="18"/>
        <v/>
      </c>
      <c r="AK80" s="31" t="str">
        <f t="shared" si="23"/>
        <v/>
      </c>
      <c r="AN80" s="139" t="str">
        <f>IF($K80="","",VLOOKUP($K80,'ORF Accuracy Value LookUp'!$G$4:$H$104,2,TRUE))</f>
        <v/>
      </c>
      <c r="AO80" s="94" t="str">
        <f t="shared" si="19"/>
        <v/>
      </c>
      <c r="AP80" s="47" t="str">
        <f>IF($U80="","",VLOOKUP($U80,'ORF Accuracy Value LookUp'!$G$4:$H$104,2,TRUE))</f>
        <v/>
      </c>
      <c r="AQ80" s="94" t="str">
        <f t="shared" si="20"/>
        <v/>
      </c>
      <c r="AR80" s="46" t="str">
        <f>IF($AE80="","",VLOOKUP($AE80,'ORF Accuracy Value LookUp'!$G$4:$H$104,2,TRUE))</f>
        <v/>
      </c>
      <c r="AS80" s="140" t="str">
        <f t="shared" si="21"/>
        <v/>
      </c>
    </row>
    <row r="81" spans="1:45">
      <c r="A81" s="10"/>
      <c r="B81" s="12"/>
      <c r="C81" s="13"/>
      <c r="D81" s="14"/>
      <c r="E81" s="10"/>
      <c r="F81" s="11"/>
      <c r="G81" s="15"/>
      <c r="H81" s="87"/>
      <c r="I81" s="24"/>
      <c r="J81" s="24"/>
      <c r="K81" s="114" t="str">
        <f t="shared" si="12"/>
        <v/>
      </c>
      <c r="L81" s="24"/>
      <c r="M81" s="24"/>
      <c r="N81" s="24"/>
      <c r="O81" s="24"/>
      <c r="P81" s="97" t="str">
        <f t="shared" si="13"/>
        <v/>
      </c>
      <c r="Q81" s="113" t="str">
        <f t="shared" si="14"/>
        <v/>
      </c>
      <c r="R81" s="87"/>
      <c r="S81" s="24"/>
      <c r="T81" s="24"/>
      <c r="U81" s="78" t="str">
        <f t="shared" si="15"/>
        <v/>
      </c>
      <c r="V81" s="24"/>
      <c r="W81" s="24"/>
      <c r="X81" s="24"/>
      <c r="Y81" s="24"/>
      <c r="Z81" s="98" t="str">
        <f t="shared" si="16"/>
        <v/>
      </c>
      <c r="AA81" s="40" t="str">
        <f t="shared" si="22"/>
        <v/>
      </c>
      <c r="AB81" s="87"/>
      <c r="AC81" s="24"/>
      <c r="AD81" s="24"/>
      <c r="AE81" s="79" t="str">
        <f t="shared" si="17"/>
        <v/>
      </c>
      <c r="AF81" s="24"/>
      <c r="AG81" s="24"/>
      <c r="AH81" s="24"/>
      <c r="AI81" s="24"/>
      <c r="AJ81" s="99" t="str">
        <f t="shared" si="18"/>
        <v/>
      </c>
      <c r="AK81" s="31" t="str">
        <f t="shared" si="23"/>
        <v/>
      </c>
      <c r="AN81" s="139" t="str">
        <f>IF($K81="","",VLOOKUP($K81,'ORF Accuracy Value LookUp'!$G$4:$H$104,2,TRUE))</f>
        <v/>
      </c>
      <c r="AO81" s="94" t="str">
        <f t="shared" si="19"/>
        <v/>
      </c>
      <c r="AP81" s="47" t="str">
        <f>IF($U81="","",VLOOKUP($U81,'ORF Accuracy Value LookUp'!$G$4:$H$104,2,TRUE))</f>
        <v/>
      </c>
      <c r="AQ81" s="94" t="str">
        <f t="shared" si="20"/>
        <v/>
      </c>
      <c r="AR81" s="46" t="str">
        <f>IF($AE81="","",VLOOKUP($AE81,'ORF Accuracy Value LookUp'!$G$4:$H$104,2,TRUE))</f>
        <v/>
      </c>
      <c r="AS81" s="140" t="str">
        <f t="shared" si="21"/>
        <v/>
      </c>
    </row>
    <row r="82" spans="1:45">
      <c r="A82" s="10"/>
      <c r="B82" s="12"/>
      <c r="C82" s="13"/>
      <c r="D82" s="14"/>
      <c r="E82" s="10"/>
      <c r="F82" s="11"/>
      <c r="G82" s="15"/>
      <c r="H82" s="87"/>
      <c r="I82" s="24"/>
      <c r="J82" s="24"/>
      <c r="K82" s="114" t="str">
        <f t="shared" si="12"/>
        <v/>
      </c>
      <c r="L82" s="24"/>
      <c r="M82" s="24"/>
      <c r="N82" s="24"/>
      <c r="O82" s="24"/>
      <c r="P82" s="97" t="str">
        <f t="shared" si="13"/>
        <v/>
      </c>
      <c r="Q82" s="113" t="str">
        <f t="shared" si="14"/>
        <v/>
      </c>
      <c r="R82" s="87"/>
      <c r="S82" s="24"/>
      <c r="T82" s="24"/>
      <c r="U82" s="78" t="str">
        <f t="shared" si="15"/>
        <v/>
      </c>
      <c r="V82" s="24"/>
      <c r="W82" s="24"/>
      <c r="X82" s="24"/>
      <c r="Y82" s="24"/>
      <c r="Z82" s="98" t="str">
        <f t="shared" si="16"/>
        <v/>
      </c>
      <c r="AA82" s="40" t="str">
        <f t="shared" si="22"/>
        <v/>
      </c>
      <c r="AB82" s="87"/>
      <c r="AC82" s="24"/>
      <c r="AD82" s="24"/>
      <c r="AE82" s="79" t="str">
        <f t="shared" si="17"/>
        <v/>
      </c>
      <c r="AF82" s="24"/>
      <c r="AG82" s="24"/>
      <c r="AH82" s="24"/>
      <c r="AI82" s="24"/>
      <c r="AJ82" s="99" t="str">
        <f t="shared" si="18"/>
        <v/>
      </c>
      <c r="AK82" s="31" t="str">
        <f t="shared" si="23"/>
        <v/>
      </c>
      <c r="AN82" s="139" t="str">
        <f>IF($K82="","",VLOOKUP($K82,'ORF Accuracy Value LookUp'!$G$4:$H$104,2,TRUE))</f>
        <v/>
      </c>
      <c r="AO82" s="94" t="str">
        <f t="shared" si="19"/>
        <v/>
      </c>
      <c r="AP82" s="47" t="str">
        <f>IF($U82="","",VLOOKUP($U82,'ORF Accuracy Value LookUp'!$G$4:$H$104,2,TRUE))</f>
        <v/>
      </c>
      <c r="AQ82" s="94" t="str">
        <f t="shared" si="20"/>
        <v/>
      </c>
      <c r="AR82" s="46" t="str">
        <f>IF($AE82="","",VLOOKUP($AE82,'ORF Accuracy Value LookUp'!$G$4:$H$104,2,TRUE))</f>
        <v/>
      </c>
      <c r="AS82" s="140" t="str">
        <f t="shared" si="21"/>
        <v/>
      </c>
    </row>
    <row r="83" spans="1:45">
      <c r="A83" s="10"/>
      <c r="B83" s="12"/>
      <c r="C83" s="13"/>
      <c r="D83" s="14"/>
      <c r="E83" s="10"/>
      <c r="F83" s="11"/>
      <c r="G83" s="15"/>
      <c r="H83" s="87"/>
      <c r="I83" s="24"/>
      <c r="J83" s="24"/>
      <c r="K83" s="114" t="str">
        <f t="shared" si="12"/>
        <v/>
      </c>
      <c r="L83" s="24"/>
      <c r="M83" s="24"/>
      <c r="N83" s="24"/>
      <c r="O83" s="24"/>
      <c r="P83" s="97" t="str">
        <f t="shared" si="13"/>
        <v/>
      </c>
      <c r="Q83" s="113" t="str">
        <f t="shared" si="14"/>
        <v/>
      </c>
      <c r="R83" s="87"/>
      <c r="S83" s="24"/>
      <c r="T83" s="24"/>
      <c r="U83" s="78" t="str">
        <f t="shared" si="15"/>
        <v/>
      </c>
      <c r="V83" s="24"/>
      <c r="W83" s="24"/>
      <c r="X83" s="24"/>
      <c r="Y83" s="24"/>
      <c r="Z83" s="98" t="str">
        <f t="shared" si="16"/>
        <v/>
      </c>
      <c r="AA83" s="40" t="str">
        <f t="shared" si="22"/>
        <v/>
      </c>
      <c r="AB83" s="87"/>
      <c r="AC83" s="24"/>
      <c r="AD83" s="24"/>
      <c r="AE83" s="79" t="str">
        <f t="shared" si="17"/>
        <v/>
      </c>
      <c r="AF83" s="24"/>
      <c r="AG83" s="24"/>
      <c r="AH83" s="24"/>
      <c r="AI83" s="24"/>
      <c r="AJ83" s="99" t="str">
        <f t="shared" si="18"/>
        <v/>
      </c>
      <c r="AK83" s="31" t="str">
        <f t="shared" si="23"/>
        <v/>
      </c>
      <c r="AN83" s="139" t="str">
        <f>IF($K83="","",VLOOKUP($K83,'ORF Accuracy Value LookUp'!$G$4:$H$104,2,TRUE))</f>
        <v/>
      </c>
      <c r="AO83" s="94" t="str">
        <f t="shared" si="19"/>
        <v/>
      </c>
      <c r="AP83" s="47" t="str">
        <f>IF($U83="","",VLOOKUP($U83,'ORF Accuracy Value LookUp'!$G$4:$H$104,2,TRUE))</f>
        <v/>
      </c>
      <c r="AQ83" s="94" t="str">
        <f t="shared" si="20"/>
        <v/>
      </c>
      <c r="AR83" s="46" t="str">
        <f>IF($AE83="","",VLOOKUP($AE83,'ORF Accuracy Value LookUp'!$G$4:$H$104,2,TRUE))</f>
        <v/>
      </c>
      <c r="AS83" s="140" t="str">
        <f t="shared" si="21"/>
        <v/>
      </c>
    </row>
    <row r="84" spans="1:45">
      <c r="A84" s="10"/>
      <c r="B84" s="12"/>
      <c r="C84" s="13"/>
      <c r="D84" s="14"/>
      <c r="E84" s="10"/>
      <c r="F84" s="11"/>
      <c r="G84" s="15"/>
      <c r="H84" s="87"/>
      <c r="I84" s="24"/>
      <c r="J84" s="24"/>
      <c r="K84" s="114" t="str">
        <f t="shared" si="12"/>
        <v/>
      </c>
      <c r="L84" s="24"/>
      <c r="M84" s="24"/>
      <c r="N84" s="24"/>
      <c r="O84" s="24"/>
      <c r="P84" s="97" t="str">
        <f t="shared" si="13"/>
        <v/>
      </c>
      <c r="Q84" s="113" t="str">
        <f t="shared" si="14"/>
        <v/>
      </c>
      <c r="R84" s="87"/>
      <c r="S84" s="24"/>
      <c r="T84" s="24"/>
      <c r="U84" s="78" t="str">
        <f t="shared" si="15"/>
        <v/>
      </c>
      <c r="V84" s="24"/>
      <c r="W84" s="24"/>
      <c r="X84" s="24"/>
      <c r="Y84" s="24"/>
      <c r="Z84" s="98" t="str">
        <f t="shared" si="16"/>
        <v/>
      </c>
      <c r="AA84" s="40" t="str">
        <f t="shared" si="22"/>
        <v/>
      </c>
      <c r="AB84" s="87"/>
      <c r="AC84" s="24"/>
      <c r="AD84" s="24"/>
      <c r="AE84" s="79" t="str">
        <f t="shared" si="17"/>
        <v/>
      </c>
      <c r="AF84" s="24"/>
      <c r="AG84" s="24"/>
      <c r="AH84" s="24"/>
      <c r="AI84" s="24"/>
      <c r="AJ84" s="99" t="str">
        <f t="shared" si="18"/>
        <v/>
      </c>
      <c r="AK84" s="31" t="str">
        <f t="shared" si="23"/>
        <v/>
      </c>
      <c r="AN84" s="139" t="str">
        <f>IF($K84="","",VLOOKUP($K84,'ORF Accuracy Value LookUp'!$G$4:$H$104,2,TRUE))</f>
        <v/>
      </c>
      <c r="AO84" s="94" t="str">
        <f t="shared" si="19"/>
        <v/>
      </c>
      <c r="AP84" s="47" t="str">
        <f>IF($U84="","",VLOOKUP($U84,'ORF Accuracy Value LookUp'!$G$4:$H$104,2,TRUE))</f>
        <v/>
      </c>
      <c r="AQ84" s="94" t="str">
        <f t="shared" si="20"/>
        <v/>
      </c>
      <c r="AR84" s="46" t="str">
        <f>IF($AE84="","",VLOOKUP($AE84,'ORF Accuracy Value LookUp'!$G$4:$H$104,2,TRUE))</f>
        <v/>
      </c>
      <c r="AS84" s="140" t="str">
        <f t="shared" si="21"/>
        <v/>
      </c>
    </row>
    <row r="85" spans="1:45">
      <c r="A85" s="10"/>
      <c r="B85" s="12"/>
      <c r="C85" s="13"/>
      <c r="D85" s="14"/>
      <c r="E85" s="10"/>
      <c r="F85" s="11"/>
      <c r="G85" s="15"/>
      <c r="H85" s="87"/>
      <c r="I85" s="24"/>
      <c r="J85" s="24"/>
      <c r="K85" s="114" t="str">
        <f t="shared" si="12"/>
        <v/>
      </c>
      <c r="L85" s="24"/>
      <c r="M85" s="24"/>
      <c r="N85" s="24"/>
      <c r="O85" s="24"/>
      <c r="P85" s="97" t="str">
        <f t="shared" si="13"/>
        <v/>
      </c>
      <c r="Q85" s="113" t="str">
        <f t="shared" si="14"/>
        <v/>
      </c>
      <c r="R85" s="87"/>
      <c r="S85" s="24"/>
      <c r="T85" s="24"/>
      <c r="U85" s="78" t="str">
        <f t="shared" si="15"/>
        <v/>
      </c>
      <c r="V85" s="24"/>
      <c r="W85" s="24"/>
      <c r="X85" s="24"/>
      <c r="Y85" s="24"/>
      <c r="Z85" s="98" t="str">
        <f t="shared" si="16"/>
        <v/>
      </c>
      <c r="AA85" s="40" t="str">
        <f t="shared" si="22"/>
        <v/>
      </c>
      <c r="AB85" s="87"/>
      <c r="AC85" s="24"/>
      <c r="AD85" s="24"/>
      <c r="AE85" s="79" t="str">
        <f t="shared" si="17"/>
        <v/>
      </c>
      <c r="AF85" s="24"/>
      <c r="AG85" s="24"/>
      <c r="AH85" s="24"/>
      <c r="AI85" s="24"/>
      <c r="AJ85" s="99" t="str">
        <f t="shared" si="18"/>
        <v/>
      </c>
      <c r="AK85" s="31" t="str">
        <f t="shared" si="23"/>
        <v/>
      </c>
      <c r="AN85" s="139" t="str">
        <f>IF($K85="","",VLOOKUP($K85,'ORF Accuracy Value LookUp'!$G$4:$H$104,2,TRUE))</f>
        <v/>
      </c>
      <c r="AO85" s="94" t="str">
        <f t="shared" si="19"/>
        <v/>
      </c>
      <c r="AP85" s="47" t="str">
        <f>IF($U85="","",VLOOKUP($U85,'ORF Accuracy Value LookUp'!$G$4:$H$104,2,TRUE))</f>
        <v/>
      </c>
      <c r="AQ85" s="94" t="str">
        <f t="shared" si="20"/>
        <v/>
      </c>
      <c r="AR85" s="46" t="str">
        <f>IF($AE85="","",VLOOKUP($AE85,'ORF Accuracy Value LookUp'!$G$4:$H$104,2,TRUE))</f>
        <v/>
      </c>
      <c r="AS85" s="140" t="str">
        <f t="shared" si="21"/>
        <v/>
      </c>
    </row>
    <row r="86" spans="1:45">
      <c r="A86" s="10"/>
      <c r="B86" s="12"/>
      <c r="C86" s="13"/>
      <c r="D86" s="14"/>
      <c r="E86" s="10"/>
      <c r="F86" s="11"/>
      <c r="G86" s="15"/>
      <c r="H86" s="87"/>
      <c r="I86" s="24"/>
      <c r="J86" s="24"/>
      <c r="K86" s="114" t="str">
        <f t="shared" si="12"/>
        <v/>
      </c>
      <c r="L86" s="24"/>
      <c r="M86" s="24"/>
      <c r="N86" s="24"/>
      <c r="O86" s="24"/>
      <c r="P86" s="97" t="str">
        <f t="shared" si="13"/>
        <v/>
      </c>
      <c r="Q86" s="113" t="str">
        <f t="shared" si="14"/>
        <v/>
      </c>
      <c r="R86" s="87"/>
      <c r="S86" s="24"/>
      <c r="T86" s="24"/>
      <c r="U86" s="78" t="str">
        <f t="shared" si="15"/>
        <v/>
      </c>
      <c r="V86" s="24"/>
      <c r="W86" s="24"/>
      <c r="X86" s="24"/>
      <c r="Y86" s="24"/>
      <c r="Z86" s="98" t="str">
        <f t="shared" si="16"/>
        <v/>
      </c>
      <c r="AA86" s="40" t="str">
        <f t="shared" si="22"/>
        <v/>
      </c>
      <c r="AB86" s="87"/>
      <c r="AC86" s="24"/>
      <c r="AD86" s="24"/>
      <c r="AE86" s="79" t="str">
        <f t="shared" si="17"/>
        <v/>
      </c>
      <c r="AF86" s="24"/>
      <c r="AG86" s="24"/>
      <c r="AH86" s="24"/>
      <c r="AI86" s="24"/>
      <c r="AJ86" s="99" t="str">
        <f t="shared" si="18"/>
        <v/>
      </c>
      <c r="AK86" s="31" t="str">
        <f t="shared" si="23"/>
        <v/>
      </c>
      <c r="AN86" s="139" t="str">
        <f>IF($K86="","",VLOOKUP($K86,'ORF Accuracy Value LookUp'!$G$4:$H$104,2,TRUE))</f>
        <v/>
      </c>
      <c r="AO86" s="94" t="str">
        <f t="shared" si="19"/>
        <v/>
      </c>
      <c r="AP86" s="47" t="str">
        <f>IF($U86="","",VLOOKUP($U86,'ORF Accuracy Value LookUp'!$G$4:$H$104,2,TRUE))</f>
        <v/>
      </c>
      <c r="AQ86" s="94" t="str">
        <f t="shared" si="20"/>
        <v/>
      </c>
      <c r="AR86" s="46" t="str">
        <f>IF($AE86="","",VLOOKUP($AE86,'ORF Accuracy Value LookUp'!$G$4:$H$104,2,TRUE))</f>
        <v/>
      </c>
      <c r="AS86" s="140" t="str">
        <f t="shared" si="21"/>
        <v/>
      </c>
    </row>
    <row r="87" spans="1:45">
      <c r="A87" s="10"/>
      <c r="B87" s="12"/>
      <c r="C87" s="13"/>
      <c r="D87" s="14"/>
      <c r="E87" s="10"/>
      <c r="F87" s="11"/>
      <c r="G87" s="15"/>
      <c r="H87" s="87"/>
      <c r="I87" s="24"/>
      <c r="J87" s="24"/>
      <c r="K87" s="114" t="str">
        <f t="shared" si="12"/>
        <v/>
      </c>
      <c r="L87" s="24"/>
      <c r="M87" s="24"/>
      <c r="N87" s="24"/>
      <c r="O87" s="24"/>
      <c r="P87" s="97" t="str">
        <f t="shared" si="13"/>
        <v/>
      </c>
      <c r="Q87" s="113" t="str">
        <f t="shared" si="14"/>
        <v/>
      </c>
      <c r="R87" s="87"/>
      <c r="S87" s="24"/>
      <c r="T87" s="24"/>
      <c r="U87" s="78" t="str">
        <f t="shared" si="15"/>
        <v/>
      </c>
      <c r="V87" s="24"/>
      <c r="W87" s="24"/>
      <c r="X87" s="24"/>
      <c r="Y87" s="24"/>
      <c r="Z87" s="98" t="str">
        <f t="shared" si="16"/>
        <v/>
      </c>
      <c r="AA87" s="40" t="str">
        <f t="shared" si="22"/>
        <v/>
      </c>
      <c r="AB87" s="87"/>
      <c r="AC87" s="24"/>
      <c r="AD87" s="24"/>
      <c r="AE87" s="79" t="str">
        <f t="shared" si="17"/>
        <v/>
      </c>
      <c r="AF87" s="24"/>
      <c r="AG87" s="24"/>
      <c r="AH87" s="24"/>
      <c r="AI87" s="24"/>
      <c r="AJ87" s="99" t="str">
        <f t="shared" si="18"/>
        <v/>
      </c>
      <c r="AK87" s="31" t="str">
        <f t="shared" si="23"/>
        <v/>
      </c>
      <c r="AN87" s="139" t="str">
        <f>IF($K87="","",VLOOKUP($K87,'ORF Accuracy Value LookUp'!$G$4:$H$104,2,TRUE))</f>
        <v/>
      </c>
      <c r="AO87" s="94" t="str">
        <f t="shared" si="19"/>
        <v/>
      </c>
      <c r="AP87" s="47" t="str">
        <f>IF($U87="","",VLOOKUP($U87,'ORF Accuracy Value LookUp'!$G$4:$H$104,2,TRUE))</f>
        <v/>
      </c>
      <c r="AQ87" s="94" t="str">
        <f t="shared" si="20"/>
        <v/>
      </c>
      <c r="AR87" s="46" t="str">
        <f>IF($AE87="","",VLOOKUP($AE87,'ORF Accuracy Value LookUp'!$G$4:$H$104,2,TRUE))</f>
        <v/>
      </c>
      <c r="AS87" s="140" t="str">
        <f t="shared" si="21"/>
        <v/>
      </c>
    </row>
    <row r="88" spans="1:45">
      <c r="A88" s="10"/>
      <c r="B88" s="12"/>
      <c r="C88" s="13"/>
      <c r="D88" s="14"/>
      <c r="E88" s="10"/>
      <c r="F88" s="11"/>
      <c r="G88" s="15"/>
      <c r="H88" s="87"/>
      <c r="I88" s="24"/>
      <c r="J88" s="24"/>
      <c r="K88" s="114" t="str">
        <f t="shared" si="12"/>
        <v/>
      </c>
      <c r="L88" s="24"/>
      <c r="M88" s="24"/>
      <c r="N88" s="24"/>
      <c r="O88" s="24"/>
      <c r="P88" s="97" t="str">
        <f t="shared" si="13"/>
        <v/>
      </c>
      <c r="Q88" s="113" t="str">
        <f t="shared" si="14"/>
        <v/>
      </c>
      <c r="R88" s="87"/>
      <c r="S88" s="24"/>
      <c r="T88" s="24"/>
      <c r="U88" s="78" t="str">
        <f t="shared" si="15"/>
        <v/>
      </c>
      <c r="V88" s="24"/>
      <c r="W88" s="24"/>
      <c r="X88" s="24"/>
      <c r="Y88" s="24"/>
      <c r="Z88" s="98" t="str">
        <f t="shared" si="16"/>
        <v/>
      </c>
      <c r="AA88" s="40" t="str">
        <f t="shared" si="22"/>
        <v/>
      </c>
      <c r="AB88" s="87"/>
      <c r="AC88" s="24"/>
      <c r="AD88" s="24"/>
      <c r="AE88" s="79" t="str">
        <f t="shared" si="17"/>
        <v/>
      </c>
      <c r="AF88" s="24"/>
      <c r="AG88" s="24"/>
      <c r="AH88" s="24"/>
      <c r="AI88" s="24"/>
      <c r="AJ88" s="99" t="str">
        <f t="shared" si="18"/>
        <v/>
      </c>
      <c r="AK88" s="31" t="str">
        <f t="shared" si="23"/>
        <v/>
      </c>
      <c r="AN88" s="139" t="str">
        <f>IF($K88="","",VLOOKUP($K88,'ORF Accuracy Value LookUp'!$G$4:$H$104,2,TRUE))</f>
        <v/>
      </c>
      <c r="AO88" s="94" t="str">
        <f t="shared" si="19"/>
        <v/>
      </c>
      <c r="AP88" s="47" t="str">
        <f>IF($U88="","",VLOOKUP($U88,'ORF Accuracy Value LookUp'!$G$4:$H$104,2,TRUE))</f>
        <v/>
      </c>
      <c r="AQ88" s="94" t="str">
        <f t="shared" si="20"/>
        <v/>
      </c>
      <c r="AR88" s="46" t="str">
        <f>IF($AE88="","",VLOOKUP($AE88,'ORF Accuracy Value LookUp'!$G$4:$H$104,2,TRUE))</f>
        <v/>
      </c>
      <c r="AS88" s="140" t="str">
        <f t="shared" si="21"/>
        <v/>
      </c>
    </row>
    <row r="89" spans="1:45">
      <c r="A89" s="10"/>
      <c r="B89" s="12"/>
      <c r="C89" s="13"/>
      <c r="D89" s="14"/>
      <c r="E89" s="10"/>
      <c r="F89" s="11"/>
      <c r="G89" s="15"/>
      <c r="H89" s="87"/>
      <c r="I89" s="24"/>
      <c r="J89" s="24"/>
      <c r="K89" s="114" t="str">
        <f t="shared" si="12"/>
        <v/>
      </c>
      <c r="L89" s="24"/>
      <c r="M89" s="24"/>
      <c r="N89" s="24"/>
      <c r="O89" s="24"/>
      <c r="P89" s="97" t="str">
        <f t="shared" si="13"/>
        <v/>
      </c>
      <c r="Q89" s="113" t="str">
        <f t="shared" si="14"/>
        <v/>
      </c>
      <c r="R89" s="87"/>
      <c r="S89" s="24"/>
      <c r="T89" s="24"/>
      <c r="U89" s="78" t="str">
        <f t="shared" si="15"/>
        <v/>
      </c>
      <c r="V89" s="24"/>
      <c r="W89" s="24"/>
      <c r="X89" s="24"/>
      <c r="Y89" s="24"/>
      <c r="Z89" s="98" t="str">
        <f t="shared" si="16"/>
        <v/>
      </c>
      <c r="AA89" s="40" t="str">
        <f t="shared" si="22"/>
        <v/>
      </c>
      <c r="AB89" s="87"/>
      <c r="AC89" s="24"/>
      <c r="AD89" s="24"/>
      <c r="AE89" s="79" t="str">
        <f t="shared" si="17"/>
        <v/>
      </c>
      <c r="AF89" s="24"/>
      <c r="AG89" s="24"/>
      <c r="AH89" s="24"/>
      <c r="AI89" s="24"/>
      <c r="AJ89" s="99" t="str">
        <f t="shared" si="18"/>
        <v/>
      </c>
      <c r="AK89" s="31" t="str">
        <f t="shared" si="23"/>
        <v/>
      </c>
      <c r="AN89" s="139" t="str">
        <f>IF($K89="","",VLOOKUP($K89,'ORF Accuracy Value LookUp'!$G$4:$H$104,2,TRUE))</f>
        <v/>
      </c>
      <c r="AO89" s="94" t="str">
        <f t="shared" si="19"/>
        <v/>
      </c>
      <c r="AP89" s="47" t="str">
        <f>IF($U89="","",VLOOKUP($U89,'ORF Accuracy Value LookUp'!$G$4:$H$104,2,TRUE))</f>
        <v/>
      </c>
      <c r="AQ89" s="94" t="str">
        <f t="shared" si="20"/>
        <v/>
      </c>
      <c r="AR89" s="46" t="str">
        <f>IF($AE89="","",VLOOKUP($AE89,'ORF Accuracy Value LookUp'!$G$4:$H$104,2,TRUE))</f>
        <v/>
      </c>
      <c r="AS89" s="140" t="str">
        <f t="shared" si="21"/>
        <v/>
      </c>
    </row>
    <row r="90" spans="1:45">
      <c r="A90" s="10"/>
      <c r="B90" s="12"/>
      <c r="C90" s="13"/>
      <c r="D90" s="14"/>
      <c r="E90" s="10"/>
      <c r="F90" s="11"/>
      <c r="G90" s="15"/>
      <c r="H90" s="87"/>
      <c r="I90" s="24"/>
      <c r="J90" s="24"/>
      <c r="K90" s="114" t="str">
        <f t="shared" si="12"/>
        <v/>
      </c>
      <c r="L90" s="24"/>
      <c r="M90" s="24"/>
      <c r="N90" s="24"/>
      <c r="O90" s="24"/>
      <c r="P90" s="97" t="str">
        <f t="shared" si="13"/>
        <v/>
      </c>
      <c r="Q90" s="113" t="str">
        <f t="shared" si="14"/>
        <v/>
      </c>
      <c r="R90" s="87"/>
      <c r="S90" s="24"/>
      <c r="T90" s="24"/>
      <c r="U90" s="78" t="str">
        <f t="shared" si="15"/>
        <v/>
      </c>
      <c r="V90" s="24"/>
      <c r="W90" s="24"/>
      <c r="X90" s="24"/>
      <c r="Y90" s="24"/>
      <c r="Z90" s="98" t="str">
        <f t="shared" si="16"/>
        <v/>
      </c>
      <c r="AA90" s="40" t="str">
        <f t="shared" si="22"/>
        <v/>
      </c>
      <c r="AB90" s="87"/>
      <c r="AC90" s="24"/>
      <c r="AD90" s="24"/>
      <c r="AE90" s="79" t="str">
        <f t="shared" si="17"/>
        <v/>
      </c>
      <c r="AF90" s="24"/>
      <c r="AG90" s="24"/>
      <c r="AH90" s="24"/>
      <c r="AI90" s="24"/>
      <c r="AJ90" s="99" t="str">
        <f t="shared" si="18"/>
        <v/>
      </c>
      <c r="AK90" s="31" t="str">
        <f t="shared" si="23"/>
        <v/>
      </c>
      <c r="AN90" s="139" t="str">
        <f>IF($K90="","",VLOOKUP($K90,'ORF Accuracy Value LookUp'!$G$4:$H$104,2,TRUE))</f>
        <v/>
      </c>
      <c r="AO90" s="94" t="str">
        <f t="shared" si="19"/>
        <v/>
      </c>
      <c r="AP90" s="47" t="str">
        <f>IF($U90="","",VLOOKUP($U90,'ORF Accuracy Value LookUp'!$G$4:$H$104,2,TRUE))</f>
        <v/>
      </c>
      <c r="AQ90" s="94" t="str">
        <f t="shared" si="20"/>
        <v/>
      </c>
      <c r="AR90" s="46" t="str">
        <f>IF($AE90="","",VLOOKUP($AE90,'ORF Accuracy Value LookUp'!$G$4:$H$104,2,TRUE))</f>
        <v/>
      </c>
      <c r="AS90" s="140" t="str">
        <f t="shared" si="21"/>
        <v/>
      </c>
    </row>
    <row r="91" spans="1:45">
      <c r="A91" s="10"/>
      <c r="B91" s="12"/>
      <c r="C91" s="13"/>
      <c r="D91" s="14"/>
      <c r="E91" s="10"/>
      <c r="F91" s="11"/>
      <c r="G91" s="15"/>
      <c r="H91" s="87"/>
      <c r="I91" s="24"/>
      <c r="J91" s="24"/>
      <c r="K91" s="114" t="str">
        <f t="shared" si="12"/>
        <v/>
      </c>
      <c r="L91" s="24"/>
      <c r="M91" s="24"/>
      <c r="N91" s="24"/>
      <c r="O91" s="24"/>
      <c r="P91" s="97" t="str">
        <f t="shared" si="13"/>
        <v/>
      </c>
      <c r="Q91" s="113" t="str">
        <f t="shared" si="14"/>
        <v/>
      </c>
      <c r="R91" s="87"/>
      <c r="S91" s="24"/>
      <c r="T91" s="24"/>
      <c r="U91" s="78" t="str">
        <f t="shared" si="15"/>
        <v/>
      </c>
      <c r="V91" s="24"/>
      <c r="W91" s="24"/>
      <c r="X91" s="24"/>
      <c r="Y91" s="24"/>
      <c r="Z91" s="98" t="str">
        <f t="shared" si="16"/>
        <v/>
      </c>
      <c r="AA91" s="40" t="str">
        <f t="shared" si="22"/>
        <v/>
      </c>
      <c r="AB91" s="87"/>
      <c r="AC91" s="24"/>
      <c r="AD91" s="24"/>
      <c r="AE91" s="79" t="str">
        <f t="shared" si="17"/>
        <v/>
      </c>
      <c r="AF91" s="24"/>
      <c r="AG91" s="24"/>
      <c r="AH91" s="24"/>
      <c r="AI91" s="24"/>
      <c r="AJ91" s="99" t="str">
        <f t="shared" si="18"/>
        <v/>
      </c>
      <c r="AK91" s="31" t="str">
        <f t="shared" si="23"/>
        <v/>
      </c>
      <c r="AN91" s="139" t="str">
        <f>IF($K91="","",VLOOKUP($K91,'ORF Accuracy Value LookUp'!$G$4:$H$104,2,TRUE))</f>
        <v/>
      </c>
      <c r="AO91" s="94" t="str">
        <f t="shared" si="19"/>
        <v/>
      </c>
      <c r="AP91" s="47" t="str">
        <f>IF($U91="","",VLOOKUP($U91,'ORF Accuracy Value LookUp'!$G$4:$H$104,2,TRUE))</f>
        <v/>
      </c>
      <c r="AQ91" s="94" t="str">
        <f t="shared" si="20"/>
        <v/>
      </c>
      <c r="AR91" s="46" t="str">
        <f>IF($AE91="","",VLOOKUP($AE91,'ORF Accuracy Value LookUp'!$G$4:$H$104,2,TRUE))</f>
        <v/>
      </c>
      <c r="AS91" s="140" t="str">
        <f t="shared" si="21"/>
        <v/>
      </c>
    </row>
    <row r="92" spans="1:45">
      <c r="A92" s="10"/>
      <c r="B92" s="12"/>
      <c r="C92" s="13"/>
      <c r="D92" s="14"/>
      <c r="E92" s="10"/>
      <c r="F92" s="11"/>
      <c r="G92" s="15"/>
      <c r="H92" s="87"/>
      <c r="I92" s="24"/>
      <c r="J92" s="24"/>
      <c r="K92" s="114" t="str">
        <f t="shared" si="12"/>
        <v/>
      </c>
      <c r="L92" s="24"/>
      <c r="M92" s="24"/>
      <c r="N92" s="24"/>
      <c r="O92" s="24"/>
      <c r="P92" s="97" t="str">
        <f t="shared" si="13"/>
        <v/>
      </c>
      <c r="Q92" s="113" t="str">
        <f t="shared" si="14"/>
        <v/>
      </c>
      <c r="R92" s="87"/>
      <c r="S92" s="24"/>
      <c r="T92" s="24"/>
      <c r="U92" s="78" t="str">
        <f t="shared" si="15"/>
        <v/>
      </c>
      <c r="V92" s="24"/>
      <c r="W92" s="24"/>
      <c r="X92" s="24"/>
      <c r="Y92" s="24"/>
      <c r="Z92" s="98" t="str">
        <f t="shared" si="16"/>
        <v/>
      </c>
      <c r="AA92" s="40" t="str">
        <f t="shared" si="22"/>
        <v/>
      </c>
      <c r="AB92" s="87"/>
      <c r="AC92" s="24"/>
      <c r="AD92" s="24"/>
      <c r="AE92" s="79" t="str">
        <f t="shared" si="17"/>
        <v/>
      </c>
      <c r="AF92" s="24"/>
      <c r="AG92" s="24"/>
      <c r="AH92" s="24"/>
      <c r="AI92" s="24"/>
      <c r="AJ92" s="99" t="str">
        <f t="shared" si="18"/>
        <v/>
      </c>
      <c r="AK92" s="31" t="str">
        <f t="shared" si="23"/>
        <v/>
      </c>
      <c r="AN92" s="139" t="str">
        <f>IF($K92="","",VLOOKUP($K92,'ORF Accuracy Value LookUp'!$G$4:$H$104,2,TRUE))</f>
        <v/>
      </c>
      <c r="AO92" s="94" t="str">
        <f t="shared" si="19"/>
        <v/>
      </c>
      <c r="AP92" s="47" t="str">
        <f>IF($U92="","",VLOOKUP($U92,'ORF Accuracy Value LookUp'!$G$4:$H$104,2,TRUE))</f>
        <v/>
      </c>
      <c r="AQ92" s="94" t="str">
        <f t="shared" si="20"/>
        <v/>
      </c>
      <c r="AR92" s="46" t="str">
        <f>IF($AE92="","",VLOOKUP($AE92,'ORF Accuracy Value LookUp'!$G$4:$H$104,2,TRUE))</f>
        <v/>
      </c>
      <c r="AS92" s="140" t="str">
        <f t="shared" si="21"/>
        <v/>
      </c>
    </row>
    <row r="93" spans="1:45">
      <c r="A93" s="10"/>
      <c r="B93" s="12"/>
      <c r="C93" s="13"/>
      <c r="D93" s="14"/>
      <c r="E93" s="10"/>
      <c r="F93" s="11"/>
      <c r="G93" s="15"/>
      <c r="H93" s="87"/>
      <c r="I93" s="24"/>
      <c r="J93" s="24"/>
      <c r="K93" s="114" t="str">
        <f t="shared" si="12"/>
        <v/>
      </c>
      <c r="L93" s="24"/>
      <c r="M93" s="24"/>
      <c r="N93" s="24"/>
      <c r="O93" s="24"/>
      <c r="P93" s="97" t="str">
        <f t="shared" si="13"/>
        <v/>
      </c>
      <c r="Q93" s="113" t="str">
        <f t="shared" si="14"/>
        <v/>
      </c>
      <c r="R93" s="87"/>
      <c r="S93" s="24"/>
      <c r="T93" s="24"/>
      <c r="U93" s="78" t="str">
        <f t="shared" si="15"/>
        <v/>
      </c>
      <c r="V93" s="24"/>
      <c r="W93" s="24"/>
      <c r="X93" s="24"/>
      <c r="Y93" s="24"/>
      <c r="Z93" s="98" t="str">
        <f t="shared" si="16"/>
        <v/>
      </c>
      <c r="AA93" s="40" t="str">
        <f t="shared" si="22"/>
        <v/>
      </c>
      <c r="AB93" s="87"/>
      <c r="AC93" s="24"/>
      <c r="AD93" s="24"/>
      <c r="AE93" s="79" t="str">
        <f t="shared" si="17"/>
        <v/>
      </c>
      <c r="AF93" s="24"/>
      <c r="AG93" s="24"/>
      <c r="AH93" s="24"/>
      <c r="AI93" s="24"/>
      <c r="AJ93" s="99" t="str">
        <f t="shared" si="18"/>
        <v/>
      </c>
      <c r="AK93" s="31" t="str">
        <f t="shared" si="23"/>
        <v/>
      </c>
      <c r="AN93" s="139" t="str">
        <f>IF($K93="","",VLOOKUP($K93,'ORF Accuracy Value LookUp'!$G$4:$H$104,2,TRUE))</f>
        <v/>
      </c>
      <c r="AO93" s="94" t="str">
        <f t="shared" si="19"/>
        <v/>
      </c>
      <c r="AP93" s="47" t="str">
        <f>IF($U93="","",VLOOKUP($U93,'ORF Accuracy Value LookUp'!$G$4:$H$104,2,TRUE))</f>
        <v/>
      </c>
      <c r="AQ93" s="94" t="str">
        <f t="shared" si="20"/>
        <v/>
      </c>
      <c r="AR93" s="46" t="str">
        <f>IF($AE93="","",VLOOKUP($AE93,'ORF Accuracy Value LookUp'!$G$4:$H$104,2,TRUE))</f>
        <v/>
      </c>
      <c r="AS93" s="140" t="str">
        <f t="shared" si="21"/>
        <v/>
      </c>
    </row>
    <row r="94" spans="1:45">
      <c r="A94" s="10"/>
      <c r="B94" s="12"/>
      <c r="C94" s="13"/>
      <c r="D94" s="14"/>
      <c r="E94" s="10"/>
      <c r="F94" s="11"/>
      <c r="G94" s="15"/>
      <c r="H94" s="87"/>
      <c r="I94" s="24"/>
      <c r="J94" s="24"/>
      <c r="K94" s="114" t="str">
        <f t="shared" si="12"/>
        <v/>
      </c>
      <c r="L94" s="24"/>
      <c r="M94" s="24"/>
      <c r="N94" s="24"/>
      <c r="O94" s="24"/>
      <c r="P94" s="97" t="str">
        <f t="shared" si="13"/>
        <v/>
      </c>
      <c r="Q94" s="113" t="str">
        <f t="shared" si="14"/>
        <v/>
      </c>
      <c r="R94" s="87"/>
      <c r="S94" s="24"/>
      <c r="T94" s="24"/>
      <c r="U94" s="78" t="str">
        <f t="shared" si="15"/>
        <v/>
      </c>
      <c r="V94" s="24"/>
      <c r="W94" s="24"/>
      <c r="X94" s="24"/>
      <c r="Y94" s="24"/>
      <c r="Z94" s="98" t="str">
        <f t="shared" si="16"/>
        <v/>
      </c>
      <c r="AA94" s="40" t="str">
        <f t="shared" si="22"/>
        <v/>
      </c>
      <c r="AB94" s="87"/>
      <c r="AC94" s="24"/>
      <c r="AD94" s="24"/>
      <c r="AE94" s="79" t="str">
        <f t="shared" si="17"/>
        <v/>
      </c>
      <c r="AF94" s="24"/>
      <c r="AG94" s="24"/>
      <c r="AH94" s="24"/>
      <c r="AI94" s="24"/>
      <c r="AJ94" s="99" t="str">
        <f t="shared" si="18"/>
        <v/>
      </c>
      <c r="AK94" s="31" t="str">
        <f t="shared" si="23"/>
        <v/>
      </c>
      <c r="AN94" s="139" t="str">
        <f>IF($K94="","",VLOOKUP($K94,'ORF Accuracy Value LookUp'!$G$4:$H$104,2,TRUE))</f>
        <v/>
      </c>
      <c r="AO94" s="94" t="str">
        <f t="shared" si="19"/>
        <v/>
      </c>
      <c r="AP94" s="47" t="str">
        <f>IF($U94="","",VLOOKUP($U94,'ORF Accuracy Value LookUp'!$G$4:$H$104,2,TRUE))</f>
        <v/>
      </c>
      <c r="AQ94" s="94" t="str">
        <f t="shared" si="20"/>
        <v/>
      </c>
      <c r="AR94" s="46" t="str">
        <f>IF($AE94="","",VLOOKUP($AE94,'ORF Accuracy Value LookUp'!$G$4:$H$104,2,TRUE))</f>
        <v/>
      </c>
      <c r="AS94" s="140" t="str">
        <f t="shared" si="21"/>
        <v/>
      </c>
    </row>
    <row r="95" spans="1:45">
      <c r="A95" s="10"/>
      <c r="B95" s="12"/>
      <c r="C95" s="13"/>
      <c r="D95" s="14"/>
      <c r="E95" s="10"/>
      <c r="F95" s="11"/>
      <c r="G95" s="15"/>
      <c r="H95" s="87"/>
      <c r="I95" s="24"/>
      <c r="J95" s="24"/>
      <c r="K95" s="114" t="str">
        <f t="shared" si="12"/>
        <v/>
      </c>
      <c r="L95" s="24"/>
      <c r="M95" s="24"/>
      <c r="N95" s="24"/>
      <c r="O95" s="24"/>
      <c r="P95" s="97" t="str">
        <f t="shared" si="13"/>
        <v/>
      </c>
      <c r="Q95" s="113" t="str">
        <f t="shared" si="14"/>
        <v/>
      </c>
      <c r="R95" s="87"/>
      <c r="S95" s="24"/>
      <c r="T95" s="24"/>
      <c r="U95" s="78" t="str">
        <f t="shared" si="15"/>
        <v/>
      </c>
      <c r="V95" s="24"/>
      <c r="W95" s="24"/>
      <c r="X95" s="24"/>
      <c r="Y95" s="24"/>
      <c r="Z95" s="98" t="str">
        <f t="shared" si="16"/>
        <v/>
      </c>
      <c r="AA95" s="40" t="str">
        <f t="shared" si="22"/>
        <v/>
      </c>
      <c r="AB95" s="87"/>
      <c r="AC95" s="24"/>
      <c r="AD95" s="24"/>
      <c r="AE95" s="79" t="str">
        <f t="shared" si="17"/>
        <v/>
      </c>
      <c r="AF95" s="24"/>
      <c r="AG95" s="24"/>
      <c r="AH95" s="24"/>
      <c r="AI95" s="24"/>
      <c r="AJ95" s="99" t="str">
        <f t="shared" si="18"/>
        <v/>
      </c>
      <c r="AK95" s="31" t="str">
        <f t="shared" si="23"/>
        <v/>
      </c>
      <c r="AN95" s="139" t="str">
        <f>IF($K95="","",VLOOKUP($K95,'ORF Accuracy Value LookUp'!$G$4:$H$104,2,TRUE))</f>
        <v/>
      </c>
      <c r="AO95" s="94" t="str">
        <f t="shared" si="19"/>
        <v/>
      </c>
      <c r="AP95" s="47" t="str">
        <f>IF($U95="","",VLOOKUP($U95,'ORF Accuracy Value LookUp'!$G$4:$H$104,2,TRUE))</f>
        <v/>
      </c>
      <c r="AQ95" s="94" t="str">
        <f t="shared" si="20"/>
        <v/>
      </c>
      <c r="AR95" s="46" t="str">
        <f>IF($AE95="","",VLOOKUP($AE95,'ORF Accuracy Value LookUp'!$G$4:$H$104,2,TRUE))</f>
        <v/>
      </c>
      <c r="AS95" s="140" t="str">
        <f t="shared" si="21"/>
        <v/>
      </c>
    </row>
    <row r="96" spans="1:45">
      <c r="A96" s="10"/>
      <c r="B96" s="12"/>
      <c r="C96" s="13"/>
      <c r="D96" s="14"/>
      <c r="E96" s="10"/>
      <c r="F96" s="11"/>
      <c r="G96" s="15"/>
      <c r="H96" s="87"/>
      <c r="I96" s="24"/>
      <c r="J96" s="24"/>
      <c r="K96" s="114" t="str">
        <f t="shared" si="12"/>
        <v/>
      </c>
      <c r="L96" s="24"/>
      <c r="M96" s="24"/>
      <c r="N96" s="24"/>
      <c r="O96" s="24"/>
      <c r="P96" s="97" t="str">
        <f t="shared" si="13"/>
        <v/>
      </c>
      <c r="Q96" s="113" t="str">
        <f t="shared" si="14"/>
        <v/>
      </c>
      <c r="R96" s="87"/>
      <c r="S96" s="24"/>
      <c r="T96" s="24"/>
      <c r="U96" s="78" t="str">
        <f t="shared" si="15"/>
        <v/>
      </c>
      <c r="V96" s="24"/>
      <c r="W96" s="24"/>
      <c r="X96" s="24"/>
      <c r="Y96" s="24"/>
      <c r="Z96" s="98" t="str">
        <f t="shared" si="16"/>
        <v/>
      </c>
      <c r="AA96" s="40" t="str">
        <f t="shared" si="22"/>
        <v/>
      </c>
      <c r="AB96" s="87"/>
      <c r="AC96" s="24"/>
      <c r="AD96" s="24"/>
      <c r="AE96" s="79" t="str">
        <f t="shared" si="17"/>
        <v/>
      </c>
      <c r="AF96" s="24"/>
      <c r="AG96" s="24"/>
      <c r="AH96" s="24"/>
      <c r="AI96" s="24"/>
      <c r="AJ96" s="99" t="str">
        <f t="shared" si="18"/>
        <v/>
      </c>
      <c r="AK96" s="31" t="str">
        <f t="shared" si="23"/>
        <v/>
      </c>
      <c r="AN96" s="139" t="str">
        <f>IF($K96="","",VLOOKUP($K96,'ORF Accuracy Value LookUp'!$G$4:$H$104,2,TRUE))</f>
        <v/>
      </c>
      <c r="AO96" s="94" t="str">
        <f t="shared" si="19"/>
        <v/>
      </c>
      <c r="AP96" s="47" t="str">
        <f>IF($U96="","",VLOOKUP($U96,'ORF Accuracy Value LookUp'!$G$4:$H$104,2,TRUE))</f>
        <v/>
      </c>
      <c r="AQ96" s="94" t="str">
        <f t="shared" si="20"/>
        <v/>
      </c>
      <c r="AR96" s="46" t="str">
        <f>IF($AE96="","",VLOOKUP($AE96,'ORF Accuracy Value LookUp'!$G$4:$H$104,2,TRUE))</f>
        <v/>
      </c>
      <c r="AS96" s="140" t="str">
        <f t="shared" si="21"/>
        <v/>
      </c>
    </row>
    <row r="97" spans="1:45">
      <c r="A97" s="10"/>
      <c r="B97" s="12"/>
      <c r="C97" s="13"/>
      <c r="D97" s="14"/>
      <c r="E97" s="10"/>
      <c r="F97" s="11"/>
      <c r="G97" s="15"/>
      <c r="H97" s="87"/>
      <c r="I97" s="24"/>
      <c r="J97" s="24"/>
      <c r="K97" s="114" t="str">
        <f t="shared" si="12"/>
        <v/>
      </c>
      <c r="L97" s="24"/>
      <c r="M97" s="24"/>
      <c r="N97" s="24"/>
      <c r="O97" s="24"/>
      <c r="P97" s="97" t="str">
        <f t="shared" si="13"/>
        <v/>
      </c>
      <c r="Q97" s="113" t="str">
        <f t="shared" si="14"/>
        <v/>
      </c>
      <c r="R97" s="87"/>
      <c r="S97" s="24"/>
      <c r="T97" s="24"/>
      <c r="U97" s="78" t="str">
        <f t="shared" si="15"/>
        <v/>
      </c>
      <c r="V97" s="24"/>
      <c r="W97" s="24"/>
      <c r="X97" s="24"/>
      <c r="Y97" s="24"/>
      <c r="Z97" s="98" t="str">
        <f t="shared" si="16"/>
        <v/>
      </c>
      <c r="AA97" s="40" t="str">
        <f t="shared" si="22"/>
        <v/>
      </c>
      <c r="AB97" s="87"/>
      <c r="AC97" s="24"/>
      <c r="AD97" s="24"/>
      <c r="AE97" s="79" t="str">
        <f t="shared" si="17"/>
        <v/>
      </c>
      <c r="AF97" s="24"/>
      <c r="AG97" s="24"/>
      <c r="AH97" s="24"/>
      <c r="AI97" s="24"/>
      <c r="AJ97" s="99" t="str">
        <f t="shared" si="18"/>
        <v/>
      </c>
      <c r="AK97" s="31" t="str">
        <f t="shared" si="23"/>
        <v/>
      </c>
      <c r="AN97" s="139" t="str">
        <f>IF($K97="","",VLOOKUP($K97,'ORF Accuracy Value LookUp'!$G$4:$H$104,2,TRUE))</f>
        <v/>
      </c>
      <c r="AO97" s="94" t="str">
        <f t="shared" si="19"/>
        <v/>
      </c>
      <c r="AP97" s="47" t="str">
        <f>IF($U97="","",VLOOKUP($U97,'ORF Accuracy Value LookUp'!$G$4:$H$104,2,TRUE))</f>
        <v/>
      </c>
      <c r="AQ97" s="94" t="str">
        <f t="shared" si="20"/>
        <v/>
      </c>
      <c r="AR97" s="46" t="str">
        <f>IF($AE97="","",VLOOKUP($AE97,'ORF Accuracy Value LookUp'!$G$4:$H$104,2,TRUE))</f>
        <v/>
      </c>
      <c r="AS97" s="140" t="str">
        <f t="shared" si="21"/>
        <v/>
      </c>
    </row>
    <row r="98" spans="1:45">
      <c r="A98" s="10"/>
      <c r="B98" s="12"/>
      <c r="C98" s="13"/>
      <c r="D98" s="14"/>
      <c r="E98" s="10"/>
      <c r="F98" s="11"/>
      <c r="G98" s="15"/>
      <c r="H98" s="87"/>
      <c r="I98" s="24"/>
      <c r="J98" s="24"/>
      <c r="K98" s="114" t="str">
        <f t="shared" si="12"/>
        <v/>
      </c>
      <c r="L98" s="24"/>
      <c r="M98" s="24"/>
      <c r="N98" s="24"/>
      <c r="O98" s="24"/>
      <c r="P98" s="97" t="str">
        <f t="shared" si="13"/>
        <v/>
      </c>
      <c r="Q98" s="113" t="str">
        <f t="shared" si="14"/>
        <v/>
      </c>
      <c r="R98" s="87"/>
      <c r="S98" s="24"/>
      <c r="T98" s="24"/>
      <c r="U98" s="78" t="str">
        <f t="shared" si="15"/>
        <v/>
      </c>
      <c r="V98" s="24"/>
      <c r="W98" s="24"/>
      <c r="X98" s="24"/>
      <c r="Y98" s="24"/>
      <c r="Z98" s="98" t="str">
        <f t="shared" si="16"/>
        <v/>
      </c>
      <c r="AA98" s="40" t="str">
        <f t="shared" si="22"/>
        <v/>
      </c>
      <c r="AB98" s="87"/>
      <c r="AC98" s="24"/>
      <c r="AD98" s="24"/>
      <c r="AE98" s="79" t="str">
        <f t="shared" si="17"/>
        <v/>
      </c>
      <c r="AF98" s="24"/>
      <c r="AG98" s="24"/>
      <c r="AH98" s="24"/>
      <c r="AI98" s="24"/>
      <c r="AJ98" s="99" t="str">
        <f t="shared" si="18"/>
        <v/>
      </c>
      <c r="AK98" s="31" t="str">
        <f t="shared" si="23"/>
        <v/>
      </c>
      <c r="AN98" s="139" t="str">
        <f>IF($K98="","",VLOOKUP($K98,'ORF Accuracy Value LookUp'!$G$4:$H$104,2,TRUE))</f>
        <v/>
      </c>
      <c r="AO98" s="94" t="str">
        <f t="shared" si="19"/>
        <v/>
      </c>
      <c r="AP98" s="47" t="str">
        <f>IF($U98="","",VLOOKUP($U98,'ORF Accuracy Value LookUp'!$G$4:$H$104,2,TRUE))</f>
        <v/>
      </c>
      <c r="AQ98" s="94" t="str">
        <f t="shared" si="20"/>
        <v/>
      </c>
      <c r="AR98" s="46" t="str">
        <f>IF($AE98="","",VLOOKUP($AE98,'ORF Accuracy Value LookUp'!$G$4:$H$104,2,TRUE))</f>
        <v/>
      </c>
      <c r="AS98" s="140" t="str">
        <f t="shared" si="21"/>
        <v/>
      </c>
    </row>
    <row r="99" spans="1:45">
      <c r="A99" s="10"/>
      <c r="B99" s="12"/>
      <c r="C99" s="13"/>
      <c r="D99" s="14"/>
      <c r="E99" s="10"/>
      <c r="F99" s="11"/>
      <c r="G99" s="15"/>
      <c r="H99" s="87"/>
      <c r="I99" s="24"/>
      <c r="J99" s="24"/>
      <c r="K99" s="114" t="str">
        <f t="shared" si="12"/>
        <v/>
      </c>
      <c r="L99" s="24"/>
      <c r="M99" s="24"/>
      <c r="N99" s="24"/>
      <c r="O99" s="24"/>
      <c r="P99" s="97" t="str">
        <f t="shared" si="13"/>
        <v/>
      </c>
      <c r="Q99" s="113" t="str">
        <f t="shared" si="14"/>
        <v/>
      </c>
      <c r="R99" s="87"/>
      <c r="S99" s="24"/>
      <c r="T99" s="24"/>
      <c r="U99" s="78" t="str">
        <f t="shared" si="15"/>
        <v/>
      </c>
      <c r="V99" s="24"/>
      <c r="W99" s="24"/>
      <c r="X99" s="24"/>
      <c r="Y99" s="24"/>
      <c r="Z99" s="98" t="str">
        <f t="shared" si="16"/>
        <v/>
      </c>
      <c r="AA99" s="40" t="str">
        <f t="shared" si="22"/>
        <v/>
      </c>
      <c r="AB99" s="87"/>
      <c r="AC99" s="24"/>
      <c r="AD99" s="24"/>
      <c r="AE99" s="79" t="str">
        <f t="shared" si="17"/>
        <v/>
      </c>
      <c r="AF99" s="24"/>
      <c r="AG99" s="24"/>
      <c r="AH99" s="24"/>
      <c r="AI99" s="24"/>
      <c r="AJ99" s="99" t="str">
        <f t="shared" si="18"/>
        <v/>
      </c>
      <c r="AK99" s="31" t="str">
        <f t="shared" si="23"/>
        <v/>
      </c>
      <c r="AN99" s="139" t="str">
        <f>IF($K99="","",VLOOKUP($K99,'ORF Accuracy Value LookUp'!$G$4:$H$104,2,TRUE))</f>
        <v/>
      </c>
      <c r="AO99" s="94" t="str">
        <f t="shared" si="19"/>
        <v/>
      </c>
      <c r="AP99" s="47" t="str">
        <f>IF($U99="","",VLOOKUP($U99,'ORF Accuracy Value LookUp'!$G$4:$H$104,2,TRUE))</f>
        <v/>
      </c>
      <c r="AQ99" s="94" t="str">
        <f t="shared" si="20"/>
        <v/>
      </c>
      <c r="AR99" s="46" t="str">
        <f>IF($AE99="","",VLOOKUP($AE99,'ORF Accuracy Value LookUp'!$G$4:$H$104,2,TRUE))</f>
        <v/>
      </c>
      <c r="AS99" s="140" t="str">
        <f t="shared" si="21"/>
        <v/>
      </c>
    </row>
    <row r="100" spans="1:45">
      <c r="A100" s="10"/>
      <c r="B100" s="12"/>
      <c r="C100" s="13"/>
      <c r="D100" s="14"/>
      <c r="E100" s="10"/>
      <c r="F100" s="11"/>
      <c r="G100" s="15"/>
      <c r="H100" s="87"/>
      <c r="I100" s="24"/>
      <c r="J100" s="24"/>
      <c r="K100" s="114" t="str">
        <f t="shared" si="12"/>
        <v/>
      </c>
      <c r="L100" s="24"/>
      <c r="M100" s="24"/>
      <c r="N100" s="24"/>
      <c r="O100" s="24"/>
      <c r="P100" s="97" t="str">
        <f t="shared" si="13"/>
        <v/>
      </c>
      <c r="Q100" s="113" t="str">
        <f t="shared" si="14"/>
        <v/>
      </c>
      <c r="R100" s="87"/>
      <c r="S100" s="24"/>
      <c r="T100" s="24"/>
      <c r="U100" s="78" t="str">
        <f t="shared" si="15"/>
        <v/>
      </c>
      <c r="V100" s="24"/>
      <c r="W100" s="24"/>
      <c r="X100" s="24"/>
      <c r="Y100" s="24"/>
      <c r="Z100" s="98" t="str">
        <f t="shared" si="16"/>
        <v/>
      </c>
      <c r="AA100" s="40" t="str">
        <f t="shared" si="22"/>
        <v/>
      </c>
      <c r="AB100" s="87"/>
      <c r="AC100" s="24"/>
      <c r="AD100" s="24"/>
      <c r="AE100" s="79" t="str">
        <f t="shared" si="17"/>
        <v/>
      </c>
      <c r="AF100" s="24"/>
      <c r="AG100" s="24"/>
      <c r="AH100" s="24"/>
      <c r="AI100" s="24"/>
      <c r="AJ100" s="99" t="str">
        <f t="shared" si="18"/>
        <v/>
      </c>
      <c r="AK100" s="31" t="str">
        <f t="shared" si="23"/>
        <v/>
      </c>
      <c r="AN100" s="139" t="str">
        <f>IF($K100="","",VLOOKUP($K100,'ORF Accuracy Value LookUp'!$G$4:$H$104,2,TRUE))</f>
        <v/>
      </c>
      <c r="AO100" s="94" t="str">
        <f t="shared" si="19"/>
        <v/>
      </c>
      <c r="AP100" s="47" t="str">
        <f>IF($U100="","",VLOOKUP($U100,'ORF Accuracy Value LookUp'!$G$4:$H$104,2,TRUE))</f>
        <v/>
      </c>
      <c r="AQ100" s="94" t="str">
        <f t="shared" si="20"/>
        <v/>
      </c>
      <c r="AR100" s="46" t="str">
        <f>IF($AE100="","",VLOOKUP($AE100,'ORF Accuracy Value LookUp'!$G$4:$H$104,2,TRUE))</f>
        <v/>
      </c>
      <c r="AS100" s="140" t="str">
        <f t="shared" si="21"/>
        <v/>
      </c>
    </row>
    <row r="101" spans="1:45">
      <c r="A101" s="10"/>
      <c r="B101" s="12"/>
      <c r="C101" s="13"/>
      <c r="D101" s="14"/>
      <c r="E101" s="10"/>
      <c r="F101" s="11"/>
      <c r="G101" s="15"/>
      <c r="H101" s="87"/>
      <c r="I101" s="24"/>
      <c r="J101" s="24"/>
      <c r="K101" s="114" t="str">
        <f t="shared" si="12"/>
        <v/>
      </c>
      <c r="L101" s="24"/>
      <c r="M101" s="24"/>
      <c r="N101" s="24"/>
      <c r="O101" s="24"/>
      <c r="P101" s="97" t="str">
        <f t="shared" si="13"/>
        <v/>
      </c>
      <c r="Q101" s="113" t="str">
        <f t="shared" si="14"/>
        <v/>
      </c>
      <c r="R101" s="87"/>
      <c r="S101" s="24"/>
      <c r="T101" s="24"/>
      <c r="U101" s="78" t="str">
        <f t="shared" si="15"/>
        <v/>
      </c>
      <c r="V101" s="24"/>
      <c r="W101" s="24"/>
      <c r="X101" s="24"/>
      <c r="Y101" s="24"/>
      <c r="Z101" s="98" t="str">
        <f t="shared" si="16"/>
        <v/>
      </c>
      <c r="AA101" s="40" t="str">
        <f t="shared" si="22"/>
        <v/>
      </c>
      <c r="AB101" s="87"/>
      <c r="AC101" s="24"/>
      <c r="AD101" s="24"/>
      <c r="AE101" s="79" t="str">
        <f t="shared" si="17"/>
        <v/>
      </c>
      <c r="AF101" s="24"/>
      <c r="AG101" s="24"/>
      <c r="AH101" s="24"/>
      <c r="AI101" s="24"/>
      <c r="AJ101" s="99" t="str">
        <f t="shared" si="18"/>
        <v/>
      </c>
      <c r="AK101" s="31" t="str">
        <f t="shared" si="23"/>
        <v/>
      </c>
      <c r="AN101" s="139" t="str">
        <f>IF($K101="","",VLOOKUP($K101,'ORF Accuracy Value LookUp'!$G$4:$H$104,2,TRUE))</f>
        <v/>
      </c>
      <c r="AO101" s="94" t="str">
        <f t="shared" si="19"/>
        <v/>
      </c>
      <c r="AP101" s="47" t="str">
        <f>IF($U101="","",VLOOKUP($U101,'ORF Accuracy Value LookUp'!$G$4:$H$104,2,TRUE))</f>
        <v/>
      </c>
      <c r="AQ101" s="94" t="str">
        <f t="shared" si="20"/>
        <v/>
      </c>
      <c r="AR101" s="46" t="str">
        <f>IF($AE101="","",VLOOKUP($AE101,'ORF Accuracy Value LookUp'!$G$4:$H$104,2,TRUE))</f>
        <v/>
      </c>
      <c r="AS101" s="140" t="str">
        <f t="shared" si="21"/>
        <v/>
      </c>
    </row>
    <row r="102" spans="1:45">
      <c r="A102" s="10"/>
      <c r="B102" s="12"/>
      <c r="C102" s="13"/>
      <c r="D102" s="14"/>
      <c r="E102" s="10"/>
      <c r="F102" s="11"/>
      <c r="G102" s="15"/>
      <c r="H102" s="87"/>
      <c r="I102" s="24"/>
      <c r="J102" s="24"/>
      <c r="K102" s="114" t="str">
        <f t="shared" si="12"/>
        <v/>
      </c>
      <c r="L102" s="24"/>
      <c r="M102" s="24"/>
      <c r="N102" s="24"/>
      <c r="O102" s="24"/>
      <c r="P102" s="97" t="str">
        <f t="shared" si="13"/>
        <v/>
      </c>
      <c r="Q102" s="113" t="str">
        <f t="shared" si="14"/>
        <v/>
      </c>
      <c r="R102" s="87"/>
      <c r="S102" s="24"/>
      <c r="T102" s="24"/>
      <c r="U102" s="78" t="str">
        <f t="shared" si="15"/>
        <v/>
      </c>
      <c r="V102" s="24"/>
      <c r="W102" s="24"/>
      <c r="X102" s="24"/>
      <c r="Y102" s="24"/>
      <c r="Z102" s="98" t="str">
        <f t="shared" si="16"/>
        <v/>
      </c>
      <c r="AA102" s="40" t="str">
        <f t="shared" si="22"/>
        <v/>
      </c>
      <c r="AB102" s="87"/>
      <c r="AC102" s="24"/>
      <c r="AD102" s="24"/>
      <c r="AE102" s="79" t="str">
        <f t="shared" si="17"/>
        <v/>
      </c>
      <c r="AF102" s="24"/>
      <c r="AG102" s="24"/>
      <c r="AH102" s="24"/>
      <c r="AI102" s="24"/>
      <c r="AJ102" s="99" t="str">
        <f t="shared" si="18"/>
        <v/>
      </c>
      <c r="AK102" s="31" t="str">
        <f t="shared" si="23"/>
        <v/>
      </c>
      <c r="AN102" s="139" t="str">
        <f>IF($K102="","",VLOOKUP($K102,'ORF Accuracy Value LookUp'!$G$4:$H$104,2,TRUE))</f>
        <v/>
      </c>
      <c r="AO102" s="94" t="str">
        <f t="shared" si="19"/>
        <v/>
      </c>
      <c r="AP102" s="47" t="str">
        <f>IF($U102="","",VLOOKUP($U102,'ORF Accuracy Value LookUp'!$G$4:$H$104,2,TRUE))</f>
        <v/>
      </c>
      <c r="AQ102" s="94" t="str">
        <f t="shared" si="20"/>
        <v/>
      </c>
      <c r="AR102" s="46" t="str">
        <f>IF($AE102="","",VLOOKUP($AE102,'ORF Accuracy Value LookUp'!$G$4:$H$104,2,TRUE))</f>
        <v/>
      </c>
      <c r="AS102" s="140" t="str">
        <f t="shared" si="21"/>
        <v/>
      </c>
    </row>
    <row r="103" spans="1:45">
      <c r="A103" s="10"/>
      <c r="B103" s="12"/>
      <c r="C103" s="13"/>
      <c r="D103" s="14"/>
      <c r="E103" s="10"/>
      <c r="F103" s="11"/>
      <c r="G103" s="15"/>
      <c r="H103" s="87"/>
      <c r="I103" s="24"/>
      <c r="J103" s="24"/>
      <c r="K103" s="114" t="str">
        <f t="shared" si="12"/>
        <v/>
      </c>
      <c r="L103" s="24"/>
      <c r="M103" s="24"/>
      <c r="N103" s="24"/>
      <c r="O103" s="24"/>
      <c r="P103" s="97" t="str">
        <f t="shared" si="13"/>
        <v/>
      </c>
      <c r="Q103" s="113" t="str">
        <f t="shared" si="14"/>
        <v/>
      </c>
      <c r="R103" s="87"/>
      <c r="S103" s="24"/>
      <c r="T103" s="24"/>
      <c r="U103" s="78" t="str">
        <f t="shared" si="15"/>
        <v/>
      </c>
      <c r="V103" s="24"/>
      <c r="W103" s="24"/>
      <c r="X103" s="24"/>
      <c r="Y103" s="24"/>
      <c r="Z103" s="98" t="str">
        <f t="shared" si="16"/>
        <v/>
      </c>
      <c r="AA103" s="40" t="str">
        <f t="shared" si="22"/>
        <v/>
      </c>
      <c r="AB103" s="87"/>
      <c r="AC103" s="24"/>
      <c r="AD103" s="24"/>
      <c r="AE103" s="79" t="str">
        <f t="shared" si="17"/>
        <v/>
      </c>
      <c r="AF103" s="24"/>
      <c r="AG103" s="24"/>
      <c r="AH103" s="24"/>
      <c r="AI103" s="24"/>
      <c r="AJ103" s="99" t="str">
        <f t="shared" si="18"/>
        <v/>
      </c>
      <c r="AK103" s="31" t="str">
        <f t="shared" si="23"/>
        <v/>
      </c>
      <c r="AN103" s="139" t="str">
        <f>IF($K103="","",VLOOKUP($K103,'ORF Accuracy Value LookUp'!$G$4:$H$104,2,TRUE))</f>
        <v/>
      </c>
      <c r="AO103" s="94" t="str">
        <f t="shared" si="19"/>
        <v/>
      </c>
      <c r="AP103" s="47" t="str">
        <f>IF($U103="","",VLOOKUP($U103,'ORF Accuracy Value LookUp'!$G$4:$H$104,2,TRUE))</f>
        <v/>
      </c>
      <c r="AQ103" s="94" t="str">
        <f t="shared" si="20"/>
        <v/>
      </c>
      <c r="AR103" s="46" t="str">
        <f>IF($AE103="","",VLOOKUP($AE103,'ORF Accuracy Value LookUp'!$G$4:$H$104,2,TRUE))</f>
        <v/>
      </c>
      <c r="AS103" s="140" t="str">
        <f t="shared" si="21"/>
        <v/>
      </c>
    </row>
    <row r="104" spans="1:45">
      <c r="A104" s="10"/>
      <c r="B104" s="12"/>
      <c r="C104" s="13"/>
      <c r="D104" s="14"/>
      <c r="E104" s="10"/>
      <c r="F104" s="11"/>
      <c r="G104" s="15"/>
      <c r="H104" s="87"/>
      <c r="I104" s="24"/>
      <c r="J104" s="24"/>
      <c r="K104" s="114" t="str">
        <f t="shared" si="12"/>
        <v/>
      </c>
      <c r="L104" s="24"/>
      <c r="M104" s="24"/>
      <c r="N104" s="24"/>
      <c r="O104" s="24"/>
      <c r="P104" s="97" t="str">
        <f t="shared" si="13"/>
        <v/>
      </c>
      <c r="Q104" s="113" t="str">
        <f t="shared" si="14"/>
        <v/>
      </c>
      <c r="R104" s="87"/>
      <c r="S104" s="24"/>
      <c r="T104" s="24"/>
      <c r="U104" s="78" t="str">
        <f t="shared" si="15"/>
        <v/>
      </c>
      <c r="V104" s="24"/>
      <c r="W104" s="24"/>
      <c r="X104" s="24"/>
      <c r="Y104" s="24"/>
      <c r="Z104" s="98" t="str">
        <f t="shared" si="16"/>
        <v/>
      </c>
      <c r="AA104" s="40" t="str">
        <f t="shared" si="22"/>
        <v/>
      </c>
      <c r="AB104" s="87"/>
      <c r="AC104" s="24"/>
      <c r="AD104" s="24"/>
      <c r="AE104" s="79" t="str">
        <f t="shared" si="17"/>
        <v/>
      </c>
      <c r="AF104" s="24"/>
      <c r="AG104" s="24"/>
      <c r="AH104" s="24"/>
      <c r="AI104" s="24"/>
      <c r="AJ104" s="99" t="str">
        <f t="shared" si="18"/>
        <v/>
      </c>
      <c r="AK104" s="31" t="str">
        <f t="shared" si="23"/>
        <v/>
      </c>
      <c r="AN104" s="139" t="str">
        <f>IF($K104="","",VLOOKUP($K104,'ORF Accuracy Value LookUp'!$G$4:$H$104,2,TRUE))</f>
        <v/>
      </c>
      <c r="AO104" s="94" t="str">
        <f t="shared" si="19"/>
        <v/>
      </c>
      <c r="AP104" s="47" t="str">
        <f>IF($U104="","",VLOOKUP($U104,'ORF Accuracy Value LookUp'!$G$4:$H$104,2,TRUE))</f>
        <v/>
      </c>
      <c r="AQ104" s="94" t="str">
        <f t="shared" si="20"/>
        <v/>
      </c>
      <c r="AR104" s="46" t="str">
        <f>IF($AE104="","",VLOOKUP($AE104,'ORF Accuracy Value LookUp'!$G$4:$H$104,2,TRUE))</f>
        <v/>
      </c>
      <c r="AS104" s="140" t="str">
        <f t="shared" si="21"/>
        <v/>
      </c>
    </row>
    <row r="105" spans="1:45">
      <c r="A105" s="10"/>
      <c r="B105" s="12"/>
      <c r="C105" s="13"/>
      <c r="D105" s="14"/>
      <c r="E105" s="10"/>
      <c r="F105" s="11"/>
      <c r="G105" s="15"/>
      <c r="H105" s="87"/>
      <c r="I105" s="24"/>
      <c r="J105" s="24"/>
      <c r="K105" s="114" t="str">
        <f t="shared" si="12"/>
        <v/>
      </c>
      <c r="L105" s="24"/>
      <c r="M105" s="24"/>
      <c r="N105" s="24"/>
      <c r="O105" s="24"/>
      <c r="P105" s="97" t="str">
        <f t="shared" si="13"/>
        <v/>
      </c>
      <c r="Q105" s="113" t="str">
        <f t="shared" si="14"/>
        <v/>
      </c>
      <c r="R105" s="87"/>
      <c r="S105" s="24"/>
      <c r="T105" s="24"/>
      <c r="U105" s="78" t="str">
        <f t="shared" si="15"/>
        <v/>
      </c>
      <c r="V105" s="24"/>
      <c r="W105" s="24"/>
      <c r="X105" s="24"/>
      <c r="Y105" s="24"/>
      <c r="Z105" s="98" t="str">
        <f t="shared" si="16"/>
        <v/>
      </c>
      <c r="AA105" s="40" t="str">
        <f t="shared" si="22"/>
        <v/>
      </c>
      <c r="AB105" s="87"/>
      <c r="AC105" s="24"/>
      <c r="AD105" s="24"/>
      <c r="AE105" s="79" t="str">
        <f t="shared" si="17"/>
        <v/>
      </c>
      <c r="AF105" s="24"/>
      <c r="AG105" s="24"/>
      <c r="AH105" s="24"/>
      <c r="AI105" s="24"/>
      <c r="AJ105" s="99" t="str">
        <f t="shared" si="18"/>
        <v/>
      </c>
      <c r="AK105" s="31" t="str">
        <f t="shared" si="23"/>
        <v/>
      </c>
      <c r="AN105" s="139" t="str">
        <f>IF($K105="","",VLOOKUP($K105,'ORF Accuracy Value LookUp'!$G$4:$H$104,2,TRUE))</f>
        <v/>
      </c>
      <c r="AO105" s="94" t="str">
        <f t="shared" si="19"/>
        <v/>
      </c>
      <c r="AP105" s="47" t="str">
        <f>IF($U105="","",VLOOKUP($U105,'ORF Accuracy Value LookUp'!$G$4:$H$104,2,TRUE))</f>
        <v/>
      </c>
      <c r="AQ105" s="94" t="str">
        <f t="shared" si="20"/>
        <v/>
      </c>
      <c r="AR105" s="46" t="str">
        <f>IF($AE105="","",VLOOKUP($AE105,'ORF Accuracy Value LookUp'!$G$4:$H$104,2,TRUE))</f>
        <v/>
      </c>
      <c r="AS105" s="140" t="str">
        <f t="shared" si="21"/>
        <v/>
      </c>
    </row>
    <row r="106" spans="1:45">
      <c r="A106" s="10"/>
      <c r="B106" s="12"/>
      <c r="C106" s="13"/>
      <c r="D106" s="14"/>
      <c r="E106" s="10"/>
      <c r="F106" s="11"/>
      <c r="G106" s="15"/>
      <c r="H106" s="87"/>
      <c r="I106" s="24"/>
      <c r="J106" s="24"/>
      <c r="K106" s="114" t="str">
        <f t="shared" si="12"/>
        <v/>
      </c>
      <c r="L106" s="24"/>
      <c r="M106" s="24"/>
      <c r="N106" s="24"/>
      <c r="O106" s="24"/>
      <c r="P106" s="97" t="str">
        <f t="shared" si="13"/>
        <v/>
      </c>
      <c r="Q106" s="113" t="str">
        <f t="shared" si="14"/>
        <v/>
      </c>
      <c r="R106" s="87"/>
      <c r="S106" s="24"/>
      <c r="T106" s="24"/>
      <c r="U106" s="78" t="str">
        <f t="shared" si="15"/>
        <v/>
      </c>
      <c r="V106" s="24"/>
      <c r="W106" s="24"/>
      <c r="X106" s="24"/>
      <c r="Y106" s="24"/>
      <c r="Z106" s="98" t="str">
        <f t="shared" si="16"/>
        <v/>
      </c>
      <c r="AA106" s="40" t="str">
        <f t="shared" si="22"/>
        <v/>
      </c>
      <c r="AB106" s="87"/>
      <c r="AC106" s="24"/>
      <c r="AD106" s="24"/>
      <c r="AE106" s="79" t="str">
        <f t="shared" si="17"/>
        <v/>
      </c>
      <c r="AF106" s="24"/>
      <c r="AG106" s="24"/>
      <c r="AH106" s="24"/>
      <c r="AI106" s="24"/>
      <c r="AJ106" s="99" t="str">
        <f t="shared" si="18"/>
        <v/>
      </c>
      <c r="AK106" s="31" t="str">
        <f t="shared" si="23"/>
        <v/>
      </c>
      <c r="AN106" s="139" t="str">
        <f>IF($K106="","",VLOOKUP($K106,'ORF Accuracy Value LookUp'!$G$4:$H$104,2,TRUE))</f>
        <v/>
      </c>
      <c r="AO106" s="94" t="str">
        <f t="shared" si="19"/>
        <v/>
      </c>
      <c r="AP106" s="47" t="str">
        <f>IF($U106="","",VLOOKUP($U106,'ORF Accuracy Value LookUp'!$G$4:$H$104,2,TRUE))</f>
        <v/>
      </c>
      <c r="AQ106" s="94" t="str">
        <f t="shared" si="20"/>
        <v/>
      </c>
      <c r="AR106" s="46" t="str">
        <f>IF($AE106="","",VLOOKUP($AE106,'ORF Accuracy Value LookUp'!$G$4:$H$104,2,TRUE))</f>
        <v/>
      </c>
      <c r="AS106" s="140" t="str">
        <f t="shared" si="21"/>
        <v/>
      </c>
    </row>
    <row r="107" spans="1:45">
      <c r="A107" s="10"/>
      <c r="B107" s="12"/>
      <c r="C107" s="13"/>
      <c r="D107" s="14"/>
      <c r="E107" s="10"/>
      <c r="F107" s="11"/>
      <c r="G107" s="15"/>
      <c r="H107" s="87"/>
      <c r="I107" s="24"/>
      <c r="J107" s="24"/>
      <c r="K107" s="114" t="str">
        <f t="shared" si="12"/>
        <v/>
      </c>
      <c r="L107" s="24"/>
      <c r="M107" s="24"/>
      <c r="N107" s="24"/>
      <c r="O107" s="24"/>
      <c r="P107" s="97" t="str">
        <f t="shared" si="13"/>
        <v/>
      </c>
      <c r="Q107" s="113" t="str">
        <f t="shared" si="14"/>
        <v/>
      </c>
      <c r="R107" s="87"/>
      <c r="S107" s="24"/>
      <c r="T107" s="24"/>
      <c r="U107" s="78" t="str">
        <f t="shared" si="15"/>
        <v/>
      </c>
      <c r="V107" s="24"/>
      <c r="W107" s="24"/>
      <c r="X107" s="24"/>
      <c r="Y107" s="24"/>
      <c r="Z107" s="98" t="str">
        <f t="shared" si="16"/>
        <v/>
      </c>
      <c r="AA107" s="40" t="str">
        <f t="shared" si="22"/>
        <v/>
      </c>
      <c r="AB107" s="87"/>
      <c r="AC107" s="24"/>
      <c r="AD107" s="24"/>
      <c r="AE107" s="79" t="str">
        <f t="shared" si="17"/>
        <v/>
      </c>
      <c r="AF107" s="24"/>
      <c r="AG107" s="24"/>
      <c r="AH107" s="24"/>
      <c r="AI107" s="24"/>
      <c r="AJ107" s="99" t="str">
        <f t="shared" si="18"/>
        <v/>
      </c>
      <c r="AK107" s="31" t="str">
        <f t="shared" si="23"/>
        <v/>
      </c>
      <c r="AN107" s="139" t="str">
        <f>IF($K107="","",VLOOKUP($K107,'ORF Accuracy Value LookUp'!$G$4:$H$104,2,TRUE))</f>
        <v/>
      </c>
      <c r="AO107" s="94" t="str">
        <f t="shared" si="19"/>
        <v/>
      </c>
      <c r="AP107" s="47" t="str">
        <f>IF($U107="","",VLOOKUP($U107,'ORF Accuracy Value LookUp'!$G$4:$H$104,2,TRUE))</f>
        <v/>
      </c>
      <c r="AQ107" s="94" t="str">
        <f t="shared" si="20"/>
        <v/>
      </c>
      <c r="AR107" s="46" t="str">
        <f>IF($AE107="","",VLOOKUP($AE107,'ORF Accuracy Value LookUp'!$G$4:$H$104,2,TRUE))</f>
        <v/>
      </c>
      <c r="AS107" s="140" t="str">
        <f t="shared" si="21"/>
        <v/>
      </c>
    </row>
    <row r="108" spans="1:45">
      <c r="A108" s="10"/>
      <c r="B108" s="12"/>
      <c r="C108" s="13"/>
      <c r="D108" s="14"/>
      <c r="E108" s="10"/>
      <c r="F108" s="11"/>
      <c r="G108" s="15"/>
      <c r="H108" s="87"/>
      <c r="I108" s="24"/>
      <c r="J108" s="24"/>
      <c r="K108" s="114" t="str">
        <f t="shared" si="12"/>
        <v/>
      </c>
      <c r="L108" s="24"/>
      <c r="M108" s="24"/>
      <c r="N108" s="24"/>
      <c r="O108" s="24"/>
      <c r="P108" s="97" t="str">
        <f t="shared" si="13"/>
        <v/>
      </c>
      <c r="Q108" s="113" t="str">
        <f t="shared" si="14"/>
        <v/>
      </c>
      <c r="R108" s="87"/>
      <c r="S108" s="24"/>
      <c r="T108" s="24"/>
      <c r="U108" s="78" t="str">
        <f t="shared" si="15"/>
        <v/>
      </c>
      <c r="V108" s="24"/>
      <c r="W108" s="24"/>
      <c r="X108" s="24"/>
      <c r="Y108" s="24"/>
      <c r="Z108" s="98" t="str">
        <f t="shared" si="16"/>
        <v/>
      </c>
      <c r="AA108" s="40" t="str">
        <f t="shared" si="22"/>
        <v/>
      </c>
      <c r="AB108" s="87"/>
      <c r="AC108" s="24"/>
      <c r="AD108" s="24"/>
      <c r="AE108" s="79" t="str">
        <f t="shared" si="17"/>
        <v/>
      </c>
      <c r="AF108" s="24"/>
      <c r="AG108" s="24"/>
      <c r="AH108" s="24"/>
      <c r="AI108" s="24"/>
      <c r="AJ108" s="99" t="str">
        <f t="shared" si="18"/>
        <v/>
      </c>
      <c r="AK108" s="31" t="str">
        <f t="shared" si="23"/>
        <v/>
      </c>
      <c r="AN108" s="139" t="str">
        <f>IF($K108="","",VLOOKUP($K108,'ORF Accuracy Value LookUp'!$G$4:$H$104,2,TRUE))</f>
        <v/>
      </c>
      <c r="AO108" s="94" t="str">
        <f t="shared" si="19"/>
        <v/>
      </c>
      <c r="AP108" s="47" t="str">
        <f>IF($U108="","",VLOOKUP($U108,'ORF Accuracy Value LookUp'!$G$4:$H$104,2,TRUE))</f>
        <v/>
      </c>
      <c r="AQ108" s="94" t="str">
        <f t="shared" si="20"/>
        <v/>
      </c>
      <c r="AR108" s="46" t="str">
        <f>IF($AE108="","",VLOOKUP($AE108,'ORF Accuracy Value LookUp'!$G$4:$H$104,2,TRUE))</f>
        <v/>
      </c>
      <c r="AS108" s="140" t="str">
        <f t="shared" si="21"/>
        <v/>
      </c>
    </row>
    <row r="109" spans="1:45">
      <c r="A109" s="10"/>
      <c r="B109" s="12"/>
      <c r="C109" s="13"/>
      <c r="D109" s="14"/>
      <c r="E109" s="10"/>
      <c r="F109" s="11"/>
      <c r="G109" s="15"/>
      <c r="H109" s="87"/>
      <c r="I109" s="24"/>
      <c r="J109" s="24"/>
      <c r="K109" s="114" t="str">
        <f t="shared" si="12"/>
        <v/>
      </c>
      <c r="L109" s="24"/>
      <c r="M109" s="24"/>
      <c r="N109" s="24"/>
      <c r="O109" s="24"/>
      <c r="P109" s="97" t="str">
        <f t="shared" si="13"/>
        <v/>
      </c>
      <c r="Q109" s="113" t="str">
        <f t="shared" si="14"/>
        <v/>
      </c>
      <c r="R109" s="87"/>
      <c r="S109" s="24"/>
      <c r="T109" s="24"/>
      <c r="U109" s="78" t="str">
        <f t="shared" si="15"/>
        <v/>
      </c>
      <c r="V109" s="24"/>
      <c r="W109" s="24"/>
      <c r="X109" s="24"/>
      <c r="Y109" s="24"/>
      <c r="Z109" s="98" t="str">
        <f t="shared" si="16"/>
        <v/>
      </c>
      <c r="AA109" s="40" t="str">
        <f t="shared" si="22"/>
        <v/>
      </c>
      <c r="AB109" s="87"/>
      <c r="AC109" s="24"/>
      <c r="AD109" s="24"/>
      <c r="AE109" s="79" t="str">
        <f t="shared" si="17"/>
        <v/>
      </c>
      <c r="AF109" s="24"/>
      <c r="AG109" s="24"/>
      <c r="AH109" s="24"/>
      <c r="AI109" s="24"/>
      <c r="AJ109" s="99" t="str">
        <f t="shared" si="18"/>
        <v/>
      </c>
      <c r="AK109" s="31" t="str">
        <f t="shared" si="23"/>
        <v/>
      </c>
      <c r="AN109" s="139" t="str">
        <f>IF($K109="","",VLOOKUP($K109,'ORF Accuracy Value LookUp'!$G$4:$H$104,2,TRUE))</f>
        <v/>
      </c>
      <c r="AO109" s="94" t="str">
        <f t="shared" si="19"/>
        <v/>
      </c>
      <c r="AP109" s="47" t="str">
        <f>IF($U109="","",VLOOKUP($U109,'ORF Accuracy Value LookUp'!$G$4:$H$104,2,TRUE))</f>
        <v/>
      </c>
      <c r="AQ109" s="94" t="str">
        <f t="shared" si="20"/>
        <v/>
      </c>
      <c r="AR109" s="46" t="str">
        <f>IF($AE109="","",VLOOKUP($AE109,'ORF Accuracy Value LookUp'!$G$4:$H$104,2,TRUE))</f>
        <v/>
      </c>
      <c r="AS109" s="140" t="str">
        <f t="shared" si="21"/>
        <v/>
      </c>
    </row>
    <row r="110" spans="1:45">
      <c r="A110" s="10"/>
      <c r="B110" s="12"/>
      <c r="C110" s="13"/>
      <c r="D110" s="14"/>
      <c r="E110" s="10"/>
      <c r="F110" s="11"/>
      <c r="G110" s="15"/>
      <c r="H110" s="87"/>
      <c r="I110" s="24"/>
      <c r="J110" s="24"/>
      <c r="K110" s="114" t="str">
        <f t="shared" si="12"/>
        <v/>
      </c>
      <c r="L110" s="24"/>
      <c r="M110" s="24"/>
      <c r="N110" s="24"/>
      <c r="O110" s="24"/>
      <c r="P110" s="97" t="str">
        <f t="shared" si="13"/>
        <v/>
      </c>
      <c r="Q110" s="113" t="str">
        <f t="shared" si="14"/>
        <v/>
      </c>
      <c r="R110" s="87"/>
      <c r="S110" s="24"/>
      <c r="T110" s="24"/>
      <c r="U110" s="78" t="str">
        <f t="shared" si="15"/>
        <v/>
      </c>
      <c r="V110" s="24"/>
      <c r="W110" s="24"/>
      <c r="X110" s="24"/>
      <c r="Y110" s="24"/>
      <c r="Z110" s="98" t="str">
        <f t="shared" si="16"/>
        <v/>
      </c>
      <c r="AA110" s="40" t="str">
        <f t="shared" si="22"/>
        <v/>
      </c>
      <c r="AB110" s="87"/>
      <c r="AC110" s="24"/>
      <c r="AD110" s="24"/>
      <c r="AE110" s="79" t="str">
        <f t="shared" si="17"/>
        <v/>
      </c>
      <c r="AF110" s="24"/>
      <c r="AG110" s="24"/>
      <c r="AH110" s="24"/>
      <c r="AI110" s="24"/>
      <c r="AJ110" s="99" t="str">
        <f t="shared" si="18"/>
        <v/>
      </c>
      <c r="AK110" s="31" t="str">
        <f t="shared" si="23"/>
        <v/>
      </c>
      <c r="AN110" s="139" t="str">
        <f>IF($K110="","",VLOOKUP($K110,'ORF Accuracy Value LookUp'!$G$4:$H$104,2,TRUE))</f>
        <v/>
      </c>
      <c r="AO110" s="94" t="str">
        <f t="shared" si="19"/>
        <v/>
      </c>
      <c r="AP110" s="47" t="str">
        <f>IF($U110="","",VLOOKUP($U110,'ORF Accuracy Value LookUp'!$G$4:$H$104,2,TRUE))</f>
        <v/>
      </c>
      <c r="AQ110" s="94" t="str">
        <f t="shared" si="20"/>
        <v/>
      </c>
      <c r="AR110" s="46" t="str">
        <f>IF($AE110="","",VLOOKUP($AE110,'ORF Accuracy Value LookUp'!$G$4:$H$104,2,TRUE))</f>
        <v/>
      </c>
      <c r="AS110" s="140" t="str">
        <f t="shared" si="21"/>
        <v/>
      </c>
    </row>
    <row r="111" spans="1:45">
      <c r="A111" s="10"/>
      <c r="B111" s="12"/>
      <c r="C111" s="13"/>
      <c r="D111" s="14"/>
      <c r="E111" s="10"/>
      <c r="F111" s="11"/>
      <c r="G111" s="15"/>
      <c r="H111" s="87"/>
      <c r="I111" s="24"/>
      <c r="J111" s="24"/>
      <c r="K111" s="114" t="str">
        <f t="shared" si="12"/>
        <v/>
      </c>
      <c r="L111" s="24"/>
      <c r="M111" s="24"/>
      <c r="N111" s="24"/>
      <c r="O111" s="24"/>
      <c r="P111" s="97" t="str">
        <f t="shared" si="13"/>
        <v/>
      </c>
      <c r="Q111" s="113" t="str">
        <f t="shared" si="14"/>
        <v/>
      </c>
      <c r="R111" s="87"/>
      <c r="S111" s="24"/>
      <c r="T111" s="24"/>
      <c r="U111" s="78" t="str">
        <f t="shared" si="15"/>
        <v/>
      </c>
      <c r="V111" s="24"/>
      <c r="W111" s="24"/>
      <c r="X111" s="24"/>
      <c r="Y111" s="24"/>
      <c r="Z111" s="98" t="str">
        <f t="shared" si="16"/>
        <v/>
      </c>
      <c r="AA111" s="40" t="str">
        <f t="shared" si="22"/>
        <v/>
      </c>
      <c r="AB111" s="87"/>
      <c r="AC111" s="24"/>
      <c r="AD111" s="24"/>
      <c r="AE111" s="79" t="str">
        <f t="shared" si="17"/>
        <v/>
      </c>
      <c r="AF111" s="24"/>
      <c r="AG111" s="24"/>
      <c r="AH111" s="24"/>
      <c r="AI111" s="24"/>
      <c r="AJ111" s="99" t="str">
        <f t="shared" si="18"/>
        <v/>
      </c>
      <c r="AK111" s="31" t="str">
        <f t="shared" si="23"/>
        <v/>
      </c>
      <c r="AN111" s="139" t="str">
        <f>IF($K111="","",VLOOKUP($K111,'ORF Accuracy Value LookUp'!$G$4:$H$104,2,TRUE))</f>
        <v/>
      </c>
      <c r="AO111" s="94" t="str">
        <f t="shared" si="19"/>
        <v/>
      </c>
      <c r="AP111" s="47" t="str">
        <f>IF($U111="","",VLOOKUP($U111,'ORF Accuracy Value LookUp'!$G$4:$H$104,2,TRUE))</f>
        <v/>
      </c>
      <c r="AQ111" s="94" t="str">
        <f t="shared" si="20"/>
        <v/>
      </c>
      <c r="AR111" s="46" t="str">
        <f>IF($AE111="","",VLOOKUP($AE111,'ORF Accuracy Value LookUp'!$G$4:$H$104,2,TRUE))</f>
        <v/>
      </c>
      <c r="AS111" s="140" t="str">
        <f t="shared" si="21"/>
        <v/>
      </c>
    </row>
    <row r="112" spans="1:45">
      <c r="A112" s="10"/>
      <c r="B112" s="12"/>
      <c r="C112" s="13"/>
      <c r="D112" s="14"/>
      <c r="E112" s="10"/>
      <c r="F112" s="11"/>
      <c r="G112" s="15"/>
      <c r="H112" s="87"/>
      <c r="I112" s="24"/>
      <c r="J112" s="24"/>
      <c r="K112" s="114" t="str">
        <f t="shared" si="12"/>
        <v/>
      </c>
      <c r="L112" s="24"/>
      <c r="M112" s="24"/>
      <c r="N112" s="24"/>
      <c r="O112" s="24"/>
      <c r="P112" s="97" t="str">
        <f t="shared" si="13"/>
        <v/>
      </c>
      <c r="Q112" s="113" t="str">
        <f t="shared" si="14"/>
        <v/>
      </c>
      <c r="R112" s="87"/>
      <c r="S112" s="24"/>
      <c r="T112" s="24"/>
      <c r="U112" s="78" t="str">
        <f t="shared" si="15"/>
        <v/>
      </c>
      <c r="V112" s="24"/>
      <c r="W112" s="24"/>
      <c r="X112" s="24"/>
      <c r="Y112" s="24"/>
      <c r="Z112" s="98" t="str">
        <f t="shared" si="16"/>
        <v/>
      </c>
      <c r="AA112" s="40" t="str">
        <f t="shared" si="22"/>
        <v/>
      </c>
      <c r="AB112" s="87"/>
      <c r="AC112" s="24"/>
      <c r="AD112" s="24"/>
      <c r="AE112" s="79" t="str">
        <f t="shared" si="17"/>
        <v/>
      </c>
      <c r="AF112" s="24"/>
      <c r="AG112" s="24"/>
      <c r="AH112" s="24"/>
      <c r="AI112" s="24"/>
      <c r="AJ112" s="99" t="str">
        <f t="shared" si="18"/>
        <v/>
      </c>
      <c r="AK112" s="31" t="str">
        <f t="shared" si="23"/>
        <v/>
      </c>
      <c r="AN112" s="139" t="str">
        <f>IF($K112="","",VLOOKUP($K112,'ORF Accuracy Value LookUp'!$G$4:$H$104,2,TRUE))</f>
        <v/>
      </c>
      <c r="AO112" s="94" t="str">
        <f t="shared" si="19"/>
        <v/>
      </c>
      <c r="AP112" s="47" t="str">
        <f>IF($U112="","",VLOOKUP($U112,'ORF Accuracy Value LookUp'!$G$4:$H$104,2,TRUE))</f>
        <v/>
      </c>
      <c r="AQ112" s="94" t="str">
        <f t="shared" si="20"/>
        <v/>
      </c>
      <c r="AR112" s="46" t="str">
        <f>IF($AE112="","",VLOOKUP($AE112,'ORF Accuracy Value LookUp'!$G$4:$H$104,2,TRUE))</f>
        <v/>
      </c>
      <c r="AS112" s="140" t="str">
        <f t="shared" si="21"/>
        <v/>
      </c>
    </row>
    <row r="113" spans="1:45">
      <c r="A113" s="10"/>
      <c r="B113" s="12"/>
      <c r="C113" s="13"/>
      <c r="D113" s="14"/>
      <c r="E113" s="10"/>
      <c r="F113" s="11"/>
      <c r="G113" s="15"/>
      <c r="H113" s="87"/>
      <c r="I113" s="24"/>
      <c r="J113" s="24"/>
      <c r="K113" s="114" t="str">
        <f t="shared" si="12"/>
        <v/>
      </c>
      <c r="L113" s="24"/>
      <c r="M113" s="24"/>
      <c r="N113" s="24"/>
      <c r="O113" s="24"/>
      <c r="P113" s="97" t="str">
        <f t="shared" si="13"/>
        <v/>
      </c>
      <c r="Q113" s="113" t="str">
        <f t="shared" si="14"/>
        <v/>
      </c>
      <c r="R113" s="87"/>
      <c r="S113" s="24"/>
      <c r="T113" s="24"/>
      <c r="U113" s="78" t="str">
        <f t="shared" si="15"/>
        <v/>
      </c>
      <c r="V113" s="24"/>
      <c r="W113" s="24"/>
      <c r="X113" s="24"/>
      <c r="Y113" s="24"/>
      <c r="Z113" s="98" t="str">
        <f t="shared" si="16"/>
        <v/>
      </c>
      <c r="AA113" s="40" t="str">
        <f t="shared" si="22"/>
        <v/>
      </c>
      <c r="AB113" s="87"/>
      <c r="AC113" s="24"/>
      <c r="AD113" s="24"/>
      <c r="AE113" s="79" t="str">
        <f t="shared" si="17"/>
        <v/>
      </c>
      <c r="AF113" s="24"/>
      <c r="AG113" s="24"/>
      <c r="AH113" s="24"/>
      <c r="AI113" s="24"/>
      <c r="AJ113" s="99" t="str">
        <f t="shared" si="18"/>
        <v/>
      </c>
      <c r="AK113" s="31" t="str">
        <f t="shared" si="23"/>
        <v/>
      </c>
      <c r="AN113" s="139" t="str">
        <f>IF($K113="","",VLOOKUP($K113,'ORF Accuracy Value LookUp'!$G$4:$H$104,2,TRUE))</f>
        <v/>
      </c>
      <c r="AO113" s="94" t="str">
        <f t="shared" si="19"/>
        <v/>
      </c>
      <c r="AP113" s="47" t="str">
        <f>IF($U113="","",VLOOKUP($U113,'ORF Accuracy Value LookUp'!$G$4:$H$104,2,TRUE))</f>
        <v/>
      </c>
      <c r="AQ113" s="94" t="str">
        <f t="shared" si="20"/>
        <v/>
      </c>
      <c r="AR113" s="46" t="str">
        <f>IF($AE113="","",VLOOKUP($AE113,'ORF Accuracy Value LookUp'!$G$4:$H$104,2,TRUE))</f>
        <v/>
      </c>
      <c r="AS113" s="140" t="str">
        <f t="shared" si="21"/>
        <v/>
      </c>
    </row>
    <row r="114" spans="1:45">
      <c r="A114" s="10"/>
      <c r="B114" s="12"/>
      <c r="C114" s="13"/>
      <c r="D114" s="14"/>
      <c r="E114" s="10"/>
      <c r="F114" s="11"/>
      <c r="G114" s="15"/>
      <c r="H114" s="87"/>
      <c r="I114" s="24"/>
      <c r="J114" s="24"/>
      <c r="K114" s="114" t="str">
        <f t="shared" si="12"/>
        <v/>
      </c>
      <c r="L114" s="24"/>
      <c r="M114" s="24"/>
      <c r="N114" s="24"/>
      <c r="O114" s="24"/>
      <c r="P114" s="97" t="str">
        <f t="shared" si="13"/>
        <v/>
      </c>
      <c r="Q114" s="113" t="str">
        <f t="shared" si="14"/>
        <v/>
      </c>
      <c r="R114" s="87"/>
      <c r="S114" s="24"/>
      <c r="T114" s="24"/>
      <c r="U114" s="78" t="str">
        <f t="shared" si="15"/>
        <v/>
      </c>
      <c r="V114" s="24"/>
      <c r="W114" s="24"/>
      <c r="X114" s="24"/>
      <c r="Y114" s="24"/>
      <c r="Z114" s="98" t="str">
        <f t="shared" si="16"/>
        <v/>
      </c>
      <c r="AA114" s="40" t="str">
        <f t="shared" si="22"/>
        <v/>
      </c>
      <c r="AB114" s="87"/>
      <c r="AC114" s="24"/>
      <c r="AD114" s="24"/>
      <c r="AE114" s="79" t="str">
        <f t="shared" si="17"/>
        <v/>
      </c>
      <c r="AF114" s="24"/>
      <c r="AG114" s="24"/>
      <c r="AH114" s="24"/>
      <c r="AI114" s="24"/>
      <c r="AJ114" s="99" t="str">
        <f t="shared" si="18"/>
        <v/>
      </c>
      <c r="AK114" s="31" t="str">
        <f t="shared" si="23"/>
        <v/>
      </c>
      <c r="AN114" s="139" t="str">
        <f>IF($K114="","",VLOOKUP($K114,'ORF Accuracy Value LookUp'!$G$4:$H$104,2,TRUE))</f>
        <v/>
      </c>
      <c r="AO114" s="94" t="str">
        <f t="shared" si="19"/>
        <v/>
      </c>
      <c r="AP114" s="47" t="str">
        <f>IF($U114="","",VLOOKUP($U114,'ORF Accuracy Value LookUp'!$G$4:$H$104,2,TRUE))</f>
        <v/>
      </c>
      <c r="AQ114" s="94" t="str">
        <f t="shared" si="20"/>
        <v/>
      </c>
      <c r="AR114" s="46" t="str">
        <f>IF($AE114="","",VLOOKUP($AE114,'ORF Accuracy Value LookUp'!$G$4:$H$104,2,TRUE))</f>
        <v/>
      </c>
      <c r="AS114" s="140" t="str">
        <f t="shared" si="21"/>
        <v/>
      </c>
    </row>
    <row r="115" spans="1:45">
      <c r="A115" s="10"/>
      <c r="B115" s="12"/>
      <c r="C115" s="13"/>
      <c r="D115" s="14"/>
      <c r="E115" s="10"/>
      <c r="F115" s="11"/>
      <c r="G115" s="15"/>
      <c r="H115" s="87"/>
      <c r="I115" s="24"/>
      <c r="J115" s="24"/>
      <c r="K115" s="114" t="str">
        <f t="shared" si="12"/>
        <v/>
      </c>
      <c r="L115" s="24"/>
      <c r="M115" s="24"/>
      <c r="N115" s="24"/>
      <c r="O115" s="24"/>
      <c r="P115" s="97" t="str">
        <f t="shared" si="13"/>
        <v/>
      </c>
      <c r="Q115" s="113" t="str">
        <f t="shared" si="14"/>
        <v/>
      </c>
      <c r="R115" s="87"/>
      <c r="S115" s="24"/>
      <c r="T115" s="24"/>
      <c r="U115" s="78" t="str">
        <f t="shared" si="15"/>
        <v/>
      </c>
      <c r="V115" s="24"/>
      <c r="W115" s="24"/>
      <c r="X115" s="24"/>
      <c r="Y115" s="24"/>
      <c r="Z115" s="98" t="str">
        <f t="shared" si="16"/>
        <v/>
      </c>
      <c r="AA115" s="40" t="str">
        <f t="shared" si="22"/>
        <v/>
      </c>
      <c r="AB115" s="87"/>
      <c r="AC115" s="24"/>
      <c r="AD115" s="24"/>
      <c r="AE115" s="79" t="str">
        <f t="shared" si="17"/>
        <v/>
      </c>
      <c r="AF115" s="24"/>
      <c r="AG115" s="24"/>
      <c r="AH115" s="24"/>
      <c r="AI115" s="24"/>
      <c r="AJ115" s="99" t="str">
        <f t="shared" si="18"/>
        <v/>
      </c>
      <c r="AK115" s="31" t="str">
        <f t="shared" si="23"/>
        <v/>
      </c>
      <c r="AN115" s="139" t="str">
        <f>IF($K115="","",VLOOKUP($K115,'ORF Accuracy Value LookUp'!$G$4:$H$104,2,TRUE))</f>
        <v/>
      </c>
      <c r="AO115" s="94" t="str">
        <f t="shared" si="19"/>
        <v/>
      </c>
      <c r="AP115" s="47" t="str">
        <f>IF($U115="","",VLOOKUP($U115,'ORF Accuracy Value LookUp'!$G$4:$H$104,2,TRUE))</f>
        <v/>
      </c>
      <c r="AQ115" s="94" t="str">
        <f t="shared" si="20"/>
        <v/>
      </c>
      <c r="AR115" s="46" t="str">
        <f>IF($AE115="","",VLOOKUP($AE115,'ORF Accuracy Value LookUp'!$G$4:$H$104,2,TRUE))</f>
        <v/>
      </c>
      <c r="AS115" s="140" t="str">
        <f t="shared" si="21"/>
        <v/>
      </c>
    </row>
    <row r="116" spans="1:45">
      <c r="A116" s="10"/>
      <c r="B116" s="12"/>
      <c r="C116" s="13"/>
      <c r="D116" s="14"/>
      <c r="E116" s="10"/>
      <c r="F116" s="11"/>
      <c r="G116" s="15"/>
      <c r="H116" s="87"/>
      <c r="I116" s="24"/>
      <c r="J116" s="24"/>
      <c r="K116" s="114" t="str">
        <f t="shared" si="12"/>
        <v/>
      </c>
      <c r="L116" s="24"/>
      <c r="M116" s="24"/>
      <c r="N116" s="24"/>
      <c r="O116" s="24"/>
      <c r="P116" s="97" t="str">
        <f t="shared" si="13"/>
        <v/>
      </c>
      <c r="Q116" s="113" t="str">
        <f t="shared" si="14"/>
        <v/>
      </c>
      <c r="R116" s="87"/>
      <c r="S116" s="24"/>
      <c r="T116" s="24"/>
      <c r="U116" s="78" t="str">
        <f t="shared" si="15"/>
        <v/>
      </c>
      <c r="V116" s="24"/>
      <c r="W116" s="24"/>
      <c r="X116" s="24"/>
      <c r="Y116" s="24"/>
      <c r="Z116" s="98" t="str">
        <f t="shared" si="16"/>
        <v/>
      </c>
      <c r="AA116" s="40" t="str">
        <f t="shared" si="22"/>
        <v/>
      </c>
      <c r="AB116" s="87"/>
      <c r="AC116" s="24"/>
      <c r="AD116" s="24"/>
      <c r="AE116" s="79" t="str">
        <f t="shared" si="17"/>
        <v/>
      </c>
      <c r="AF116" s="24"/>
      <c r="AG116" s="24"/>
      <c r="AH116" s="24"/>
      <c r="AI116" s="24"/>
      <c r="AJ116" s="99" t="str">
        <f t="shared" si="18"/>
        <v/>
      </c>
      <c r="AK116" s="31" t="str">
        <f t="shared" si="23"/>
        <v/>
      </c>
      <c r="AN116" s="139" t="str">
        <f>IF($K116="","",VLOOKUP($K116,'ORF Accuracy Value LookUp'!$G$4:$H$104,2,TRUE))</f>
        <v/>
      </c>
      <c r="AO116" s="94" t="str">
        <f t="shared" si="19"/>
        <v/>
      </c>
      <c r="AP116" s="47" t="str">
        <f>IF($U116="","",VLOOKUP($U116,'ORF Accuracy Value LookUp'!$G$4:$H$104,2,TRUE))</f>
        <v/>
      </c>
      <c r="AQ116" s="94" t="str">
        <f t="shared" si="20"/>
        <v/>
      </c>
      <c r="AR116" s="46" t="str">
        <f>IF($AE116="","",VLOOKUP($AE116,'ORF Accuracy Value LookUp'!$G$4:$H$104,2,TRUE))</f>
        <v/>
      </c>
      <c r="AS116" s="140" t="str">
        <f t="shared" si="21"/>
        <v/>
      </c>
    </row>
    <row r="117" spans="1:45">
      <c r="A117" s="10"/>
      <c r="B117" s="12"/>
      <c r="C117" s="13"/>
      <c r="D117" s="14"/>
      <c r="E117" s="10"/>
      <c r="F117" s="11"/>
      <c r="G117" s="15"/>
      <c r="H117" s="87"/>
      <c r="I117" s="24"/>
      <c r="J117" s="24"/>
      <c r="K117" s="114" t="str">
        <f t="shared" si="12"/>
        <v/>
      </c>
      <c r="L117" s="24"/>
      <c r="M117" s="24"/>
      <c r="N117" s="24"/>
      <c r="O117" s="24"/>
      <c r="P117" s="97" t="str">
        <f t="shared" si="13"/>
        <v/>
      </c>
      <c r="Q117" s="113" t="str">
        <f t="shared" si="14"/>
        <v/>
      </c>
      <c r="R117" s="87"/>
      <c r="S117" s="24"/>
      <c r="T117" s="24"/>
      <c r="U117" s="78" t="str">
        <f t="shared" si="15"/>
        <v/>
      </c>
      <c r="V117" s="24"/>
      <c r="W117" s="24"/>
      <c r="X117" s="24"/>
      <c r="Y117" s="24"/>
      <c r="Z117" s="98" t="str">
        <f t="shared" si="16"/>
        <v/>
      </c>
      <c r="AA117" s="40" t="str">
        <f t="shared" si="22"/>
        <v/>
      </c>
      <c r="AB117" s="87"/>
      <c r="AC117" s="24"/>
      <c r="AD117" s="24"/>
      <c r="AE117" s="79" t="str">
        <f t="shared" si="17"/>
        <v/>
      </c>
      <c r="AF117" s="24"/>
      <c r="AG117" s="24"/>
      <c r="AH117" s="24"/>
      <c r="AI117" s="24"/>
      <c r="AJ117" s="99" t="str">
        <f t="shared" si="18"/>
        <v/>
      </c>
      <c r="AK117" s="31" t="str">
        <f t="shared" si="23"/>
        <v/>
      </c>
      <c r="AN117" s="139" t="str">
        <f>IF($K117="","",VLOOKUP($K117,'ORF Accuracy Value LookUp'!$G$4:$H$104,2,TRUE))</f>
        <v/>
      </c>
      <c r="AO117" s="94" t="str">
        <f t="shared" si="19"/>
        <v/>
      </c>
      <c r="AP117" s="47" t="str">
        <f>IF($U117="","",VLOOKUP($U117,'ORF Accuracy Value LookUp'!$G$4:$H$104,2,TRUE))</f>
        <v/>
      </c>
      <c r="AQ117" s="94" t="str">
        <f t="shared" si="20"/>
        <v/>
      </c>
      <c r="AR117" s="46" t="str">
        <f>IF($AE117="","",VLOOKUP($AE117,'ORF Accuracy Value LookUp'!$G$4:$H$104,2,TRUE))</f>
        <v/>
      </c>
      <c r="AS117" s="140" t="str">
        <f t="shared" si="21"/>
        <v/>
      </c>
    </row>
    <row r="118" spans="1:45">
      <c r="A118" s="10"/>
      <c r="B118" s="12"/>
      <c r="C118" s="13"/>
      <c r="D118" s="14"/>
      <c r="E118" s="10"/>
      <c r="F118" s="11"/>
      <c r="G118" s="15"/>
      <c r="H118" s="87"/>
      <c r="I118" s="24"/>
      <c r="J118" s="24"/>
      <c r="K118" s="114" t="str">
        <f t="shared" si="12"/>
        <v/>
      </c>
      <c r="L118" s="24"/>
      <c r="M118" s="24"/>
      <c r="N118" s="24"/>
      <c r="O118" s="24"/>
      <c r="P118" s="97" t="str">
        <f t="shared" si="13"/>
        <v/>
      </c>
      <c r="Q118" s="113" t="str">
        <f t="shared" si="14"/>
        <v/>
      </c>
      <c r="R118" s="87"/>
      <c r="S118" s="24"/>
      <c r="T118" s="24"/>
      <c r="U118" s="78" t="str">
        <f t="shared" si="15"/>
        <v/>
      </c>
      <c r="V118" s="24"/>
      <c r="W118" s="24"/>
      <c r="X118" s="24"/>
      <c r="Y118" s="24"/>
      <c r="Z118" s="98" t="str">
        <f t="shared" si="16"/>
        <v/>
      </c>
      <c r="AA118" s="40" t="str">
        <f t="shared" si="22"/>
        <v/>
      </c>
      <c r="AB118" s="87"/>
      <c r="AC118" s="24"/>
      <c r="AD118" s="24"/>
      <c r="AE118" s="79" t="str">
        <f t="shared" si="17"/>
        <v/>
      </c>
      <c r="AF118" s="24"/>
      <c r="AG118" s="24"/>
      <c r="AH118" s="24"/>
      <c r="AI118" s="24"/>
      <c r="AJ118" s="99" t="str">
        <f t="shared" si="18"/>
        <v/>
      </c>
      <c r="AK118" s="31" t="str">
        <f t="shared" si="23"/>
        <v/>
      </c>
      <c r="AN118" s="139" t="str">
        <f>IF($K118="","",VLOOKUP($K118,'ORF Accuracy Value LookUp'!$G$4:$H$104,2,TRUE))</f>
        <v/>
      </c>
      <c r="AO118" s="94" t="str">
        <f t="shared" si="19"/>
        <v/>
      </c>
      <c r="AP118" s="47" t="str">
        <f>IF($U118="","",VLOOKUP($U118,'ORF Accuracy Value LookUp'!$G$4:$H$104,2,TRUE))</f>
        <v/>
      </c>
      <c r="AQ118" s="94" t="str">
        <f t="shared" si="20"/>
        <v/>
      </c>
      <c r="AR118" s="46" t="str">
        <f>IF($AE118="","",VLOOKUP($AE118,'ORF Accuracy Value LookUp'!$G$4:$H$104,2,TRUE))</f>
        <v/>
      </c>
      <c r="AS118" s="140" t="str">
        <f t="shared" si="21"/>
        <v/>
      </c>
    </row>
    <row r="119" spans="1:45">
      <c r="A119" s="10"/>
      <c r="B119" s="12"/>
      <c r="C119" s="13"/>
      <c r="D119" s="14"/>
      <c r="E119" s="10"/>
      <c r="F119" s="11"/>
      <c r="G119" s="15"/>
      <c r="H119" s="87"/>
      <c r="I119" s="24"/>
      <c r="J119" s="24"/>
      <c r="K119" s="114" t="str">
        <f t="shared" si="12"/>
        <v/>
      </c>
      <c r="L119" s="24"/>
      <c r="M119" s="24"/>
      <c r="N119" s="24"/>
      <c r="O119" s="24"/>
      <c r="P119" s="97" t="str">
        <f t="shared" si="13"/>
        <v/>
      </c>
      <c r="Q119" s="113" t="str">
        <f t="shared" si="14"/>
        <v/>
      </c>
      <c r="R119" s="87"/>
      <c r="S119" s="24"/>
      <c r="T119" s="24"/>
      <c r="U119" s="78" t="str">
        <f t="shared" si="15"/>
        <v/>
      </c>
      <c r="V119" s="24"/>
      <c r="W119" s="24"/>
      <c r="X119" s="24"/>
      <c r="Y119" s="24"/>
      <c r="Z119" s="98" t="str">
        <f t="shared" si="16"/>
        <v/>
      </c>
      <c r="AA119" s="40" t="str">
        <f t="shared" si="22"/>
        <v/>
      </c>
      <c r="AB119" s="87"/>
      <c r="AC119" s="24"/>
      <c r="AD119" s="24"/>
      <c r="AE119" s="79" t="str">
        <f t="shared" si="17"/>
        <v/>
      </c>
      <c r="AF119" s="24"/>
      <c r="AG119" s="24"/>
      <c r="AH119" s="24"/>
      <c r="AI119" s="24"/>
      <c r="AJ119" s="99" t="str">
        <f t="shared" si="18"/>
        <v/>
      </c>
      <c r="AK119" s="31" t="str">
        <f t="shared" si="23"/>
        <v/>
      </c>
      <c r="AN119" s="139" t="str">
        <f>IF($K119="","",VLOOKUP($K119,'ORF Accuracy Value LookUp'!$G$4:$H$104,2,TRUE))</f>
        <v/>
      </c>
      <c r="AO119" s="94" t="str">
        <f t="shared" si="19"/>
        <v/>
      </c>
      <c r="AP119" s="47" t="str">
        <f>IF($U119="","",VLOOKUP($U119,'ORF Accuracy Value LookUp'!$G$4:$H$104,2,TRUE))</f>
        <v/>
      </c>
      <c r="AQ119" s="94" t="str">
        <f t="shared" si="20"/>
        <v/>
      </c>
      <c r="AR119" s="46" t="str">
        <f>IF($AE119="","",VLOOKUP($AE119,'ORF Accuracy Value LookUp'!$G$4:$H$104,2,TRUE))</f>
        <v/>
      </c>
      <c r="AS119" s="140" t="str">
        <f t="shared" si="21"/>
        <v/>
      </c>
    </row>
    <row r="120" spans="1:45">
      <c r="A120" s="10"/>
      <c r="B120" s="12"/>
      <c r="C120" s="13"/>
      <c r="D120" s="14"/>
      <c r="E120" s="10"/>
      <c r="F120" s="11"/>
      <c r="G120" s="15"/>
      <c r="H120" s="87"/>
      <c r="I120" s="24"/>
      <c r="J120" s="24"/>
      <c r="K120" s="114" t="str">
        <f t="shared" si="12"/>
        <v/>
      </c>
      <c r="L120" s="24"/>
      <c r="M120" s="24"/>
      <c r="N120" s="24"/>
      <c r="O120" s="24"/>
      <c r="P120" s="97" t="str">
        <f t="shared" si="13"/>
        <v/>
      </c>
      <c r="Q120" s="113" t="str">
        <f t="shared" si="14"/>
        <v/>
      </c>
      <c r="R120" s="87"/>
      <c r="S120" s="24"/>
      <c r="T120" s="24"/>
      <c r="U120" s="78" t="str">
        <f t="shared" si="15"/>
        <v/>
      </c>
      <c r="V120" s="24"/>
      <c r="W120" s="24"/>
      <c r="X120" s="24"/>
      <c r="Y120" s="24"/>
      <c r="Z120" s="98" t="str">
        <f t="shared" si="16"/>
        <v/>
      </c>
      <c r="AA120" s="40" t="str">
        <f t="shared" si="22"/>
        <v/>
      </c>
      <c r="AB120" s="87"/>
      <c r="AC120" s="24"/>
      <c r="AD120" s="24"/>
      <c r="AE120" s="79" t="str">
        <f t="shared" si="17"/>
        <v/>
      </c>
      <c r="AF120" s="24"/>
      <c r="AG120" s="24"/>
      <c r="AH120" s="24"/>
      <c r="AI120" s="24"/>
      <c r="AJ120" s="99" t="str">
        <f t="shared" si="18"/>
        <v/>
      </c>
      <c r="AK120" s="31" t="str">
        <f t="shared" si="23"/>
        <v/>
      </c>
      <c r="AN120" s="139" t="str">
        <f>IF($K120="","",VLOOKUP($K120,'ORF Accuracy Value LookUp'!$G$4:$H$104,2,TRUE))</f>
        <v/>
      </c>
      <c r="AO120" s="94" t="str">
        <f t="shared" si="19"/>
        <v/>
      </c>
      <c r="AP120" s="47" t="str">
        <f>IF($U120="","",VLOOKUP($U120,'ORF Accuracy Value LookUp'!$G$4:$H$104,2,TRUE))</f>
        <v/>
      </c>
      <c r="AQ120" s="94" t="str">
        <f t="shared" si="20"/>
        <v/>
      </c>
      <c r="AR120" s="46" t="str">
        <f>IF($AE120="","",VLOOKUP($AE120,'ORF Accuracy Value LookUp'!$G$4:$H$104,2,TRUE))</f>
        <v/>
      </c>
      <c r="AS120" s="140" t="str">
        <f t="shared" si="21"/>
        <v/>
      </c>
    </row>
    <row r="121" spans="1:45">
      <c r="A121" s="10"/>
      <c r="B121" s="12"/>
      <c r="C121" s="13"/>
      <c r="D121" s="14"/>
      <c r="E121" s="10"/>
      <c r="F121" s="11"/>
      <c r="G121" s="15"/>
      <c r="H121" s="87"/>
      <c r="I121" s="24"/>
      <c r="J121" s="24"/>
      <c r="K121" s="114" t="str">
        <f t="shared" si="12"/>
        <v/>
      </c>
      <c r="L121" s="24"/>
      <c r="M121" s="24"/>
      <c r="N121" s="24"/>
      <c r="O121" s="24"/>
      <c r="P121" s="97" t="str">
        <f t="shared" si="13"/>
        <v/>
      </c>
      <c r="Q121" s="113" t="str">
        <f t="shared" si="14"/>
        <v/>
      </c>
      <c r="R121" s="87"/>
      <c r="S121" s="24"/>
      <c r="T121" s="24"/>
      <c r="U121" s="78" t="str">
        <f t="shared" si="15"/>
        <v/>
      </c>
      <c r="V121" s="24"/>
      <c r="W121" s="24"/>
      <c r="X121" s="24"/>
      <c r="Y121" s="24"/>
      <c r="Z121" s="98" t="str">
        <f t="shared" si="16"/>
        <v/>
      </c>
      <c r="AA121" s="40" t="str">
        <f t="shared" si="22"/>
        <v/>
      </c>
      <c r="AB121" s="87"/>
      <c r="AC121" s="24"/>
      <c r="AD121" s="24"/>
      <c r="AE121" s="79" t="str">
        <f t="shared" si="17"/>
        <v/>
      </c>
      <c r="AF121" s="24"/>
      <c r="AG121" s="24"/>
      <c r="AH121" s="24"/>
      <c r="AI121" s="24"/>
      <c r="AJ121" s="99" t="str">
        <f t="shared" si="18"/>
        <v/>
      </c>
      <c r="AK121" s="31" t="str">
        <f t="shared" si="23"/>
        <v/>
      </c>
      <c r="AN121" s="139" t="str">
        <f>IF($K121="","",VLOOKUP($K121,'ORF Accuracy Value LookUp'!$G$4:$H$104,2,TRUE))</f>
        <v/>
      </c>
      <c r="AO121" s="94" t="str">
        <f t="shared" si="19"/>
        <v/>
      </c>
      <c r="AP121" s="47" t="str">
        <f>IF($U121="","",VLOOKUP($U121,'ORF Accuracy Value LookUp'!$G$4:$H$104,2,TRUE))</f>
        <v/>
      </c>
      <c r="AQ121" s="94" t="str">
        <f t="shared" si="20"/>
        <v/>
      </c>
      <c r="AR121" s="46" t="str">
        <f>IF($AE121="","",VLOOKUP($AE121,'ORF Accuracy Value LookUp'!$G$4:$H$104,2,TRUE))</f>
        <v/>
      </c>
      <c r="AS121" s="140" t="str">
        <f t="shared" si="21"/>
        <v/>
      </c>
    </row>
    <row r="122" spans="1:45">
      <c r="A122" s="10"/>
      <c r="B122" s="12"/>
      <c r="C122" s="13"/>
      <c r="D122" s="14"/>
      <c r="E122" s="10"/>
      <c r="F122" s="11"/>
      <c r="G122" s="15"/>
      <c r="H122" s="87"/>
      <c r="I122" s="24"/>
      <c r="J122" s="24"/>
      <c r="K122" s="114" t="str">
        <f t="shared" si="12"/>
        <v/>
      </c>
      <c r="L122" s="24"/>
      <c r="M122" s="24"/>
      <c r="N122" s="24"/>
      <c r="O122" s="24"/>
      <c r="P122" s="97" t="str">
        <f t="shared" si="13"/>
        <v/>
      </c>
      <c r="Q122" s="113" t="str">
        <f t="shared" si="14"/>
        <v/>
      </c>
      <c r="R122" s="87"/>
      <c r="S122" s="24"/>
      <c r="T122" s="24"/>
      <c r="U122" s="78" t="str">
        <f t="shared" si="15"/>
        <v/>
      </c>
      <c r="V122" s="24"/>
      <c r="W122" s="24"/>
      <c r="X122" s="24"/>
      <c r="Y122" s="24"/>
      <c r="Z122" s="98" t="str">
        <f t="shared" si="16"/>
        <v/>
      </c>
      <c r="AA122" s="40" t="str">
        <f t="shared" si="22"/>
        <v/>
      </c>
      <c r="AB122" s="87"/>
      <c r="AC122" s="24"/>
      <c r="AD122" s="24"/>
      <c r="AE122" s="79" t="str">
        <f t="shared" si="17"/>
        <v/>
      </c>
      <c r="AF122" s="24"/>
      <c r="AG122" s="24"/>
      <c r="AH122" s="24"/>
      <c r="AI122" s="24"/>
      <c r="AJ122" s="99" t="str">
        <f t="shared" si="18"/>
        <v/>
      </c>
      <c r="AK122" s="31" t="str">
        <f t="shared" si="23"/>
        <v/>
      </c>
      <c r="AN122" s="139" t="str">
        <f>IF($K122="","",VLOOKUP($K122,'ORF Accuracy Value LookUp'!$G$4:$H$104,2,TRUE))</f>
        <v/>
      </c>
      <c r="AO122" s="94" t="str">
        <f t="shared" si="19"/>
        <v/>
      </c>
      <c r="AP122" s="47" t="str">
        <f>IF($U122="","",VLOOKUP($U122,'ORF Accuracy Value LookUp'!$G$4:$H$104,2,TRUE))</f>
        <v/>
      </c>
      <c r="AQ122" s="94" t="str">
        <f t="shared" si="20"/>
        <v/>
      </c>
      <c r="AR122" s="46" t="str">
        <f>IF($AE122="","",VLOOKUP($AE122,'ORF Accuracy Value LookUp'!$G$4:$H$104,2,TRUE))</f>
        <v/>
      </c>
      <c r="AS122" s="140" t="str">
        <f t="shared" si="21"/>
        <v/>
      </c>
    </row>
    <row r="123" spans="1:45">
      <c r="A123" s="10"/>
      <c r="B123" s="12"/>
      <c r="C123" s="13"/>
      <c r="D123" s="14"/>
      <c r="E123" s="10"/>
      <c r="F123" s="11"/>
      <c r="G123" s="15"/>
      <c r="H123" s="87"/>
      <c r="I123" s="24"/>
      <c r="J123" s="24"/>
      <c r="K123" s="114" t="str">
        <f t="shared" si="12"/>
        <v/>
      </c>
      <c r="L123" s="24"/>
      <c r="M123" s="24"/>
      <c r="N123" s="24"/>
      <c r="O123" s="24"/>
      <c r="P123" s="97" t="str">
        <f t="shared" si="13"/>
        <v/>
      </c>
      <c r="Q123" s="113" t="str">
        <f t="shared" si="14"/>
        <v/>
      </c>
      <c r="R123" s="87"/>
      <c r="S123" s="24"/>
      <c r="T123" s="24"/>
      <c r="U123" s="78" t="str">
        <f t="shared" si="15"/>
        <v/>
      </c>
      <c r="V123" s="24"/>
      <c r="W123" s="24"/>
      <c r="X123" s="24"/>
      <c r="Y123" s="24"/>
      <c r="Z123" s="98" t="str">
        <f t="shared" si="16"/>
        <v/>
      </c>
      <c r="AA123" s="40" t="str">
        <f t="shared" si="22"/>
        <v/>
      </c>
      <c r="AB123" s="87"/>
      <c r="AC123" s="24"/>
      <c r="AD123" s="24"/>
      <c r="AE123" s="79" t="str">
        <f t="shared" si="17"/>
        <v/>
      </c>
      <c r="AF123" s="24"/>
      <c r="AG123" s="24"/>
      <c r="AH123" s="24"/>
      <c r="AI123" s="24"/>
      <c r="AJ123" s="99" t="str">
        <f t="shared" si="18"/>
        <v/>
      </c>
      <c r="AK123" s="31" t="str">
        <f t="shared" si="23"/>
        <v/>
      </c>
      <c r="AN123" s="139" t="str">
        <f>IF($K123="","",VLOOKUP($K123,'ORF Accuracy Value LookUp'!$G$4:$H$104,2,TRUE))</f>
        <v/>
      </c>
      <c r="AO123" s="94" t="str">
        <f t="shared" si="19"/>
        <v/>
      </c>
      <c r="AP123" s="47" t="str">
        <f>IF($U123="","",VLOOKUP($U123,'ORF Accuracy Value LookUp'!$G$4:$H$104,2,TRUE))</f>
        <v/>
      </c>
      <c r="AQ123" s="94" t="str">
        <f t="shared" si="20"/>
        <v/>
      </c>
      <c r="AR123" s="46" t="str">
        <f>IF($AE123="","",VLOOKUP($AE123,'ORF Accuracy Value LookUp'!$G$4:$H$104,2,TRUE))</f>
        <v/>
      </c>
      <c r="AS123" s="140" t="str">
        <f t="shared" si="21"/>
        <v/>
      </c>
    </row>
    <row r="124" spans="1:45">
      <c r="A124" s="10"/>
      <c r="B124" s="12"/>
      <c r="C124" s="13"/>
      <c r="D124" s="14"/>
      <c r="E124" s="10"/>
      <c r="F124" s="11"/>
      <c r="G124" s="15"/>
      <c r="H124" s="87"/>
      <c r="I124" s="24"/>
      <c r="J124" s="24"/>
      <c r="K124" s="114" t="str">
        <f t="shared" si="12"/>
        <v/>
      </c>
      <c r="L124" s="24"/>
      <c r="M124" s="24"/>
      <c r="N124" s="24"/>
      <c r="O124" s="24"/>
      <c r="P124" s="97" t="str">
        <f t="shared" si="13"/>
        <v/>
      </c>
      <c r="Q124" s="113" t="str">
        <f t="shared" si="14"/>
        <v/>
      </c>
      <c r="R124" s="87"/>
      <c r="S124" s="24"/>
      <c r="T124" s="24"/>
      <c r="U124" s="78" t="str">
        <f t="shared" si="15"/>
        <v/>
      </c>
      <c r="V124" s="24"/>
      <c r="W124" s="24"/>
      <c r="X124" s="24"/>
      <c r="Y124" s="24"/>
      <c r="Z124" s="98" t="str">
        <f t="shared" si="16"/>
        <v/>
      </c>
      <c r="AA124" s="40" t="str">
        <f t="shared" si="22"/>
        <v/>
      </c>
      <c r="AB124" s="87"/>
      <c r="AC124" s="24"/>
      <c r="AD124" s="24"/>
      <c r="AE124" s="79" t="str">
        <f t="shared" si="17"/>
        <v/>
      </c>
      <c r="AF124" s="24"/>
      <c r="AG124" s="24"/>
      <c r="AH124" s="24"/>
      <c r="AI124" s="24"/>
      <c r="AJ124" s="99" t="str">
        <f t="shared" si="18"/>
        <v/>
      </c>
      <c r="AK124" s="31" t="str">
        <f t="shared" si="23"/>
        <v/>
      </c>
      <c r="AN124" s="139" t="str">
        <f>IF($K124="","",VLOOKUP($K124,'ORF Accuracy Value LookUp'!$G$4:$H$104,2,TRUE))</f>
        <v/>
      </c>
      <c r="AO124" s="94" t="str">
        <f t="shared" si="19"/>
        <v/>
      </c>
      <c r="AP124" s="47" t="str">
        <f>IF($U124="","",VLOOKUP($U124,'ORF Accuracy Value LookUp'!$G$4:$H$104,2,TRUE))</f>
        <v/>
      </c>
      <c r="AQ124" s="94" t="str">
        <f t="shared" si="20"/>
        <v/>
      </c>
      <c r="AR124" s="46" t="str">
        <f>IF($AE124="","",VLOOKUP($AE124,'ORF Accuracy Value LookUp'!$G$4:$H$104,2,TRUE))</f>
        <v/>
      </c>
      <c r="AS124" s="140" t="str">
        <f t="shared" si="21"/>
        <v/>
      </c>
    </row>
    <row r="125" spans="1:45">
      <c r="A125" s="10"/>
      <c r="B125" s="12"/>
      <c r="C125" s="13"/>
      <c r="D125" s="14"/>
      <c r="E125" s="10"/>
      <c r="F125" s="11"/>
      <c r="G125" s="15"/>
      <c r="H125" s="87"/>
      <c r="I125" s="24"/>
      <c r="J125" s="24"/>
      <c r="K125" s="114" t="str">
        <f t="shared" si="12"/>
        <v/>
      </c>
      <c r="L125" s="24"/>
      <c r="M125" s="24"/>
      <c r="N125" s="24"/>
      <c r="O125" s="24"/>
      <c r="P125" s="97" t="str">
        <f t="shared" si="13"/>
        <v/>
      </c>
      <c r="Q125" s="113" t="str">
        <f t="shared" si="14"/>
        <v/>
      </c>
      <c r="R125" s="87"/>
      <c r="S125" s="24"/>
      <c r="T125" s="24"/>
      <c r="U125" s="78" t="str">
        <f t="shared" si="15"/>
        <v/>
      </c>
      <c r="V125" s="24"/>
      <c r="W125" s="24"/>
      <c r="X125" s="24"/>
      <c r="Y125" s="24"/>
      <c r="Z125" s="98" t="str">
        <f t="shared" si="16"/>
        <v/>
      </c>
      <c r="AA125" s="40" t="str">
        <f t="shared" si="22"/>
        <v/>
      </c>
      <c r="AB125" s="87"/>
      <c r="AC125" s="24"/>
      <c r="AD125" s="24"/>
      <c r="AE125" s="79" t="str">
        <f t="shared" si="17"/>
        <v/>
      </c>
      <c r="AF125" s="24"/>
      <c r="AG125" s="24"/>
      <c r="AH125" s="24"/>
      <c r="AI125" s="24"/>
      <c r="AJ125" s="99" t="str">
        <f t="shared" si="18"/>
        <v/>
      </c>
      <c r="AK125" s="31" t="str">
        <f t="shared" si="23"/>
        <v/>
      </c>
      <c r="AN125" s="139" t="str">
        <f>IF($K125="","",VLOOKUP($K125,'ORF Accuracy Value LookUp'!$G$4:$H$104,2,TRUE))</f>
        <v/>
      </c>
      <c r="AO125" s="94" t="str">
        <f t="shared" si="19"/>
        <v/>
      </c>
      <c r="AP125" s="47" t="str">
        <f>IF($U125="","",VLOOKUP($U125,'ORF Accuracy Value LookUp'!$G$4:$H$104,2,TRUE))</f>
        <v/>
      </c>
      <c r="AQ125" s="94" t="str">
        <f t="shared" si="20"/>
        <v/>
      </c>
      <c r="AR125" s="46" t="str">
        <f>IF($AE125="","",VLOOKUP($AE125,'ORF Accuracy Value LookUp'!$G$4:$H$104,2,TRUE))</f>
        <v/>
      </c>
      <c r="AS125" s="140" t="str">
        <f t="shared" si="21"/>
        <v/>
      </c>
    </row>
    <row r="126" spans="1:45">
      <c r="A126" s="10"/>
      <c r="B126" s="12"/>
      <c r="C126" s="13"/>
      <c r="D126" s="14"/>
      <c r="E126" s="10"/>
      <c r="F126" s="11"/>
      <c r="G126" s="15"/>
      <c r="H126" s="87"/>
      <c r="I126" s="24"/>
      <c r="J126" s="24"/>
      <c r="K126" s="114" t="str">
        <f t="shared" si="12"/>
        <v/>
      </c>
      <c r="L126" s="24"/>
      <c r="M126" s="24"/>
      <c r="N126" s="24"/>
      <c r="O126" s="24"/>
      <c r="P126" s="97" t="str">
        <f t="shared" si="13"/>
        <v/>
      </c>
      <c r="Q126" s="113" t="str">
        <f t="shared" si="14"/>
        <v/>
      </c>
      <c r="R126" s="87"/>
      <c r="S126" s="24"/>
      <c r="T126" s="24"/>
      <c r="U126" s="78" t="str">
        <f t="shared" si="15"/>
        <v/>
      </c>
      <c r="V126" s="24"/>
      <c r="W126" s="24"/>
      <c r="X126" s="24"/>
      <c r="Y126" s="24"/>
      <c r="Z126" s="98" t="str">
        <f t="shared" si="16"/>
        <v/>
      </c>
      <c r="AA126" s="40" t="str">
        <f t="shared" si="22"/>
        <v/>
      </c>
      <c r="AB126" s="87"/>
      <c r="AC126" s="24"/>
      <c r="AD126" s="24"/>
      <c r="AE126" s="79" t="str">
        <f t="shared" si="17"/>
        <v/>
      </c>
      <c r="AF126" s="24"/>
      <c r="AG126" s="24"/>
      <c r="AH126" s="24"/>
      <c r="AI126" s="24"/>
      <c r="AJ126" s="99" t="str">
        <f t="shared" si="18"/>
        <v/>
      </c>
      <c r="AK126" s="31" t="str">
        <f t="shared" si="23"/>
        <v/>
      </c>
      <c r="AN126" s="139" t="str">
        <f>IF($K126="","",VLOOKUP($K126,'ORF Accuracy Value LookUp'!$G$4:$H$104,2,TRUE))</f>
        <v/>
      </c>
      <c r="AO126" s="94" t="str">
        <f t="shared" si="19"/>
        <v/>
      </c>
      <c r="AP126" s="47" t="str">
        <f>IF($U126="","",VLOOKUP($U126,'ORF Accuracy Value LookUp'!$G$4:$H$104,2,TRUE))</f>
        <v/>
      </c>
      <c r="AQ126" s="94" t="str">
        <f t="shared" si="20"/>
        <v/>
      </c>
      <c r="AR126" s="46" t="str">
        <f>IF($AE126="","",VLOOKUP($AE126,'ORF Accuracy Value LookUp'!$G$4:$H$104,2,TRUE))</f>
        <v/>
      </c>
      <c r="AS126" s="140" t="str">
        <f t="shared" si="21"/>
        <v/>
      </c>
    </row>
    <row r="127" spans="1:45">
      <c r="A127" s="10"/>
      <c r="B127" s="12"/>
      <c r="C127" s="13"/>
      <c r="D127" s="14"/>
      <c r="E127" s="10"/>
      <c r="F127" s="11"/>
      <c r="G127" s="15"/>
      <c r="H127" s="87"/>
      <c r="I127" s="24"/>
      <c r="J127" s="24"/>
      <c r="K127" s="114" t="str">
        <f t="shared" si="12"/>
        <v/>
      </c>
      <c r="L127" s="24"/>
      <c r="M127" s="24"/>
      <c r="N127" s="24"/>
      <c r="O127" s="24"/>
      <c r="P127" s="97" t="str">
        <f t="shared" si="13"/>
        <v/>
      </c>
      <c r="Q127" s="113" t="str">
        <f t="shared" si="14"/>
        <v/>
      </c>
      <c r="R127" s="87"/>
      <c r="S127" s="24"/>
      <c r="T127" s="24"/>
      <c r="U127" s="78" t="str">
        <f t="shared" si="15"/>
        <v/>
      </c>
      <c r="V127" s="24"/>
      <c r="W127" s="24"/>
      <c r="X127" s="24"/>
      <c r="Y127" s="24"/>
      <c r="Z127" s="98" t="str">
        <f t="shared" si="16"/>
        <v/>
      </c>
      <c r="AA127" s="40" t="str">
        <f t="shared" si="22"/>
        <v/>
      </c>
      <c r="AB127" s="87"/>
      <c r="AC127" s="24"/>
      <c r="AD127" s="24"/>
      <c r="AE127" s="79" t="str">
        <f t="shared" si="17"/>
        <v/>
      </c>
      <c r="AF127" s="24"/>
      <c r="AG127" s="24"/>
      <c r="AH127" s="24"/>
      <c r="AI127" s="24"/>
      <c r="AJ127" s="99" t="str">
        <f t="shared" si="18"/>
        <v/>
      </c>
      <c r="AK127" s="31" t="str">
        <f t="shared" si="23"/>
        <v/>
      </c>
      <c r="AN127" s="139" t="str">
        <f>IF($K127="","",VLOOKUP($K127,'ORF Accuracy Value LookUp'!$G$4:$H$104,2,TRUE))</f>
        <v/>
      </c>
      <c r="AO127" s="94" t="str">
        <f t="shared" si="19"/>
        <v/>
      </c>
      <c r="AP127" s="47" t="str">
        <f>IF($U127="","",VLOOKUP($U127,'ORF Accuracy Value LookUp'!$G$4:$H$104,2,TRUE))</f>
        <v/>
      </c>
      <c r="AQ127" s="94" t="str">
        <f t="shared" si="20"/>
        <v/>
      </c>
      <c r="AR127" s="46" t="str">
        <f>IF($AE127="","",VLOOKUP($AE127,'ORF Accuracy Value LookUp'!$G$4:$H$104,2,TRUE))</f>
        <v/>
      </c>
      <c r="AS127" s="140" t="str">
        <f t="shared" si="21"/>
        <v/>
      </c>
    </row>
    <row r="128" spans="1:45">
      <c r="A128" s="10"/>
      <c r="B128" s="12"/>
      <c r="C128" s="13"/>
      <c r="D128" s="14"/>
      <c r="E128" s="10"/>
      <c r="F128" s="11"/>
      <c r="G128" s="15"/>
      <c r="H128" s="87"/>
      <c r="I128" s="24"/>
      <c r="J128" s="24"/>
      <c r="K128" s="114" t="str">
        <f t="shared" si="12"/>
        <v/>
      </c>
      <c r="L128" s="24"/>
      <c r="M128" s="24"/>
      <c r="N128" s="24"/>
      <c r="O128" s="24"/>
      <c r="P128" s="97" t="str">
        <f t="shared" si="13"/>
        <v/>
      </c>
      <c r="Q128" s="113" t="str">
        <f t="shared" si="14"/>
        <v/>
      </c>
      <c r="R128" s="87"/>
      <c r="S128" s="24"/>
      <c r="T128" s="24"/>
      <c r="U128" s="78" t="str">
        <f t="shared" si="15"/>
        <v/>
      </c>
      <c r="V128" s="24"/>
      <c r="W128" s="24"/>
      <c r="X128" s="24"/>
      <c r="Y128" s="24"/>
      <c r="Z128" s="98" t="str">
        <f t="shared" si="16"/>
        <v/>
      </c>
      <c r="AA128" s="40" t="str">
        <f t="shared" si="22"/>
        <v/>
      </c>
      <c r="AB128" s="87"/>
      <c r="AC128" s="24"/>
      <c r="AD128" s="24"/>
      <c r="AE128" s="79" t="str">
        <f t="shared" si="17"/>
        <v/>
      </c>
      <c r="AF128" s="24"/>
      <c r="AG128" s="24"/>
      <c r="AH128" s="24"/>
      <c r="AI128" s="24"/>
      <c r="AJ128" s="99" t="str">
        <f t="shared" si="18"/>
        <v/>
      </c>
      <c r="AK128" s="31" t="str">
        <f t="shared" si="23"/>
        <v/>
      </c>
      <c r="AN128" s="139" t="str">
        <f>IF($K128="","",VLOOKUP($K128,'ORF Accuracy Value LookUp'!$G$4:$H$104,2,TRUE))</f>
        <v/>
      </c>
      <c r="AO128" s="94" t="str">
        <f t="shared" si="19"/>
        <v/>
      </c>
      <c r="AP128" s="47" t="str">
        <f>IF($U128="","",VLOOKUP($U128,'ORF Accuracy Value LookUp'!$G$4:$H$104,2,TRUE))</f>
        <v/>
      </c>
      <c r="AQ128" s="94" t="str">
        <f t="shared" si="20"/>
        <v/>
      </c>
      <c r="AR128" s="46" t="str">
        <f>IF($AE128="","",VLOOKUP($AE128,'ORF Accuracy Value LookUp'!$G$4:$H$104,2,TRUE))</f>
        <v/>
      </c>
      <c r="AS128" s="140" t="str">
        <f t="shared" si="21"/>
        <v/>
      </c>
    </row>
    <row r="129" spans="1:45">
      <c r="A129" s="10"/>
      <c r="B129" s="12"/>
      <c r="C129" s="13"/>
      <c r="D129" s="14"/>
      <c r="E129" s="10"/>
      <c r="F129" s="11"/>
      <c r="G129" s="15"/>
      <c r="H129" s="87"/>
      <c r="I129" s="24"/>
      <c r="J129" s="24"/>
      <c r="K129" s="114" t="str">
        <f t="shared" si="12"/>
        <v/>
      </c>
      <c r="L129" s="24"/>
      <c r="M129" s="24"/>
      <c r="N129" s="24"/>
      <c r="O129" s="24"/>
      <c r="P129" s="97" t="str">
        <f t="shared" si="13"/>
        <v/>
      </c>
      <c r="Q129" s="113" t="str">
        <f t="shared" si="14"/>
        <v/>
      </c>
      <c r="R129" s="87"/>
      <c r="S129" s="24"/>
      <c r="T129" s="24"/>
      <c r="U129" s="78" t="str">
        <f t="shared" si="15"/>
        <v/>
      </c>
      <c r="V129" s="24"/>
      <c r="W129" s="24"/>
      <c r="X129" s="24"/>
      <c r="Y129" s="24"/>
      <c r="Z129" s="98" t="str">
        <f t="shared" si="16"/>
        <v/>
      </c>
      <c r="AA129" s="40" t="str">
        <f t="shared" si="22"/>
        <v/>
      </c>
      <c r="AB129" s="87"/>
      <c r="AC129" s="24"/>
      <c r="AD129" s="24"/>
      <c r="AE129" s="79" t="str">
        <f t="shared" si="17"/>
        <v/>
      </c>
      <c r="AF129" s="24"/>
      <c r="AG129" s="24"/>
      <c r="AH129" s="24"/>
      <c r="AI129" s="24"/>
      <c r="AJ129" s="99" t="str">
        <f t="shared" si="18"/>
        <v/>
      </c>
      <c r="AK129" s="31" t="str">
        <f t="shared" si="23"/>
        <v/>
      </c>
      <c r="AN129" s="139" t="str">
        <f>IF($K129="","",VLOOKUP($K129,'ORF Accuracy Value LookUp'!$G$4:$H$104,2,TRUE))</f>
        <v/>
      </c>
      <c r="AO129" s="94" t="str">
        <f t="shared" si="19"/>
        <v/>
      </c>
      <c r="AP129" s="47" t="str">
        <f>IF($U129="","",VLOOKUP($U129,'ORF Accuracy Value LookUp'!$G$4:$H$104,2,TRUE))</f>
        <v/>
      </c>
      <c r="AQ129" s="94" t="str">
        <f t="shared" si="20"/>
        <v/>
      </c>
      <c r="AR129" s="46" t="str">
        <f>IF($AE129="","",VLOOKUP($AE129,'ORF Accuracy Value LookUp'!$G$4:$H$104,2,TRUE))</f>
        <v/>
      </c>
      <c r="AS129" s="140" t="str">
        <f t="shared" si="21"/>
        <v/>
      </c>
    </row>
    <row r="130" spans="1:45">
      <c r="A130" s="10"/>
      <c r="B130" s="12"/>
      <c r="C130" s="13"/>
      <c r="D130" s="14"/>
      <c r="E130" s="10"/>
      <c r="F130" s="11"/>
      <c r="G130" s="15"/>
      <c r="H130" s="87"/>
      <c r="I130" s="24"/>
      <c r="J130" s="24"/>
      <c r="K130" s="114" t="str">
        <f t="shared" si="12"/>
        <v/>
      </c>
      <c r="L130" s="24"/>
      <c r="M130" s="24"/>
      <c r="N130" s="24"/>
      <c r="O130" s="24"/>
      <c r="P130" s="97" t="str">
        <f t="shared" si="13"/>
        <v/>
      </c>
      <c r="Q130" s="113" t="str">
        <f t="shared" si="14"/>
        <v/>
      </c>
      <c r="R130" s="87"/>
      <c r="S130" s="24"/>
      <c r="T130" s="24"/>
      <c r="U130" s="78" t="str">
        <f t="shared" si="15"/>
        <v/>
      </c>
      <c r="V130" s="24"/>
      <c r="W130" s="24"/>
      <c r="X130" s="24"/>
      <c r="Y130" s="24"/>
      <c r="Z130" s="98" t="str">
        <f t="shared" si="16"/>
        <v/>
      </c>
      <c r="AA130" s="40" t="str">
        <f t="shared" si="22"/>
        <v/>
      </c>
      <c r="AB130" s="87"/>
      <c r="AC130" s="24"/>
      <c r="AD130" s="24"/>
      <c r="AE130" s="79" t="str">
        <f t="shared" si="17"/>
        <v/>
      </c>
      <c r="AF130" s="24"/>
      <c r="AG130" s="24"/>
      <c r="AH130" s="24"/>
      <c r="AI130" s="24"/>
      <c r="AJ130" s="99" t="str">
        <f t="shared" si="18"/>
        <v/>
      </c>
      <c r="AK130" s="31" t="str">
        <f t="shared" si="23"/>
        <v/>
      </c>
      <c r="AN130" s="139" t="str">
        <f>IF($K130="","",VLOOKUP($K130,'ORF Accuracy Value LookUp'!$G$4:$H$104,2,TRUE))</f>
        <v/>
      </c>
      <c r="AO130" s="94" t="str">
        <f t="shared" si="19"/>
        <v/>
      </c>
      <c r="AP130" s="47" t="str">
        <f>IF($U130="","",VLOOKUP($U130,'ORF Accuracy Value LookUp'!$G$4:$H$104,2,TRUE))</f>
        <v/>
      </c>
      <c r="AQ130" s="94" t="str">
        <f t="shared" si="20"/>
        <v/>
      </c>
      <c r="AR130" s="46" t="str">
        <f>IF($AE130="","",VLOOKUP($AE130,'ORF Accuracy Value LookUp'!$G$4:$H$104,2,TRUE))</f>
        <v/>
      </c>
      <c r="AS130" s="140" t="str">
        <f t="shared" si="21"/>
        <v/>
      </c>
    </row>
    <row r="131" spans="1:45">
      <c r="A131" s="10"/>
      <c r="B131" s="12"/>
      <c r="C131" s="13"/>
      <c r="D131" s="14"/>
      <c r="E131" s="10"/>
      <c r="F131" s="11"/>
      <c r="G131" s="15"/>
      <c r="H131" s="87"/>
      <c r="I131" s="24"/>
      <c r="J131" s="24"/>
      <c r="K131" s="114" t="str">
        <f t="shared" si="12"/>
        <v/>
      </c>
      <c r="L131" s="24"/>
      <c r="M131" s="24"/>
      <c r="N131" s="24"/>
      <c r="O131" s="24"/>
      <c r="P131" s="97" t="str">
        <f t="shared" si="13"/>
        <v/>
      </c>
      <c r="Q131" s="113" t="str">
        <f t="shared" si="14"/>
        <v/>
      </c>
      <c r="R131" s="87"/>
      <c r="S131" s="24"/>
      <c r="T131" s="24"/>
      <c r="U131" s="78" t="str">
        <f t="shared" si="15"/>
        <v/>
      </c>
      <c r="V131" s="24"/>
      <c r="W131" s="24"/>
      <c r="X131" s="24"/>
      <c r="Y131" s="24"/>
      <c r="Z131" s="98" t="str">
        <f t="shared" si="16"/>
        <v/>
      </c>
      <c r="AA131" s="40" t="str">
        <f t="shared" si="22"/>
        <v/>
      </c>
      <c r="AB131" s="87"/>
      <c r="AC131" s="24"/>
      <c r="AD131" s="24"/>
      <c r="AE131" s="79" t="str">
        <f t="shared" si="17"/>
        <v/>
      </c>
      <c r="AF131" s="24"/>
      <c r="AG131" s="24"/>
      <c r="AH131" s="24"/>
      <c r="AI131" s="24"/>
      <c r="AJ131" s="99" t="str">
        <f t="shared" si="18"/>
        <v/>
      </c>
      <c r="AK131" s="31" t="str">
        <f t="shared" si="23"/>
        <v/>
      </c>
      <c r="AN131" s="139" t="str">
        <f>IF($K131="","",VLOOKUP($K131,'ORF Accuracy Value LookUp'!$G$4:$H$104,2,TRUE))</f>
        <v/>
      </c>
      <c r="AO131" s="94" t="str">
        <f t="shared" si="19"/>
        <v/>
      </c>
      <c r="AP131" s="47" t="str">
        <f>IF($U131="","",VLOOKUP($U131,'ORF Accuracy Value LookUp'!$G$4:$H$104,2,TRUE))</f>
        <v/>
      </c>
      <c r="AQ131" s="94" t="str">
        <f t="shared" si="20"/>
        <v/>
      </c>
      <c r="AR131" s="46" t="str">
        <f>IF($AE131="","",VLOOKUP($AE131,'ORF Accuracy Value LookUp'!$G$4:$H$104,2,TRUE))</f>
        <v/>
      </c>
      <c r="AS131" s="140" t="str">
        <f t="shared" si="21"/>
        <v/>
      </c>
    </row>
    <row r="132" spans="1:45">
      <c r="A132" s="10"/>
      <c r="B132" s="12"/>
      <c r="C132" s="13"/>
      <c r="D132" s="14"/>
      <c r="E132" s="10"/>
      <c r="F132" s="11"/>
      <c r="G132" s="15"/>
      <c r="H132" s="87"/>
      <c r="I132" s="24"/>
      <c r="J132" s="24"/>
      <c r="K132" s="114" t="str">
        <f t="shared" si="12"/>
        <v/>
      </c>
      <c r="L132" s="24"/>
      <c r="M132" s="24"/>
      <c r="N132" s="24"/>
      <c r="O132" s="24"/>
      <c r="P132" s="97" t="str">
        <f t="shared" si="13"/>
        <v/>
      </c>
      <c r="Q132" s="113" t="str">
        <f t="shared" si="14"/>
        <v/>
      </c>
      <c r="R132" s="87"/>
      <c r="S132" s="24"/>
      <c r="T132" s="24"/>
      <c r="U132" s="78" t="str">
        <f t="shared" si="15"/>
        <v/>
      </c>
      <c r="V132" s="24"/>
      <c r="W132" s="24"/>
      <c r="X132" s="24"/>
      <c r="Y132" s="24"/>
      <c r="Z132" s="98" t="str">
        <f t="shared" si="16"/>
        <v/>
      </c>
      <c r="AA132" s="40" t="str">
        <f t="shared" si="22"/>
        <v/>
      </c>
      <c r="AB132" s="87"/>
      <c r="AC132" s="24"/>
      <c r="AD132" s="24"/>
      <c r="AE132" s="79" t="str">
        <f t="shared" si="17"/>
        <v/>
      </c>
      <c r="AF132" s="24"/>
      <c r="AG132" s="24"/>
      <c r="AH132" s="24"/>
      <c r="AI132" s="24"/>
      <c r="AJ132" s="99" t="str">
        <f t="shared" si="18"/>
        <v/>
      </c>
      <c r="AK132" s="31" t="str">
        <f t="shared" si="23"/>
        <v/>
      </c>
      <c r="AN132" s="139" t="str">
        <f>IF($K132="","",VLOOKUP($K132,'ORF Accuracy Value LookUp'!$G$4:$H$104,2,TRUE))</f>
        <v/>
      </c>
      <c r="AO132" s="94" t="str">
        <f t="shared" si="19"/>
        <v/>
      </c>
      <c r="AP132" s="47" t="str">
        <f>IF($U132="","",VLOOKUP($U132,'ORF Accuracy Value LookUp'!$G$4:$H$104,2,TRUE))</f>
        <v/>
      </c>
      <c r="AQ132" s="94" t="str">
        <f t="shared" si="20"/>
        <v/>
      </c>
      <c r="AR132" s="46" t="str">
        <f>IF($AE132="","",VLOOKUP($AE132,'ORF Accuracy Value LookUp'!$G$4:$H$104,2,TRUE))</f>
        <v/>
      </c>
      <c r="AS132" s="140" t="str">
        <f t="shared" si="21"/>
        <v/>
      </c>
    </row>
    <row r="133" spans="1:45">
      <c r="A133" s="10"/>
      <c r="B133" s="9"/>
      <c r="C133" s="9"/>
      <c r="D133" s="9"/>
      <c r="E133" s="10"/>
      <c r="F133" s="11"/>
      <c r="G133" s="15"/>
      <c r="H133" s="88"/>
      <c r="I133" s="24"/>
      <c r="J133" s="24"/>
      <c r="K133" s="114" t="str">
        <f t="shared" ref="K133:K196" si="24">IF($I133="","",SUM($I133/($I133+$J133)))</f>
        <v/>
      </c>
      <c r="L133" s="24"/>
      <c r="M133" s="24"/>
      <c r="N133" s="24"/>
      <c r="O133" s="24"/>
      <c r="P133" s="97" t="str">
        <f t="shared" ref="P133:P196" si="25">IF($AO133&gt;0,$AO133,0)</f>
        <v/>
      </c>
      <c r="Q133" s="113" t="str">
        <f t="shared" ref="Q133:Q196" si="26">IF($B133="","",SUM($I133+$AN133+($L133*2)+($P133*2)))</f>
        <v/>
      </c>
      <c r="R133" s="88"/>
      <c r="S133" s="24"/>
      <c r="T133" s="24"/>
      <c r="U133" s="78" t="str">
        <f t="shared" ref="U133:U196" si="27">IF($S133="","",SUM($S133/($S133+$T133)))</f>
        <v/>
      </c>
      <c r="V133" s="24"/>
      <c r="W133" s="24"/>
      <c r="X133" s="24"/>
      <c r="Y133" s="24"/>
      <c r="Z133" s="98" t="str">
        <f t="shared" ref="Z133:Z196" si="28">IF($AQ133&gt;0,$AQ133,0)</f>
        <v/>
      </c>
      <c r="AA133" s="40" t="str">
        <f t="shared" si="22"/>
        <v/>
      </c>
      <c r="AB133" s="88"/>
      <c r="AC133" s="24"/>
      <c r="AD133" s="24"/>
      <c r="AE133" s="79" t="str">
        <f t="shared" ref="AE133:AE196" si="29">IF($AC133="","",SUM($AC133/($AC133+$AD133)))</f>
        <v/>
      </c>
      <c r="AF133" s="24"/>
      <c r="AG133" s="24"/>
      <c r="AH133" s="24"/>
      <c r="AI133" s="24"/>
      <c r="AJ133" s="99" t="str">
        <f t="shared" ref="AJ133:AJ196" si="30">IF($AS133&gt;0,$AS133,0)</f>
        <v/>
      </c>
      <c r="AK133" s="31" t="str">
        <f t="shared" si="23"/>
        <v/>
      </c>
      <c r="AN133" s="139" t="str">
        <f>IF($K133="","",VLOOKUP($K133,'ORF Accuracy Value LookUp'!$G$4:$H$104,2,TRUE))</f>
        <v/>
      </c>
      <c r="AO133" s="94" t="str">
        <f t="shared" ref="AO133:AO196" si="31">IF($N133="","",($N133-($O133/2)))</f>
        <v/>
      </c>
      <c r="AP133" s="47" t="str">
        <f>IF($U133="","",VLOOKUP($U133,'ORF Accuracy Value LookUp'!$G$4:$H$104,2,TRUE))</f>
        <v/>
      </c>
      <c r="AQ133" s="94" t="str">
        <f t="shared" ref="AQ133:AQ196" si="32">IF($X133="","",$X133-($Y133/2))</f>
        <v/>
      </c>
      <c r="AR133" s="46" t="str">
        <f>IF($AE133="","",VLOOKUP($AE133,'ORF Accuracy Value LookUp'!$G$4:$H$104,2,TRUE))</f>
        <v/>
      </c>
      <c r="AS133" s="140" t="str">
        <f t="shared" ref="AS133:AS196" si="33">IF($AH133="","",$AH133-($AI133/2))</f>
        <v/>
      </c>
    </row>
    <row r="134" spans="1:45">
      <c r="A134" s="10"/>
      <c r="B134" s="9"/>
      <c r="C134" s="9"/>
      <c r="D134" s="9"/>
      <c r="E134" s="10"/>
      <c r="F134" s="11"/>
      <c r="G134" s="15"/>
      <c r="H134" s="88"/>
      <c r="I134" s="24"/>
      <c r="J134" s="24"/>
      <c r="K134" s="114" t="str">
        <f t="shared" si="24"/>
        <v/>
      </c>
      <c r="L134" s="24"/>
      <c r="M134" s="24"/>
      <c r="N134" s="24"/>
      <c r="O134" s="24"/>
      <c r="P134" s="97" t="str">
        <f t="shared" si="25"/>
        <v/>
      </c>
      <c r="Q134" s="113" t="str">
        <f t="shared" si="26"/>
        <v/>
      </c>
      <c r="R134" s="88"/>
      <c r="S134" s="24"/>
      <c r="T134" s="24"/>
      <c r="U134" s="78" t="str">
        <f t="shared" si="27"/>
        <v/>
      </c>
      <c r="V134" s="24"/>
      <c r="W134" s="24"/>
      <c r="X134" s="24"/>
      <c r="Y134" s="24"/>
      <c r="Z134" s="98" t="str">
        <f t="shared" si="28"/>
        <v/>
      </c>
      <c r="AA134" s="40" t="str">
        <f t="shared" ref="AA134:AA197" si="34">IF($R134="","",SUM($S134+$AP134+($V134*2)+($Z134*4)))</f>
        <v/>
      </c>
      <c r="AB134" s="88"/>
      <c r="AC134" s="24"/>
      <c r="AD134" s="24"/>
      <c r="AE134" s="79" t="str">
        <f t="shared" si="29"/>
        <v/>
      </c>
      <c r="AF134" s="24"/>
      <c r="AG134" s="24"/>
      <c r="AH134" s="24"/>
      <c r="AI134" s="24"/>
      <c r="AJ134" s="99" t="str">
        <f t="shared" si="30"/>
        <v/>
      </c>
      <c r="AK134" s="31" t="str">
        <f t="shared" ref="AK134:AK197" si="35">IF($AB134="","",SUM($AC134+$AR134+($AF134*2)+($AJ134*4)))</f>
        <v/>
      </c>
      <c r="AN134" s="139" t="str">
        <f>IF($K134="","",VLOOKUP($K134,'ORF Accuracy Value LookUp'!$G$4:$H$104,2,TRUE))</f>
        <v/>
      </c>
      <c r="AO134" s="94" t="str">
        <f t="shared" si="31"/>
        <v/>
      </c>
      <c r="AP134" s="47" t="str">
        <f>IF($U134="","",VLOOKUP($U134,'ORF Accuracy Value LookUp'!$G$4:$H$104,2,TRUE))</f>
        <v/>
      </c>
      <c r="AQ134" s="94" t="str">
        <f t="shared" si="32"/>
        <v/>
      </c>
      <c r="AR134" s="46" t="str">
        <f>IF($AE134="","",VLOOKUP($AE134,'ORF Accuracy Value LookUp'!$G$4:$H$104,2,TRUE))</f>
        <v/>
      </c>
      <c r="AS134" s="140" t="str">
        <f t="shared" si="33"/>
        <v/>
      </c>
    </row>
    <row r="135" spans="1:45">
      <c r="A135" s="10"/>
      <c r="B135" s="9"/>
      <c r="C135" s="9"/>
      <c r="D135" s="9"/>
      <c r="E135" s="10"/>
      <c r="F135" s="11"/>
      <c r="G135" s="15"/>
      <c r="H135" s="88"/>
      <c r="I135" s="24"/>
      <c r="J135" s="24"/>
      <c r="K135" s="114" t="str">
        <f t="shared" si="24"/>
        <v/>
      </c>
      <c r="L135" s="24"/>
      <c r="M135" s="24"/>
      <c r="N135" s="24"/>
      <c r="O135" s="24"/>
      <c r="P135" s="97" t="str">
        <f t="shared" si="25"/>
        <v/>
      </c>
      <c r="Q135" s="113" t="str">
        <f t="shared" si="26"/>
        <v/>
      </c>
      <c r="R135" s="88"/>
      <c r="S135" s="24"/>
      <c r="T135" s="24"/>
      <c r="U135" s="78" t="str">
        <f t="shared" si="27"/>
        <v/>
      </c>
      <c r="V135" s="24"/>
      <c r="W135" s="24"/>
      <c r="X135" s="24"/>
      <c r="Y135" s="24"/>
      <c r="Z135" s="98" t="str">
        <f t="shared" si="28"/>
        <v/>
      </c>
      <c r="AA135" s="40" t="str">
        <f t="shared" si="34"/>
        <v/>
      </c>
      <c r="AB135" s="88"/>
      <c r="AC135" s="24"/>
      <c r="AD135" s="24"/>
      <c r="AE135" s="79" t="str">
        <f t="shared" si="29"/>
        <v/>
      </c>
      <c r="AF135" s="24"/>
      <c r="AG135" s="24"/>
      <c r="AH135" s="24"/>
      <c r="AI135" s="24"/>
      <c r="AJ135" s="99" t="str">
        <f t="shared" si="30"/>
        <v/>
      </c>
      <c r="AK135" s="31" t="str">
        <f t="shared" si="35"/>
        <v/>
      </c>
      <c r="AN135" s="139" t="str">
        <f>IF($K135="","",VLOOKUP($K135,'ORF Accuracy Value LookUp'!$G$4:$H$104,2,TRUE))</f>
        <v/>
      </c>
      <c r="AO135" s="94" t="str">
        <f t="shared" si="31"/>
        <v/>
      </c>
      <c r="AP135" s="47" t="str">
        <f>IF($U135="","",VLOOKUP($U135,'ORF Accuracy Value LookUp'!$G$4:$H$104,2,TRUE))</f>
        <v/>
      </c>
      <c r="AQ135" s="94" t="str">
        <f t="shared" si="32"/>
        <v/>
      </c>
      <c r="AR135" s="46" t="str">
        <f>IF($AE135="","",VLOOKUP($AE135,'ORF Accuracy Value LookUp'!$G$4:$H$104,2,TRUE))</f>
        <v/>
      </c>
      <c r="AS135" s="140" t="str">
        <f t="shared" si="33"/>
        <v/>
      </c>
    </row>
    <row r="136" spans="1:45">
      <c r="A136" s="10"/>
      <c r="B136" s="9"/>
      <c r="C136" s="9"/>
      <c r="D136" s="9"/>
      <c r="E136" s="10"/>
      <c r="F136" s="11"/>
      <c r="G136" s="15"/>
      <c r="H136" s="88"/>
      <c r="I136" s="24"/>
      <c r="J136" s="24"/>
      <c r="K136" s="114" t="str">
        <f t="shared" si="24"/>
        <v/>
      </c>
      <c r="L136" s="24"/>
      <c r="M136" s="24"/>
      <c r="N136" s="24"/>
      <c r="O136" s="24"/>
      <c r="P136" s="97" t="str">
        <f t="shared" si="25"/>
        <v/>
      </c>
      <c r="Q136" s="113" t="str">
        <f t="shared" si="26"/>
        <v/>
      </c>
      <c r="R136" s="88"/>
      <c r="S136" s="24"/>
      <c r="T136" s="24"/>
      <c r="U136" s="78" t="str">
        <f t="shared" si="27"/>
        <v/>
      </c>
      <c r="V136" s="24"/>
      <c r="W136" s="24"/>
      <c r="X136" s="24"/>
      <c r="Y136" s="24"/>
      <c r="Z136" s="98" t="str">
        <f t="shared" si="28"/>
        <v/>
      </c>
      <c r="AA136" s="40" t="str">
        <f t="shared" si="34"/>
        <v/>
      </c>
      <c r="AB136" s="88"/>
      <c r="AC136" s="24"/>
      <c r="AD136" s="24"/>
      <c r="AE136" s="79" t="str">
        <f t="shared" si="29"/>
        <v/>
      </c>
      <c r="AF136" s="24"/>
      <c r="AG136" s="24"/>
      <c r="AH136" s="24"/>
      <c r="AI136" s="24"/>
      <c r="AJ136" s="99" t="str">
        <f t="shared" si="30"/>
        <v/>
      </c>
      <c r="AK136" s="31" t="str">
        <f t="shared" si="35"/>
        <v/>
      </c>
      <c r="AN136" s="139" t="str">
        <f>IF($K136="","",VLOOKUP($K136,'ORF Accuracy Value LookUp'!$G$4:$H$104,2,TRUE))</f>
        <v/>
      </c>
      <c r="AO136" s="94" t="str">
        <f t="shared" si="31"/>
        <v/>
      </c>
      <c r="AP136" s="47" t="str">
        <f>IF($U136="","",VLOOKUP($U136,'ORF Accuracy Value LookUp'!$G$4:$H$104,2,TRUE))</f>
        <v/>
      </c>
      <c r="AQ136" s="94" t="str">
        <f t="shared" si="32"/>
        <v/>
      </c>
      <c r="AR136" s="46" t="str">
        <f>IF($AE136="","",VLOOKUP($AE136,'ORF Accuracy Value LookUp'!$G$4:$H$104,2,TRUE))</f>
        <v/>
      </c>
      <c r="AS136" s="140" t="str">
        <f t="shared" si="33"/>
        <v/>
      </c>
    </row>
    <row r="137" spans="1:45">
      <c r="A137" s="10"/>
      <c r="B137" s="9"/>
      <c r="C137" s="9"/>
      <c r="D137" s="9"/>
      <c r="E137" s="10"/>
      <c r="F137" s="11"/>
      <c r="G137" s="15"/>
      <c r="H137" s="88"/>
      <c r="I137" s="24"/>
      <c r="J137" s="24"/>
      <c r="K137" s="114" t="str">
        <f t="shared" si="24"/>
        <v/>
      </c>
      <c r="L137" s="24"/>
      <c r="M137" s="24"/>
      <c r="N137" s="24"/>
      <c r="O137" s="24"/>
      <c r="P137" s="97" t="str">
        <f t="shared" si="25"/>
        <v/>
      </c>
      <c r="Q137" s="113" t="str">
        <f t="shared" si="26"/>
        <v/>
      </c>
      <c r="R137" s="88"/>
      <c r="S137" s="24"/>
      <c r="T137" s="24"/>
      <c r="U137" s="78" t="str">
        <f t="shared" si="27"/>
        <v/>
      </c>
      <c r="V137" s="24"/>
      <c r="W137" s="24"/>
      <c r="X137" s="24"/>
      <c r="Y137" s="24"/>
      <c r="Z137" s="98" t="str">
        <f t="shared" si="28"/>
        <v/>
      </c>
      <c r="AA137" s="40" t="str">
        <f t="shared" si="34"/>
        <v/>
      </c>
      <c r="AB137" s="88"/>
      <c r="AC137" s="24"/>
      <c r="AD137" s="24"/>
      <c r="AE137" s="79" t="str">
        <f t="shared" si="29"/>
        <v/>
      </c>
      <c r="AF137" s="24"/>
      <c r="AG137" s="24"/>
      <c r="AH137" s="24"/>
      <c r="AI137" s="24"/>
      <c r="AJ137" s="99" t="str">
        <f t="shared" si="30"/>
        <v/>
      </c>
      <c r="AK137" s="31" t="str">
        <f t="shared" si="35"/>
        <v/>
      </c>
      <c r="AN137" s="139" t="str">
        <f>IF($K137="","",VLOOKUP($K137,'ORF Accuracy Value LookUp'!$G$4:$H$104,2,TRUE))</f>
        <v/>
      </c>
      <c r="AO137" s="94" t="str">
        <f t="shared" si="31"/>
        <v/>
      </c>
      <c r="AP137" s="47" t="str">
        <f>IF($U137="","",VLOOKUP($U137,'ORF Accuracy Value LookUp'!$G$4:$H$104,2,TRUE))</f>
        <v/>
      </c>
      <c r="AQ137" s="94" t="str">
        <f t="shared" si="32"/>
        <v/>
      </c>
      <c r="AR137" s="46" t="str">
        <f>IF($AE137="","",VLOOKUP($AE137,'ORF Accuracy Value LookUp'!$G$4:$H$104,2,TRUE))</f>
        <v/>
      </c>
      <c r="AS137" s="140" t="str">
        <f t="shared" si="33"/>
        <v/>
      </c>
    </row>
    <row r="138" spans="1:45">
      <c r="A138" s="10"/>
      <c r="B138" s="9"/>
      <c r="C138" s="9"/>
      <c r="D138" s="9"/>
      <c r="E138" s="10"/>
      <c r="F138" s="11"/>
      <c r="G138" s="15"/>
      <c r="H138" s="88"/>
      <c r="I138" s="24"/>
      <c r="J138" s="24"/>
      <c r="K138" s="114" t="str">
        <f t="shared" si="24"/>
        <v/>
      </c>
      <c r="L138" s="24"/>
      <c r="M138" s="24"/>
      <c r="N138" s="24"/>
      <c r="O138" s="24"/>
      <c r="P138" s="97" t="str">
        <f t="shared" si="25"/>
        <v/>
      </c>
      <c r="Q138" s="113" t="str">
        <f t="shared" si="26"/>
        <v/>
      </c>
      <c r="R138" s="88"/>
      <c r="S138" s="24"/>
      <c r="T138" s="24"/>
      <c r="U138" s="78" t="str">
        <f t="shared" si="27"/>
        <v/>
      </c>
      <c r="V138" s="24"/>
      <c r="W138" s="24"/>
      <c r="X138" s="24"/>
      <c r="Y138" s="24"/>
      <c r="Z138" s="98" t="str">
        <f t="shared" si="28"/>
        <v/>
      </c>
      <c r="AA138" s="40" t="str">
        <f t="shared" si="34"/>
        <v/>
      </c>
      <c r="AB138" s="88"/>
      <c r="AC138" s="24"/>
      <c r="AD138" s="24"/>
      <c r="AE138" s="79" t="str">
        <f t="shared" si="29"/>
        <v/>
      </c>
      <c r="AF138" s="24"/>
      <c r="AG138" s="24"/>
      <c r="AH138" s="24"/>
      <c r="AI138" s="24"/>
      <c r="AJ138" s="99" t="str">
        <f t="shared" si="30"/>
        <v/>
      </c>
      <c r="AK138" s="31" t="str">
        <f t="shared" si="35"/>
        <v/>
      </c>
      <c r="AN138" s="139" t="str">
        <f>IF($K138="","",VLOOKUP($K138,'ORF Accuracy Value LookUp'!$G$4:$H$104,2,TRUE))</f>
        <v/>
      </c>
      <c r="AO138" s="94" t="str">
        <f t="shared" si="31"/>
        <v/>
      </c>
      <c r="AP138" s="47" t="str">
        <f>IF($U138="","",VLOOKUP($U138,'ORF Accuracy Value LookUp'!$G$4:$H$104,2,TRUE))</f>
        <v/>
      </c>
      <c r="AQ138" s="94" t="str">
        <f t="shared" si="32"/>
        <v/>
      </c>
      <c r="AR138" s="46" t="str">
        <f>IF($AE138="","",VLOOKUP($AE138,'ORF Accuracy Value LookUp'!$G$4:$H$104,2,TRUE))</f>
        <v/>
      </c>
      <c r="AS138" s="140" t="str">
        <f t="shared" si="33"/>
        <v/>
      </c>
    </row>
    <row r="139" spans="1:45">
      <c r="A139" s="10"/>
      <c r="B139" s="9"/>
      <c r="C139" s="9"/>
      <c r="D139" s="9"/>
      <c r="E139" s="10"/>
      <c r="F139" s="11"/>
      <c r="G139" s="15"/>
      <c r="H139" s="88"/>
      <c r="I139" s="24"/>
      <c r="J139" s="24"/>
      <c r="K139" s="114" t="str">
        <f t="shared" si="24"/>
        <v/>
      </c>
      <c r="L139" s="24"/>
      <c r="M139" s="24"/>
      <c r="N139" s="24"/>
      <c r="O139" s="24"/>
      <c r="P139" s="97" t="str">
        <f t="shared" si="25"/>
        <v/>
      </c>
      <c r="Q139" s="113" t="str">
        <f t="shared" si="26"/>
        <v/>
      </c>
      <c r="R139" s="88"/>
      <c r="S139" s="24"/>
      <c r="T139" s="24"/>
      <c r="U139" s="78" t="str">
        <f t="shared" si="27"/>
        <v/>
      </c>
      <c r="V139" s="24"/>
      <c r="W139" s="24"/>
      <c r="X139" s="24"/>
      <c r="Y139" s="24"/>
      <c r="Z139" s="98" t="str">
        <f t="shared" si="28"/>
        <v/>
      </c>
      <c r="AA139" s="40" t="str">
        <f t="shared" si="34"/>
        <v/>
      </c>
      <c r="AB139" s="88"/>
      <c r="AC139" s="24"/>
      <c r="AD139" s="24"/>
      <c r="AE139" s="79" t="str">
        <f t="shared" si="29"/>
        <v/>
      </c>
      <c r="AF139" s="24"/>
      <c r="AG139" s="24"/>
      <c r="AH139" s="24"/>
      <c r="AI139" s="24"/>
      <c r="AJ139" s="99" t="str">
        <f t="shared" si="30"/>
        <v/>
      </c>
      <c r="AK139" s="31" t="str">
        <f t="shared" si="35"/>
        <v/>
      </c>
      <c r="AN139" s="139" t="str">
        <f>IF($K139="","",VLOOKUP($K139,'ORF Accuracy Value LookUp'!$G$4:$H$104,2,TRUE))</f>
        <v/>
      </c>
      <c r="AO139" s="94" t="str">
        <f t="shared" si="31"/>
        <v/>
      </c>
      <c r="AP139" s="47" t="str">
        <f>IF($U139="","",VLOOKUP($U139,'ORF Accuracy Value LookUp'!$G$4:$H$104,2,TRUE))</f>
        <v/>
      </c>
      <c r="AQ139" s="94" t="str">
        <f t="shared" si="32"/>
        <v/>
      </c>
      <c r="AR139" s="46" t="str">
        <f>IF($AE139="","",VLOOKUP($AE139,'ORF Accuracy Value LookUp'!$G$4:$H$104,2,TRUE))</f>
        <v/>
      </c>
      <c r="AS139" s="140" t="str">
        <f t="shared" si="33"/>
        <v/>
      </c>
    </row>
    <row r="140" spans="1:45">
      <c r="A140" s="10"/>
      <c r="B140" s="9"/>
      <c r="C140" s="9"/>
      <c r="D140" s="9"/>
      <c r="E140" s="10"/>
      <c r="F140" s="11"/>
      <c r="G140" s="15"/>
      <c r="H140" s="88"/>
      <c r="I140" s="24"/>
      <c r="J140" s="24"/>
      <c r="K140" s="114" t="str">
        <f t="shared" si="24"/>
        <v/>
      </c>
      <c r="L140" s="24"/>
      <c r="M140" s="24"/>
      <c r="N140" s="24"/>
      <c r="O140" s="24"/>
      <c r="P140" s="97" t="str">
        <f t="shared" si="25"/>
        <v/>
      </c>
      <c r="Q140" s="113" t="str">
        <f t="shared" si="26"/>
        <v/>
      </c>
      <c r="R140" s="88"/>
      <c r="S140" s="24"/>
      <c r="T140" s="24"/>
      <c r="U140" s="78" t="str">
        <f t="shared" si="27"/>
        <v/>
      </c>
      <c r="V140" s="24"/>
      <c r="W140" s="24"/>
      <c r="X140" s="24"/>
      <c r="Y140" s="24"/>
      <c r="Z140" s="98" t="str">
        <f t="shared" si="28"/>
        <v/>
      </c>
      <c r="AA140" s="40" t="str">
        <f t="shared" si="34"/>
        <v/>
      </c>
      <c r="AB140" s="88"/>
      <c r="AC140" s="24"/>
      <c r="AD140" s="24"/>
      <c r="AE140" s="79" t="str">
        <f t="shared" si="29"/>
        <v/>
      </c>
      <c r="AF140" s="24"/>
      <c r="AG140" s="24"/>
      <c r="AH140" s="24"/>
      <c r="AI140" s="24"/>
      <c r="AJ140" s="99" t="str">
        <f t="shared" si="30"/>
        <v/>
      </c>
      <c r="AK140" s="31" t="str">
        <f t="shared" si="35"/>
        <v/>
      </c>
      <c r="AN140" s="139" t="str">
        <f>IF($K140="","",VLOOKUP($K140,'ORF Accuracy Value LookUp'!$G$4:$H$104,2,TRUE))</f>
        <v/>
      </c>
      <c r="AO140" s="94" t="str">
        <f t="shared" si="31"/>
        <v/>
      </c>
      <c r="AP140" s="47" t="str">
        <f>IF($U140="","",VLOOKUP($U140,'ORF Accuracy Value LookUp'!$G$4:$H$104,2,TRUE))</f>
        <v/>
      </c>
      <c r="AQ140" s="94" t="str">
        <f t="shared" si="32"/>
        <v/>
      </c>
      <c r="AR140" s="46" t="str">
        <f>IF($AE140="","",VLOOKUP($AE140,'ORF Accuracy Value LookUp'!$G$4:$H$104,2,TRUE))</f>
        <v/>
      </c>
      <c r="AS140" s="140" t="str">
        <f t="shared" si="33"/>
        <v/>
      </c>
    </row>
    <row r="141" spans="1:45">
      <c r="A141" s="10"/>
      <c r="B141" s="9"/>
      <c r="C141" s="9"/>
      <c r="D141" s="9"/>
      <c r="E141" s="10"/>
      <c r="F141" s="11"/>
      <c r="G141" s="15"/>
      <c r="H141" s="88"/>
      <c r="I141" s="24"/>
      <c r="J141" s="24"/>
      <c r="K141" s="114" t="str">
        <f t="shared" si="24"/>
        <v/>
      </c>
      <c r="L141" s="24"/>
      <c r="M141" s="24"/>
      <c r="N141" s="24"/>
      <c r="O141" s="24"/>
      <c r="P141" s="97" t="str">
        <f t="shared" si="25"/>
        <v/>
      </c>
      <c r="Q141" s="113" t="str">
        <f t="shared" si="26"/>
        <v/>
      </c>
      <c r="R141" s="88"/>
      <c r="S141" s="24"/>
      <c r="T141" s="24"/>
      <c r="U141" s="78" t="str">
        <f t="shared" si="27"/>
        <v/>
      </c>
      <c r="V141" s="24"/>
      <c r="W141" s="24"/>
      <c r="X141" s="24"/>
      <c r="Y141" s="24"/>
      <c r="Z141" s="98" t="str">
        <f t="shared" si="28"/>
        <v/>
      </c>
      <c r="AA141" s="40" t="str">
        <f t="shared" si="34"/>
        <v/>
      </c>
      <c r="AB141" s="88"/>
      <c r="AC141" s="24"/>
      <c r="AD141" s="24"/>
      <c r="AE141" s="79" t="str">
        <f t="shared" si="29"/>
        <v/>
      </c>
      <c r="AF141" s="24"/>
      <c r="AG141" s="24"/>
      <c r="AH141" s="24"/>
      <c r="AI141" s="24"/>
      <c r="AJ141" s="99" t="str">
        <f t="shared" si="30"/>
        <v/>
      </c>
      <c r="AK141" s="31" t="str">
        <f t="shared" si="35"/>
        <v/>
      </c>
      <c r="AN141" s="139" t="str">
        <f>IF($K141="","",VLOOKUP($K141,'ORF Accuracy Value LookUp'!$G$4:$H$104,2,TRUE))</f>
        <v/>
      </c>
      <c r="AO141" s="94" t="str">
        <f t="shared" si="31"/>
        <v/>
      </c>
      <c r="AP141" s="47" t="str">
        <f>IF($U141="","",VLOOKUP($U141,'ORF Accuracy Value LookUp'!$G$4:$H$104,2,TRUE))</f>
        <v/>
      </c>
      <c r="AQ141" s="94" t="str">
        <f t="shared" si="32"/>
        <v/>
      </c>
      <c r="AR141" s="46" t="str">
        <f>IF($AE141="","",VLOOKUP($AE141,'ORF Accuracy Value LookUp'!$G$4:$H$104,2,TRUE))</f>
        <v/>
      </c>
      <c r="AS141" s="140" t="str">
        <f t="shared" si="33"/>
        <v/>
      </c>
    </row>
    <row r="142" spans="1:45">
      <c r="A142" s="10"/>
      <c r="B142" s="9"/>
      <c r="C142" s="9"/>
      <c r="D142" s="9"/>
      <c r="E142" s="10"/>
      <c r="F142" s="11"/>
      <c r="G142" s="15"/>
      <c r="H142" s="88"/>
      <c r="I142" s="24"/>
      <c r="J142" s="24"/>
      <c r="K142" s="114" t="str">
        <f t="shared" si="24"/>
        <v/>
      </c>
      <c r="L142" s="24"/>
      <c r="M142" s="24"/>
      <c r="N142" s="24"/>
      <c r="O142" s="24"/>
      <c r="P142" s="97" t="str">
        <f t="shared" si="25"/>
        <v/>
      </c>
      <c r="Q142" s="113" t="str">
        <f t="shared" si="26"/>
        <v/>
      </c>
      <c r="R142" s="88"/>
      <c r="S142" s="24"/>
      <c r="T142" s="24"/>
      <c r="U142" s="78" t="str">
        <f t="shared" si="27"/>
        <v/>
      </c>
      <c r="V142" s="24"/>
      <c r="W142" s="24"/>
      <c r="X142" s="24"/>
      <c r="Y142" s="24"/>
      <c r="Z142" s="98" t="str">
        <f t="shared" si="28"/>
        <v/>
      </c>
      <c r="AA142" s="40" t="str">
        <f t="shared" si="34"/>
        <v/>
      </c>
      <c r="AB142" s="88"/>
      <c r="AC142" s="24"/>
      <c r="AD142" s="24"/>
      <c r="AE142" s="79" t="str">
        <f t="shared" si="29"/>
        <v/>
      </c>
      <c r="AF142" s="24"/>
      <c r="AG142" s="24"/>
      <c r="AH142" s="24"/>
      <c r="AI142" s="24"/>
      <c r="AJ142" s="99" t="str">
        <f t="shared" si="30"/>
        <v/>
      </c>
      <c r="AK142" s="31" t="str">
        <f t="shared" si="35"/>
        <v/>
      </c>
      <c r="AN142" s="139" t="str">
        <f>IF($K142="","",VLOOKUP($K142,'ORF Accuracy Value LookUp'!$G$4:$H$104,2,TRUE))</f>
        <v/>
      </c>
      <c r="AO142" s="94" t="str">
        <f t="shared" si="31"/>
        <v/>
      </c>
      <c r="AP142" s="47" t="str">
        <f>IF($U142="","",VLOOKUP($U142,'ORF Accuracy Value LookUp'!$G$4:$H$104,2,TRUE))</f>
        <v/>
      </c>
      <c r="AQ142" s="94" t="str">
        <f t="shared" si="32"/>
        <v/>
      </c>
      <c r="AR142" s="46" t="str">
        <f>IF($AE142="","",VLOOKUP($AE142,'ORF Accuracy Value LookUp'!$G$4:$H$104,2,TRUE))</f>
        <v/>
      </c>
      <c r="AS142" s="140" t="str">
        <f t="shared" si="33"/>
        <v/>
      </c>
    </row>
    <row r="143" spans="1:45">
      <c r="A143" s="10"/>
      <c r="B143" s="9"/>
      <c r="C143" s="9"/>
      <c r="D143" s="9"/>
      <c r="E143" s="10"/>
      <c r="F143" s="11"/>
      <c r="G143" s="15"/>
      <c r="H143" s="88"/>
      <c r="I143" s="24"/>
      <c r="J143" s="24"/>
      <c r="K143" s="114" t="str">
        <f t="shared" si="24"/>
        <v/>
      </c>
      <c r="L143" s="24"/>
      <c r="M143" s="24"/>
      <c r="N143" s="24"/>
      <c r="O143" s="24"/>
      <c r="P143" s="97" t="str">
        <f t="shared" si="25"/>
        <v/>
      </c>
      <c r="Q143" s="113" t="str">
        <f t="shared" si="26"/>
        <v/>
      </c>
      <c r="R143" s="88"/>
      <c r="S143" s="24"/>
      <c r="T143" s="24"/>
      <c r="U143" s="78" t="str">
        <f t="shared" si="27"/>
        <v/>
      </c>
      <c r="V143" s="24"/>
      <c r="W143" s="24"/>
      <c r="X143" s="24"/>
      <c r="Y143" s="24"/>
      <c r="Z143" s="98" t="str">
        <f t="shared" si="28"/>
        <v/>
      </c>
      <c r="AA143" s="40" t="str">
        <f t="shared" si="34"/>
        <v/>
      </c>
      <c r="AB143" s="88"/>
      <c r="AC143" s="24"/>
      <c r="AD143" s="24"/>
      <c r="AE143" s="79" t="str">
        <f t="shared" si="29"/>
        <v/>
      </c>
      <c r="AF143" s="24"/>
      <c r="AG143" s="24"/>
      <c r="AH143" s="24"/>
      <c r="AI143" s="24"/>
      <c r="AJ143" s="99" t="str">
        <f t="shared" si="30"/>
        <v/>
      </c>
      <c r="AK143" s="31" t="str">
        <f t="shared" si="35"/>
        <v/>
      </c>
      <c r="AN143" s="139" t="str">
        <f>IF($K143="","",VLOOKUP($K143,'ORF Accuracy Value LookUp'!$G$4:$H$104,2,TRUE))</f>
        <v/>
      </c>
      <c r="AO143" s="94" t="str">
        <f t="shared" si="31"/>
        <v/>
      </c>
      <c r="AP143" s="47" t="str">
        <f>IF($U143="","",VLOOKUP($U143,'ORF Accuracy Value LookUp'!$G$4:$H$104,2,TRUE))</f>
        <v/>
      </c>
      <c r="AQ143" s="94" t="str">
        <f t="shared" si="32"/>
        <v/>
      </c>
      <c r="AR143" s="46" t="str">
        <f>IF($AE143="","",VLOOKUP($AE143,'ORF Accuracy Value LookUp'!$G$4:$H$104,2,TRUE))</f>
        <v/>
      </c>
      <c r="AS143" s="140" t="str">
        <f t="shared" si="33"/>
        <v/>
      </c>
    </row>
    <row r="144" spans="1:45">
      <c r="A144" s="10"/>
      <c r="B144" s="9"/>
      <c r="C144" s="9"/>
      <c r="D144" s="9"/>
      <c r="E144" s="10"/>
      <c r="F144" s="11"/>
      <c r="G144" s="15"/>
      <c r="H144" s="88"/>
      <c r="I144" s="24"/>
      <c r="J144" s="24"/>
      <c r="K144" s="114" t="str">
        <f t="shared" si="24"/>
        <v/>
      </c>
      <c r="L144" s="24"/>
      <c r="M144" s="24"/>
      <c r="N144" s="24"/>
      <c r="O144" s="24"/>
      <c r="P144" s="97" t="str">
        <f t="shared" si="25"/>
        <v/>
      </c>
      <c r="Q144" s="113" t="str">
        <f t="shared" si="26"/>
        <v/>
      </c>
      <c r="R144" s="88"/>
      <c r="S144" s="24"/>
      <c r="T144" s="24"/>
      <c r="U144" s="78" t="str">
        <f t="shared" si="27"/>
        <v/>
      </c>
      <c r="V144" s="24"/>
      <c r="W144" s="24"/>
      <c r="X144" s="24"/>
      <c r="Y144" s="24"/>
      <c r="Z144" s="98" t="str">
        <f t="shared" si="28"/>
        <v/>
      </c>
      <c r="AA144" s="40" t="str">
        <f t="shared" si="34"/>
        <v/>
      </c>
      <c r="AB144" s="88"/>
      <c r="AC144" s="24"/>
      <c r="AD144" s="24"/>
      <c r="AE144" s="79" t="str">
        <f t="shared" si="29"/>
        <v/>
      </c>
      <c r="AF144" s="24"/>
      <c r="AG144" s="24"/>
      <c r="AH144" s="24"/>
      <c r="AI144" s="24"/>
      <c r="AJ144" s="99" t="str">
        <f t="shared" si="30"/>
        <v/>
      </c>
      <c r="AK144" s="31" t="str">
        <f t="shared" si="35"/>
        <v/>
      </c>
      <c r="AN144" s="139" t="str">
        <f>IF($K144="","",VLOOKUP($K144,'ORF Accuracy Value LookUp'!$G$4:$H$104,2,TRUE))</f>
        <v/>
      </c>
      <c r="AO144" s="94" t="str">
        <f t="shared" si="31"/>
        <v/>
      </c>
      <c r="AP144" s="47" t="str">
        <f>IF($U144="","",VLOOKUP($U144,'ORF Accuracy Value LookUp'!$G$4:$H$104,2,TRUE))</f>
        <v/>
      </c>
      <c r="AQ144" s="94" t="str">
        <f t="shared" si="32"/>
        <v/>
      </c>
      <c r="AR144" s="46" t="str">
        <f>IF($AE144="","",VLOOKUP($AE144,'ORF Accuracy Value LookUp'!$G$4:$H$104,2,TRUE))</f>
        <v/>
      </c>
      <c r="AS144" s="140" t="str">
        <f t="shared" si="33"/>
        <v/>
      </c>
    </row>
    <row r="145" spans="1:45">
      <c r="A145" s="10"/>
      <c r="B145" s="9"/>
      <c r="C145" s="9"/>
      <c r="D145" s="9"/>
      <c r="E145" s="10"/>
      <c r="F145" s="11"/>
      <c r="G145" s="15"/>
      <c r="H145" s="88"/>
      <c r="I145" s="24"/>
      <c r="J145" s="24"/>
      <c r="K145" s="114" t="str">
        <f t="shared" si="24"/>
        <v/>
      </c>
      <c r="L145" s="24"/>
      <c r="M145" s="24"/>
      <c r="N145" s="24"/>
      <c r="O145" s="24"/>
      <c r="P145" s="97" t="str">
        <f t="shared" si="25"/>
        <v/>
      </c>
      <c r="Q145" s="113" t="str">
        <f t="shared" si="26"/>
        <v/>
      </c>
      <c r="R145" s="88"/>
      <c r="S145" s="24"/>
      <c r="T145" s="24"/>
      <c r="U145" s="78" t="str">
        <f t="shared" si="27"/>
        <v/>
      </c>
      <c r="V145" s="24"/>
      <c r="W145" s="24"/>
      <c r="X145" s="24"/>
      <c r="Y145" s="24"/>
      <c r="Z145" s="98" t="str">
        <f t="shared" si="28"/>
        <v/>
      </c>
      <c r="AA145" s="40" t="str">
        <f t="shared" si="34"/>
        <v/>
      </c>
      <c r="AB145" s="88"/>
      <c r="AC145" s="24"/>
      <c r="AD145" s="24"/>
      <c r="AE145" s="79" t="str">
        <f t="shared" si="29"/>
        <v/>
      </c>
      <c r="AF145" s="24"/>
      <c r="AG145" s="24"/>
      <c r="AH145" s="24"/>
      <c r="AI145" s="24"/>
      <c r="AJ145" s="99" t="str">
        <f t="shared" si="30"/>
        <v/>
      </c>
      <c r="AK145" s="31" t="str">
        <f t="shared" si="35"/>
        <v/>
      </c>
      <c r="AN145" s="139" t="str">
        <f>IF($K145="","",VLOOKUP($K145,'ORF Accuracy Value LookUp'!$G$4:$H$104,2,TRUE))</f>
        <v/>
      </c>
      <c r="AO145" s="94" t="str">
        <f t="shared" si="31"/>
        <v/>
      </c>
      <c r="AP145" s="47" t="str">
        <f>IF($U145="","",VLOOKUP($U145,'ORF Accuracy Value LookUp'!$G$4:$H$104,2,TRUE))</f>
        <v/>
      </c>
      <c r="AQ145" s="94" t="str">
        <f t="shared" si="32"/>
        <v/>
      </c>
      <c r="AR145" s="46" t="str">
        <f>IF($AE145="","",VLOOKUP($AE145,'ORF Accuracy Value LookUp'!$G$4:$H$104,2,TRUE))</f>
        <v/>
      </c>
      <c r="AS145" s="140" t="str">
        <f t="shared" si="33"/>
        <v/>
      </c>
    </row>
    <row r="146" spans="1:45">
      <c r="A146" s="10"/>
      <c r="B146" s="9"/>
      <c r="C146" s="9"/>
      <c r="D146" s="9"/>
      <c r="E146" s="10"/>
      <c r="F146" s="11"/>
      <c r="G146" s="15"/>
      <c r="H146" s="88"/>
      <c r="I146" s="24"/>
      <c r="J146" s="24"/>
      <c r="K146" s="114" t="str">
        <f t="shared" si="24"/>
        <v/>
      </c>
      <c r="L146" s="24"/>
      <c r="M146" s="24"/>
      <c r="N146" s="24"/>
      <c r="O146" s="24"/>
      <c r="P146" s="97" t="str">
        <f t="shared" si="25"/>
        <v/>
      </c>
      <c r="Q146" s="113" t="str">
        <f t="shared" si="26"/>
        <v/>
      </c>
      <c r="R146" s="88"/>
      <c r="S146" s="24"/>
      <c r="T146" s="24"/>
      <c r="U146" s="78" t="str">
        <f t="shared" si="27"/>
        <v/>
      </c>
      <c r="V146" s="24"/>
      <c r="W146" s="24"/>
      <c r="X146" s="24"/>
      <c r="Y146" s="24"/>
      <c r="Z146" s="98" t="str">
        <f t="shared" si="28"/>
        <v/>
      </c>
      <c r="AA146" s="40" t="str">
        <f t="shared" si="34"/>
        <v/>
      </c>
      <c r="AB146" s="88"/>
      <c r="AC146" s="24"/>
      <c r="AD146" s="24"/>
      <c r="AE146" s="79" t="str">
        <f t="shared" si="29"/>
        <v/>
      </c>
      <c r="AF146" s="24"/>
      <c r="AG146" s="24"/>
      <c r="AH146" s="24"/>
      <c r="AI146" s="24"/>
      <c r="AJ146" s="99" t="str">
        <f t="shared" si="30"/>
        <v/>
      </c>
      <c r="AK146" s="31" t="str">
        <f t="shared" si="35"/>
        <v/>
      </c>
      <c r="AN146" s="139" t="str">
        <f>IF($K146="","",VLOOKUP($K146,'ORF Accuracy Value LookUp'!$G$4:$H$104,2,TRUE))</f>
        <v/>
      </c>
      <c r="AO146" s="94" t="str">
        <f t="shared" si="31"/>
        <v/>
      </c>
      <c r="AP146" s="47" t="str">
        <f>IF($U146="","",VLOOKUP($U146,'ORF Accuracy Value LookUp'!$G$4:$H$104,2,TRUE))</f>
        <v/>
      </c>
      <c r="AQ146" s="94" t="str">
        <f t="shared" si="32"/>
        <v/>
      </c>
      <c r="AR146" s="46" t="str">
        <f>IF($AE146="","",VLOOKUP($AE146,'ORF Accuracy Value LookUp'!$G$4:$H$104,2,TRUE))</f>
        <v/>
      </c>
      <c r="AS146" s="140" t="str">
        <f t="shared" si="33"/>
        <v/>
      </c>
    </row>
    <row r="147" spans="1:45">
      <c r="A147" s="10"/>
      <c r="B147" s="9"/>
      <c r="C147" s="9"/>
      <c r="D147" s="9"/>
      <c r="E147" s="10"/>
      <c r="F147" s="11"/>
      <c r="G147" s="15"/>
      <c r="H147" s="88"/>
      <c r="I147" s="24"/>
      <c r="J147" s="24"/>
      <c r="K147" s="114" t="str">
        <f t="shared" si="24"/>
        <v/>
      </c>
      <c r="L147" s="24"/>
      <c r="M147" s="24"/>
      <c r="N147" s="24"/>
      <c r="O147" s="24"/>
      <c r="P147" s="97" t="str">
        <f t="shared" si="25"/>
        <v/>
      </c>
      <c r="Q147" s="113" t="str">
        <f t="shared" si="26"/>
        <v/>
      </c>
      <c r="R147" s="88"/>
      <c r="S147" s="24"/>
      <c r="T147" s="24"/>
      <c r="U147" s="78" t="str">
        <f t="shared" si="27"/>
        <v/>
      </c>
      <c r="V147" s="24"/>
      <c r="W147" s="24"/>
      <c r="X147" s="24"/>
      <c r="Y147" s="24"/>
      <c r="Z147" s="98" t="str">
        <f t="shared" si="28"/>
        <v/>
      </c>
      <c r="AA147" s="40" t="str">
        <f t="shared" si="34"/>
        <v/>
      </c>
      <c r="AB147" s="88"/>
      <c r="AC147" s="24"/>
      <c r="AD147" s="24"/>
      <c r="AE147" s="79" t="str">
        <f t="shared" si="29"/>
        <v/>
      </c>
      <c r="AF147" s="24"/>
      <c r="AG147" s="24"/>
      <c r="AH147" s="24"/>
      <c r="AI147" s="24"/>
      <c r="AJ147" s="99" t="str">
        <f t="shared" si="30"/>
        <v/>
      </c>
      <c r="AK147" s="31" t="str">
        <f t="shared" si="35"/>
        <v/>
      </c>
      <c r="AN147" s="139" t="str">
        <f>IF($K147="","",VLOOKUP($K147,'ORF Accuracy Value LookUp'!$G$4:$H$104,2,TRUE))</f>
        <v/>
      </c>
      <c r="AO147" s="94" t="str">
        <f t="shared" si="31"/>
        <v/>
      </c>
      <c r="AP147" s="47" t="str">
        <f>IF($U147="","",VLOOKUP($U147,'ORF Accuracy Value LookUp'!$G$4:$H$104,2,TRUE))</f>
        <v/>
      </c>
      <c r="AQ147" s="94" t="str">
        <f t="shared" si="32"/>
        <v/>
      </c>
      <c r="AR147" s="46" t="str">
        <f>IF($AE147="","",VLOOKUP($AE147,'ORF Accuracy Value LookUp'!$G$4:$H$104,2,TRUE))</f>
        <v/>
      </c>
      <c r="AS147" s="140" t="str">
        <f t="shared" si="33"/>
        <v/>
      </c>
    </row>
    <row r="148" spans="1:45">
      <c r="A148" s="10"/>
      <c r="B148" s="9"/>
      <c r="C148" s="9"/>
      <c r="D148" s="9"/>
      <c r="E148" s="10"/>
      <c r="F148" s="11"/>
      <c r="G148" s="15"/>
      <c r="H148" s="88"/>
      <c r="I148" s="24"/>
      <c r="J148" s="24"/>
      <c r="K148" s="114" t="str">
        <f t="shared" si="24"/>
        <v/>
      </c>
      <c r="L148" s="24"/>
      <c r="M148" s="24"/>
      <c r="N148" s="24"/>
      <c r="O148" s="24"/>
      <c r="P148" s="97" t="str">
        <f t="shared" si="25"/>
        <v/>
      </c>
      <c r="Q148" s="113" t="str">
        <f t="shared" si="26"/>
        <v/>
      </c>
      <c r="R148" s="88"/>
      <c r="S148" s="24"/>
      <c r="T148" s="24"/>
      <c r="U148" s="78" t="str">
        <f t="shared" si="27"/>
        <v/>
      </c>
      <c r="V148" s="24"/>
      <c r="W148" s="24"/>
      <c r="X148" s="24"/>
      <c r="Y148" s="24"/>
      <c r="Z148" s="98" t="str">
        <f t="shared" si="28"/>
        <v/>
      </c>
      <c r="AA148" s="40" t="str">
        <f t="shared" si="34"/>
        <v/>
      </c>
      <c r="AB148" s="88"/>
      <c r="AC148" s="24"/>
      <c r="AD148" s="24"/>
      <c r="AE148" s="79" t="str">
        <f t="shared" si="29"/>
        <v/>
      </c>
      <c r="AF148" s="24"/>
      <c r="AG148" s="24"/>
      <c r="AH148" s="24"/>
      <c r="AI148" s="24"/>
      <c r="AJ148" s="99" t="str">
        <f t="shared" si="30"/>
        <v/>
      </c>
      <c r="AK148" s="31" t="str">
        <f t="shared" si="35"/>
        <v/>
      </c>
      <c r="AN148" s="139" t="str">
        <f>IF($K148="","",VLOOKUP($K148,'ORF Accuracy Value LookUp'!$G$4:$H$104,2,TRUE))</f>
        <v/>
      </c>
      <c r="AO148" s="94" t="str">
        <f t="shared" si="31"/>
        <v/>
      </c>
      <c r="AP148" s="47" t="str">
        <f>IF($U148="","",VLOOKUP($U148,'ORF Accuracy Value LookUp'!$G$4:$H$104,2,TRUE))</f>
        <v/>
      </c>
      <c r="AQ148" s="94" t="str">
        <f t="shared" si="32"/>
        <v/>
      </c>
      <c r="AR148" s="46" t="str">
        <f>IF($AE148="","",VLOOKUP($AE148,'ORF Accuracy Value LookUp'!$G$4:$H$104,2,TRUE))</f>
        <v/>
      </c>
      <c r="AS148" s="140" t="str">
        <f t="shared" si="33"/>
        <v/>
      </c>
    </row>
    <row r="149" spans="1:45">
      <c r="A149" s="10"/>
      <c r="B149" s="9"/>
      <c r="C149" s="9"/>
      <c r="D149" s="9"/>
      <c r="E149" s="10"/>
      <c r="F149" s="11"/>
      <c r="G149" s="15"/>
      <c r="H149" s="88"/>
      <c r="I149" s="24"/>
      <c r="J149" s="24"/>
      <c r="K149" s="114" t="str">
        <f t="shared" si="24"/>
        <v/>
      </c>
      <c r="L149" s="24"/>
      <c r="M149" s="24"/>
      <c r="N149" s="24"/>
      <c r="O149" s="24"/>
      <c r="P149" s="97" t="str">
        <f t="shared" si="25"/>
        <v/>
      </c>
      <c r="Q149" s="113" t="str">
        <f t="shared" si="26"/>
        <v/>
      </c>
      <c r="R149" s="88"/>
      <c r="S149" s="24"/>
      <c r="T149" s="24"/>
      <c r="U149" s="78" t="str">
        <f t="shared" si="27"/>
        <v/>
      </c>
      <c r="V149" s="24"/>
      <c r="W149" s="24"/>
      <c r="X149" s="24"/>
      <c r="Y149" s="24"/>
      <c r="Z149" s="98" t="str">
        <f t="shared" si="28"/>
        <v/>
      </c>
      <c r="AA149" s="40" t="str">
        <f t="shared" si="34"/>
        <v/>
      </c>
      <c r="AB149" s="88"/>
      <c r="AC149" s="24"/>
      <c r="AD149" s="24"/>
      <c r="AE149" s="79" t="str">
        <f t="shared" si="29"/>
        <v/>
      </c>
      <c r="AF149" s="24"/>
      <c r="AG149" s="24"/>
      <c r="AH149" s="24"/>
      <c r="AI149" s="24"/>
      <c r="AJ149" s="99" t="str">
        <f t="shared" si="30"/>
        <v/>
      </c>
      <c r="AK149" s="31" t="str">
        <f t="shared" si="35"/>
        <v/>
      </c>
      <c r="AN149" s="139" t="str">
        <f>IF($K149="","",VLOOKUP($K149,'ORF Accuracy Value LookUp'!$G$4:$H$104,2,TRUE))</f>
        <v/>
      </c>
      <c r="AO149" s="94" t="str">
        <f t="shared" si="31"/>
        <v/>
      </c>
      <c r="AP149" s="47" t="str">
        <f>IF($U149="","",VLOOKUP($U149,'ORF Accuracy Value LookUp'!$G$4:$H$104,2,TRUE))</f>
        <v/>
      </c>
      <c r="AQ149" s="94" t="str">
        <f t="shared" si="32"/>
        <v/>
      </c>
      <c r="AR149" s="46" t="str">
        <f>IF($AE149="","",VLOOKUP($AE149,'ORF Accuracy Value LookUp'!$G$4:$H$104,2,TRUE))</f>
        <v/>
      </c>
      <c r="AS149" s="140" t="str">
        <f t="shared" si="33"/>
        <v/>
      </c>
    </row>
    <row r="150" spans="1:45">
      <c r="A150" s="10"/>
      <c r="B150" s="9"/>
      <c r="C150" s="9"/>
      <c r="D150" s="9"/>
      <c r="E150" s="10"/>
      <c r="F150" s="11"/>
      <c r="G150" s="15"/>
      <c r="H150" s="88"/>
      <c r="I150" s="24"/>
      <c r="J150" s="24"/>
      <c r="K150" s="114" t="str">
        <f t="shared" si="24"/>
        <v/>
      </c>
      <c r="L150" s="24"/>
      <c r="M150" s="24"/>
      <c r="N150" s="24"/>
      <c r="O150" s="24"/>
      <c r="P150" s="97" t="str">
        <f t="shared" si="25"/>
        <v/>
      </c>
      <c r="Q150" s="113" t="str">
        <f t="shared" si="26"/>
        <v/>
      </c>
      <c r="R150" s="88"/>
      <c r="S150" s="24"/>
      <c r="T150" s="24"/>
      <c r="U150" s="78" t="str">
        <f t="shared" si="27"/>
        <v/>
      </c>
      <c r="V150" s="24"/>
      <c r="W150" s="24"/>
      <c r="X150" s="24"/>
      <c r="Y150" s="24"/>
      <c r="Z150" s="98" t="str">
        <f t="shared" si="28"/>
        <v/>
      </c>
      <c r="AA150" s="40" t="str">
        <f t="shared" si="34"/>
        <v/>
      </c>
      <c r="AB150" s="88"/>
      <c r="AC150" s="24"/>
      <c r="AD150" s="24"/>
      <c r="AE150" s="79" t="str">
        <f t="shared" si="29"/>
        <v/>
      </c>
      <c r="AF150" s="24"/>
      <c r="AG150" s="24"/>
      <c r="AH150" s="24"/>
      <c r="AI150" s="24"/>
      <c r="AJ150" s="99" t="str">
        <f t="shared" si="30"/>
        <v/>
      </c>
      <c r="AK150" s="31" t="str">
        <f t="shared" si="35"/>
        <v/>
      </c>
      <c r="AN150" s="139" t="str">
        <f>IF($K150="","",VLOOKUP($K150,'ORF Accuracy Value LookUp'!$G$4:$H$104,2,TRUE))</f>
        <v/>
      </c>
      <c r="AO150" s="94" t="str">
        <f t="shared" si="31"/>
        <v/>
      </c>
      <c r="AP150" s="47" t="str">
        <f>IF($U150="","",VLOOKUP($U150,'ORF Accuracy Value LookUp'!$G$4:$H$104,2,TRUE))</f>
        <v/>
      </c>
      <c r="AQ150" s="94" t="str">
        <f t="shared" si="32"/>
        <v/>
      </c>
      <c r="AR150" s="46" t="str">
        <f>IF($AE150="","",VLOOKUP($AE150,'ORF Accuracy Value LookUp'!$G$4:$H$104,2,TRUE))</f>
        <v/>
      </c>
      <c r="AS150" s="140" t="str">
        <f t="shared" si="33"/>
        <v/>
      </c>
    </row>
    <row r="151" spans="1:45">
      <c r="A151" s="10"/>
      <c r="B151" s="9"/>
      <c r="C151" s="9"/>
      <c r="D151" s="9"/>
      <c r="E151" s="10"/>
      <c r="F151" s="11"/>
      <c r="G151" s="15"/>
      <c r="H151" s="88"/>
      <c r="I151" s="24"/>
      <c r="J151" s="24"/>
      <c r="K151" s="114" t="str">
        <f t="shared" si="24"/>
        <v/>
      </c>
      <c r="L151" s="24"/>
      <c r="M151" s="24"/>
      <c r="N151" s="24"/>
      <c r="O151" s="24"/>
      <c r="P151" s="97" t="str">
        <f t="shared" si="25"/>
        <v/>
      </c>
      <c r="Q151" s="113" t="str">
        <f t="shared" si="26"/>
        <v/>
      </c>
      <c r="R151" s="88"/>
      <c r="S151" s="24"/>
      <c r="T151" s="24"/>
      <c r="U151" s="78" t="str">
        <f t="shared" si="27"/>
        <v/>
      </c>
      <c r="V151" s="24"/>
      <c r="W151" s="24"/>
      <c r="X151" s="24"/>
      <c r="Y151" s="24"/>
      <c r="Z151" s="98" t="str">
        <f t="shared" si="28"/>
        <v/>
      </c>
      <c r="AA151" s="40" t="str">
        <f t="shared" si="34"/>
        <v/>
      </c>
      <c r="AB151" s="88"/>
      <c r="AC151" s="24"/>
      <c r="AD151" s="24"/>
      <c r="AE151" s="79" t="str">
        <f t="shared" si="29"/>
        <v/>
      </c>
      <c r="AF151" s="24"/>
      <c r="AG151" s="24"/>
      <c r="AH151" s="24"/>
      <c r="AI151" s="24"/>
      <c r="AJ151" s="99" t="str">
        <f t="shared" si="30"/>
        <v/>
      </c>
      <c r="AK151" s="31" t="str">
        <f t="shared" si="35"/>
        <v/>
      </c>
      <c r="AN151" s="139" t="str">
        <f>IF($K151="","",VLOOKUP($K151,'ORF Accuracy Value LookUp'!$G$4:$H$104,2,TRUE))</f>
        <v/>
      </c>
      <c r="AO151" s="94" t="str">
        <f t="shared" si="31"/>
        <v/>
      </c>
      <c r="AP151" s="47" t="str">
        <f>IF($U151="","",VLOOKUP($U151,'ORF Accuracy Value LookUp'!$G$4:$H$104,2,TRUE))</f>
        <v/>
      </c>
      <c r="AQ151" s="94" t="str">
        <f t="shared" si="32"/>
        <v/>
      </c>
      <c r="AR151" s="46" t="str">
        <f>IF($AE151="","",VLOOKUP($AE151,'ORF Accuracy Value LookUp'!$G$4:$H$104,2,TRUE))</f>
        <v/>
      </c>
      <c r="AS151" s="140" t="str">
        <f t="shared" si="33"/>
        <v/>
      </c>
    </row>
    <row r="152" spans="1:45">
      <c r="A152" s="10"/>
      <c r="B152" s="9"/>
      <c r="C152" s="9"/>
      <c r="D152" s="9"/>
      <c r="E152" s="10"/>
      <c r="F152" s="11"/>
      <c r="G152" s="15"/>
      <c r="H152" s="88"/>
      <c r="I152" s="24"/>
      <c r="J152" s="24"/>
      <c r="K152" s="114" t="str">
        <f t="shared" si="24"/>
        <v/>
      </c>
      <c r="L152" s="24"/>
      <c r="M152" s="24"/>
      <c r="N152" s="24"/>
      <c r="O152" s="24"/>
      <c r="P152" s="97" t="str">
        <f t="shared" si="25"/>
        <v/>
      </c>
      <c r="Q152" s="113" t="str">
        <f t="shared" si="26"/>
        <v/>
      </c>
      <c r="R152" s="88"/>
      <c r="S152" s="24"/>
      <c r="T152" s="24"/>
      <c r="U152" s="78" t="str">
        <f t="shared" si="27"/>
        <v/>
      </c>
      <c r="V152" s="24"/>
      <c r="W152" s="24"/>
      <c r="X152" s="24"/>
      <c r="Y152" s="24"/>
      <c r="Z152" s="98" t="str">
        <f t="shared" si="28"/>
        <v/>
      </c>
      <c r="AA152" s="40" t="str">
        <f t="shared" si="34"/>
        <v/>
      </c>
      <c r="AB152" s="88"/>
      <c r="AC152" s="24"/>
      <c r="AD152" s="24"/>
      <c r="AE152" s="79" t="str">
        <f t="shared" si="29"/>
        <v/>
      </c>
      <c r="AF152" s="24"/>
      <c r="AG152" s="24"/>
      <c r="AH152" s="24"/>
      <c r="AI152" s="24"/>
      <c r="AJ152" s="99" t="str">
        <f t="shared" si="30"/>
        <v/>
      </c>
      <c r="AK152" s="31" t="str">
        <f t="shared" si="35"/>
        <v/>
      </c>
      <c r="AN152" s="139" t="str">
        <f>IF($K152="","",VLOOKUP($K152,'ORF Accuracy Value LookUp'!$G$4:$H$104,2,TRUE))</f>
        <v/>
      </c>
      <c r="AO152" s="94" t="str">
        <f t="shared" si="31"/>
        <v/>
      </c>
      <c r="AP152" s="47" t="str">
        <f>IF($U152="","",VLOOKUP($U152,'ORF Accuracy Value LookUp'!$G$4:$H$104,2,TRUE))</f>
        <v/>
      </c>
      <c r="AQ152" s="94" t="str">
        <f t="shared" si="32"/>
        <v/>
      </c>
      <c r="AR152" s="46" t="str">
        <f>IF($AE152="","",VLOOKUP($AE152,'ORF Accuracy Value LookUp'!$G$4:$H$104,2,TRUE))</f>
        <v/>
      </c>
      <c r="AS152" s="140" t="str">
        <f t="shared" si="33"/>
        <v/>
      </c>
    </row>
    <row r="153" spans="1:45">
      <c r="A153" s="10"/>
      <c r="B153" s="9"/>
      <c r="C153" s="9"/>
      <c r="D153" s="9"/>
      <c r="E153" s="10"/>
      <c r="F153" s="11"/>
      <c r="G153" s="15"/>
      <c r="H153" s="88"/>
      <c r="I153" s="24"/>
      <c r="J153" s="24"/>
      <c r="K153" s="114" t="str">
        <f t="shared" si="24"/>
        <v/>
      </c>
      <c r="L153" s="24"/>
      <c r="M153" s="24"/>
      <c r="N153" s="24"/>
      <c r="O153" s="24"/>
      <c r="P153" s="97" t="str">
        <f t="shared" si="25"/>
        <v/>
      </c>
      <c r="Q153" s="113" t="str">
        <f t="shared" si="26"/>
        <v/>
      </c>
      <c r="R153" s="88"/>
      <c r="S153" s="24"/>
      <c r="T153" s="24"/>
      <c r="U153" s="78" t="str">
        <f t="shared" si="27"/>
        <v/>
      </c>
      <c r="V153" s="24"/>
      <c r="W153" s="24"/>
      <c r="X153" s="24"/>
      <c r="Y153" s="24"/>
      <c r="Z153" s="98" t="str">
        <f t="shared" si="28"/>
        <v/>
      </c>
      <c r="AA153" s="40" t="str">
        <f t="shared" si="34"/>
        <v/>
      </c>
      <c r="AB153" s="88"/>
      <c r="AC153" s="24"/>
      <c r="AD153" s="24"/>
      <c r="AE153" s="79" t="str">
        <f t="shared" si="29"/>
        <v/>
      </c>
      <c r="AF153" s="24"/>
      <c r="AG153" s="24"/>
      <c r="AH153" s="24"/>
      <c r="AI153" s="24"/>
      <c r="AJ153" s="99" t="str">
        <f t="shared" si="30"/>
        <v/>
      </c>
      <c r="AK153" s="31" t="str">
        <f t="shared" si="35"/>
        <v/>
      </c>
      <c r="AN153" s="139" t="str">
        <f>IF($K153="","",VLOOKUP($K153,'ORF Accuracy Value LookUp'!$G$4:$H$104,2,TRUE))</f>
        <v/>
      </c>
      <c r="AO153" s="94" t="str">
        <f t="shared" si="31"/>
        <v/>
      </c>
      <c r="AP153" s="47" t="str">
        <f>IF($U153="","",VLOOKUP($U153,'ORF Accuracy Value LookUp'!$G$4:$H$104,2,TRUE))</f>
        <v/>
      </c>
      <c r="AQ153" s="94" t="str">
        <f t="shared" si="32"/>
        <v/>
      </c>
      <c r="AR153" s="46" t="str">
        <f>IF($AE153="","",VLOOKUP($AE153,'ORF Accuracy Value LookUp'!$G$4:$H$104,2,TRUE))</f>
        <v/>
      </c>
      <c r="AS153" s="140" t="str">
        <f t="shared" si="33"/>
        <v/>
      </c>
    </row>
    <row r="154" spans="1:45">
      <c r="A154" s="10"/>
      <c r="B154" s="9"/>
      <c r="C154" s="9"/>
      <c r="D154" s="9"/>
      <c r="E154" s="10"/>
      <c r="F154" s="11"/>
      <c r="G154" s="15"/>
      <c r="H154" s="88"/>
      <c r="I154" s="24"/>
      <c r="J154" s="24"/>
      <c r="K154" s="114" t="str">
        <f t="shared" si="24"/>
        <v/>
      </c>
      <c r="L154" s="24"/>
      <c r="M154" s="24"/>
      <c r="N154" s="24"/>
      <c r="O154" s="24"/>
      <c r="P154" s="97" t="str">
        <f t="shared" si="25"/>
        <v/>
      </c>
      <c r="Q154" s="113" t="str">
        <f t="shared" si="26"/>
        <v/>
      </c>
      <c r="R154" s="88"/>
      <c r="S154" s="24"/>
      <c r="T154" s="24"/>
      <c r="U154" s="78" t="str">
        <f t="shared" si="27"/>
        <v/>
      </c>
      <c r="V154" s="24"/>
      <c r="W154" s="24"/>
      <c r="X154" s="24"/>
      <c r="Y154" s="24"/>
      <c r="Z154" s="98" t="str">
        <f t="shared" si="28"/>
        <v/>
      </c>
      <c r="AA154" s="40" t="str">
        <f t="shared" si="34"/>
        <v/>
      </c>
      <c r="AB154" s="88"/>
      <c r="AC154" s="24"/>
      <c r="AD154" s="24"/>
      <c r="AE154" s="79" t="str">
        <f t="shared" si="29"/>
        <v/>
      </c>
      <c r="AF154" s="24"/>
      <c r="AG154" s="24"/>
      <c r="AH154" s="24"/>
      <c r="AI154" s="24"/>
      <c r="AJ154" s="99" t="str">
        <f t="shared" si="30"/>
        <v/>
      </c>
      <c r="AK154" s="31" t="str">
        <f t="shared" si="35"/>
        <v/>
      </c>
      <c r="AN154" s="139" t="str">
        <f>IF($K154="","",VLOOKUP($K154,'ORF Accuracy Value LookUp'!$G$4:$H$104,2,TRUE))</f>
        <v/>
      </c>
      <c r="AO154" s="94" t="str">
        <f t="shared" si="31"/>
        <v/>
      </c>
      <c r="AP154" s="47" t="str">
        <f>IF($U154="","",VLOOKUP($U154,'ORF Accuracy Value LookUp'!$G$4:$H$104,2,TRUE))</f>
        <v/>
      </c>
      <c r="AQ154" s="94" t="str">
        <f t="shared" si="32"/>
        <v/>
      </c>
      <c r="AR154" s="46" t="str">
        <f>IF($AE154="","",VLOOKUP($AE154,'ORF Accuracy Value LookUp'!$G$4:$H$104,2,TRUE))</f>
        <v/>
      </c>
      <c r="AS154" s="140" t="str">
        <f t="shared" si="33"/>
        <v/>
      </c>
    </row>
    <row r="155" spans="1:45">
      <c r="A155" s="10"/>
      <c r="B155" s="9"/>
      <c r="C155" s="9"/>
      <c r="D155" s="9"/>
      <c r="E155" s="10"/>
      <c r="F155" s="11"/>
      <c r="G155" s="15"/>
      <c r="H155" s="88"/>
      <c r="I155" s="24"/>
      <c r="J155" s="24"/>
      <c r="K155" s="114" t="str">
        <f t="shared" si="24"/>
        <v/>
      </c>
      <c r="L155" s="24"/>
      <c r="M155" s="24"/>
      <c r="N155" s="24"/>
      <c r="O155" s="24"/>
      <c r="P155" s="97" t="str">
        <f t="shared" si="25"/>
        <v/>
      </c>
      <c r="Q155" s="113" t="str">
        <f t="shared" si="26"/>
        <v/>
      </c>
      <c r="R155" s="88"/>
      <c r="S155" s="24"/>
      <c r="T155" s="24"/>
      <c r="U155" s="78" t="str">
        <f t="shared" si="27"/>
        <v/>
      </c>
      <c r="V155" s="24"/>
      <c r="W155" s="24"/>
      <c r="X155" s="24"/>
      <c r="Y155" s="24"/>
      <c r="Z155" s="98" t="str">
        <f t="shared" si="28"/>
        <v/>
      </c>
      <c r="AA155" s="40" t="str">
        <f t="shared" si="34"/>
        <v/>
      </c>
      <c r="AB155" s="88"/>
      <c r="AC155" s="24"/>
      <c r="AD155" s="24"/>
      <c r="AE155" s="79" t="str">
        <f t="shared" si="29"/>
        <v/>
      </c>
      <c r="AF155" s="24"/>
      <c r="AG155" s="24"/>
      <c r="AH155" s="24"/>
      <c r="AI155" s="24"/>
      <c r="AJ155" s="99" t="str">
        <f t="shared" si="30"/>
        <v/>
      </c>
      <c r="AK155" s="31" t="str">
        <f t="shared" si="35"/>
        <v/>
      </c>
      <c r="AN155" s="139" t="str">
        <f>IF($K155="","",VLOOKUP($K155,'ORF Accuracy Value LookUp'!$G$4:$H$104,2,TRUE))</f>
        <v/>
      </c>
      <c r="AO155" s="94" t="str">
        <f t="shared" si="31"/>
        <v/>
      </c>
      <c r="AP155" s="47" t="str">
        <f>IF($U155="","",VLOOKUP($U155,'ORF Accuracy Value LookUp'!$G$4:$H$104,2,TRUE))</f>
        <v/>
      </c>
      <c r="AQ155" s="94" t="str">
        <f t="shared" si="32"/>
        <v/>
      </c>
      <c r="AR155" s="46" t="str">
        <f>IF($AE155="","",VLOOKUP($AE155,'ORF Accuracy Value LookUp'!$G$4:$H$104,2,TRUE))</f>
        <v/>
      </c>
      <c r="AS155" s="140" t="str">
        <f t="shared" si="33"/>
        <v/>
      </c>
    </row>
    <row r="156" spans="1:45">
      <c r="A156" s="10"/>
      <c r="B156" s="9"/>
      <c r="C156" s="9"/>
      <c r="D156" s="9"/>
      <c r="E156" s="10"/>
      <c r="F156" s="11"/>
      <c r="G156" s="15"/>
      <c r="H156" s="88"/>
      <c r="I156" s="24"/>
      <c r="J156" s="24"/>
      <c r="K156" s="114" t="str">
        <f t="shared" si="24"/>
        <v/>
      </c>
      <c r="L156" s="24"/>
      <c r="M156" s="24"/>
      <c r="N156" s="24"/>
      <c r="O156" s="24"/>
      <c r="P156" s="97" t="str">
        <f t="shared" si="25"/>
        <v/>
      </c>
      <c r="Q156" s="113" t="str">
        <f t="shared" si="26"/>
        <v/>
      </c>
      <c r="R156" s="88"/>
      <c r="S156" s="24"/>
      <c r="T156" s="24"/>
      <c r="U156" s="78" t="str">
        <f t="shared" si="27"/>
        <v/>
      </c>
      <c r="V156" s="24"/>
      <c r="W156" s="24"/>
      <c r="X156" s="24"/>
      <c r="Y156" s="24"/>
      <c r="Z156" s="98" t="str">
        <f t="shared" si="28"/>
        <v/>
      </c>
      <c r="AA156" s="40" t="str">
        <f t="shared" si="34"/>
        <v/>
      </c>
      <c r="AB156" s="88"/>
      <c r="AC156" s="24"/>
      <c r="AD156" s="24"/>
      <c r="AE156" s="79" t="str">
        <f t="shared" si="29"/>
        <v/>
      </c>
      <c r="AF156" s="24"/>
      <c r="AG156" s="24"/>
      <c r="AH156" s="24"/>
      <c r="AI156" s="24"/>
      <c r="AJ156" s="99" t="str">
        <f t="shared" si="30"/>
        <v/>
      </c>
      <c r="AK156" s="31" t="str">
        <f t="shared" si="35"/>
        <v/>
      </c>
      <c r="AN156" s="139" t="str">
        <f>IF($K156="","",VLOOKUP($K156,'ORF Accuracy Value LookUp'!$G$4:$H$104,2,TRUE))</f>
        <v/>
      </c>
      <c r="AO156" s="94" t="str">
        <f t="shared" si="31"/>
        <v/>
      </c>
      <c r="AP156" s="47" t="str">
        <f>IF($U156="","",VLOOKUP($U156,'ORF Accuracy Value LookUp'!$G$4:$H$104,2,TRUE))</f>
        <v/>
      </c>
      <c r="AQ156" s="94" t="str">
        <f t="shared" si="32"/>
        <v/>
      </c>
      <c r="AR156" s="46" t="str">
        <f>IF($AE156="","",VLOOKUP($AE156,'ORF Accuracy Value LookUp'!$G$4:$H$104,2,TRUE))</f>
        <v/>
      </c>
      <c r="AS156" s="140" t="str">
        <f t="shared" si="33"/>
        <v/>
      </c>
    </row>
    <row r="157" spans="1:45">
      <c r="A157" s="10"/>
      <c r="B157" s="9"/>
      <c r="C157" s="9"/>
      <c r="D157" s="9"/>
      <c r="E157" s="10"/>
      <c r="F157" s="11"/>
      <c r="G157" s="15"/>
      <c r="H157" s="88"/>
      <c r="I157" s="24"/>
      <c r="J157" s="24"/>
      <c r="K157" s="114" t="str">
        <f t="shared" si="24"/>
        <v/>
      </c>
      <c r="L157" s="24"/>
      <c r="M157" s="24"/>
      <c r="N157" s="24"/>
      <c r="O157" s="24"/>
      <c r="P157" s="97" t="str">
        <f t="shared" si="25"/>
        <v/>
      </c>
      <c r="Q157" s="113" t="str">
        <f t="shared" si="26"/>
        <v/>
      </c>
      <c r="R157" s="88"/>
      <c r="S157" s="24"/>
      <c r="T157" s="24"/>
      <c r="U157" s="78" t="str">
        <f t="shared" si="27"/>
        <v/>
      </c>
      <c r="V157" s="24"/>
      <c r="W157" s="24"/>
      <c r="X157" s="24"/>
      <c r="Y157" s="24"/>
      <c r="Z157" s="98" t="str">
        <f t="shared" si="28"/>
        <v/>
      </c>
      <c r="AA157" s="40" t="str">
        <f t="shared" si="34"/>
        <v/>
      </c>
      <c r="AB157" s="88"/>
      <c r="AC157" s="24"/>
      <c r="AD157" s="24"/>
      <c r="AE157" s="79" t="str">
        <f t="shared" si="29"/>
        <v/>
      </c>
      <c r="AF157" s="24"/>
      <c r="AG157" s="24"/>
      <c r="AH157" s="24"/>
      <c r="AI157" s="24"/>
      <c r="AJ157" s="99" t="str">
        <f t="shared" si="30"/>
        <v/>
      </c>
      <c r="AK157" s="31" t="str">
        <f t="shared" si="35"/>
        <v/>
      </c>
      <c r="AN157" s="139" t="str">
        <f>IF($K157="","",VLOOKUP($K157,'ORF Accuracy Value LookUp'!$G$4:$H$104,2,TRUE))</f>
        <v/>
      </c>
      <c r="AO157" s="94" t="str">
        <f t="shared" si="31"/>
        <v/>
      </c>
      <c r="AP157" s="47" t="str">
        <f>IF($U157="","",VLOOKUP($U157,'ORF Accuracy Value LookUp'!$G$4:$H$104,2,TRUE))</f>
        <v/>
      </c>
      <c r="AQ157" s="94" t="str">
        <f t="shared" si="32"/>
        <v/>
      </c>
      <c r="AR157" s="46" t="str">
        <f>IF($AE157="","",VLOOKUP($AE157,'ORF Accuracy Value LookUp'!$G$4:$H$104,2,TRUE))</f>
        <v/>
      </c>
      <c r="AS157" s="140" t="str">
        <f t="shared" si="33"/>
        <v/>
      </c>
    </row>
    <row r="158" spans="1:45">
      <c r="A158" s="10"/>
      <c r="B158" s="9"/>
      <c r="C158" s="9"/>
      <c r="D158" s="9"/>
      <c r="E158" s="10"/>
      <c r="F158" s="11"/>
      <c r="G158" s="15"/>
      <c r="H158" s="88"/>
      <c r="I158" s="24"/>
      <c r="J158" s="24"/>
      <c r="K158" s="114" t="str">
        <f t="shared" si="24"/>
        <v/>
      </c>
      <c r="L158" s="24"/>
      <c r="M158" s="24"/>
      <c r="N158" s="24"/>
      <c r="O158" s="24"/>
      <c r="P158" s="97" t="str">
        <f t="shared" si="25"/>
        <v/>
      </c>
      <c r="Q158" s="113" t="str">
        <f t="shared" si="26"/>
        <v/>
      </c>
      <c r="R158" s="88"/>
      <c r="S158" s="24"/>
      <c r="T158" s="24"/>
      <c r="U158" s="78" t="str">
        <f t="shared" si="27"/>
        <v/>
      </c>
      <c r="V158" s="24"/>
      <c r="W158" s="24"/>
      <c r="X158" s="24"/>
      <c r="Y158" s="24"/>
      <c r="Z158" s="98" t="str">
        <f t="shared" si="28"/>
        <v/>
      </c>
      <c r="AA158" s="40" t="str">
        <f t="shared" si="34"/>
        <v/>
      </c>
      <c r="AB158" s="88"/>
      <c r="AC158" s="24"/>
      <c r="AD158" s="24"/>
      <c r="AE158" s="79" t="str">
        <f t="shared" si="29"/>
        <v/>
      </c>
      <c r="AF158" s="24"/>
      <c r="AG158" s="24"/>
      <c r="AH158" s="24"/>
      <c r="AI158" s="24"/>
      <c r="AJ158" s="99" t="str">
        <f t="shared" si="30"/>
        <v/>
      </c>
      <c r="AK158" s="31" t="str">
        <f t="shared" si="35"/>
        <v/>
      </c>
      <c r="AN158" s="139" t="str">
        <f>IF($K158="","",VLOOKUP($K158,'ORF Accuracy Value LookUp'!$G$4:$H$104,2,TRUE))</f>
        <v/>
      </c>
      <c r="AO158" s="94" t="str">
        <f t="shared" si="31"/>
        <v/>
      </c>
      <c r="AP158" s="47" t="str">
        <f>IF($U158="","",VLOOKUP($U158,'ORF Accuracy Value LookUp'!$G$4:$H$104,2,TRUE))</f>
        <v/>
      </c>
      <c r="AQ158" s="94" t="str">
        <f t="shared" si="32"/>
        <v/>
      </c>
      <c r="AR158" s="46" t="str">
        <f>IF($AE158="","",VLOOKUP($AE158,'ORF Accuracy Value LookUp'!$G$4:$H$104,2,TRUE))</f>
        <v/>
      </c>
      <c r="AS158" s="140" t="str">
        <f t="shared" si="33"/>
        <v/>
      </c>
    </row>
    <row r="159" spans="1:45">
      <c r="A159" s="10"/>
      <c r="B159" s="9"/>
      <c r="C159" s="9"/>
      <c r="D159" s="9"/>
      <c r="E159" s="10"/>
      <c r="F159" s="11"/>
      <c r="G159" s="15"/>
      <c r="H159" s="88"/>
      <c r="I159" s="24"/>
      <c r="J159" s="24"/>
      <c r="K159" s="114" t="str">
        <f t="shared" si="24"/>
        <v/>
      </c>
      <c r="L159" s="24"/>
      <c r="M159" s="24"/>
      <c r="N159" s="24"/>
      <c r="O159" s="24"/>
      <c r="P159" s="97" t="str">
        <f t="shared" si="25"/>
        <v/>
      </c>
      <c r="Q159" s="113" t="str">
        <f t="shared" si="26"/>
        <v/>
      </c>
      <c r="R159" s="88"/>
      <c r="S159" s="24"/>
      <c r="T159" s="24"/>
      <c r="U159" s="78" t="str">
        <f t="shared" si="27"/>
        <v/>
      </c>
      <c r="V159" s="24"/>
      <c r="W159" s="24"/>
      <c r="X159" s="24"/>
      <c r="Y159" s="24"/>
      <c r="Z159" s="98" t="str">
        <f t="shared" si="28"/>
        <v/>
      </c>
      <c r="AA159" s="40" t="str">
        <f t="shared" si="34"/>
        <v/>
      </c>
      <c r="AB159" s="88"/>
      <c r="AC159" s="24"/>
      <c r="AD159" s="24"/>
      <c r="AE159" s="79" t="str">
        <f t="shared" si="29"/>
        <v/>
      </c>
      <c r="AF159" s="24"/>
      <c r="AG159" s="24"/>
      <c r="AH159" s="24"/>
      <c r="AI159" s="24"/>
      <c r="AJ159" s="99" t="str">
        <f t="shared" si="30"/>
        <v/>
      </c>
      <c r="AK159" s="31" t="str">
        <f t="shared" si="35"/>
        <v/>
      </c>
      <c r="AN159" s="139" t="str">
        <f>IF($K159="","",VLOOKUP($K159,'ORF Accuracy Value LookUp'!$G$4:$H$104,2,TRUE))</f>
        <v/>
      </c>
      <c r="AO159" s="94" t="str">
        <f t="shared" si="31"/>
        <v/>
      </c>
      <c r="AP159" s="47" t="str">
        <f>IF($U159="","",VLOOKUP($U159,'ORF Accuracy Value LookUp'!$G$4:$H$104,2,TRUE))</f>
        <v/>
      </c>
      <c r="AQ159" s="94" t="str">
        <f t="shared" si="32"/>
        <v/>
      </c>
      <c r="AR159" s="46" t="str">
        <f>IF($AE159="","",VLOOKUP($AE159,'ORF Accuracy Value LookUp'!$G$4:$H$104,2,TRUE))</f>
        <v/>
      </c>
      <c r="AS159" s="140" t="str">
        <f t="shared" si="33"/>
        <v/>
      </c>
    </row>
    <row r="160" spans="1:45">
      <c r="A160" s="10"/>
      <c r="B160" s="9"/>
      <c r="C160" s="9"/>
      <c r="D160" s="9"/>
      <c r="E160" s="10"/>
      <c r="F160" s="11"/>
      <c r="G160" s="15"/>
      <c r="H160" s="88"/>
      <c r="I160" s="24"/>
      <c r="J160" s="24"/>
      <c r="K160" s="114" t="str">
        <f t="shared" si="24"/>
        <v/>
      </c>
      <c r="L160" s="24"/>
      <c r="M160" s="24"/>
      <c r="N160" s="24"/>
      <c r="O160" s="24"/>
      <c r="P160" s="97" t="str">
        <f t="shared" si="25"/>
        <v/>
      </c>
      <c r="Q160" s="113" t="str">
        <f t="shared" si="26"/>
        <v/>
      </c>
      <c r="R160" s="88"/>
      <c r="S160" s="24"/>
      <c r="T160" s="24"/>
      <c r="U160" s="78" t="str">
        <f t="shared" si="27"/>
        <v/>
      </c>
      <c r="V160" s="24"/>
      <c r="W160" s="24"/>
      <c r="X160" s="24"/>
      <c r="Y160" s="24"/>
      <c r="Z160" s="98" t="str">
        <f t="shared" si="28"/>
        <v/>
      </c>
      <c r="AA160" s="40" t="str">
        <f t="shared" si="34"/>
        <v/>
      </c>
      <c r="AB160" s="88"/>
      <c r="AC160" s="24"/>
      <c r="AD160" s="24"/>
      <c r="AE160" s="79" t="str">
        <f t="shared" si="29"/>
        <v/>
      </c>
      <c r="AF160" s="24"/>
      <c r="AG160" s="24"/>
      <c r="AH160" s="24"/>
      <c r="AI160" s="24"/>
      <c r="AJ160" s="99" t="str">
        <f t="shared" si="30"/>
        <v/>
      </c>
      <c r="AK160" s="31" t="str">
        <f t="shared" si="35"/>
        <v/>
      </c>
      <c r="AN160" s="139" t="str">
        <f>IF($K160="","",VLOOKUP($K160,'ORF Accuracy Value LookUp'!$G$4:$H$104,2,TRUE))</f>
        <v/>
      </c>
      <c r="AO160" s="94" t="str">
        <f t="shared" si="31"/>
        <v/>
      </c>
      <c r="AP160" s="47" t="str">
        <f>IF($U160="","",VLOOKUP($U160,'ORF Accuracy Value LookUp'!$G$4:$H$104,2,TRUE))</f>
        <v/>
      </c>
      <c r="AQ160" s="94" t="str">
        <f t="shared" si="32"/>
        <v/>
      </c>
      <c r="AR160" s="46" t="str">
        <f>IF($AE160="","",VLOOKUP($AE160,'ORF Accuracy Value LookUp'!$G$4:$H$104,2,TRUE))</f>
        <v/>
      </c>
      <c r="AS160" s="140" t="str">
        <f t="shared" si="33"/>
        <v/>
      </c>
    </row>
    <row r="161" spans="1:45">
      <c r="A161" s="10"/>
      <c r="B161" s="9"/>
      <c r="C161" s="9"/>
      <c r="D161" s="9"/>
      <c r="E161" s="10"/>
      <c r="F161" s="11"/>
      <c r="G161" s="15"/>
      <c r="H161" s="88"/>
      <c r="I161" s="24"/>
      <c r="J161" s="24"/>
      <c r="K161" s="114" t="str">
        <f t="shared" si="24"/>
        <v/>
      </c>
      <c r="L161" s="24"/>
      <c r="M161" s="24"/>
      <c r="N161" s="24"/>
      <c r="O161" s="24"/>
      <c r="P161" s="97" t="str">
        <f t="shared" si="25"/>
        <v/>
      </c>
      <c r="Q161" s="113" t="str">
        <f t="shared" si="26"/>
        <v/>
      </c>
      <c r="R161" s="88"/>
      <c r="S161" s="24"/>
      <c r="T161" s="24"/>
      <c r="U161" s="78" t="str">
        <f t="shared" si="27"/>
        <v/>
      </c>
      <c r="V161" s="24"/>
      <c r="W161" s="24"/>
      <c r="X161" s="24"/>
      <c r="Y161" s="24"/>
      <c r="Z161" s="98" t="str">
        <f t="shared" si="28"/>
        <v/>
      </c>
      <c r="AA161" s="40" t="str">
        <f t="shared" si="34"/>
        <v/>
      </c>
      <c r="AB161" s="88"/>
      <c r="AC161" s="24"/>
      <c r="AD161" s="24"/>
      <c r="AE161" s="79" t="str">
        <f t="shared" si="29"/>
        <v/>
      </c>
      <c r="AF161" s="24"/>
      <c r="AG161" s="24"/>
      <c r="AH161" s="24"/>
      <c r="AI161" s="24"/>
      <c r="AJ161" s="99" t="str">
        <f t="shared" si="30"/>
        <v/>
      </c>
      <c r="AK161" s="31" t="str">
        <f t="shared" si="35"/>
        <v/>
      </c>
      <c r="AN161" s="139" t="str">
        <f>IF($K161="","",VLOOKUP($K161,'ORF Accuracy Value LookUp'!$G$4:$H$104,2,TRUE))</f>
        <v/>
      </c>
      <c r="AO161" s="94" t="str">
        <f t="shared" si="31"/>
        <v/>
      </c>
      <c r="AP161" s="47" t="str">
        <f>IF($U161="","",VLOOKUP($U161,'ORF Accuracy Value LookUp'!$G$4:$H$104,2,TRUE))</f>
        <v/>
      </c>
      <c r="AQ161" s="94" t="str">
        <f t="shared" si="32"/>
        <v/>
      </c>
      <c r="AR161" s="46" t="str">
        <f>IF($AE161="","",VLOOKUP($AE161,'ORF Accuracy Value LookUp'!$G$4:$H$104,2,TRUE))</f>
        <v/>
      </c>
      <c r="AS161" s="140" t="str">
        <f t="shared" si="33"/>
        <v/>
      </c>
    </row>
    <row r="162" spans="1:45">
      <c r="A162" s="10"/>
      <c r="B162" s="9"/>
      <c r="C162" s="9"/>
      <c r="D162" s="9"/>
      <c r="E162" s="10"/>
      <c r="F162" s="11"/>
      <c r="G162" s="15"/>
      <c r="H162" s="88"/>
      <c r="I162" s="24"/>
      <c r="J162" s="24"/>
      <c r="K162" s="114" t="str">
        <f t="shared" si="24"/>
        <v/>
      </c>
      <c r="L162" s="24"/>
      <c r="M162" s="24"/>
      <c r="N162" s="24"/>
      <c r="O162" s="24"/>
      <c r="P162" s="97" t="str">
        <f t="shared" si="25"/>
        <v/>
      </c>
      <c r="Q162" s="113" t="str">
        <f t="shared" si="26"/>
        <v/>
      </c>
      <c r="R162" s="88"/>
      <c r="S162" s="24"/>
      <c r="T162" s="24"/>
      <c r="U162" s="78" t="str">
        <f t="shared" si="27"/>
        <v/>
      </c>
      <c r="V162" s="24"/>
      <c r="W162" s="24"/>
      <c r="X162" s="24"/>
      <c r="Y162" s="24"/>
      <c r="Z162" s="98" t="str">
        <f t="shared" si="28"/>
        <v/>
      </c>
      <c r="AA162" s="40" t="str">
        <f t="shared" si="34"/>
        <v/>
      </c>
      <c r="AB162" s="88"/>
      <c r="AC162" s="24"/>
      <c r="AD162" s="24"/>
      <c r="AE162" s="79" t="str">
        <f t="shared" si="29"/>
        <v/>
      </c>
      <c r="AF162" s="24"/>
      <c r="AG162" s="24"/>
      <c r="AH162" s="24"/>
      <c r="AI162" s="24"/>
      <c r="AJ162" s="99" t="str">
        <f t="shared" si="30"/>
        <v/>
      </c>
      <c r="AK162" s="31" t="str">
        <f t="shared" si="35"/>
        <v/>
      </c>
      <c r="AN162" s="139" t="str">
        <f>IF($K162="","",VLOOKUP($K162,'ORF Accuracy Value LookUp'!$G$4:$H$104,2,TRUE))</f>
        <v/>
      </c>
      <c r="AO162" s="94" t="str">
        <f t="shared" si="31"/>
        <v/>
      </c>
      <c r="AP162" s="47" t="str">
        <f>IF($U162="","",VLOOKUP($U162,'ORF Accuracy Value LookUp'!$G$4:$H$104,2,TRUE))</f>
        <v/>
      </c>
      <c r="AQ162" s="94" t="str">
        <f t="shared" si="32"/>
        <v/>
      </c>
      <c r="AR162" s="46" t="str">
        <f>IF($AE162="","",VLOOKUP($AE162,'ORF Accuracy Value LookUp'!$G$4:$H$104,2,TRUE))</f>
        <v/>
      </c>
      <c r="AS162" s="140" t="str">
        <f t="shared" si="33"/>
        <v/>
      </c>
    </row>
    <row r="163" spans="1:45">
      <c r="A163" s="10"/>
      <c r="B163" s="9"/>
      <c r="C163" s="9"/>
      <c r="D163" s="9"/>
      <c r="E163" s="10"/>
      <c r="F163" s="11"/>
      <c r="G163" s="15"/>
      <c r="H163" s="88"/>
      <c r="I163" s="24"/>
      <c r="J163" s="24"/>
      <c r="K163" s="114" t="str">
        <f t="shared" si="24"/>
        <v/>
      </c>
      <c r="L163" s="24"/>
      <c r="M163" s="24"/>
      <c r="N163" s="24"/>
      <c r="O163" s="24"/>
      <c r="P163" s="97" t="str">
        <f t="shared" si="25"/>
        <v/>
      </c>
      <c r="Q163" s="113" t="str">
        <f t="shared" si="26"/>
        <v/>
      </c>
      <c r="R163" s="88"/>
      <c r="S163" s="24"/>
      <c r="T163" s="24"/>
      <c r="U163" s="78" t="str">
        <f t="shared" si="27"/>
        <v/>
      </c>
      <c r="V163" s="24"/>
      <c r="W163" s="24"/>
      <c r="X163" s="24"/>
      <c r="Y163" s="24"/>
      <c r="Z163" s="98" t="str">
        <f t="shared" si="28"/>
        <v/>
      </c>
      <c r="AA163" s="40" t="str">
        <f t="shared" si="34"/>
        <v/>
      </c>
      <c r="AB163" s="88"/>
      <c r="AC163" s="24"/>
      <c r="AD163" s="24"/>
      <c r="AE163" s="79" t="str">
        <f t="shared" si="29"/>
        <v/>
      </c>
      <c r="AF163" s="24"/>
      <c r="AG163" s="24"/>
      <c r="AH163" s="24"/>
      <c r="AI163" s="24"/>
      <c r="AJ163" s="99" t="str">
        <f t="shared" si="30"/>
        <v/>
      </c>
      <c r="AK163" s="31" t="str">
        <f t="shared" si="35"/>
        <v/>
      </c>
      <c r="AN163" s="139" t="str">
        <f>IF($K163="","",VLOOKUP($K163,'ORF Accuracy Value LookUp'!$G$4:$H$104,2,TRUE))</f>
        <v/>
      </c>
      <c r="AO163" s="94" t="str">
        <f t="shared" si="31"/>
        <v/>
      </c>
      <c r="AP163" s="47" t="str">
        <f>IF($U163="","",VLOOKUP($U163,'ORF Accuracy Value LookUp'!$G$4:$H$104,2,TRUE))</f>
        <v/>
      </c>
      <c r="AQ163" s="94" t="str">
        <f t="shared" si="32"/>
        <v/>
      </c>
      <c r="AR163" s="46" t="str">
        <f>IF($AE163="","",VLOOKUP($AE163,'ORF Accuracy Value LookUp'!$G$4:$H$104,2,TRUE))</f>
        <v/>
      </c>
      <c r="AS163" s="140" t="str">
        <f t="shared" si="33"/>
        <v/>
      </c>
    </row>
    <row r="164" spans="1:45">
      <c r="A164" s="10"/>
      <c r="B164" s="9"/>
      <c r="C164" s="9"/>
      <c r="D164" s="9"/>
      <c r="E164" s="10"/>
      <c r="F164" s="11"/>
      <c r="G164" s="15"/>
      <c r="H164" s="88"/>
      <c r="I164" s="24"/>
      <c r="J164" s="24"/>
      <c r="K164" s="114" t="str">
        <f t="shared" si="24"/>
        <v/>
      </c>
      <c r="L164" s="24"/>
      <c r="M164" s="24"/>
      <c r="N164" s="24"/>
      <c r="O164" s="24"/>
      <c r="P164" s="97" t="str">
        <f t="shared" si="25"/>
        <v/>
      </c>
      <c r="Q164" s="113" t="str">
        <f t="shared" si="26"/>
        <v/>
      </c>
      <c r="R164" s="88"/>
      <c r="S164" s="24"/>
      <c r="T164" s="24"/>
      <c r="U164" s="78" t="str">
        <f t="shared" si="27"/>
        <v/>
      </c>
      <c r="V164" s="24"/>
      <c r="W164" s="24"/>
      <c r="X164" s="24"/>
      <c r="Y164" s="24"/>
      <c r="Z164" s="98" t="str">
        <f t="shared" si="28"/>
        <v/>
      </c>
      <c r="AA164" s="40" t="str">
        <f t="shared" si="34"/>
        <v/>
      </c>
      <c r="AB164" s="88"/>
      <c r="AC164" s="24"/>
      <c r="AD164" s="24"/>
      <c r="AE164" s="79" t="str">
        <f t="shared" si="29"/>
        <v/>
      </c>
      <c r="AF164" s="24"/>
      <c r="AG164" s="24"/>
      <c r="AH164" s="24"/>
      <c r="AI164" s="24"/>
      <c r="AJ164" s="99" t="str">
        <f t="shared" si="30"/>
        <v/>
      </c>
      <c r="AK164" s="31" t="str">
        <f t="shared" si="35"/>
        <v/>
      </c>
      <c r="AN164" s="139" t="str">
        <f>IF($K164="","",VLOOKUP($K164,'ORF Accuracy Value LookUp'!$G$4:$H$104,2,TRUE))</f>
        <v/>
      </c>
      <c r="AO164" s="94" t="str">
        <f t="shared" si="31"/>
        <v/>
      </c>
      <c r="AP164" s="47" t="str">
        <f>IF($U164="","",VLOOKUP($U164,'ORF Accuracy Value LookUp'!$G$4:$H$104,2,TRUE))</f>
        <v/>
      </c>
      <c r="AQ164" s="94" t="str">
        <f t="shared" si="32"/>
        <v/>
      </c>
      <c r="AR164" s="46" t="str">
        <f>IF($AE164="","",VLOOKUP($AE164,'ORF Accuracy Value LookUp'!$G$4:$H$104,2,TRUE))</f>
        <v/>
      </c>
      <c r="AS164" s="140" t="str">
        <f t="shared" si="33"/>
        <v/>
      </c>
    </row>
    <row r="165" spans="1:45">
      <c r="A165" s="10"/>
      <c r="B165" s="9"/>
      <c r="C165" s="9"/>
      <c r="D165" s="9"/>
      <c r="E165" s="10"/>
      <c r="F165" s="11"/>
      <c r="G165" s="15"/>
      <c r="H165" s="88"/>
      <c r="I165" s="24"/>
      <c r="J165" s="24"/>
      <c r="K165" s="114" t="str">
        <f t="shared" si="24"/>
        <v/>
      </c>
      <c r="L165" s="24"/>
      <c r="M165" s="24"/>
      <c r="N165" s="24"/>
      <c r="O165" s="24"/>
      <c r="P165" s="97" t="str">
        <f t="shared" si="25"/>
        <v/>
      </c>
      <c r="Q165" s="113" t="str">
        <f t="shared" si="26"/>
        <v/>
      </c>
      <c r="R165" s="88"/>
      <c r="S165" s="24"/>
      <c r="T165" s="24"/>
      <c r="U165" s="78" t="str">
        <f t="shared" si="27"/>
        <v/>
      </c>
      <c r="V165" s="24"/>
      <c r="W165" s="24"/>
      <c r="X165" s="24"/>
      <c r="Y165" s="24"/>
      <c r="Z165" s="98" t="str">
        <f t="shared" si="28"/>
        <v/>
      </c>
      <c r="AA165" s="40" t="str">
        <f t="shared" si="34"/>
        <v/>
      </c>
      <c r="AB165" s="88"/>
      <c r="AC165" s="24"/>
      <c r="AD165" s="24"/>
      <c r="AE165" s="79" t="str">
        <f t="shared" si="29"/>
        <v/>
      </c>
      <c r="AF165" s="24"/>
      <c r="AG165" s="24"/>
      <c r="AH165" s="24"/>
      <c r="AI165" s="24"/>
      <c r="AJ165" s="99" t="str">
        <f t="shared" si="30"/>
        <v/>
      </c>
      <c r="AK165" s="31" t="str">
        <f t="shared" si="35"/>
        <v/>
      </c>
      <c r="AN165" s="139" t="str">
        <f>IF($K165="","",VLOOKUP($K165,'ORF Accuracy Value LookUp'!$G$4:$H$104,2,TRUE))</f>
        <v/>
      </c>
      <c r="AO165" s="94" t="str">
        <f t="shared" si="31"/>
        <v/>
      </c>
      <c r="AP165" s="47" t="str">
        <f>IF($U165="","",VLOOKUP($U165,'ORF Accuracy Value LookUp'!$G$4:$H$104,2,TRUE))</f>
        <v/>
      </c>
      <c r="AQ165" s="94" t="str">
        <f t="shared" si="32"/>
        <v/>
      </c>
      <c r="AR165" s="46" t="str">
        <f>IF($AE165="","",VLOOKUP($AE165,'ORF Accuracy Value LookUp'!$G$4:$H$104,2,TRUE))</f>
        <v/>
      </c>
      <c r="AS165" s="140" t="str">
        <f t="shared" si="33"/>
        <v/>
      </c>
    </row>
    <row r="166" spans="1:45">
      <c r="A166" s="10"/>
      <c r="B166" s="9"/>
      <c r="C166" s="9"/>
      <c r="D166" s="9"/>
      <c r="E166" s="10"/>
      <c r="F166" s="11"/>
      <c r="G166" s="15"/>
      <c r="H166" s="88"/>
      <c r="I166" s="24"/>
      <c r="J166" s="24"/>
      <c r="K166" s="114" t="str">
        <f t="shared" si="24"/>
        <v/>
      </c>
      <c r="L166" s="24"/>
      <c r="M166" s="24"/>
      <c r="N166" s="24"/>
      <c r="O166" s="24"/>
      <c r="P166" s="97" t="str">
        <f t="shared" si="25"/>
        <v/>
      </c>
      <c r="Q166" s="113" t="str">
        <f t="shared" si="26"/>
        <v/>
      </c>
      <c r="R166" s="88"/>
      <c r="S166" s="24"/>
      <c r="T166" s="24"/>
      <c r="U166" s="78" t="str">
        <f t="shared" si="27"/>
        <v/>
      </c>
      <c r="V166" s="24"/>
      <c r="W166" s="24"/>
      <c r="X166" s="24"/>
      <c r="Y166" s="24"/>
      <c r="Z166" s="98" t="str">
        <f t="shared" si="28"/>
        <v/>
      </c>
      <c r="AA166" s="40" t="str">
        <f t="shared" si="34"/>
        <v/>
      </c>
      <c r="AB166" s="88"/>
      <c r="AC166" s="24"/>
      <c r="AD166" s="24"/>
      <c r="AE166" s="79" t="str">
        <f t="shared" si="29"/>
        <v/>
      </c>
      <c r="AF166" s="24"/>
      <c r="AG166" s="24"/>
      <c r="AH166" s="24"/>
      <c r="AI166" s="24"/>
      <c r="AJ166" s="99" t="str">
        <f t="shared" si="30"/>
        <v/>
      </c>
      <c r="AK166" s="31" t="str">
        <f t="shared" si="35"/>
        <v/>
      </c>
      <c r="AN166" s="139" t="str">
        <f>IF($K166="","",VLOOKUP($K166,'ORF Accuracy Value LookUp'!$G$4:$H$104,2,TRUE))</f>
        <v/>
      </c>
      <c r="AO166" s="94" t="str">
        <f t="shared" si="31"/>
        <v/>
      </c>
      <c r="AP166" s="47" t="str">
        <f>IF($U166="","",VLOOKUP($U166,'ORF Accuracy Value LookUp'!$G$4:$H$104,2,TRUE))</f>
        <v/>
      </c>
      <c r="AQ166" s="94" t="str">
        <f t="shared" si="32"/>
        <v/>
      </c>
      <c r="AR166" s="46" t="str">
        <f>IF($AE166="","",VLOOKUP($AE166,'ORF Accuracy Value LookUp'!$G$4:$H$104,2,TRUE))</f>
        <v/>
      </c>
      <c r="AS166" s="140" t="str">
        <f t="shared" si="33"/>
        <v/>
      </c>
    </row>
    <row r="167" spans="1:45">
      <c r="A167" s="10"/>
      <c r="B167" s="9"/>
      <c r="C167" s="9"/>
      <c r="D167" s="9"/>
      <c r="E167" s="10"/>
      <c r="F167" s="11"/>
      <c r="G167" s="15"/>
      <c r="H167" s="88"/>
      <c r="I167" s="24"/>
      <c r="J167" s="24"/>
      <c r="K167" s="114" t="str">
        <f t="shared" si="24"/>
        <v/>
      </c>
      <c r="L167" s="24"/>
      <c r="M167" s="24"/>
      <c r="N167" s="24"/>
      <c r="O167" s="24"/>
      <c r="P167" s="97" t="str">
        <f t="shared" si="25"/>
        <v/>
      </c>
      <c r="Q167" s="113" t="str">
        <f t="shared" si="26"/>
        <v/>
      </c>
      <c r="R167" s="88"/>
      <c r="S167" s="24"/>
      <c r="T167" s="24"/>
      <c r="U167" s="78" t="str">
        <f t="shared" si="27"/>
        <v/>
      </c>
      <c r="V167" s="24"/>
      <c r="W167" s="24"/>
      <c r="X167" s="24"/>
      <c r="Y167" s="24"/>
      <c r="Z167" s="98" t="str">
        <f t="shared" si="28"/>
        <v/>
      </c>
      <c r="AA167" s="40" t="str">
        <f t="shared" si="34"/>
        <v/>
      </c>
      <c r="AB167" s="88"/>
      <c r="AC167" s="24"/>
      <c r="AD167" s="24"/>
      <c r="AE167" s="79" t="str">
        <f t="shared" si="29"/>
        <v/>
      </c>
      <c r="AF167" s="24"/>
      <c r="AG167" s="24"/>
      <c r="AH167" s="24"/>
      <c r="AI167" s="24"/>
      <c r="AJ167" s="99" t="str">
        <f t="shared" si="30"/>
        <v/>
      </c>
      <c r="AK167" s="31" t="str">
        <f t="shared" si="35"/>
        <v/>
      </c>
      <c r="AN167" s="139" t="str">
        <f>IF($K167="","",VLOOKUP($K167,'ORF Accuracy Value LookUp'!$G$4:$H$104,2,TRUE))</f>
        <v/>
      </c>
      <c r="AO167" s="94" t="str">
        <f t="shared" si="31"/>
        <v/>
      </c>
      <c r="AP167" s="47" t="str">
        <f>IF($U167="","",VLOOKUP($U167,'ORF Accuracy Value LookUp'!$G$4:$H$104,2,TRUE))</f>
        <v/>
      </c>
      <c r="AQ167" s="94" t="str">
        <f t="shared" si="32"/>
        <v/>
      </c>
      <c r="AR167" s="46" t="str">
        <f>IF($AE167="","",VLOOKUP($AE167,'ORF Accuracy Value LookUp'!$G$4:$H$104,2,TRUE))</f>
        <v/>
      </c>
      <c r="AS167" s="140" t="str">
        <f t="shared" si="33"/>
        <v/>
      </c>
    </row>
    <row r="168" spans="1:45">
      <c r="A168" s="10"/>
      <c r="B168" s="9"/>
      <c r="C168" s="9"/>
      <c r="D168" s="9"/>
      <c r="E168" s="10"/>
      <c r="F168" s="11"/>
      <c r="G168" s="15"/>
      <c r="H168" s="88"/>
      <c r="I168" s="24"/>
      <c r="J168" s="24"/>
      <c r="K168" s="114" t="str">
        <f t="shared" si="24"/>
        <v/>
      </c>
      <c r="L168" s="24"/>
      <c r="M168" s="24"/>
      <c r="N168" s="24"/>
      <c r="O168" s="24"/>
      <c r="P168" s="97" t="str">
        <f t="shared" si="25"/>
        <v/>
      </c>
      <c r="Q168" s="113" t="str">
        <f t="shared" si="26"/>
        <v/>
      </c>
      <c r="R168" s="88"/>
      <c r="S168" s="24"/>
      <c r="T168" s="24"/>
      <c r="U168" s="78" t="str">
        <f t="shared" si="27"/>
        <v/>
      </c>
      <c r="V168" s="24"/>
      <c r="W168" s="24"/>
      <c r="X168" s="24"/>
      <c r="Y168" s="24"/>
      <c r="Z168" s="98" t="str">
        <f t="shared" si="28"/>
        <v/>
      </c>
      <c r="AA168" s="40" t="str">
        <f t="shared" si="34"/>
        <v/>
      </c>
      <c r="AB168" s="88"/>
      <c r="AC168" s="24"/>
      <c r="AD168" s="24"/>
      <c r="AE168" s="79" t="str">
        <f t="shared" si="29"/>
        <v/>
      </c>
      <c r="AF168" s="24"/>
      <c r="AG168" s="24"/>
      <c r="AH168" s="24"/>
      <c r="AI168" s="24"/>
      <c r="AJ168" s="99" t="str">
        <f t="shared" si="30"/>
        <v/>
      </c>
      <c r="AK168" s="31" t="str">
        <f t="shared" si="35"/>
        <v/>
      </c>
      <c r="AN168" s="139" t="str">
        <f>IF($K168="","",VLOOKUP($K168,'ORF Accuracy Value LookUp'!$G$4:$H$104,2,TRUE))</f>
        <v/>
      </c>
      <c r="AO168" s="94" t="str">
        <f t="shared" si="31"/>
        <v/>
      </c>
      <c r="AP168" s="47" t="str">
        <f>IF($U168="","",VLOOKUP($U168,'ORF Accuracy Value LookUp'!$G$4:$H$104,2,TRUE))</f>
        <v/>
      </c>
      <c r="AQ168" s="94" t="str">
        <f t="shared" si="32"/>
        <v/>
      </c>
      <c r="AR168" s="46" t="str">
        <f>IF($AE168="","",VLOOKUP($AE168,'ORF Accuracy Value LookUp'!$G$4:$H$104,2,TRUE))</f>
        <v/>
      </c>
      <c r="AS168" s="140" t="str">
        <f t="shared" si="33"/>
        <v/>
      </c>
    </row>
    <row r="169" spans="1:45">
      <c r="A169" s="10"/>
      <c r="B169" s="9"/>
      <c r="C169" s="9"/>
      <c r="D169" s="9"/>
      <c r="E169" s="10"/>
      <c r="F169" s="11"/>
      <c r="G169" s="15"/>
      <c r="H169" s="88"/>
      <c r="I169" s="24"/>
      <c r="J169" s="24"/>
      <c r="K169" s="114" t="str">
        <f t="shared" si="24"/>
        <v/>
      </c>
      <c r="L169" s="24"/>
      <c r="M169" s="24"/>
      <c r="N169" s="24"/>
      <c r="O169" s="24"/>
      <c r="P169" s="97" t="str">
        <f t="shared" si="25"/>
        <v/>
      </c>
      <c r="Q169" s="113" t="str">
        <f t="shared" si="26"/>
        <v/>
      </c>
      <c r="R169" s="88"/>
      <c r="S169" s="24"/>
      <c r="T169" s="24"/>
      <c r="U169" s="78" t="str">
        <f t="shared" si="27"/>
        <v/>
      </c>
      <c r="V169" s="24"/>
      <c r="W169" s="24"/>
      <c r="X169" s="24"/>
      <c r="Y169" s="24"/>
      <c r="Z169" s="98" t="str">
        <f t="shared" si="28"/>
        <v/>
      </c>
      <c r="AA169" s="40" t="str">
        <f t="shared" si="34"/>
        <v/>
      </c>
      <c r="AB169" s="88"/>
      <c r="AC169" s="24"/>
      <c r="AD169" s="24"/>
      <c r="AE169" s="79" t="str">
        <f t="shared" si="29"/>
        <v/>
      </c>
      <c r="AF169" s="24"/>
      <c r="AG169" s="24"/>
      <c r="AH169" s="24"/>
      <c r="AI169" s="24"/>
      <c r="AJ169" s="99" t="str">
        <f t="shared" si="30"/>
        <v/>
      </c>
      <c r="AK169" s="31" t="str">
        <f t="shared" si="35"/>
        <v/>
      </c>
      <c r="AN169" s="139" t="str">
        <f>IF($K169="","",VLOOKUP($K169,'ORF Accuracy Value LookUp'!$G$4:$H$104,2,TRUE))</f>
        <v/>
      </c>
      <c r="AO169" s="94" t="str">
        <f t="shared" si="31"/>
        <v/>
      </c>
      <c r="AP169" s="47" t="str">
        <f>IF($U169="","",VLOOKUP($U169,'ORF Accuracy Value LookUp'!$G$4:$H$104,2,TRUE))</f>
        <v/>
      </c>
      <c r="AQ169" s="94" t="str">
        <f t="shared" si="32"/>
        <v/>
      </c>
      <c r="AR169" s="46" t="str">
        <f>IF($AE169="","",VLOOKUP($AE169,'ORF Accuracy Value LookUp'!$G$4:$H$104,2,TRUE))</f>
        <v/>
      </c>
      <c r="AS169" s="140" t="str">
        <f t="shared" si="33"/>
        <v/>
      </c>
    </row>
    <row r="170" spans="1:45">
      <c r="A170" s="10"/>
      <c r="B170" s="9"/>
      <c r="C170" s="9"/>
      <c r="D170" s="9"/>
      <c r="E170" s="10"/>
      <c r="F170" s="11"/>
      <c r="G170" s="15"/>
      <c r="H170" s="88"/>
      <c r="I170" s="24"/>
      <c r="J170" s="24"/>
      <c r="K170" s="114" t="str">
        <f t="shared" si="24"/>
        <v/>
      </c>
      <c r="L170" s="24"/>
      <c r="M170" s="24"/>
      <c r="N170" s="24"/>
      <c r="O170" s="24"/>
      <c r="P170" s="97" t="str">
        <f t="shared" si="25"/>
        <v/>
      </c>
      <c r="Q170" s="113" t="str">
        <f t="shared" si="26"/>
        <v/>
      </c>
      <c r="R170" s="88"/>
      <c r="S170" s="24"/>
      <c r="T170" s="24"/>
      <c r="U170" s="78" t="str">
        <f t="shared" si="27"/>
        <v/>
      </c>
      <c r="V170" s="24"/>
      <c r="W170" s="24"/>
      <c r="X170" s="24"/>
      <c r="Y170" s="24"/>
      <c r="Z170" s="98" t="str">
        <f t="shared" si="28"/>
        <v/>
      </c>
      <c r="AA170" s="40" t="str">
        <f t="shared" si="34"/>
        <v/>
      </c>
      <c r="AB170" s="88"/>
      <c r="AC170" s="24"/>
      <c r="AD170" s="24"/>
      <c r="AE170" s="79" t="str">
        <f t="shared" si="29"/>
        <v/>
      </c>
      <c r="AF170" s="24"/>
      <c r="AG170" s="24"/>
      <c r="AH170" s="24"/>
      <c r="AI170" s="24"/>
      <c r="AJ170" s="99" t="str">
        <f t="shared" si="30"/>
        <v/>
      </c>
      <c r="AK170" s="31" t="str">
        <f t="shared" si="35"/>
        <v/>
      </c>
      <c r="AN170" s="139" t="str">
        <f>IF($K170="","",VLOOKUP($K170,'ORF Accuracy Value LookUp'!$G$4:$H$104,2,TRUE))</f>
        <v/>
      </c>
      <c r="AO170" s="94" t="str">
        <f t="shared" si="31"/>
        <v/>
      </c>
      <c r="AP170" s="47" t="str">
        <f>IF($U170="","",VLOOKUP($U170,'ORF Accuracy Value LookUp'!$G$4:$H$104,2,TRUE))</f>
        <v/>
      </c>
      <c r="AQ170" s="94" t="str">
        <f t="shared" si="32"/>
        <v/>
      </c>
      <c r="AR170" s="46" t="str">
        <f>IF($AE170="","",VLOOKUP($AE170,'ORF Accuracy Value LookUp'!$G$4:$H$104,2,TRUE))</f>
        <v/>
      </c>
      <c r="AS170" s="140" t="str">
        <f t="shared" si="33"/>
        <v/>
      </c>
    </row>
    <row r="171" spans="1:45">
      <c r="A171" s="10"/>
      <c r="B171" s="9"/>
      <c r="C171" s="9"/>
      <c r="D171" s="9"/>
      <c r="E171" s="10"/>
      <c r="F171" s="11"/>
      <c r="G171" s="15"/>
      <c r="H171" s="88"/>
      <c r="I171" s="24"/>
      <c r="J171" s="24"/>
      <c r="K171" s="114" t="str">
        <f t="shared" si="24"/>
        <v/>
      </c>
      <c r="L171" s="24"/>
      <c r="M171" s="24"/>
      <c r="N171" s="24"/>
      <c r="O171" s="24"/>
      <c r="P171" s="97" t="str">
        <f t="shared" si="25"/>
        <v/>
      </c>
      <c r="Q171" s="113" t="str">
        <f t="shared" si="26"/>
        <v/>
      </c>
      <c r="R171" s="88"/>
      <c r="S171" s="24"/>
      <c r="T171" s="24"/>
      <c r="U171" s="78" t="str">
        <f t="shared" si="27"/>
        <v/>
      </c>
      <c r="V171" s="24"/>
      <c r="W171" s="24"/>
      <c r="X171" s="24"/>
      <c r="Y171" s="24"/>
      <c r="Z171" s="98" t="str">
        <f t="shared" si="28"/>
        <v/>
      </c>
      <c r="AA171" s="40" t="str">
        <f t="shared" si="34"/>
        <v/>
      </c>
      <c r="AB171" s="88"/>
      <c r="AC171" s="24"/>
      <c r="AD171" s="24"/>
      <c r="AE171" s="79" t="str">
        <f t="shared" si="29"/>
        <v/>
      </c>
      <c r="AF171" s="24"/>
      <c r="AG171" s="24"/>
      <c r="AH171" s="24"/>
      <c r="AI171" s="24"/>
      <c r="AJ171" s="99" t="str">
        <f t="shared" si="30"/>
        <v/>
      </c>
      <c r="AK171" s="31" t="str">
        <f t="shared" si="35"/>
        <v/>
      </c>
      <c r="AN171" s="139" t="str">
        <f>IF($K171="","",VLOOKUP($K171,'ORF Accuracy Value LookUp'!$G$4:$H$104,2,TRUE))</f>
        <v/>
      </c>
      <c r="AO171" s="94" t="str">
        <f t="shared" si="31"/>
        <v/>
      </c>
      <c r="AP171" s="47" t="str">
        <f>IF($U171="","",VLOOKUP($U171,'ORF Accuracy Value LookUp'!$G$4:$H$104,2,TRUE))</f>
        <v/>
      </c>
      <c r="AQ171" s="94" t="str">
        <f t="shared" si="32"/>
        <v/>
      </c>
      <c r="AR171" s="46" t="str">
        <f>IF($AE171="","",VLOOKUP($AE171,'ORF Accuracy Value LookUp'!$G$4:$H$104,2,TRUE))</f>
        <v/>
      </c>
      <c r="AS171" s="140" t="str">
        <f t="shared" si="33"/>
        <v/>
      </c>
    </row>
    <row r="172" spans="1:45">
      <c r="A172" s="10"/>
      <c r="B172" s="9"/>
      <c r="C172" s="9"/>
      <c r="D172" s="9"/>
      <c r="E172" s="10"/>
      <c r="F172" s="11"/>
      <c r="G172" s="15"/>
      <c r="H172" s="88"/>
      <c r="I172" s="24"/>
      <c r="J172" s="24"/>
      <c r="K172" s="114" t="str">
        <f t="shared" si="24"/>
        <v/>
      </c>
      <c r="L172" s="24"/>
      <c r="M172" s="24"/>
      <c r="N172" s="24"/>
      <c r="O172" s="24"/>
      <c r="P172" s="97" t="str">
        <f t="shared" si="25"/>
        <v/>
      </c>
      <c r="Q172" s="113" t="str">
        <f t="shared" si="26"/>
        <v/>
      </c>
      <c r="R172" s="88"/>
      <c r="S172" s="24"/>
      <c r="T172" s="24"/>
      <c r="U172" s="78" t="str">
        <f t="shared" si="27"/>
        <v/>
      </c>
      <c r="V172" s="24"/>
      <c r="W172" s="24"/>
      <c r="X172" s="24"/>
      <c r="Y172" s="24"/>
      <c r="Z172" s="98" t="str">
        <f t="shared" si="28"/>
        <v/>
      </c>
      <c r="AA172" s="40" t="str">
        <f t="shared" si="34"/>
        <v/>
      </c>
      <c r="AB172" s="88"/>
      <c r="AC172" s="24"/>
      <c r="AD172" s="24"/>
      <c r="AE172" s="79" t="str">
        <f t="shared" si="29"/>
        <v/>
      </c>
      <c r="AF172" s="24"/>
      <c r="AG172" s="24"/>
      <c r="AH172" s="24"/>
      <c r="AI172" s="24"/>
      <c r="AJ172" s="99" t="str">
        <f t="shared" si="30"/>
        <v/>
      </c>
      <c r="AK172" s="31" t="str">
        <f t="shared" si="35"/>
        <v/>
      </c>
      <c r="AN172" s="139" t="str">
        <f>IF($K172="","",VLOOKUP($K172,'ORF Accuracy Value LookUp'!$G$4:$H$104,2,TRUE))</f>
        <v/>
      </c>
      <c r="AO172" s="94" t="str">
        <f t="shared" si="31"/>
        <v/>
      </c>
      <c r="AP172" s="47" t="str">
        <f>IF($U172="","",VLOOKUP($U172,'ORF Accuracy Value LookUp'!$G$4:$H$104,2,TRUE))</f>
        <v/>
      </c>
      <c r="AQ172" s="94" t="str">
        <f t="shared" si="32"/>
        <v/>
      </c>
      <c r="AR172" s="46" t="str">
        <f>IF($AE172="","",VLOOKUP($AE172,'ORF Accuracy Value LookUp'!$G$4:$H$104,2,TRUE))</f>
        <v/>
      </c>
      <c r="AS172" s="140" t="str">
        <f t="shared" si="33"/>
        <v/>
      </c>
    </row>
    <row r="173" spans="1:45">
      <c r="A173" s="10"/>
      <c r="B173" s="9"/>
      <c r="C173" s="9"/>
      <c r="D173" s="9"/>
      <c r="E173" s="10"/>
      <c r="F173" s="11"/>
      <c r="G173" s="15"/>
      <c r="H173" s="88"/>
      <c r="I173" s="24"/>
      <c r="J173" s="24"/>
      <c r="K173" s="114" t="str">
        <f t="shared" si="24"/>
        <v/>
      </c>
      <c r="L173" s="24"/>
      <c r="M173" s="24"/>
      <c r="N173" s="24"/>
      <c r="O173" s="24"/>
      <c r="P173" s="97" t="str">
        <f t="shared" si="25"/>
        <v/>
      </c>
      <c r="Q173" s="113" t="str">
        <f t="shared" si="26"/>
        <v/>
      </c>
      <c r="R173" s="88"/>
      <c r="S173" s="24"/>
      <c r="T173" s="24"/>
      <c r="U173" s="78" t="str">
        <f t="shared" si="27"/>
        <v/>
      </c>
      <c r="V173" s="24"/>
      <c r="W173" s="24"/>
      <c r="X173" s="24"/>
      <c r="Y173" s="24"/>
      <c r="Z173" s="98" t="str">
        <f t="shared" si="28"/>
        <v/>
      </c>
      <c r="AA173" s="40" t="str">
        <f t="shared" si="34"/>
        <v/>
      </c>
      <c r="AB173" s="88"/>
      <c r="AC173" s="24"/>
      <c r="AD173" s="24"/>
      <c r="AE173" s="79" t="str">
        <f t="shared" si="29"/>
        <v/>
      </c>
      <c r="AF173" s="24"/>
      <c r="AG173" s="24"/>
      <c r="AH173" s="24"/>
      <c r="AI173" s="24"/>
      <c r="AJ173" s="99" t="str">
        <f t="shared" si="30"/>
        <v/>
      </c>
      <c r="AK173" s="31" t="str">
        <f t="shared" si="35"/>
        <v/>
      </c>
      <c r="AN173" s="139" t="str">
        <f>IF($K173="","",VLOOKUP($K173,'ORF Accuracy Value LookUp'!$G$4:$H$104,2,TRUE))</f>
        <v/>
      </c>
      <c r="AO173" s="94" t="str">
        <f t="shared" si="31"/>
        <v/>
      </c>
      <c r="AP173" s="47" t="str">
        <f>IF($U173="","",VLOOKUP($U173,'ORF Accuracy Value LookUp'!$G$4:$H$104,2,TRUE))</f>
        <v/>
      </c>
      <c r="AQ173" s="94" t="str">
        <f t="shared" si="32"/>
        <v/>
      </c>
      <c r="AR173" s="46" t="str">
        <f>IF($AE173="","",VLOOKUP($AE173,'ORF Accuracy Value LookUp'!$G$4:$H$104,2,TRUE))</f>
        <v/>
      </c>
      <c r="AS173" s="140" t="str">
        <f t="shared" si="33"/>
        <v/>
      </c>
    </row>
    <row r="174" spans="1:45">
      <c r="A174" s="10"/>
      <c r="B174" s="9"/>
      <c r="C174" s="9"/>
      <c r="D174" s="9"/>
      <c r="E174" s="10"/>
      <c r="F174" s="11"/>
      <c r="G174" s="15"/>
      <c r="H174" s="88"/>
      <c r="I174" s="24"/>
      <c r="J174" s="24"/>
      <c r="K174" s="114" t="str">
        <f t="shared" si="24"/>
        <v/>
      </c>
      <c r="L174" s="24"/>
      <c r="M174" s="24"/>
      <c r="N174" s="24"/>
      <c r="O174" s="24"/>
      <c r="P174" s="97" t="str">
        <f t="shared" si="25"/>
        <v/>
      </c>
      <c r="Q174" s="113" t="str">
        <f t="shared" si="26"/>
        <v/>
      </c>
      <c r="R174" s="88"/>
      <c r="S174" s="24"/>
      <c r="T174" s="24"/>
      <c r="U174" s="78" t="str">
        <f t="shared" si="27"/>
        <v/>
      </c>
      <c r="V174" s="24"/>
      <c r="W174" s="24"/>
      <c r="X174" s="24"/>
      <c r="Y174" s="24"/>
      <c r="Z174" s="98" t="str">
        <f t="shared" si="28"/>
        <v/>
      </c>
      <c r="AA174" s="40" t="str">
        <f t="shared" si="34"/>
        <v/>
      </c>
      <c r="AB174" s="88"/>
      <c r="AC174" s="24"/>
      <c r="AD174" s="24"/>
      <c r="AE174" s="79" t="str">
        <f t="shared" si="29"/>
        <v/>
      </c>
      <c r="AF174" s="24"/>
      <c r="AG174" s="24"/>
      <c r="AH174" s="24"/>
      <c r="AI174" s="24"/>
      <c r="AJ174" s="99" t="str">
        <f t="shared" si="30"/>
        <v/>
      </c>
      <c r="AK174" s="31" t="str">
        <f t="shared" si="35"/>
        <v/>
      </c>
      <c r="AN174" s="139" t="str">
        <f>IF($K174="","",VLOOKUP($K174,'ORF Accuracy Value LookUp'!$G$4:$H$104,2,TRUE))</f>
        <v/>
      </c>
      <c r="AO174" s="94" t="str">
        <f t="shared" si="31"/>
        <v/>
      </c>
      <c r="AP174" s="47" t="str">
        <f>IF($U174="","",VLOOKUP($U174,'ORF Accuracy Value LookUp'!$G$4:$H$104,2,TRUE))</f>
        <v/>
      </c>
      <c r="AQ174" s="94" t="str">
        <f t="shared" si="32"/>
        <v/>
      </c>
      <c r="AR174" s="46" t="str">
        <f>IF($AE174="","",VLOOKUP($AE174,'ORF Accuracy Value LookUp'!$G$4:$H$104,2,TRUE))</f>
        <v/>
      </c>
      <c r="AS174" s="140" t="str">
        <f t="shared" si="33"/>
        <v/>
      </c>
    </row>
    <row r="175" spans="1:45">
      <c r="A175" s="10"/>
      <c r="B175" s="9"/>
      <c r="C175" s="9"/>
      <c r="D175" s="9"/>
      <c r="E175" s="10"/>
      <c r="F175" s="11"/>
      <c r="G175" s="15"/>
      <c r="H175" s="88"/>
      <c r="I175" s="24"/>
      <c r="J175" s="24"/>
      <c r="K175" s="114" t="str">
        <f t="shared" si="24"/>
        <v/>
      </c>
      <c r="L175" s="24"/>
      <c r="M175" s="24"/>
      <c r="N175" s="24"/>
      <c r="O175" s="24"/>
      <c r="P175" s="97" t="str">
        <f t="shared" si="25"/>
        <v/>
      </c>
      <c r="Q175" s="113" t="str">
        <f t="shared" si="26"/>
        <v/>
      </c>
      <c r="R175" s="88"/>
      <c r="S175" s="24"/>
      <c r="T175" s="24"/>
      <c r="U175" s="78" t="str">
        <f t="shared" si="27"/>
        <v/>
      </c>
      <c r="V175" s="24"/>
      <c r="W175" s="24"/>
      <c r="X175" s="24"/>
      <c r="Y175" s="24"/>
      <c r="Z175" s="98" t="str">
        <f t="shared" si="28"/>
        <v/>
      </c>
      <c r="AA175" s="40" t="str">
        <f t="shared" si="34"/>
        <v/>
      </c>
      <c r="AB175" s="88"/>
      <c r="AC175" s="24"/>
      <c r="AD175" s="24"/>
      <c r="AE175" s="79" t="str">
        <f t="shared" si="29"/>
        <v/>
      </c>
      <c r="AF175" s="24"/>
      <c r="AG175" s="24"/>
      <c r="AH175" s="24"/>
      <c r="AI175" s="24"/>
      <c r="AJ175" s="99" t="str">
        <f t="shared" si="30"/>
        <v/>
      </c>
      <c r="AK175" s="31" t="str">
        <f t="shared" si="35"/>
        <v/>
      </c>
      <c r="AN175" s="139" t="str">
        <f>IF($K175="","",VLOOKUP($K175,'ORF Accuracy Value LookUp'!$G$4:$H$104,2,TRUE))</f>
        <v/>
      </c>
      <c r="AO175" s="94" t="str">
        <f t="shared" si="31"/>
        <v/>
      </c>
      <c r="AP175" s="47" t="str">
        <f>IF($U175="","",VLOOKUP($U175,'ORF Accuracy Value LookUp'!$G$4:$H$104,2,TRUE))</f>
        <v/>
      </c>
      <c r="AQ175" s="94" t="str">
        <f t="shared" si="32"/>
        <v/>
      </c>
      <c r="AR175" s="46" t="str">
        <f>IF($AE175="","",VLOOKUP($AE175,'ORF Accuracy Value LookUp'!$G$4:$H$104,2,TRUE))</f>
        <v/>
      </c>
      <c r="AS175" s="140" t="str">
        <f t="shared" si="33"/>
        <v/>
      </c>
    </row>
    <row r="176" spans="1:45">
      <c r="A176" s="10"/>
      <c r="B176" s="9"/>
      <c r="C176" s="9"/>
      <c r="D176" s="9"/>
      <c r="E176" s="10"/>
      <c r="F176" s="11"/>
      <c r="G176" s="15"/>
      <c r="H176" s="88"/>
      <c r="I176" s="24"/>
      <c r="J176" s="24"/>
      <c r="K176" s="114" t="str">
        <f t="shared" si="24"/>
        <v/>
      </c>
      <c r="L176" s="24"/>
      <c r="M176" s="24"/>
      <c r="N176" s="24"/>
      <c r="O176" s="24"/>
      <c r="P176" s="97" t="str">
        <f t="shared" si="25"/>
        <v/>
      </c>
      <c r="Q176" s="113" t="str">
        <f t="shared" si="26"/>
        <v/>
      </c>
      <c r="R176" s="88"/>
      <c r="S176" s="24"/>
      <c r="T176" s="24"/>
      <c r="U176" s="78" t="str">
        <f t="shared" si="27"/>
        <v/>
      </c>
      <c r="V176" s="24"/>
      <c r="W176" s="24"/>
      <c r="X176" s="24"/>
      <c r="Y176" s="24"/>
      <c r="Z176" s="98" t="str">
        <f t="shared" si="28"/>
        <v/>
      </c>
      <c r="AA176" s="40" t="str">
        <f t="shared" si="34"/>
        <v/>
      </c>
      <c r="AB176" s="88"/>
      <c r="AC176" s="24"/>
      <c r="AD176" s="24"/>
      <c r="AE176" s="79" t="str">
        <f t="shared" si="29"/>
        <v/>
      </c>
      <c r="AF176" s="24"/>
      <c r="AG176" s="24"/>
      <c r="AH176" s="24"/>
      <c r="AI176" s="24"/>
      <c r="AJ176" s="99" t="str">
        <f t="shared" si="30"/>
        <v/>
      </c>
      <c r="AK176" s="31" t="str">
        <f t="shared" si="35"/>
        <v/>
      </c>
      <c r="AN176" s="139" t="str">
        <f>IF($K176="","",VLOOKUP($K176,'ORF Accuracy Value LookUp'!$G$4:$H$104,2,TRUE))</f>
        <v/>
      </c>
      <c r="AO176" s="94" t="str">
        <f t="shared" si="31"/>
        <v/>
      </c>
      <c r="AP176" s="47" t="str">
        <f>IF($U176="","",VLOOKUP($U176,'ORF Accuracy Value LookUp'!$G$4:$H$104,2,TRUE))</f>
        <v/>
      </c>
      <c r="AQ176" s="94" t="str">
        <f t="shared" si="32"/>
        <v/>
      </c>
      <c r="AR176" s="46" t="str">
        <f>IF($AE176="","",VLOOKUP($AE176,'ORF Accuracy Value LookUp'!$G$4:$H$104,2,TRUE))</f>
        <v/>
      </c>
      <c r="AS176" s="140" t="str">
        <f t="shared" si="33"/>
        <v/>
      </c>
    </row>
    <row r="177" spans="1:45">
      <c r="A177" s="10"/>
      <c r="B177" s="9"/>
      <c r="C177" s="9"/>
      <c r="D177" s="9"/>
      <c r="E177" s="10"/>
      <c r="F177" s="11"/>
      <c r="G177" s="15"/>
      <c r="H177" s="88"/>
      <c r="I177" s="24"/>
      <c r="J177" s="24"/>
      <c r="K177" s="114" t="str">
        <f t="shared" si="24"/>
        <v/>
      </c>
      <c r="L177" s="24"/>
      <c r="M177" s="24"/>
      <c r="N177" s="24"/>
      <c r="O177" s="24"/>
      <c r="P177" s="97" t="str">
        <f t="shared" si="25"/>
        <v/>
      </c>
      <c r="Q177" s="113" t="str">
        <f t="shared" si="26"/>
        <v/>
      </c>
      <c r="R177" s="88"/>
      <c r="S177" s="24"/>
      <c r="T177" s="24"/>
      <c r="U177" s="78" t="str">
        <f t="shared" si="27"/>
        <v/>
      </c>
      <c r="V177" s="24"/>
      <c r="W177" s="24"/>
      <c r="X177" s="24"/>
      <c r="Y177" s="24"/>
      <c r="Z177" s="98" t="str">
        <f t="shared" si="28"/>
        <v/>
      </c>
      <c r="AA177" s="40" t="str">
        <f t="shared" si="34"/>
        <v/>
      </c>
      <c r="AB177" s="88"/>
      <c r="AC177" s="24"/>
      <c r="AD177" s="24"/>
      <c r="AE177" s="79" t="str">
        <f t="shared" si="29"/>
        <v/>
      </c>
      <c r="AF177" s="24"/>
      <c r="AG177" s="24"/>
      <c r="AH177" s="24"/>
      <c r="AI177" s="24"/>
      <c r="AJ177" s="99" t="str">
        <f t="shared" si="30"/>
        <v/>
      </c>
      <c r="AK177" s="31" t="str">
        <f t="shared" si="35"/>
        <v/>
      </c>
      <c r="AN177" s="139" t="str">
        <f>IF($K177="","",VLOOKUP($K177,'ORF Accuracy Value LookUp'!$G$4:$H$104,2,TRUE))</f>
        <v/>
      </c>
      <c r="AO177" s="94" t="str">
        <f t="shared" si="31"/>
        <v/>
      </c>
      <c r="AP177" s="47" t="str">
        <f>IF($U177="","",VLOOKUP($U177,'ORF Accuracy Value LookUp'!$G$4:$H$104,2,TRUE))</f>
        <v/>
      </c>
      <c r="AQ177" s="94" t="str">
        <f t="shared" si="32"/>
        <v/>
      </c>
      <c r="AR177" s="46" t="str">
        <f>IF($AE177="","",VLOOKUP($AE177,'ORF Accuracy Value LookUp'!$G$4:$H$104,2,TRUE))</f>
        <v/>
      </c>
      <c r="AS177" s="140" t="str">
        <f t="shared" si="33"/>
        <v/>
      </c>
    </row>
    <row r="178" spans="1:45">
      <c r="A178" s="10"/>
      <c r="B178" s="9"/>
      <c r="C178" s="9"/>
      <c r="D178" s="9"/>
      <c r="E178" s="10"/>
      <c r="F178" s="11"/>
      <c r="G178" s="15"/>
      <c r="H178" s="88"/>
      <c r="I178" s="24"/>
      <c r="J178" s="24"/>
      <c r="K178" s="114" t="str">
        <f t="shared" si="24"/>
        <v/>
      </c>
      <c r="L178" s="24"/>
      <c r="M178" s="24"/>
      <c r="N178" s="24"/>
      <c r="O178" s="24"/>
      <c r="P178" s="97" t="str">
        <f t="shared" si="25"/>
        <v/>
      </c>
      <c r="Q178" s="113" t="str">
        <f t="shared" si="26"/>
        <v/>
      </c>
      <c r="R178" s="88"/>
      <c r="S178" s="24"/>
      <c r="T178" s="24"/>
      <c r="U178" s="78" t="str">
        <f t="shared" si="27"/>
        <v/>
      </c>
      <c r="V178" s="24"/>
      <c r="W178" s="24"/>
      <c r="X178" s="24"/>
      <c r="Y178" s="24"/>
      <c r="Z178" s="98" t="str">
        <f t="shared" si="28"/>
        <v/>
      </c>
      <c r="AA178" s="40" t="str">
        <f t="shared" si="34"/>
        <v/>
      </c>
      <c r="AB178" s="88"/>
      <c r="AC178" s="24"/>
      <c r="AD178" s="24"/>
      <c r="AE178" s="79" t="str">
        <f t="shared" si="29"/>
        <v/>
      </c>
      <c r="AF178" s="24"/>
      <c r="AG178" s="24"/>
      <c r="AH178" s="24"/>
      <c r="AI178" s="24"/>
      <c r="AJ178" s="99" t="str">
        <f t="shared" si="30"/>
        <v/>
      </c>
      <c r="AK178" s="31" t="str">
        <f t="shared" si="35"/>
        <v/>
      </c>
      <c r="AN178" s="139" t="str">
        <f>IF($K178="","",VLOOKUP($K178,'ORF Accuracy Value LookUp'!$G$4:$H$104,2,TRUE))</f>
        <v/>
      </c>
      <c r="AO178" s="94" t="str">
        <f t="shared" si="31"/>
        <v/>
      </c>
      <c r="AP178" s="47" t="str">
        <f>IF($U178="","",VLOOKUP($U178,'ORF Accuracy Value LookUp'!$G$4:$H$104,2,TRUE))</f>
        <v/>
      </c>
      <c r="AQ178" s="94" t="str">
        <f t="shared" si="32"/>
        <v/>
      </c>
      <c r="AR178" s="46" t="str">
        <f>IF($AE178="","",VLOOKUP($AE178,'ORF Accuracy Value LookUp'!$G$4:$H$104,2,TRUE))</f>
        <v/>
      </c>
      <c r="AS178" s="140" t="str">
        <f t="shared" si="33"/>
        <v/>
      </c>
    </row>
    <row r="179" spans="1:45">
      <c r="A179" s="10"/>
      <c r="B179" s="9"/>
      <c r="C179" s="9"/>
      <c r="D179" s="9"/>
      <c r="E179" s="10"/>
      <c r="F179" s="11"/>
      <c r="G179" s="15"/>
      <c r="H179" s="88"/>
      <c r="I179" s="24"/>
      <c r="J179" s="24"/>
      <c r="K179" s="114" t="str">
        <f t="shared" si="24"/>
        <v/>
      </c>
      <c r="L179" s="24"/>
      <c r="M179" s="24"/>
      <c r="N179" s="24"/>
      <c r="O179" s="24"/>
      <c r="P179" s="97" t="str">
        <f t="shared" si="25"/>
        <v/>
      </c>
      <c r="Q179" s="113" t="str">
        <f t="shared" si="26"/>
        <v/>
      </c>
      <c r="R179" s="88"/>
      <c r="S179" s="24"/>
      <c r="T179" s="24"/>
      <c r="U179" s="78" t="str">
        <f t="shared" si="27"/>
        <v/>
      </c>
      <c r="V179" s="24"/>
      <c r="W179" s="24"/>
      <c r="X179" s="24"/>
      <c r="Y179" s="24"/>
      <c r="Z179" s="98" t="str">
        <f t="shared" si="28"/>
        <v/>
      </c>
      <c r="AA179" s="40" t="str">
        <f t="shared" si="34"/>
        <v/>
      </c>
      <c r="AB179" s="88"/>
      <c r="AC179" s="24"/>
      <c r="AD179" s="24"/>
      <c r="AE179" s="79" t="str">
        <f t="shared" si="29"/>
        <v/>
      </c>
      <c r="AF179" s="24"/>
      <c r="AG179" s="24"/>
      <c r="AH179" s="24"/>
      <c r="AI179" s="24"/>
      <c r="AJ179" s="99" t="str">
        <f t="shared" si="30"/>
        <v/>
      </c>
      <c r="AK179" s="31" t="str">
        <f t="shared" si="35"/>
        <v/>
      </c>
      <c r="AN179" s="139" t="str">
        <f>IF($K179="","",VLOOKUP($K179,'ORF Accuracy Value LookUp'!$G$4:$H$104,2,TRUE))</f>
        <v/>
      </c>
      <c r="AO179" s="94" t="str">
        <f t="shared" si="31"/>
        <v/>
      </c>
      <c r="AP179" s="47" t="str">
        <f>IF($U179="","",VLOOKUP($U179,'ORF Accuracy Value LookUp'!$G$4:$H$104,2,TRUE))</f>
        <v/>
      </c>
      <c r="AQ179" s="94" t="str">
        <f t="shared" si="32"/>
        <v/>
      </c>
      <c r="AR179" s="46" t="str">
        <f>IF($AE179="","",VLOOKUP($AE179,'ORF Accuracy Value LookUp'!$G$4:$H$104,2,TRUE))</f>
        <v/>
      </c>
      <c r="AS179" s="140" t="str">
        <f t="shared" si="33"/>
        <v/>
      </c>
    </row>
    <row r="180" spans="1:45">
      <c r="A180" s="10"/>
      <c r="B180" s="9"/>
      <c r="C180" s="9"/>
      <c r="D180" s="9"/>
      <c r="E180" s="10"/>
      <c r="F180" s="11"/>
      <c r="G180" s="15"/>
      <c r="H180" s="88"/>
      <c r="I180" s="24"/>
      <c r="J180" s="24"/>
      <c r="K180" s="114" t="str">
        <f t="shared" si="24"/>
        <v/>
      </c>
      <c r="L180" s="24"/>
      <c r="M180" s="24"/>
      <c r="N180" s="24"/>
      <c r="O180" s="24"/>
      <c r="P180" s="97" t="str">
        <f t="shared" si="25"/>
        <v/>
      </c>
      <c r="Q180" s="113" t="str">
        <f t="shared" si="26"/>
        <v/>
      </c>
      <c r="R180" s="88"/>
      <c r="S180" s="24"/>
      <c r="T180" s="24"/>
      <c r="U180" s="78" t="str">
        <f t="shared" si="27"/>
        <v/>
      </c>
      <c r="V180" s="24"/>
      <c r="W180" s="24"/>
      <c r="X180" s="24"/>
      <c r="Y180" s="24"/>
      <c r="Z180" s="98" t="str">
        <f t="shared" si="28"/>
        <v/>
      </c>
      <c r="AA180" s="40" t="str">
        <f t="shared" si="34"/>
        <v/>
      </c>
      <c r="AB180" s="88"/>
      <c r="AC180" s="24"/>
      <c r="AD180" s="24"/>
      <c r="AE180" s="79" t="str">
        <f t="shared" si="29"/>
        <v/>
      </c>
      <c r="AF180" s="24"/>
      <c r="AG180" s="24"/>
      <c r="AH180" s="24"/>
      <c r="AI180" s="24"/>
      <c r="AJ180" s="99" t="str">
        <f t="shared" si="30"/>
        <v/>
      </c>
      <c r="AK180" s="31" t="str">
        <f t="shared" si="35"/>
        <v/>
      </c>
      <c r="AN180" s="139" t="str">
        <f>IF($K180="","",VLOOKUP($K180,'ORF Accuracy Value LookUp'!$G$4:$H$104,2,TRUE))</f>
        <v/>
      </c>
      <c r="AO180" s="94" t="str">
        <f t="shared" si="31"/>
        <v/>
      </c>
      <c r="AP180" s="47" t="str">
        <f>IF($U180="","",VLOOKUP($U180,'ORF Accuracy Value LookUp'!$G$4:$H$104,2,TRUE))</f>
        <v/>
      </c>
      <c r="AQ180" s="94" t="str">
        <f t="shared" si="32"/>
        <v/>
      </c>
      <c r="AR180" s="46" t="str">
        <f>IF($AE180="","",VLOOKUP($AE180,'ORF Accuracy Value LookUp'!$G$4:$H$104,2,TRUE))</f>
        <v/>
      </c>
      <c r="AS180" s="140" t="str">
        <f t="shared" si="33"/>
        <v/>
      </c>
    </row>
    <row r="181" spans="1:45">
      <c r="A181" s="10"/>
      <c r="B181" s="9"/>
      <c r="C181" s="9"/>
      <c r="D181" s="9"/>
      <c r="E181" s="10"/>
      <c r="F181" s="11"/>
      <c r="G181" s="15"/>
      <c r="H181" s="88"/>
      <c r="I181" s="24"/>
      <c r="J181" s="24"/>
      <c r="K181" s="114" t="str">
        <f t="shared" si="24"/>
        <v/>
      </c>
      <c r="L181" s="24"/>
      <c r="M181" s="24"/>
      <c r="N181" s="24"/>
      <c r="O181" s="24"/>
      <c r="P181" s="97" t="str">
        <f t="shared" si="25"/>
        <v/>
      </c>
      <c r="Q181" s="113" t="str">
        <f t="shared" si="26"/>
        <v/>
      </c>
      <c r="R181" s="88"/>
      <c r="S181" s="24"/>
      <c r="T181" s="24"/>
      <c r="U181" s="78" t="str">
        <f t="shared" si="27"/>
        <v/>
      </c>
      <c r="V181" s="24"/>
      <c r="W181" s="24"/>
      <c r="X181" s="24"/>
      <c r="Y181" s="24"/>
      <c r="Z181" s="98" t="str">
        <f t="shared" si="28"/>
        <v/>
      </c>
      <c r="AA181" s="40" t="str">
        <f t="shared" si="34"/>
        <v/>
      </c>
      <c r="AB181" s="88"/>
      <c r="AC181" s="24"/>
      <c r="AD181" s="24"/>
      <c r="AE181" s="79" t="str">
        <f t="shared" si="29"/>
        <v/>
      </c>
      <c r="AF181" s="24"/>
      <c r="AG181" s="24"/>
      <c r="AH181" s="24"/>
      <c r="AI181" s="24"/>
      <c r="AJ181" s="99" t="str">
        <f t="shared" si="30"/>
        <v/>
      </c>
      <c r="AK181" s="31" t="str">
        <f t="shared" si="35"/>
        <v/>
      </c>
      <c r="AN181" s="139" t="str">
        <f>IF($K181="","",VLOOKUP($K181,'ORF Accuracy Value LookUp'!$G$4:$H$104,2,TRUE))</f>
        <v/>
      </c>
      <c r="AO181" s="94" t="str">
        <f t="shared" si="31"/>
        <v/>
      </c>
      <c r="AP181" s="47" t="str">
        <f>IF($U181="","",VLOOKUP($U181,'ORF Accuracy Value LookUp'!$G$4:$H$104,2,TRUE))</f>
        <v/>
      </c>
      <c r="AQ181" s="94" t="str">
        <f t="shared" si="32"/>
        <v/>
      </c>
      <c r="AR181" s="46" t="str">
        <f>IF($AE181="","",VLOOKUP($AE181,'ORF Accuracy Value LookUp'!$G$4:$H$104,2,TRUE))</f>
        <v/>
      </c>
      <c r="AS181" s="140" t="str">
        <f t="shared" si="33"/>
        <v/>
      </c>
    </row>
    <row r="182" spans="1:45">
      <c r="A182" s="10"/>
      <c r="B182" s="9"/>
      <c r="C182" s="9"/>
      <c r="D182" s="9"/>
      <c r="E182" s="10"/>
      <c r="F182" s="11"/>
      <c r="G182" s="15"/>
      <c r="H182" s="88"/>
      <c r="I182" s="24"/>
      <c r="J182" s="24"/>
      <c r="K182" s="114" t="str">
        <f t="shared" si="24"/>
        <v/>
      </c>
      <c r="L182" s="24"/>
      <c r="M182" s="24"/>
      <c r="N182" s="24"/>
      <c r="O182" s="24"/>
      <c r="P182" s="97" t="str">
        <f t="shared" si="25"/>
        <v/>
      </c>
      <c r="Q182" s="113" t="str">
        <f t="shared" si="26"/>
        <v/>
      </c>
      <c r="R182" s="88"/>
      <c r="S182" s="24"/>
      <c r="T182" s="24"/>
      <c r="U182" s="78" t="str">
        <f t="shared" si="27"/>
        <v/>
      </c>
      <c r="V182" s="24"/>
      <c r="W182" s="24"/>
      <c r="X182" s="24"/>
      <c r="Y182" s="24"/>
      <c r="Z182" s="98" t="str">
        <f t="shared" si="28"/>
        <v/>
      </c>
      <c r="AA182" s="40" t="str">
        <f t="shared" si="34"/>
        <v/>
      </c>
      <c r="AB182" s="88"/>
      <c r="AC182" s="24"/>
      <c r="AD182" s="24"/>
      <c r="AE182" s="79" t="str">
        <f t="shared" si="29"/>
        <v/>
      </c>
      <c r="AF182" s="24"/>
      <c r="AG182" s="24"/>
      <c r="AH182" s="24"/>
      <c r="AI182" s="24"/>
      <c r="AJ182" s="99" t="str">
        <f t="shared" si="30"/>
        <v/>
      </c>
      <c r="AK182" s="31" t="str">
        <f t="shared" si="35"/>
        <v/>
      </c>
      <c r="AN182" s="139" t="str">
        <f>IF($K182="","",VLOOKUP($K182,'ORF Accuracy Value LookUp'!$G$4:$H$104,2,TRUE))</f>
        <v/>
      </c>
      <c r="AO182" s="94" t="str">
        <f t="shared" si="31"/>
        <v/>
      </c>
      <c r="AP182" s="47" t="str">
        <f>IF($U182="","",VLOOKUP($U182,'ORF Accuracy Value LookUp'!$G$4:$H$104,2,TRUE))</f>
        <v/>
      </c>
      <c r="AQ182" s="94" t="str">
        <f t="shared" si="32"/>
        <v/>
      </c>
      <c r="AR182" s="46" t="str">
        <f>IF($AE182="","",VLOOKUP($AE182,'ORF Accuracy Value LookUp'!$G$4:$H$104,2,TRUE))</f>
        <v/>
      </c>
      <c r="AS182" s="140" t="str">
        <f t="shared" si="33"/>
        <v/>
      </c>
    </row>
    <row r="183" spans="1:45">
      <c r="A183" s="10"/>
      <c r="B183" s="9"/>
      <c r="C183" s="9"/>
      <c r="D183" s="9"/>
      <c r="E183" s="10"/>
      <c r="F183" s="11"/>
      <c r="G183" s="15"/>
      <c r="H183" s="88"/>
      <c r="I183" s="24"/>
      <c r="J183" s="24"/>
      <c r="K183" s="114" t="str">
        <f t="shared" si="24"/>
        <v/>
      </c>
      <c r="L183" s="24"/>
      <c r="M183" s="24"/>
      <c r="N183" s="24"/>
      <c r="O183" s="24"/>
      <c r="P183" s="97" t="str">
        <f t="shared" si="25"/>
        <v/>
      </c>
      <c r="Q183" s="113" t="str">
        <f t="shared" si="26"/>
        <v/>
      </c>
      <c r="R183" s="88"/>
      <c r="S183" s="24"/>
      <c r="T183" s="24"/>
      <c r="U183" s="78" t="str">
        <f t="shared" si="27"/>
        <v/>
      </c>
      <c r="V183" s="24"/>
      <c r="W183" s="24"/>
      <c r="X183" s="24"/>
      <c r="Y183" s="24"/>
      <c r="Z183" s="98" t="str">
        <f t="shared" si="28"/>
        <v/>
      </c>
      <c r="AA183" s="40" t="str">
        <f t="shared" si="34"/>
        <v/>
      </c>
      <c r="AB183" s="88"/>
      <c r="AC183" s="24"/>
      <c r="AD183" s="24"/>
      <c r="AE183" s="79" t="str">
        <f t="shared" si="29"/>
        <v/>
      </c>
      <c r="AF183" s="24"/>
      <c r="AG183" s="24"/>
      <c r="AH183" s="24"/>
      <c r="AI183" s="24"/>
      <c r="AJ183" s="99" t="str">
        <f t="shared" si="30"/>
        <v/>
      </c>
      <c r="AK183" s="31" t="str">
        <f t="shared" si="35"/>
        <v/>
      </c>
      <c r="AN183" s="139" t="str">
        <f>IF($K183="","",VLOOKUP($K183,'ORF Accuracy Value LookUp'!$G$4:$H$104,2,TRUE))</f>
        <v/>
      </c>
      <c r="AO183" s="94" t="str">
        <f t="shared" si="31"/>
        <v/>
      </c>
      <c r="AP183" s="47" t="str">
        <f>IF($U183="","",VLOOKUP($U183,'ORF Accuracy Value LookUp'!$G$4:$H$104,2,TRUE))</f>
        <v/>
      </c>
      <c r="AQ183" s="94" t="str">
        <f t="shared" si="32"/>
        <v/>
      </c>
      <c r="AR183" s="46" t="str">
        <f>IF($AE183="","",VLOOKUP($AE183,'ORF Accuracy Value LookUp'!$G$4:$H$104,2,TRUE))</f>
        <v/>
      </c>
      <c r="AS183" s="140" t="str">
        <f t="shared" si="33"/>
        <v/>
      </c>
    </row>
    <row r="184" spans="1:45">
      <c r="A184" s="10"/>
      <c r="B184" s="9"/>
      <c r="C184" s="9"/>
      <c r="D184" s="9"/>
      <c r="E184" s="10"/>
      <c r="F184" s="11"/>
      <c r="G184" s="15"/>
      <c r="H184" s="88"/>
      <c r="I184" s="24"/>
      <c r="J184" s="24"/>
      <c r="K184" s="114" t="str">
        <f t="shared" si="24"/>
        <v/>
      </c>
      <c r="L184" s="24"/>
      <c r="M184" s="24"/>
      <c r="N184" s="24"/>
      <c r="O184" s="24"/>
      <c r="P184" s="97" t="str">
        <f t="shared" si="25"/>
        <v/>
      </c>
      <c r="Q184" s="113" t="str">
        <f t="shared" si="26"/>
        <v/>
      </c>
      <c r="R184" s="88"/>
      <c r="S184" s="24"/>
      <c r="T184" s="24"/>
      <c r="U184" s="78" t="str">
        <f t="shared" si="27"/>
        <v/>
      </c>
      <c r="V184" s="24"/>
      <c r="W184" s="24"/>
      <c r="X184" s="24"/>
      <c r="Y184" s="24"/>
      <c r="Z184" s="98" t="str">
        <f t="shared" si="28"/>
        <v/>
      </c>
      <c r="AA184" s="40" t="str">
        <f t="shared" si="34"/>
        <v/>
      </c>
      <c r="AB184" s="88"/>
      <c r="AC184" s="24"/>
      <c r="AD184" s="24"/>
      <c r="AE184" s="79" t="str">
        <f t="shared" si="29"/>
        <v/>
      </c>
      <c r="AF184" s="24"/>
      <c r="AG184" s="24"/>
      <c r="AH184" s="24"/>
      <c r="AI184" s="24"/>
      <c r="AJ184" s="99" t="str">
        <f t="shared" si="30"/>
        <v/>
      </c>
      <c r="AK184" s="31" t="str">
        <f t="shared" si="35"/>
        <v/>
      </c>
      <c r="AN184" s="139" t="str">
        <f>IF($K184="","",VLOOKUP($K184,'ORF Accuracy Value LookUp'!$G$4:$H$104,2,TRUE))</f>
        <v/>
      </c>
      <c r="AO184" s="94" t="str">
        <f t="shared" si="31"/>
        <v/>
      </c>
      <c r="AP184" s="47" t="str">
        <f>IF($U184="","",VLOOKUP($U184,'ORF Accuracy Value LookUp'!$G$4:$H$104,2,TRUE))</f>
        <v/>
      </c>
      <c r="AQ184" s="94" t="str">
        <f t="shared" si="32"/>
        <v/>
      </c>
      <c r="AR184" s="46" t="str">
        <f>IF($AE184="","",VLOOKUP($AE184,'ORF Accuracy Value LookUp'!$G$4:$H$104,2,TRUE))</f>
        <v/>
      </c>
      <c r="AS184" s="140" t="str">
        <f t="shared" si="33"/>
        <v/>
      </c>
    </row>
    <row r="185" spans="1:45">
      <c r="A185" s="10"/>
      <c r="B185" s="9"/>
      <c r="C185" s="9"/>
      <c r="D185" s="9"/>
      <c r="E185" s="10"/>
      <c r="F185" s="11"/>
      <c r="G185" s="15"/>
      <c r="H185" s="88"/>
      <c r="I185" s="24"/>
      <c r="J185" s="24"/>
      <c r="K185" s="114" t="str">
        <f t="shared" si="24"/>
        <v/>
      </c>
      <c r="L185" s="24"/>
      <c r="M185" s="24"/>
      <c r="N185" s="24"/>
      <c r="O185" s="24"/>
      <c r="P185" s="97" t="str">
        <f t="shared" si="25"/>
        <v/>
      </c>
      <c r="Q185" s="113" t="str">
        <f t="shared" si="26"/>
        <v/>
      </c>
      <c r="R185" s="88"/>
      <c r="S185" s="24"/>
      <c r="T185" s="24"/>
      <c r="U185" s="78" t="str">
        <f t="shared" si="27"/>
        <v/>
      </c>
      <c r="V185" s="24"/>
      <c r="W185" s="24"/>
      <c r="X185" s="24"/>
      <c r="Y185" s="24"/>
      <c r="Z185" s="98" t="str">
        <f t="shared" si="28"/>
        <v/>
      </c>
      <c r="AA185" s="40" t="str">
        <f t="shared" si="34"/>
        <v/>
      </c>
      <c r="AB185" s="88"/>
      <c r="AC185" s="24"/>
      <c r="AD185" s="24"/>
      <c r="AE185" s="79" t="str">
        <f t="shared" si="29"/>
        <v/>
      </c>
      <c r="AF185" s="24"/>
      <c r="AG185" s="24"/>
      <c r="AH185" s="24"/>
      <c r="AI185" s="24"/>
      <c r="AJ185" s="99" t="str">
        <f t="shared" si="30"/>
        <v/>
      </c>
      <c r="AK185" s="31" t="str">
        <f t="shared" si="35"/>
        <v/>
      </c>
      <c r="AN185" s="139" t="str">
        <f>IF($K185="","",VLOOKUP($K185,'ORF Accuracy Value LookUp'!$G$4:$H$104,2,TRUE))</f>
        <v/>
      </c>
      <c r="AO185" s="94" t="str">
        <f t="shared" si="31"/>
        <v/>
      </c>
      <c r="AP185" s="47" t="str">
        <f>IF($U185="","",VLOOKUP($U185,'ORF Accuracy Value LookUp'!$G$4:$H$104,2,TRUE))</f>
        <v/>
      </c>
      <c r="AQ185" s="94" t="str">
        <f t="shared" si="32"/>
        <v/>
      </c>
      <c r="AR185" s="46" t="str">
        <f>IF($AE185="","",VLOOKUP($AE185,'ORF Accuracy Value LookUp'!$G$4:$H$104,2,TRUE))</f>
        <v/>
      </c>
      <c r="AS185" s="140" t="str">
        <f t="shared" si="33"/>
        <v/>
      </c>
    </row>
    <row r="186" spans="1:45">
      <c r="A186" s="10"/>
      <c r="B186" s="9"/>
      <c r="C186" s="9"/>
      <c r="D186" s="9"/>
      <c r="E186" s="10"/>
      <c r="F186" s="11"/>
      <c r="G186" s="15"/>
      <c r="H186" s="88"/>
      <c r="I186" s="24"/>
      <c r="J186" s="24"/>
      <c r="K186" s="114" t="str">
        <f t="shared" si="24"/>
        <v/>
      </c>
      <c r="L186" s="24"/>
      <c r="M186" s="24"/>
      <c r="N186" s="24"/>
      <c r="O186" s="24"/>
      <c r="P186" s="97" t="str">
        <f t="shared" si="25"/>
        <v/>
      </c>
      <c r="Q186" s="113" t="str">
        <f t="shared" si="26"/>
        <v/>
      </c>
      <c r="R186" s="88"/>
      <c r="S186" s="24"/>
      <c r="T186" s="24"/>
      <c r="U186" s="78" t="str">
        <f t="shared" si="27"/>
        <v/>
      </c>
      <c r="V186" s="24"/>
      <c r="W186" s="24"/>
      <c r="X186" s="24"/>
      <c r="Y186" s="24"/>
      <c r="Z186" s="98" t="str">
        <f t="shared" si="28"/>
        <v/>
      </c>
      <c r="AA186" s="40" t="str">
        <f t="shared" si="34"/>
        <v/>
      </c>
      <c r="AB186" s="88"/>
      <c r="AC186" s="24"/>
      <c r="AD186" s="24"/>
      <c r="AE186" s="79" t="str">
        <f t="shared" si="29"/>
        <v/>
      </c>
      <c r="AF186" s="24"/>
      <c r="AG186" s="24"/>
      <c r="AH186" s="24"/>
      <c r="AI186" s="24"/>
      <c r="AJ186" s="99" t="str">
        <f t="shared" si="30"/>
        <v/>
      </c>
      <c r="AK186" s="31" t="str">
        <f t="shared" si="35"/>
        <v/>
      </c>
      <c r="AN186" s="139" t="str">
        <f>IF($K186="","",VLOOKUP($K186,'ORF Accuracy Value LookUp'!$G$4:$H$104,2,TRUE))</f>
        <v/>
      </c>
      <c r="AO186" s="94" t="str">
        <f t="shared" si="31"/>
        <v/>
      </c>
      <c r="AP186" s="47" t="str">
        <f>IF($U186="","",VLOOKUP($U186,'ORF Accuracy Value LookUp'!$G$4:$H$104,2,TRUE))</f>
        <v/>
      </c>
      <c r="AQ186" s="94" t="str">
        <f t="shared" si="32"/>
        <v/>
      </c>
      <c r="AR186" s="46" t="str">
        <f>IF($AE186="","",VLOOKUP($AE186,'ORF Accuracy Value LookUp'!$G$4:$H$104,2,TRUE))</f>
        <v/>
      </c>
      <c r="AS186" s="140" t="str">
        <f t="shared" si="33"/>
        <v/>
      </c>
    </row>
    <row r="187" spans="1:45">
      <c r="A187" s="10"/>
      <c r="B187" s="9"/>
      <c r="C187" s="9"/>
      <c r="D187" s="9"/>
      <c r="E187" s="10"/>
      <c r="F187" s="11"/>
      <c r="G187" s="15"/>
      <c r="H187" s="88"/>
      <c r="I187" s="24"/>
      <c r="J187" s="24"/>
      <c r="K187" s="114" t="str">
        <f t="shared" si="24"/>
        <v/>
      </c>
      <c r="L187" s="24"/>
      <c r="M187" s="24"/>
      <c r="N187" s="24"/>
      <c r="O187" s="24"/>
      <c r="P187" s="97" t="str">
        <f t="shared" si="25"/>
        <v/>
      </c>
      <c r="Q187" s="113" t="str">
        <f t="shared" si="26"/>
        <v/>
      </c>
      <c r="R187" s="88"/>
      <c r="S187" s="24"/>
      <c r="T187" s="24"/>
      <c r="U187" s="78" t="str">
        <f t="shared" si="27"/>
        <v/>
      </c>
      <c r="V187" s="24"/>
      <c r="W187" s="24"/>
      <c r="X187" s="24"/>
      <c r="Y187" s="24"/>
      <c r="Z187" s="98" t="str">
        <f t="shared" si="28"/>
        <v/>
      </c>
      <c r="AA187" s="40" t="str">
        <f t="shared" si="34"/>
        <v/>
      </c>
      <c r="AB187" s="88"/>
      <c r="AC187" s="24"/>
      <c r="AD187" s="24"/>
      <c r="AE187" s="79" t="str">
        <f t="shared" si="29"/>
        <v/>
      </c>
      <c r="AF187" s="24"/>
      <c r="AG187" s="24"/>
      <c r="AH187" s="24"/>
      <c r="AI187" s="24"/>
      <c r="AJ187" s="99" t="str">
        <f t="shared" si="30"/>
        <v/>
      </c>
      <c r="AK187" s="31" t="str">
        <f t="shared" si="35"/>
        <v/>
      </c>
      <c r="AN187" s="139" t="str">
        <f>IF($K187="","",VLOOKUP($K187,'ORF Accuracy Value LookUp'!$G$4:$H$104,2,TRUE))</f>
        <v/>
      </c>
      <c r="AO187" s="94" t="str">
        <f t="shared" si="31"/>
        <v/>
      </c>
      <c r="AP187" s="47" t="str">
        <f>IF($U187="","",VLOOKUP($U187,'ORF Accuracy Value LookUp'!$G$4:$H$104,2,TRUE))</f>
        <v/>
      </c>
      <c r="AQ187" s="94" t="str">
        <f t="shared" si="32"/>
        <v/>
      </c>
      <c r="AR187" s="46" t="str">
        <f>IF($AE187="","",VLOOKUP($AE187,'ORF Accuracy Value LookUp'!$G$4:$H$104,2,TRUE))</f>
        <v/>
      </c>
      <c r="AS187" s="140" t="str">
        <f t="shared" si="33"/>
        <v/>
      </c>
    </row>
    <row r="188" spans="1:45">
      <c r="A188" s="10"/>
      <c r="B188" s="9"/>
      <c r="C188" s="9"/>
      <c r="D188" s="9"/>
      <c r="E188" s="10"/>
      <c r="F188" s="11"/>
      <c r="G188" s="15"/>
      <c r="H188" s="88"/>
      <c r="I188" s="24"/>
      <c r="J188" s="24"/>
      <c r="K188" s="114" t="str">
        <f t="shared" si="24"/>
        <v/>
      </c>
      <c r="L188" s="24"/>
      <c r="M188" s="24"/>
      <c r="N188" s="24"/>
      <c r="O188" s="24"/>
      <c r="P188" s="97" t="str">
        <f t="shared" si="25"/>
        <v/>
      </c>
      <c r="Q188" s="113" t="str">
        <f t="shared" si="26"/>
        <v/>
      </c>
      <c r="R188" s="88"/>
      <c r="S188" s="24"/>
      <c r="T188" s="24"/>
      <c r="U188" s="78" t="str">
        <f t="shared" si="27"/>
        <v/>
      </c>
      <c r="V188" s="24"/>
      <c r="W188" s="24"/>
      <c r="X188" s="24"/>
      <c r="Y188" s="24"/>
      <c r="Z188" s="98" t="str">
        <f t="shared" si="28"/>
        <v/>
      </c>
      <c r="AA188" s="40" t="str">
        <f t="shared" si="34"/>
        <v/>
      </c>
      <c r="AB188" s="88"/>
      <c r="AC188" s="24"/>
      <c r="AD188" s="24"/>
      <c r="AE188" s="79" t="str">
        <f t="shared" si="29"/>
        <v/>
      </c>
      <c r="AF188" s="24"/>
      <c r="AG188" s="24"/>
      <c r="AH188" s="24"/>
      <c r="AI188" s="24"/>
      <c r="AJ188" s="99" t="str">
        <f t="shared" si="30"/>
        <v/>
      </c>
      <c r="AK188" s="31" t="str">
        <f t="shared" si="35"/>
        <v/>
      </c>
      <c r="AN188" s="139" t="str">
        <f>IF($K188="","",VLOOKUP($K188,'ORF Accuracy Value LookUp'!$G$4:$H$104,2,TRUE))</f>
        <v/>
      </c>
      <c r="AO188" s="94" t="str">
        <f t="shared" si="31"/>
        <v/>
      </c>
      <c r="AP188" s="47" t="str">
        <f>IF($U188="","",VLOOKUP($U188,'ORF Accuracy Value LookUp'!$G$4:$H$104,2,TRUE))</f>
        <v/>
      </c>
      <c r="AQ188" s="94" t="str">
        <f t="shared" si="32"/>
        <v/>
      </c>
      <c r="AR188" s="46" t="str">
        <f>IF($AE188="","",VLOOKUP($AE188,'ORF Accuracy Value LookUp'!$G$4:$H$104,2,TRUE))</f>
        <v/>
      </c>
      <c r="AS188" s="140" t="str">
        <f t="shared" si="33"/>
        <v/>
      </c>
    </row>
    <row r="189" spans="1:45">
      <c r="A189" s="10"/>
      <c r="B189" s="9"/>
      <c r="C189" s="9"/>
      <c r="D189" s="9"/>
      <c r="E189" s="10"/>
      <c r="F189" s="11"/>
      <c r="G189" s="15"/>
      <c r="H189" s="88"/>
      <c r="I189" s="24"/>
      <c r="J189" s="24"/>
      <c r="K189" s="114" t="str">
        <f t="shared" si="24"/>
        <v/>
      </c>
      <c r="L189" s="24"/>
      <c r="M189" s="24"/>
      <c r="N189" s="24"/>
      <c r="O189" s="24"/>
      <c r="P189" s="97" t="str">
        <f t="shared" si="25"/>
        <v/>
      </c>
      <c r="Q189" s="113" t="str">
        <f t="shared" si="26"/>
        <v/>
      </c>
      <c r="R189" s="88"/>
      <c r="S189" s="24"/>
      <c r="T189" s="24"/>
      <c r="U189" s="78" t="str">
        <f t="shared" si="27"/>
        <v/>
      </c>
      <c r="V189" s="24"/>
      <c r="W189" s="24"/>
      <c r="X189" s="24"/>
      <c r="Y189" s="24"/>
      <c r="Z189" s="98" t="str">
        <f t="shared" si="28"/>
        <v/>
      </c>
      <c r="AA189" s="40" t="str">
        <f t="shared" si="34"/>
        <v/>
      </c>
      <c r="AB189" s="88"/>
      <c r="AC189" s="24"/>
      <c r="AD189" s="24"/>
      <c r="AE189" s="79" t="str">
        <f t="shared" si="29"/>
        <v/>
      </c>
      <c r="AF189" s="24"/>
      <c r="AG189" s="24"/>
      <c r="AH189" s="24"/>
      <c r="AI189" s="24"/>
      <c r="AJ189" s="99" t="str">
        <f t="shared" si="30"/>
        <v/>
      </c>
      <c r="AK189" s="31" t="str">
        <f t="shared" si="35"/>
        <v/>
      </c>
      <c r="AN189" s="139" t="str">
        <f>IF($K189="","",VLOOKUP($K189,'ORF Accuracy Value LookUp'!$G$4:$H$104,2,TRUE))</f>
        <v/>
      </c>
      <c r="AO189" s="94" t="str">
        <f t="shared" si="31"/>
        <v/>
      </c>
      <c r="AP189" s="47" t="str">
        <f>IF($U189="","",VLOOKUP($U189,'ORF Accuracy Value LookUp'!$G$4:$H$104,2,TRUE))</f>
        <v/>
      </c>
      <c r="AQ189" s="94" t="str">
        <f t="shared" si="32"/>
        <v/>
      </c>
      <c r="AR189" s="46" t="str">
        <f>IF($AE189="","",VLOOKUP($AE189,'ORF Accuracy Value LookUp'!$G$4:$H$104,2,TRUE))</f>
        <v/>
      </c>
      <c r="AS189" s="140" t="str">
        <f t="shared" si="33"/>
        <v/>
      </c>
    </row>
    <row r="190" spans="1:45">
      <c r="A190" s="10"/>
      <c r="B190" s="9"/>
      <c r="C190" s="9"/>
      <c r="D190" s="9"/>
      <c r="E190" s="10"/>
      <c r="F190" s="11"/>
      <c r="G190" s="15"/>
      <c r="H190" s="88"/>
      <c r="I190" s="24"/>
      <c r="J190" s="24"/>
      <c r="K190" s="114" t="str">
        <f t="shared" si="24"/>
        <v/>
      </c>
      <c r="L190" s="24"/>
      <c r="M190" s="24"/>
      <c r="N190" s="24"/>
      <c r="O190" s="24"/>
      <c r="P190" s="97" t="str">
        <f t="shared" si="25"/>
        <v/>
      </c>
      <c r="Q190" s="113" t="str">
        <f t="shared" si="26"/>
        <v/>
      </c>
      <c r="R190" s="88"/>
      <c r="S190" s="24"/>
      <c r="T190" s="24"/>
      <c r="U190" s="78" t="str">
        <f t="shared" si="27"/>
        <v/>
      </c>
      <c r="V190" s="24"/>
      <c r="W190" s="24"/>
      <c r="X190" s="24"/>
      <c r="Y190" s="24"/>
      <c r="Z190" s="98" t="str">
        <f t="shared" si="28"/>
        <v/>
      </c>
      <c r="AA190" s="40" t="str">
        <f t="shared" si="34"/>
        <v/>
      </c>
      <c r="AB190" s="88"/>
      <c r="AC190" s="24"/>
      <c r="AD190" s="24"/>
      <c r="AE190" s="79" t="str">
        <f t="shared" si="29"/>
        <v/>
      </c>
      <c r="AF190" s="24"/>
      <c r="AG190" s="24"/>
      <c r="AH190" s="24"/>
      <c r="AI190" s="24"/>
      <c r="AJ190" s="99" t="str">
        <f t="shared" si="30"/>
        <v/>
      </c>
      <c r="AK190" s="31" t="str">
        <f t="shared" si="35"/>
        <v/>
      </c>
      <c r="AN190" s="139" t="str">
        <f>IF($K190="","",VLOOKUP($K190,'ORF Accuracy Value LookUp'!$G$4:$H$104,2,TRUE))</f>
        <v/>
      </c>
      <c r="AO190" s="94" t="str">
        <f t="shared" si="31"/>
        <v/>
      </c>
      <c r="AP190" s="47" t="str">
        <f>IF($U190="","",VLOOKUP($U190,'ORF Accuracy Value LookUp'!$G$4:$H$104,2,TRUE))</f>
        <v/>
      </c>
      <c r="AQ190" s="94" t="str">
        <f t="shared" si="32"/>
        <v/>
      </c>
      <c r="AR190" s="46" t="str">
        <f>IF($AE190="","",VLOOKUP($AE190,'ORF Accuracy Value LookUp'!$G$4:$H$104,2,TRUE))</f>
        <v/>
      </c>
      <c r="AS190" s="140" t="str">
        <f t="shared" si="33"/>
        <v/>
      </c>
    </row>
    <row r="191" spans="1:45">
      <c r="A191" s="10"/>
      <c r="B191" s="9"/>
      <c r="C191" s="9"/>
      <c r="D191" s="9"/>
      <c r="E191" s="10"/>
      <c r="F191" s="11"/>
      <c r="G191" s="15"/>
      <c r="H191" s="88"/>
      <c r="I191" s="24"/>
      <c r="J191" s="24"/>
      <c r="K191" s="114" t="str">
        <f t="shared" si="24"/>
        <v/>
      </c>
      <c r="L191" s="24"/>
      <c r="M191" s="24"/>
      <c r="N191" s="24"/>
      <c r="O191" s="24"/>
      <c r="P191" s="97" t="str">
        <f t="shared" si="25"/>
        <v/>
      </c>
      <c r="Q191" s="113" t="str">
        <f t="shared" si="26"/>
        <v/>
      </c>
      <c r="R191" s="88"/>
      <c r="S191" s="24"/>
      <c r="T191" s="24"/>
      <c r="U191" s="78" t="str">
        <f t="shared" si="27"/>
        <v/>
      </c>
      <c r="V191" s="24"/>
      <c r="W191" s="24"/>
      <c r="X191" s="24"/>
      <c r="Y191" s="24"/>
      <c r="Z191" s="98" t="str">
        <f t="shared" si="28"/>
        <v/>
      </c>
      <c r="AA191" s="40" t="str">
        <f t="shared" si="34"/>
        <v/>
      </c>
      <c r="AB191" s="88"/>
      <c r="AC191" s="24"/>
      <c r="AD191" s="24"/>
      <c r="AE191" s="79" t="str">
        <f t="shared" si="29"/>
        <v/>
      </c>
      <c r="AF191" s="24"/>
      <c r="AG191" s="24"/>
      <c r="AH191" s="24"/>
      <c r="AI191" s="24"/>
      <c r="AJ191" s="99" t="str">
        <f t="shared" si="30"/>
        <v/>
      </c>
      <c r="AK191" s="31" t="str">
        <f t="shared" si="35"/>
        <v/>
      </c>
      <c r="AN191" s="139" t="str">
        <f>IF($K191="","",VLOOKUP($K191,'ORF Accuracy Value LookUp'!$G$4:$H$104,2,TRUE))</f>
        <v/>
      </c>
      <c r="AO191" s="94" t="str">
        <f t="shared" si="31"/>
        <v/>
      </c>
      <c r="AP191" s="47" t="str">
        <f>IF($U191="","",VLOOKUP($U191,'ORF Accuracy Value LookUp'!$G$4:$H$104,2,TRUE))</f>
        <v/>
      </c>
      <c r="AQ191" s="94" t="str">
        <f t="shared" si="32"/>
        <v/>
      </c>
      <c r="AR191" s="46" t="str">
        <f>IF($AE191="","",VLOOKUP($AE191,'ORF Accuracy Value LookUp'!$G$4:$H$104,2,TRUE))</f>
        <v/>
      </c>
      <c r="AS191" s="140" t="str">
        <f t="shared" si="33"/>
        <v/>
      </c>
    </row>
    <row r="192" spans="1:45">
      <c r="A192" s="10"/>
      <c r="B192" s="9"/>
      <c r="C192" s="9"/>
      <c r="D192" s="9"/>
      <c r="E192" s="10"/>
      <c r="F192" s="11"/>
      <c r="G192" s="15"/>
      <c r="H192" s="88"/>
      <c r="I192" s="24"/>
      <c r="J192" s="24"/>
      <c r="K192" s="114" t="str">
        <f t="shared" si="24"/>
        <v/>
      </c>
      <c r="L192" s="24"/>
      <c r="M192" s="24"/>
      <c r="N192" s="24"/>
      <c r="O192" s="24"/>
      <c r="P192" s="97" t="str">
        <f t="shared" si="25"/>
        <v/>
      </c>
      <c r="Q192" s="113" t="str">
        <f t="shared" si="26"/>
        <v/>
      </c>
      <c r="R192" s="88"/>
      <c r="S192" s="24"/>
      <c r="T192" s="24"/>
      <c r="U192" s="78" t="str">
        <f t="shared" si="27"/>
        <v/>
      </c>
      <c r="V192" s="24"/>
      <c r="W192" s="24"/>
      <c r="X192" s="24"/>
      <c r="Y192" s="24"/>
      <c r="Z192" s="98" t="str">
        <f t="shared" si="28"/>
        <v/>
      </c>
      <c r="AA192" s="40" t="str">
        <f t="shared" si="34"/>
        <v/>
      </c>
      <c r="AB192" s="88"/>
      <c r="AC192" s="24"/>
      <c r="AD192" s="24"/>
      <c r="AE192" s="79" t="str">
        <f t="shared" si="29"/>
        <v/>
      </c>
      <c r="AF192" s="24"/>
      <c r="AG192" s="24"/>
      <c r="AH192" s="24"/>
      <c r="AI192" s="24"/>
      <c r="AJ192" s="99" t="str">
        <f t="shared" si="30"/>
        <v/>
      </c>
      <c r="AK192" s="31" t="str">
        <f t="shared" si="35"/>
        <v/>
      </c>
      <c r="AN192" s="139" t="str">
        <f>IF($K192="","",VLOOKUP($K192,'ORF Accuracy Value LookUp'!$G$4:$H$104,2,TRUE))</f>
        <v/>
      </c>
      <c r="AO192" s="94" t="str">
        <f t="shared" si="31"/>
        <v/>
      </c>
      <c r="AP192" s="47" t="str">
        <f>IF($U192="","",VLOOKUP($U192,'ORF Accuracy Value LookUp'!$G$4:$H$104,2,TRUE))</f>
        <v/>
      </c>
      <c r="AQ192" s="94" t="str">
        <f t="shared" si="32"/>
        <v/>
      </c>
      <c r="AR192" s="46" t="str">
        <f>IF($AE192="","",VLOOKUP($AE192,'ORF Accuracy Value LookUp'!$G$4:$H$104,2,TRUE))</f>
        <v/>
      </c>
      <c r="AS192" s="140" t="str">
        <f t="shared" si="33"/>
        <v/>
      </c>
    </row>
    <row r="193" spans="1:45">
      <c r="A193" s="10"/>
      <c r="B193" s="9"/>
      <c r="C193" s="9"/>
      <c r="D193" s="9"/>
      <c r="E193" s="10"/>
      <c r="F193" s="11"/>
      <c r="G193" s="15"/>
      <c r="H193" s="88"/>
      <c r="I193" s="24"/>
      <c r="J193" s="24"/>
      <c r="K193" s="114" t="str">
        <f t="shared" si="24"/>
        <v/>
      </c>
      <c r="L193" s="24"/>
      <c r="M193" s="24"/>
      <c r="N193" s="24"/>
      <c r="O193" s="24"/>
      <c r="P193" s="97" t="str">
        <f t="shared" si="25"/>
        <v/>
      </c>
      <c r="Q193" s="113" t="str">
        <f t="shared" si="26"/>
        <v/>
      </c>
      <c r="R193" s="88"/>
      <c r="S193" s="24"/>
      <c r="T193" s="24"/>
      <c r="U193" s="78" t="str">
        <f t="shared" si="27"/>
        <v/>
      </c>
      <c r="V193" s="24"/>
      <c r="W193" s="24"/>
      <c r="X193" s="24"/>
      <c r="Y193" s="24"/>
      <c r="Z193" s="98" t="str">
        <f t="shared" si="28"/>
        <v/>
      </c>
      <c r="AA193" s="40" t="str">
        <f t="shared" si="34"/>
        <v/>
      </c>
      <c r="AB193" s="88"/>
      <c r="AC193" s="24"/>
      <c r="AD193" s="24"/>
      <c r="AE193" s="79" t="str">
        <f t="shared" si="29"/>
        <v/>
      </c>
      <c r="AF193" s="24"/>
      <c r="AG193" s="24"/>
      <c r="AH193" s="24"/>
      <c r="AI193" s="24"/>
      <c r="AJ193" s="99" t="str">
        <f t="shared" si="30"/>
        <v/>
      </c>
      <c r="AK193" s="31" t="str">
        <f t="shared" si="35"/>
        <v/>
      </c>
      <c r="AN193" s="139" t="str">
        <f>IF($K193="","",VLOOKUP($K193,'ORF Accuracy Value LookUp'!$G$4:$H$104,2,TRUE))</f>
        <v/>
      </c>
      <c r="AO193" s="94" t="str">
        <f t="shared" si="31"/>
        <v/>
      </c>
      <c r="AP193" s="47" t="str">
        <f>IF($U193="","",VLOOKUP($U193,'ORF Accuracy Value LookUp'!$G$4:$H$104,2,TRUE))</f>
        <v/>
      </c>
      <c r="AQ193" s="94" t="str">
        <f t="shared" si="32"/>
        <v/>
      </c>
      <c r="AR193" s="46" t="str">
        <f>IF($AE193="","",VLOOKUP($AE193,'ORF Accuracy Value LookUp'!$G$4:$H$104,2,TRUE))</f>
        <v/>
      </c>
      <c r="AS193" s="140" t="str">
        <f t="shared" si="33"/>
        <v/>
      </c>
    </row>
    <row r="194" spans="1:45">
      <c r="A194" s="10"/>
      <c r="B194" s="9"/>
      <c r="C194" s="9"/>
      <c r="D194" s="9"/>
      <c r="E194" s="10"/>
      <c r="F194" s="11"/>
      <c r="G194" s="15"/>
      <c r="H194" s="88"/>
      <c r="I194" s="24"/>
      <c r="J194" s="24"/>
      <c r="K194" s="114" t="str">
        <f t="shared" si="24"/>
        <v/>
      </c>
      <c r="L194" s="24"/>
      <c r="M194" s="24"/>
      <c r="N194" s="24"/>
      <c r="O194" s="24"/>
      <c r="P194" s="97" t="str">
        <f t="shared" si="25"/>
        <v/>
      </c>
      <c r="Q194" s="113" t="str">
        <f t="shared" si="26"/>
        <v/>
      </c>
      <c r="R194" s="88"/>
      <c r="S194" s="24"/>
      <c r="T194" s="24"/>
      <c r="U194" s="78" t="str">
        <f t="shared" si="27"/>
        <v/>
      </c>
      <c r="V194" s="24"/>
      <c r="W194" s="24"/>
      <c r="X194" s="24"/>
      <c r="Y194" s="24"/>
      <c r="Z194" s="98" t="str">
        <f t="shared" si="28"/>
        <v/>
      </c>
      <c r="AA194" s="40" t="str">
        <f t="shared" si="34"/>
        <v/>
      </c>
      <c r="AB194" s="88"/>
      <c r="AC194" s="24"/>
      <c r="AD194" s="24"/>
      <c r="AE194" s="79" t="str">
        <f t="shared" si="29"/>
        <v/>
      </c>
      <c r="AF194" s="24"/>
      <c r="AG194" s="24"/>
      <c r="AH194" s="24"/>
      <c r="AI194" s="24"/>
      <c r="AJ194" s="99" t="str">
        <f t="shared" si="30"/>
        <v/>
      </c>
      <c r="AK194" s="31" t="str">
        <f t="shared" si="35"/>
        <v/>
      </c>
      <c r="AN194" s="139" t="str">
        <f>IF($K194="","",VLOOKUP($K194,'ORF Accuracy Value LookUp'!$G$4:$H$104,2,TRUE))</f>
        <v/>
      </c>
      <c r="AO194" s="94" t="str">
        <f t="shared" si="31"/>
        <v/>
      </c>
      <c r="AP194" s="47" t="str">
        <f>IF($U194="","",VLOOKUP($U194,'ORF Accuracy Value LookUp'!$G$4:$H$104,2,TRUE))</f>
        <v/>
      </c>
      <c r="AQ194" s="94" t="str">
        <f t="shared" si="32"/>
        <v/>
      </c>
      <c r="AR194" s="46" t="str">
        <f>IF($AE194="","",VLOOKUP($AE194,'ORF Accuracy Value LookUp'!$G$4:$H$104,2,TRUE))</f>
        <v/>
      </c>
      <c r="AS194" s="140" t="str">
        <f t="shared" si="33"/>
        <v/>
      </c>
    </row>
    <row r="195" spans="1:45">
      <c r="A195" s="10"/>
      <c r="B195" s="9"/>
      <c r="C195" s="9"/>
      <c r="D195" s="9"/>
      <c r="E195" s="10"/>
      <c r="F195" s="11"/>
      <c r="G195" s="15"/>
      <c r="H195" s="88"/>
      <c r="I195" s="24"/>
      <c r="J195" s="24"/>
      <c r="K195" s="114" t="str">
        <f t="shared" si="24"/>
        <v/>
      </c>
      <c r="L195" s="24"/>
      <c r="M195" s="24"/>
      <c r="N195" s="24"/>
      <c r="O195" s="24"/>
      <c r="P195" s="97" t="str">
        <f t="shared" si="25"/>
        <v/>
      </c>
      <c r="Q195" s="113" t="str">
        <f t="shared" si="26"/>
        <v/>
      </c>
      <c r="R195" s="88"/>
      <c r="S195" s="24"/>
      <c r="T195" s="24"/>
      <c r="U195" s="78" t="str">
        <f t="shared" si="27"/>
        <v/>
      </c>
      <c r="V195" s="24"/>
      <c r="W195" s="24"/>
      <c r="X195" s="24"/>
      <c r="Y195" s="24"/>
      <c r="Z195" s="98" t="str">
        <f t="shared" si="28"/>
        <v/>
      </c>
      <c r="AA195" s="40" t="str">
        <f t="shared" si="34"/>
        <v/>
      </c>
      <c r="AB195" s="88"/>
      <c r="AC195" s="24"/>
      <c r="AD195" s="24"/>
      <c r="AE195" s="79" t="str">
        <f t="shared" si="29"/>
        <v/>
      </c>
      <c r="AF195" s="24"/>
      <c r="AG195" s="24"/>
      <c r="AH195" s="24"/>
      <c r="AI195" s="24"/>
      <c r="AJ195" s="99" t="str">
        <f t="shared" si="30"/>
        <v/>
      </c>
      <c r="AK195" s="31" t="str">
        <f t="shared" si="35"/>
        <v/>
      </c>
      <c r="AN195" s="139" t="str">
        <f>IF($K195="","",VLOOKUP($K195,'ORF Accuracy Value LookUp'!$G$4:$H$104,2,TRUE))</f>
        <v/>
      </c>
      <c r="AO195" s="94" t="str">
        <f t="shared" si="31"/>
        <v/>
      </c>
      <c r="AP195" s="47" t="str">
        <f>IF($U195="","",VLOOKUP($U195,'ORF Accuracy Value LookUp'!$G$4:$H$104,2,TRUE))</f>
        <v/>
      </c>
      <c r="AQ195" s="94" t="str">
        <f t="shared" si="32"/>
        <v/>
      </c>
      <c r="AR195" s="46" t="str">
        <f>IF($AE195="","",VLOOKUP($AE195,'ORF Accuracy Value LookUp'!$G$4:$H$104,2,TRUE))</f>
        <v/>
      </c>
      <c r="AS195" s="140" t="str">
        <f t="shared" si="33"/>
        <v/>
      </c>
    </row>
    <row r="196" spans="1:45">
      <c r="A196" s="10"/>
      <c r="B196" s="9"/>
      <c r="C196" s="9"/>
      <c r="D196" s="9"/>
      <c r="E196" s="10"/>
      <c r="F196" s="11"/>
      <c r="G196" s="15"/>
      <c r="H196" s="88"/>
      <c r="I196" s="24"/>
      <c r="J196" s="24"/>
      <c r="K196" s="114" t="str">
        <f t="shared" si="24"/>
        <v/>
      </c>
      <c r="L196" s="24"/>
      <c r="M196" s="24"/>
      <c r="N196" s="24"/>
      <c r="O196" s="24"/>
      <c r="P196" s="97" t="str">
        <f t="shared" si="25"/>
        <v/>
      </c>
      <c r="Q196" s="113" t="str">
        <f t="shared" si="26"/>
        <v/>
      </c>
      <c r="R196" s="88"/>
      <c r="S196" s="24"/>
      <c r="T196" s="24"/>
      <c r="U196" s="78" t="str">
        <f t="shared" si="27"/>
        <v/>
      </c>
      <c r="V196" s="24"/>
      <c r="W196" s="24"/>
      <c r="X196" s="24"/>
      <c r="Y196" s="24"/>
      <c r="Z196" s="98" t="str">
        <f t="shared" si="28"/>
        <v/>
      </c>
      <c r="AA196" s="40" t="str">
        <f t="shared" si="34"/>
        <v/>
      </c>
      <c r="AB196" s="88"/>
      <c r="AC196" s="24"/>
      <c r="AD196" s="24"/>
      <c r="AE196" s="79" t="str">
        <f t="shared" si="29"/>
        <v/>
      </c>
      <c r="AF196" s="24"/>
      <c r="AG196" s="24"/>
      <c r="AH196" s="24"/>
      <c r="AI196" s="24"/>
      <c r="AJ196" s="99" t="str">
        <f t="shared" si="30"/>
        <v/>
      </c>
      <c r="AK196" s="31" t="str">
        <f t="shared" si="35"/>
        <v/>
      </c>
      <c r="AN196" s="139" t="str">
        <f>IF($K196="","",VLOOKUP($K196,'ORF Accuracy Value LookUp'!$G$4:$H$104,2,TRUE))</f>
        <v/>
      </c>
      <c r="AO196" s="94" t="str">
        <f t="shared" si="31"/>
        <v/>
      </c>
      <c r="AP196" s="47" t="str">
        <f>IF($U196="","",VLOOKUP($U196,'ORF Accuracy Value LookUp'!$G$4:$H$104,2,TRUE))</f>
        <v/>
      </c>
      <c r="AQ196" s="94" t="str">
        <f t="shared" si="32"/>
        <v/>
      </c>
      <c r="AR196" s="46" t="str">
        <f>IF($AE196="","",VLOOKUP($AE196,'ORF Accuracy Value LookUp'!$G$4:$H$104,2,TRUE))</f>
        <v/>
      </c>
      <c r="AS196" s="140" t="str">
        <f t="shared" si="33"/>
        <v/>
      </c>
    </row>
    <row r="197" spans="1:45">
      <c r="A197" s="10"/>
      <c r="B197" s="9"/>
      <c r="C197" s="9"/>
      <c r="D197" s="9"/>
      <c r="E197" s="10"/>
      <c r="F197" s="11"/>
      <c r="G197" s="15"/>
      <c r="H197" s="88"/>
      <c r="I197" s="24"/>
      <c r="J197" s="24"/>
      <c r="K197" s="114" t="str">
        <f t="shared" ref="K197:K260" si="36">IF($I197="","",SUM($I197/($I197+$J197)))</f>
        <v/>
      </c>
      <c r="L197" s="24"/>
      <c r="M197" s="24"/>
      <c r="N197" s="24"/>
      <c r="O197" s="24"/>
      <c r="P197" s="97" t="str">
        <f t="shared" ref="P197:P260" si="37">IF($AO197&gt;0,$AO197,0)</f>
        <v/>
      </c>
      <c r="Q197" s="113" t="str">
        <f t="shared" ref="Q197:Q260" si="38">IF($B197="","",SUM($I197+$AN197+($L197*2)+($P197*2)))</f>
        <v/>
      </c>
      <c r="R197" s="88"/>
      <c r="S197" s="24"/>
      <c r="T197" s="24"/>
      <c r="U197" s="78" t="str">
        <f t="shared" ref="U197:U260" si="39">IF($S197="","",SUM($S197/($S197+$T197)))</f>
        <v/>
      </c>
      <c r="V197" s="24"/>
      <c r="W197" s="24"/>
      <c r="X197" s="24"/>
      <c r="Y197" s="24"/>
      <c r="Z197" s="98" t="str">
        <f t="shared" ref="Z197:Z260" si="40">IF($AQ197&gt;0,$AQ197,0)</f>
        <v/>
      </c>
      <c r="AA197" s="40" t="str">
        <f t="shared" si="34"/>
        <v/>
      </c>
      <c r="AB197" s="88"/>
      <c r="AC197" s="24"/>
      <c r="AD197" s="24"/>
      <c r="AE197" s="79" t="str">
        <f t="shared" ref="AE197:AE260" si="41">IF($AC197="","",SUM($AC197/($AC197+$AD197)))</f>
        <v/>
      </c>
      <c r="AF197" s="24"/>
      <c r="AG197" s="24"/>
      <c r="AH197" s="24"/>
      <c r="AI197" s="24"/>
      <c r="AJ197" s="99" t="str">
        <f t="shared" ref="AJ197:AJ260" si="42">IF($AS197&gt;0,$AS197,0)</f>
        <v/>
      </c>
      <c r="AK197" s="31" t="str">
        <f t="shared" si="35"/>
        <v/>
      </c>
      <c r="AN197" s="139" t="str">
        <f>IF($K197="","",VLOOKUP($K197,'ORF Accuracy Value LookUp'!$G$4:$H$104,2,TRUE))</f>
        <v/>
      </c>
      <c r="AO197" s="94" t="str">
        <f t="shared" ref="AO197:AO260" si="43">IF($N197="","",($N197-($O197/2)))</f>
        <v/>
      </c>
      <c r="AP197" s="47" t="str">
        <f>IF($U197="","",VLOOKUP($U197,'ORF Accuracy Value LookUp'!$G$4:$H$104,2,TRUE))</f>
        <v/>
      </c>
      <c r="AQ197" s="94" t="str">
        <f t="shared" ref="AQ197:AQ260" si="44">IF($X197="","",$X197-($Y197/2))</f>
        <v/>
      </c>
      <c r="AR197" s="46" t="str">
        <f>IF($AE197="","",VLOOKUP($AE197,'ORF Accuracy Value LookUp'!$G$4:$H$104,2,TRUE))</f>
        <v/>
      </c>
      <c r="AS197" s="140" t="str">
        <f t="shared" ref="AS197:AS260" si="45">IF($AH197="","",$AH197-($AI197/2))</f>
        <v/>
      </c>
    </row>
    <row r="198" spans="1:45">
      <c r="A198" s="10"/>
      <c r="B198" s="9"/>
      <c r="C198" s="9"/>
      <c r="D198" s="9"/>
      <c r="E198" s="10"/>
      <c r="F198" s="11"/>
      <c r="G198" s="15"/>
      <c r="H198" s="88"/>
      <c r="I198" s="24"/>
      <c r="J198" s="24"/>
      <c r="K198" s="114" t="str">
        <f t="shared" si="36"/>
        <v/>
      </c>
      <c r="L198" s="24"/>
      <c r="M198" s="24"/>
      <c r="N198" s="24"/>
      <c r="O198" s="24"/>
      <c r="P198" s="97" t="str">
        <f t="shared" si="37"/>
        <v/>
      </c>
      <c r="Q198" s="113" t="str">
        <f t="shared" si="38"/>
        <v/>
      </c>
      <c r="R198" s="88"/>
      <c r="S198" s="24"/>
      <c r="T198" s="24"/>
      <c r="U198" s="78" t="str">
        <f t="shared" si="39"/>
        <v/>
      </c>
      <c r="V198" s="24"/>
      <c r="W198" s="24"/>
      <c r="X198" s="24"/>
      <c r="Y198" s="24"/>
      <c r="Z198" s="98" t="str">
        <f t="shared" si="40"/>
        <v/>
      </c>
      <c r="AA198" s="40" t="str">
        <f t="shared" ref="AA198:AA261" si="46">IF($R198="","",SUM($S198+$AP198+($V198*2)+($Z198*4)))</f>
        <v/>
      </c>
      <c r="AB198" s="88"/>
      <c r="AC198" s="24"/>
      <c r="AD198" s="24"/>
      <c r="AE198" s="79" t="str">
        <f t="shared" si="41"/>
        <v/>
      </c>
      <c r="AF198" s="24"/>
      <c r="AG198" s="24"/>
      <c r="AH198" s="24"/>
      <c r="AI198" s="24"/>
      <c r="AJ198" s="99" t="str">
        <f t="shared" si="42"/>
        <v/>
      </c>
      <c r="AK198" s="31" t="str">
        <f t="shared" ref="AK198:AK261" si="47">IF($AB198="","",SUM($AC198+$AR198+($AF198*2)+($AJ198*4)))</f>
        <v/>
      </c>
      <c r="AN198" s="139" t="str">
        <f>IF($K198="","",VLOOKUP($K198,'ORF Accuracy Value LookUp'!$G$4:$H$104,2,TRUE))</f>
        <v/>
      </c>
      <c r="AO198" s="94" t="str">
        <f t="shared" si="43"/>
        <v/>
      </c>
      <c r="AP198" s="47" t="str">
        <f>IF($U198="","",VLOOKUP($U198,'ORF Accuracy Value LookUp'!$G$4:$H$104,2,TRUE))</f>
        <v/>
      </c>
      <c r="AQ198" s="94" t="str">
        <f t="shared" si="44"/>
        <v/>
      </c>
      <c r="AR198" s="46" t="str">
        <f>IF($AE198="","",VLOOKUP($AE198,'ORF Accuracy Value LookUp'!$G$4:$H$104,2,TRUE))</f>
        <v/>
      </c>
      <c r="AS198" s="140" t="str">
        <f t="shared" si="45"/>
        <v/>
      </c>
    </row>
    <row r="199" spans="1:45">
      <c r="A199" s="10"/>
      <c r="B199" s="9"/>
      <c r="C199" s="9"/>
      <c r="D199" s="9"/>
      <c r="E199" s="10"/>
      <c r="F199" s="11"/>
      <c r="G199" s="15"/>
      <c r="H199" s="88"/>
      <c r="I199" s="24"/>
      <c r="J199" s="24"/>
      <c r="K199" s="114" t="str">
        <f t="shared" si="36"/>
        <v/>
      </c>
      <c r="L199" s="24"/>
      <c r="M199" s="24"/>
      <c r="N199" s="24"/>
      <c r="O199" s="24"/>
      <c r="P199" s="97" t="str">
        <f t="shared" si="37"/>
        <v/>
      </c>
      <c r="Q199" s="113" t="str">
        <f t="shared" si="38"/>
        <v/>
      </c>
      <c r="R199" s="88"/>
      <c r="S199" s="24"/>
      <c r="T199" s="24"/>
      <c r="U199" s="78" t="str">
        <f t="shared" si="39"/>
        <v/>
      </c>
      <c r="V199" s="24"/>
      <c r="W199" s="24"/>
      <c r="X199" s="24"/>
      <c r="Y199" s="24"/>
      <c r="Z199" s="98" t="str">
        <f t="shared" si="40"/>
        <v/>
      </c>
      <c r="AA199" s="40" t="str">
        <f t="shared" si="46"/>
        <v/>
      </c>
      <c r="AB199" s="88"/>
      <c r="AC199" s="24"/>
      <c r="AD199" s="24"/>
      <c r="AE199" s="79" t="str">
        <f t="shared" si="41"/>
        <v/>
      </c>
      <c r="AF199" s="24"/>
      <c r="AG199" s="24"/>
      <c r="AH199" s="24"/>
      <c r="AI199" s="24"/>
      <c r="AJ199" s="99" t="str">
        <f t="shared" si="42"/>
        <v/>
      </c>
      <c r="AK199" s="31" t="str">
        <f t="shared" si="47"/>
        <v/>
      </c>
      <c r="AN199" s="139" t="str">
        <f>IF($K199="","",VLOOKUP($K199,'ORF Accuracy Value LookUp'!$G$4:$H$104,2,TRUE))</f>
        <v/>
      </c>
      <c r="AO199" s="94" t="str">
        <f t="shared" si="43"/>
        <v/>
      </c>
      <c r="AP199" s="47" t="str">
        <f>IF($U199="","",VLOOKUP($U199,'ORF Accuracy Value LookUp'!$G$4:$H$104,2,TRUE))</f>
        <v/>
      </c>
      <c r="AQ199" s="94" t="str">
        <f t="shared" si="44"/>
        <v/>
      </c>
      <c r="AR199" s="46" t="str">
        <f>IF($AE199="","",VLOOKUP($AE199,'ORF Accuracy Value LookUp'!$G$4:$H$104,2,TRUE))</f>
        <v/>
      </c>
      <c r="AS199" s="140" t="str">
        <f t="shared" si="45"/>
        <v/>
      </c>
    </row>
    <row r="200" spans="1:45">
      <c r="A200" s="10"/>
      <c r="B200" s="9"/>
      <c r="C200" s="9"/>
      <c r="D200" s="9"/>
      <c r="E200" s="10"/>
      <c r="F200" s="11"/>
      <c r="G200" s="15"/>
      <c r="H200" s="88"/>
      <c r="I200" s="24"/>
      <c r="J200" s="24"/>
      <c r="K200" s="114" t="str">
        <f t="shared" si="36"/>
        <v/>
      </c>
      <c r="L200" s="24"/>
      <c r="M200" s="24"/>
      <c r="N200" s="24"/>
      <c r="O200" s="24"/>
      <c r="P200" s="97" t="str">
        <f t="shared" si="37"/>
        <v/>
      </c>
      <c r="Q200" s="113" t="str">
        <f t="shared" si="38"/>
        <v/>
      </c>
      <c r="R200" s="88"/>
      <c r="S200" s="24"/>
      <c r="T200" s="24"/>
      <c r="U200" s="78" t="str">
        <f t="shared" si="39"/>
        <v/>
      </c>
      <c r="V200" s="24"/>
      <c r="W200" s="24"/>
      <c r="X200" s="24"/>
      <c r="Y200" s="24"/>
      <c r="Z200" s="98" t="str">
        <f t="shared" si="40"/>
        <v/>
      </c>
      <c r="AA200" s="40" t="str">
        <f t="shared" si="46"/>
        <v/>
      </c>
      <c r="AB200" s="88"/>
      <c r="AC200" s="24"/>
      <c r="AD200" s="24"/>
      <c r="AE200" s="79" t="str">
        <f t="shared" si="41"/>
        <v/>
      </c>
      <c r="AF200" s="24"/>
      <c r="AG200" s="24"/>
      <c r="AH200" s="24"/>
      <c r="AI200" s="24"/>
      <c r="AJ200" s="99" t="str">
        <f t="shared" si="42"/>
        <v/>
      </c>
      <c r="AK200" s="31" t="str">
        <f t="shared" si="47"/>
        <v/>
      </c>
      <c r="AN200" s="139" t="str">
        <f>IF($K200="","",VLOOKUP($K200,'ORF Accuracy Value LookUp'!$G$4:$H$104,2,TRUE))</f>
        <v/>
      </c>
      <c r="AO200" s="94" t="str">
        <f t="shared" si="43"/>
        <v/>
      </c>
      <c r="AP200" s="47" t="str">
        <f>IF($U200="","",VLOOKUP($U200,'ORF Accuracy Value LookUp'!$G$4:$H$104,2,TRUE))</f>
        <v/>
      </c>
      <c r="AQ200" s="94" t="str">
        <f t="shared" si="44"/>
        <v/>
      </c>
      <c r="AR200" s="46" t="str">
        <f>IF($AE200="","",VLOOKUP($AE200,'ORF Accuracy Value LookUp'!$G$4:$H$104,2,TRUE))</f>
        <v/>
      </c>
      <c r="AS200" s="140" t="str">
        <f t="shared" si="45"/>
        <v/>
      </c>
    </row>
    <row r="201" spans="1:45">
      <c r="A201" s="10"/>
      <c r="B201" s="9"/>
      <c r="C201" s="9"/>
      <c r="D201" s="9"/>
      <c r="E201" s="10"/>
      <c r="F201" s="11"/>
      <c r="G201" s="15"/>
      <c r="H201" s="88"/>
      <c r="I201" s="24"/>
      <c r="J201" s="24"/>
      <c r="K201" s="114" t="str">
        <f t="shared" si="36"/>
        <v/>
      </c>
      <c r="L201" s="24"/>
      <c r="M201" s="24"/>
      <c r="N201" s="24"/>
      <c r="O201" s="24"/>
      <c r="P201" s="97" t="str">
        <f t="shared" si="37"/>
        <v/>
      </c>
      <c r="Q201" s="113" t="str">
        <f t="shared" si="38"/>
        <v/>
      </c>
      <c r="R201" s="88"/>
      <c r="S201" s="24"/>
      <c r="T201" s="24"/>
      <c r="U201" s="78" t="str">
        <f t="shared" si="39"/>
        <v/>
      </c>
      <c r="V201" s="24"/>
      <c r="W201" s="24"/>
      <c r="X201" s="24"/>
      <c r="Y201" s="24"/>
      <c r="Z201" s="98" t="str">
        <f t="shared" si="40"/>
        <v/>
      </c>
      <c r="AA201" s="40" t="str">
        <f t="shared" si="46"/>
        <v/>
      </c>
      <c r="AB201" s="88"/>
      <c r="AC201" s="24"/>
      <c r="AD201" s="24"/>
      <c r="AE201" s="79" t="str">
        <f t="shared" si="41"/>
        <v/>
      </c>
      <c r="AF201" s="24"/>
      <c r="AG201" s="24"/>
      <c r="AH201" s="24"/>
      <c r="AI201" s="24"/>
      <c r="AJ201" s="99" t="str">
        <f t="shared" si="42"/>
        <v/>
      </c>
      <c r="AK201" s="31" t="str">
        <f t="shared" si="47"/>
        <v/>
      </c>
      <c r="AN201" s="139" t="str">
        <f>IF($K201="","",VLOOKUP($K201,'ORF Accuracy Value LookUp'!$G$4:$H$104,2,TRUE))</f>
        <v/>
      </c>
      <c r="AO201" s="94" t="str">
        <f t="shared" si="43"/>
        <v/>
      </c>
      <c r="AP201" s="47" t="str">
        <f>IF($U201="","",VLOOKUP($U201,'ORF Accuracy Value LookUp'!$G$4:$H$104,2,TRUE))</f>
        <v/>
      </c>
      <c r="AQ201" s="94" t="str">
        <f t="shared" si="44"/>
        <v/>
      </c>
      <c r="AR201" s="46" t="str">
        <f>IF($AE201="","",VLOOKUP($AE201,'ORF Accuracy Value LookUp'!$G$4:$H$104,2,TRUE))</f>
        <v/>
      </c>
      <c r="AS201" s="140" t="str">
        <f t="shared" si="45"/>
        <v/>
      </c>
    </row>
    <row r="202" spans="1:45">
      <c r="A202" s="10"/>
      <c r="B202" s="9"/>
      <c r="C202" s="9"/>
      <c r="D202" s="9"/>
      <c r="E202" s="10"/>
      <c r="F202" s="11"/>
      <c r="G202" s="15"/>
      <c r="H202" s="88"/>
      <c r="I202" s="24"/>
      <c r="J202" s="24"/>
      <c r="K202" s="114" t="str">
        <f t="shared" si="36"/>
        <v/>
      </c>
      <c r="L202" s="24"/>
      <c r="M202" s="24"/>
      <c r="N202" s="24"/>
      <c r="O202" s="24"/>
      <c r="P202" s="97" t="str">
        <f t="shared" si="37"/>
        <v/>
      </c>
      <c r="Q202" s="113" t="str">
        <f t="shared" si="38"/>
        <v/>
      </c>
      <c r="R202" s="88"/>
      <c r="S202" s="24"/>
      <c r="T202" s="24"/>
      <c r="U202" s="78" t="str">
        <f t="shared" si="39"/>
        <v/>
      </c>
      <c r="V202" s="24"/>
      <c r="W202" s="24"/>
      <c r="X202" s="24"/>
      <c r="Y202" s="24"/>
      <c r="Z202" s="98" t="str">
        <f t="shared" si="40"/>
        <v/>
      </c>
      <c r="AA202" s="40" t="str">
        <f t="shared" si="46"/>
        <v/>
      </c>
      <c r="AB202" s="88"/>
      <c r="AC202" s="24"/>
      <c r="AD202" s="24"/>
      <c r="AE202" s="79" t="str">
        <f t="shared" si="41"/>
        <v/>
      </c>
      <c r="AF202" s="24"/>
      <c r="AG202" s="24"/>
      <c r="AH202" s="24"/>
      <c r="AI202" s="24"/>
      <c r="AJ202" s="99" t="str">
        <f t="shared" si="42"/>
        <v/>
      </c>
      <c r="AK202" s="31" t="str">
        <f t="shared" si="47"/>
        <v/>
      </c>
      <c r="AN202" s="139" t="str">
        <f>IF($K202="","",VLOOKUP($K202,'ORF Accuracy Value LookUp'!$G$4:$H$104,2,TRUE))</f>
        <v/>
      </c>
      <c r="AO202" s="94" t="str">
        <f t="shared" si="43"/>
        <v/>
      </c>
      <c r="AP202" s="47" t="str">
        <f>IF($U202="","",VLOOKUP($U202,'ORF Accuracy Value LookUp'!$G$4:$H$104,2,TRUE))</f>
        <v/>
      </c>
      <c r="AQ202" s="94" t="str">
        <f t="shared" si="44"/>
        <v/>
      </c>
      <c r="AR202" s="46" t="str">
        <f>IF($AE202="","",VLOOKUP($AE202,'ORF Accuracy Value LookUp'!$G$4:$H$104,2,TRUE))</f>
        <v/>
      </c>
      <c r="AS202" s="140" t="str">
        <f t="shared" si="45"/>
        <v/>
      </c>
    </row>
    <row r="203" spans="1:45">
      <c r="A203" s="10"/>
      <c r="B203" s="9"/>
      <c r="C203" s="9"/>
      <c r="D203" s="9"/>
      <c r="E203" s="10"/>
      <c r="F203" s="11"/>
      <c r="G203" s="15"/>
      <c r="H203" s="88"/>
      <c r="I203" s="24"/>
      <c r="J203" s="24"/>
      <c r="K203" s="114" t="str">
        <f t="shared" si="36"/>
        <v/>
      </c>
      <c r="L203" s="24"/>
      <c r="M203" s="24"/>
      <c r="N203" s="24"/>
      <c r="O203" s="24"/>
      <c r="P203" s="97" t="str">
        <f t="shared" si="37"/>
        <v/>
      </c>
      <c r="Q203" s="113" t="str">
        <f t="shared" si="38"/>
        <v/>
      </c>
      <c r="R203" s="88"/>
      <c r="S203" s="24"/>
      <c r="T203" s="24"/>
      <c r="U203" s="78" t="str">
        <f t="shared" si="39"/>
        <v/>
      </c>
      <c r="V203" s="24"/>
      <c r="W203" s="24"/>
      <c r="X203" s="24"/>
      <c r="Y203" s="24"/>
      <c r="Z203" s="98" t="str">
        <f t="shared" si="40"/>
        <v/>
      </c>
      <c r="AA203" s="40" t="str">
        <f t="shared" si="46"/>
        <v/>
      </c>
      <c r="AB203" s="88"/>
      <c r="AC203" s="24"/>
      <c r="AD203" s="24"/>
      <c r="AE203" s="79" t="str">
        <f t="shared" si="41"/>
        <v/>
      </c>
      <c r="AF203" s="24"/>
      <c r="AG203" s="24"/>
      <c r="AH203" s="24"/>
      <c r="AI203" s="24"/>
      <c r="AJ203" s="99" t="str">
        <f t="shared" si="42"/>
        <v/>
      </c>
      <c r="AK203" s="31" t="str">
        <f t="shared" si="47"/>
        <v/>
      </c>
      <c r="AN203" s="139" t="str">
        <f>IF($K203="","",VLOOKUP($K203,'ORF Accuracy Value LookUp'!$G$4:$H$104,2,TRUE))</f>
        <v/>
      </c>
      <c r="AO203" s="94" t="str">
        <f t="shared" si="43"/>
        <v/>
      </c>
      <c r="AP203" s="47" t="str">
        <f>IF($U203="","",VLOOKUP($U203,'ORF Accuracy Value LookUp'!$G$4:$H$104,2,TRUE))</f>
        <v/>
      </c>
      <c r="AQ203" s="94" t="str">
        <f t="shared" si="44"/>
        <v/>
      </c>
      <c r="AR203" s="46" t="str">
        <f>IF($AE203="","",VLOOKUP($AE203,'ORF Accuracy Value LookUp'!$G$4:$H$104,2,TRUE))</f>
        <v/>
      </c>
      <c r="AS203" s="140" t="str">
        <f t="shared" si="45"/>
        <v/>
      </c>
    </row>
    <row r="204" spans="1:45">
      <c r="A204" s="10"/>
      <c r="B204" s="9"/>
      <c r="C204" s="9"/>
      <c r="D204" s="9"/>
      <c r="E204" s="10"/>
      <c r="F204" s="11"/>
      <c r="G204" s="15"/>
      <c r="H204" s="88"/>
      <c r="I204" s="24"/>
      <c r="J204" s="24"/>
      <c r="K204" s="114" t="str">
        <f t="shared" si="36"/>
        <v/>
      </c>
      <c r="L204" s="24"/>
      <c r="M204" s="24"/>
      <c r="N204" s="24"/>
      <c r="O204" s="24"/>
      <c r="P204" s="97" t="str">
        <f t="shared" si="37"/>
        <v/>
      </c>
      <c r="Q204" s="113" t="str">
        <f t="shared" si="38"/>
        <v/>
      </c>
      <c r="R204" s="88"/>
      <c r="S204" s="24"/>
      <c r="T204" s="24"/>
      <c r="U204" s="78" t="str">
        <f t="shared" si="39"/>
        <v/>
      </c>
      <c r="V204" s="24"/>
      <c r="W204" s="24"/>
      <c r="X204" s="24"/>
      <c r="Y204" s="24"/>
      <c r="Z204" s="98" t="str">
        <f t="shared" si="40"/>
        <v/>
      </c>
      <c r="AA204" s="40" t="str">
        <f t="shared" si="46"/>
        <v/>
      </c>
      <c r="AB204" s="88"/>
      <c r="AC204" s="24"/>
      <c r="AD204" s="24"/>
      <c r="AE204" s="79" t="str">
        <f t="shared" si="41"/>
        <v/>
      </c>
      <c r="AF204" s="24"/>
      <c r="AG204" s="24"/>
      <c r="AH204" s="24"/>
      <c r="AI204" s="24"/>
      <c r="AJ204" s="99" t="str">
        <f t="shared" si="42"/>
        <v/>
      </c>
      <c r="AK204" s="31" t="str">
        <f t="shared" si="47"/>
        <v/>
      </c>
      <c r="AN204" s="139" t="str">
        <f>IF($K204="","",VLOOKUP($K204,'ORF Accuracy Value LookUp'!$G$4:$H$104,2,TRUE))</f>
        <v/>
      </c>
      <c r="AO204" s="94" t="str">
        <f t="shared" si="43"/>
        <v/>
      </c>
      <c r="AP204" s="47" t="str">
        <f>IF($U204="","",VLOOKUP($U204,'ORF Accuracy Value LookUp'!$G$4:$H$104,2,TRUE))</f>
        <v/>
      </c>
      <c r="AQ204" s="94" t="str">
        <f t="shared" si="44"/>
        <v/>
      </c>
      <c r="AR204" s="46" t="str">
        <f>IF($AE204="","",VLOOKUP($AE204,'ORF Accuracy Value LookUp'!$G$4:$H$104,2,TRUE))</f>
        <v/>
      </c>
      <c r="AS204" s="140" t="str">
        <f t="shared" si="45"/>
        <v/>
      </c>
    </row>
    <row r="205" spans="1:45">
      <c r="A205" s="10"/>
      <c r="B205" s="9"/>
      <c r="C205" s="9"/>
      <c r="D205" s="9"/>
      <c r="E205" s="10"/>
      <c r="F205" s="11"/>
      <c r="G205" s="15"/>
      <c r="H205" s="88"/>
      <c r="I205" s="24"/>
      <c r="J205" s="24"/>
      <c r="K205" s="114" t="str">
        <f t="shared" si="36"/>
        <v/>
      </c>
      <c r="L205" s="24"/>
      <c r="M205" s="24"/>
      <c r="N205" s="24"/>
      <c r="O205" s="24"/>
      <c r="P205" s="97" t="str">
        <f t="shared" si="37"/>
        <v/>
      </c>
      <c r="Q205" s="113" t="str">
        <f t="shared" si="38"/>
        <v/>
      </c>
      <c r="R205" s="88"/>
      <c r="S205" s="24"/>
      <c r="T205" s="24"/>
      <c r="U205" s="78" t="str">
        <f t="shared" si="39"/>
        <v/>
      </c>
      <c r="V205" s="24"/>
      <c r="W205" s="24"/>
      <c r="X205" s="24"/>
      <c r="Y205" s="24"/>
      <c r="Z205" s="98" t="str">
        <f t="shared" si="40"/>
        <v/>
      </c>
      <c r="AA205" s="40" t="str">
        <f t="shared" si="46"/>
        <v/>
      </c>
      <c r="AB205" s="88"/>
      <c r="AC205" s="24"/>
      <c r="AD205" s="24"/>
      <c r="AE205" s="79" t="str">
        <f t="shared" si="41"/>
        <v/>
      </c>
      <c r="AF205" s="24"/>
      <c r="AG205" s="24"/>
      <c r="AH205" s="24"/>
      <c r="AI205" s="24"/>
      <c r="AJ205" s="99" t="str">
        <f t="shared" si="42"/>
        <v/>
      </c>
      <c r="AK205" s="31" t="str">
        <f t="shared" si="47"/>
        <v/>
      </c>
      <c r="AN205" s="139" t="str">
        <f>IF($K205="","",VLOOKUP($K205,'ORF Accuracy Value LookUp'!$G$4:$H$104,2,TRUE))</f>
        <v/>
      </c>
      <c r="AO205" s="94" t="str">
        <f t="shared" si="43"/>
        <v/>
      </c>
      <c r="AP205" s="47" t="str">
        <f>IF($U205="","",VLOOKUP($U205,'ORF Accuracy Value LookUp'!$G$4:$H$104,2,TRUE))</f>
        <v/>
      </c>
      <c r="AQ205" s="94" t="str">
        <f t="shared" si="44"/>
        <v/>
      </c>
      <c r="AR205" s="46" t="str">
        <f>IF($AE205="","",VLOOKUP($AE205,'ORF Accuracy Value LookUp'!$G$4:$H$104,2,TRUE))</f>
        <v/>
      </c>
      <c r="AS205" s="140" t="str">
        <f t="shared" si="45"/>
        <v/>
      </c>
    </row>
    <row r="206" spans="1:45">
      <c r="A206" s="10"/>
      <c r="B206" s="9"/>
      <c r="C206" s="9"/>
      <c r="D206" s="9"/>
      <c r="E206" s="10"/>
      <c r="F206" s="11"/>
      <c r="G206" s="15"/>
      <c r="H206" s="88"/>
      <c r="I206" s="24"/>
      <c r="J206" s="24"/>
      <c r="K206" s="114" t="str">
        <f t="shared" si="36"/>
        <v/>
      </c>
      <c r="L206" s="24"/>
      <c r="M206" s="24"/>
      <c r="N206" s="24"/>
      <c r="O206" s="24"/>
      <c r="P206" s="97" t="str">
        <f t="shared" si="37"/>
        <v/>
      </c>
      <c r="Q206" s="113" t="str">
        <f t="shared" si="38"/>
        <v/>
      </c>
      <c r="R206" s="88"/>
      <c r="S206" s="24"/>
      <c r="T206" s="24"/>
      <c r="U206" s="78" t="str">
        <f t="shared" si="39"/>
        <v/>
      </c>
      <c r="V206" s="24"/>
      <c r="W206" s="24"/>
      <c r="X206" s="24"/>
      <c r="Y206" s="24"/>
      <c r="Z206" s="98" t="str">
        <f t="shared" si="40"/>
        <v/>
      </c>
      <c r="AA206" s="40" t="str">
        <f t="shared" si="46"/>
        <v/>
      </c>
      <c r="AB206" s="88"/>
      <c r="AC206" s="24"/>
      <c r="AD206" s="24"/>
      <c r="AE206" s="79" t="str">
        <f t="shared" si="41"/>
        <v/>
      </c>
      <c r="AF206" s="24"/>
      <c r="AG206" s="24"/>
      <c r="AH206" s="24"/>
      <c r="AI206" s="24"/>
      <c r="AJ206" s="99" t="str">
        <f t="shared" si="42"/>
        <v/>
      </c>
      <c r="AK206" s="31" t="str">
        <f t="shared" si="47"/>
        <v/>
      </c>
      <c r="AN206" s="139" t="str">
        <f>IF($K206="","",VLOOKUP($K206,'ORF Accuracy Value LookUp'!$G$4:$H$104,2,TRUE))</f>
        <v/>
      </c>
      <c r="AO206" s="94" t="str">
        <f t="shared" si="43"/>
        <v/>
      </c>
      <c r="AP206" s="47" t="str">
        <f>IF($U206="","",VLOOKUP($U206,'ORF Accuracy Value LookUp'!$G$4:$H$104,2,TRUE))</f>
        <v/>
      </c>
      <c r="AQ206" s="94" t="str">
        <f t="shared" si="44"/>
        <v/>
      </c>
      <c r="AR206" s="46" t="str">
        <f>IF($AE206="","",VLOOKUP($AE206,'ORF Accuracy Value LookUp'!$G$4:$H$104,2,TRUE))</f>
        <v/>
      </c>
      <c r="AS206" s="140" t="str">
        <f t="shared" si="45"/>
        <v/>
      </c>
    </row>
    <row r="207" spans="1:45">
      <c r="A207" s="10"/>
      <c r="B207" s="9"/>
      <c r="C207" s="9"/>
      <c r="D207" s="9"/>
      <c r="E207" s="10"/>
      <c r="F207" s="11"/>
      <c r="G207" s="15"/>
      <c r="H207" s="88"/>
      <c r="I207" s="24"/>
      <c r="J207" s="24"/>
      <c r="K207" s="114" t="str">
        <f t="shared" si="36"/>
        <v/>
      </c>
      <c r="L207" s="24"/>
      <c r="M207" s="24"/>
      <c r="N207" s="24"/>
      <c r="O207" s="24"/>
      <c r="P207" s="97" t="str">
        <f t="shared" si="37"/>
        <v/>
      </c>
      <c r="Q207" s="113" t="str">
        <f t="shared" si="38"/>
        <v/>
      </c>
      <c r="R207" s="88"/>
      <c r="S207" s="24"/>
      <c r="T207" s="24"/>
      <c r="U207" s="78" t="str">
        <f t="shared" si="39"/>
        <v/>
      </c>
      <c r="V207" s="24"/>
      <c r="W207" s="24"/>
      <c r="X207" s="24"/>
      <c r="Y207" s="24"/>
      <c r="Z207" s="98" t="str">
        <f t="shared" si="40"/>
        <v/>
      </c>
      <c r="AA207" s="40" t="str">
        <f t="shared" si="46"/>
        <v/>
      </c>
      <c r="AB207" s="88"/>
      <c r="AC207" s="24"/>
      <c r="AD207" s="24"/>
      <c r="AE207" s="79" t="str">
        <f t="shared" si="41"/>
        <v/>
      </c>
      <c r="AF207" s="24"/>
      <c r="AG207" s="24"/>
      <c r="AH207" s="24"/>
      <c r="AI207" s="24"/>
      <c r="AJ207" s="99" t="str">
        <f t="shared" si="42"/>
        <v/>
      </c>
      <c r="AK207" s="31" t="str">
        <f t="shared" si="47"/>
        <v/>
      </c>
      <c r="AN207" s="139" t="str">
        <f>IF($K207="","",VLOOKUP($K207,'ORF Accuracy Value LookUp'!$G$4:$H$104,2,TRUE))</f>
        <v/>
      </c>
      <c r="AO207" s="94" t="str">
        <f t="shared" si="43"/>
        <v/>
      </c>
      <c r="AP207" s="47" t="str">
        <f>IF($U207="","",VLOOKUP($U207,'ORF Accuracy Value LookUp'!$G$4:$H$104,2,TRUE))</f>
        <v/>
      </c>
      <c r="AQ207" s="94" t="str">
        <f t="shared" si="44"/>
        <v/>
      </c>
      <c r="AR207" s="46" t="str">
        <f>IF($AE207="","",VLOOKUP($AE207,'ORF Accuracy Value LookUp'!$G$4:$H$104,2,TRUE))</f>
        <v/>
      </c>
      <c r="AS207" s="140" t="str">
        <f t="shared" si="45"/>
        <v/>
      </c>
    </row>
    <row r="208" spans="1:45">
      <c r="A208" s="10"/>
      <c r="B208" s="9"/>
      <c r="C208" s="9"/>
      <c r="D208" s="9"/>
      <c r="E208" s="10"/>
      <c r="F208" s="11"/>
      <c r="G208" s="15"/>
      <c r="H208" s="88"/>
      <c r="I208" s="24"/>
      <c r="J208" s="24"/>
      <c r="K208" s="114" t="str">
        <f t="shared" si="36"/>
        <v/>
      </c>
      <c r="L208" s="24"/>
      <c r="M208" s="24"/>
      <c r="N208" s="24"/>
      <c r="O208" s="24"/>
      <c r="P208" s="97" t="str">
        <f t="shared" si="37"/>
        <v/>
      </c>
      <c r="Q208" s="113" t="str">
        <f t="shared" si="38"/>
        <v/>
      </c>
      <c r="R208" s="88"/>
      <c r="S208" s="24"/>
      <c r="T208" s="24"/>
      <c r="U208" s="78" t="str">
        <f t="shared" si="39"/>
        <v/>
      </c>
      <c r="V208" s="24"/>
      <c r="W208" s="24"/>
      <c r="X208" s="24"/>
      <c r="Y208" s="24"/>
      <c r="Z208" s="98" t="str">
        <f t="shared" si="40"/>
        <v/>
      </c>
      <c r="AA208" s="40" t="str">
        <f t="shared" si="46"/>
        <v/>
      </c>
      <c r="AB208" s="88"/>
      <c r="AC208" s="24"/>
      <c r="AD208" s="24"/>
      <c r="AE208" s="79" t="str">
        <f t="shared" si="41"/>
        <v/>
      </c>
      <c r="AF208" s="24"/>
      <c r="AG208" s="24"/>
      <c r="AH208" s="24"/>
      <c r="AI208" s="24"/>
      <c r="AJ208" s="99" t="str">
        <f t="shared" si="42"/>
        <v/>
      </c>
      <c r="AK208" s="31" t="str">
        <f t="shared" si="47"/>
        <v/>
      </c>
      <c r="AN208" s="139" t="str">
        <f>IF($K208="","",VLOOKUP($K208,'ORF Accuracy Value LookUp'!$G$4:$H$104,2,TRUE))</f>
        <v/>
      </c>
      <c r="AO208" s="94" t="str">
        <f t="shared" si="43"/>
        <v/>
      </c>
      <c r="AP208" s="47" t="str">
        <f>IF($U208="","",VLOOKUP($U208,'ORF Accuracy Value LookUp'!$G$4:$H$104,2,TRUE))</f>
        <v/>
      </c>
      <c r="AQ208" s="94" t="str">
        <f t="shared" si="44"/>
        <v/>
      </c>
      <c r="AR208" s="46" t="str">
        <f>IF($AE208="","",VLOOKUP($AE208,'ORF Accuracy Value LookUp'!$G$4:$H$104,2,TRUE))</f>
        <v/>
      </c>
      <c r="AS208" s="140" t="str">
        <f t="shared" si="45"/>
        <v/>
      </c>
    </row>
    <row r="209" spans="1:45">
      <c r="A209" s="10"/>
      <c r="B209" s="9"/>
      <c r="C209" s="9"/>
      <c r="D209" s="9"/>
      <c r="E209" s="10"/>
      <c r="F209" s="11"/>
      <c r="G209" s="15"/>
      <c r="H209" s="88"/>
      <c r="I209" s="24"/>
      <c r="J209" s="24"/>
      <c r="K209" s="114" t="str">
        <f t="shared" si="36"/>
        <v/>
      </c>
      <c r="L209" s="24"/>
      <c r="M209" s="24"/>
      <c r="N209" s="24"/>
      <c r="O209" s="24"/>
      <c r="P209" s="97" t="str">
        <f t="shared" si="37"/>
        <v/>
      </c>
      <c r="Q209" s="113" t="str">
        <f t="shared" si="38"/>
        <v/>
      </c>
      <c r="R209" s="88"/>
      <c r="S209" s="24"/>
      <c r="T209" s="24"/>
      <c r="U209" s="78" t="str">
        <f t="shared" si="39"/>
        <v/>
      </c>
      <c r="V209" s="24"/>
      <c r="W209" s="24"/>
      <c r="X209" s="24"/>
      <c r="Y209" s="24"/>
      <c r="Z209" s="98" t="str">
        <f t="shared" si="40"/>
        <v/>
      </c>
      <c r="AA209" s="40" t="str">
        <f t="shared" si="46"/>
        <v/>
      </c>
      <c r="AB209" s="88"/>
      <c r="AC209" s="24"/>
      <c r="AD209" s="24"/>
      <c r="AE209" s="79" t="str">
        <f t="shared" si="41"/>
        <v/>
      </c>
      <c r="AF209" s="24"/>
      <c r="AG209" s="24"/>
      <c r="AH209" s="24"/>
      <c r="AI209" s="24"/>
      <c r="AJ209" s="99" t="str">
        <f t="shared" si="42"/>
        <v/>
      </c>
      <c r="AK209" s="31" t="str">
        <f t="shared" si="47"/>
        <v/>
      </c>
      <c r="AN209" s="139" t="str">
        <f>IF($K209="","",VLOOKUP($K209,'ORF Accuracy Value LookUp'!$G$4:$H$104,2,TRUE))</f>
        <v/>
      </c>
      <c r="AO209" s="94" t="str">
        <f t="shared" si="43"/>
        <v/>
      </c>
      <c r="AP209" s="47" t="str">
        <f>IF($U209="","",VLOOKUP($U209,'ORF Accuracy Value LookUp'!$G$4:$H$104,2,TRUE))</f>
        <v/>
      </c>
      <c r="AQ209" s="94" t="str">
        <f t="shared" si="44"/>
        <v/>
      </c>
      <c r="AR209" s="46" t="str">
        <f>IF($AE209="","",VLOOKUP($AE209,'ORF Accuracy Value LookUp'!$G$4:$H$104,2,TRUE))</f>
        <v/>
      </c>
      <c r="AS209" s="140" t="str">
        <f t="shared" si="45"/>
        <v/>
      </c>
    </row>
    <row r="210" spans="1:45">
      <c r="A210" s="10"/>
      <c r="B210" s="9"/>
      <c r="C210" s="9"/>
      <c r="D210" s="9"/>
      <c r="E210" s="10"/>
      <c r="F210" s="11"/>
      <c r="G210" s="15"/>
      <c r="H210" s="88"/>
      <c r="I210" s="24"/>
      <c r="J210" s="24"/>
      <c r="K210" s="114" t="str">
        <f t="shared" si="36"/>
        <v/>
      </c>
      <c r="L210" s="24"/>
      <c r="M210" s="24"/>
      <c r="N210" s="24"/>
      <c r="O210" s="24"/>
      <c r="P210" s="97" t="str">
        <f t="shared" si="37"/>
        <v/>
      </c>
      <c r="Q210" s="113" t="str">
        <f t="shared" si="38"/>
        <v/>
      </c>
      <c r="R210" s="88"/>
      <c r="S210" s="24"/>
      <c r="T210" s="24"/>
      <c r="U210" s="78" t="str">
        <f t="shared" si="39"/>
        <v/>
      </c>
      <c r="V210" s="24"/>
      <c r="W210" s="24"/>
      <c r="X210" s="24"/>
      <c r="Y210" s="24"/>
      <c r="Z210" s="98" t="str">
        <f t="shared" si="40"/>
        <v/>
      </c>
      <c r="AA210" s="40" t="str">
        <f t="shared" si="46"/>
        <v/>
      </c>
      <c r="AB210" s="88"/>
      <c r="AC210" s="24"/>
      <c r="AD210" s="24"/>
      <c r="AE210" s="79" t="str">
        <f t="shared" si="41"/>
        <v/>
      </c>
      <c r="AF210" s="24"/>
      <c r="AG210" s="24"/>
      <c r="AH210" s="24"/>
      <c r="AI210" s="24"/>
      <c r="AJ210" s="99" t="str">
        <f t="shared" si="42"/>
        <v/>
      </c>
      <c r="AK210" s="31" t="str">
        <f t="shared" si="47"/>
        <v/>
      </c>
      <c r="AN210" s="139" t="str">
        <f>IF($K210="","",VLOOKUP($K210,'ORF Accuracy Value LookUp'!$G$4:$H$104,2,TRUE))</f>
        <v/>
      </c>
      <c r="AO210" s="94" t="str">
        <f t="shared" si="43"/>
        <v/>
      </c>
      <c r="AP210" s="47" t="str">
        <f>IF($U210="","",VLOOKUP($U210,'ORF Accuracy Value LookUp'!$G$4:$H$104,2,TRUE))</f>
        <v/>
      </c>
      <c r="AQ210" s="94" t="str">
        <f t="shared" si="44"/>
        <v/>
      </c>
      <c r="AR210" s="46" t="str">
        <f>IF($AE210="","",VLOOKUP($AE210,'ORF Accuracy Value LookUp'!$G$4:$H$104,2,TRUE))</f>
        <v/>
      </c>
      <c r="AS210" s="140" t="str">
        <f t="shared" si="45"/>
        <v/>
      </c>
    </row>
    <row r="211" spans="1:45">
      <c r="A211" s="10"/>
      <c r="B211" s="9"/>
      <c r="C211" s="9"/>
      <c r="D211" s="9"/>
      <c r="E211" s="10"/>
      <c r="F211" s="11"/>
      <c r="G211" s="15"/>
      <c r="H211" s="88"/>
      <c r="I211" s="24"/>
      <c r="J211" s="24"/>
      <c r="K211" s="114" t="str">
        <f t="shared" si="36"/>
        <v/>
      </c>
      <c r="L211" s="24"/>
      <c r="M211" s="24"/>
      <c r="N211" s="24"/>
      <c r="O211" s="24"/>
      <c r="P211" s="97" t="str">
        <f t="shared" si="37"/>
        <v/>
      </c>
      <c r="Q211" s="113" t="str">
        <f t="shared" si="38"/>
        <v/>
      </c>
      <c r="R211" s="88"/>
      <c r="S211" s="24"/>
      <c r="T211" s="24"/>
      <c r="U211" s="78" t="str">
        <f t="shared" si="39"/>
        <v/>
      </c>
      <c r="V211" s="24"/>
      <c r="W211" s="24"/>
      <c r="X211" s="24"/>
      <c r="Y211" s="24"/>
      <c r="Z211" s="98" t="str">
        <f t="shared" si="40"/>
        <v/>
      </c>
      <c r="AA211" s="40" t="str">
        <f t="shared" si="46"/>
        <v/>
      </c>
      <c r="AB211" s="88"/>
      <c r="AC211" s="24"/>
      <c r="AD211" s="24"/>
      <c r="AE211" s="79" t="str">
        <f t="shared" si="41"/>
        <v/>
      </c>
      <c r="AF211" s="24"/>
      <c r="AG211" s="24"/>
      <c r="AH211" s="24"/>
      <c r="AI211" s="24"/>
      <c r="AJ211" s="99" t="str">
        <f t="shared" si="42"/>
        <v/>
      </c>
      <c r="AK211" s="31" t="str">
        <f t="shared" si="47"/>
        <v/>
      </c>
      <c r="AN211" s="139" t="str">
        <f>IF($K211="","",VLOOKUP($K211,'ORF Accuracy Value LookUp'!$G$4:$H$104,2,TRUE))</f>
        <v/>
      </c>
      <c r="AO211" s="94" t="str">
        <f t="shared" si="43"/>
        <v/>
      </c>
      <c r="AP211" s="47" t="str">
        <f>IF($U211="","",VLOOKUP($U211,'ORF Accuracy Value LookUp'!$G$4:$H$104,2,TRUE))</f>
        <v/>
      </c>
      <c r="AQ211" s="94" t="str">
        <f t="shared" si="44"/>
        <v/>
      </c>
      <c r="AR211" s="46" t="str">
        <f>IF($AE211="","",VLOOKUP($AE211,'ORF Accuracy Value LookUp'!$G$4:$H$104,2,TRUE))</f>
        <v/>
      </c>
      <c r="AS211" s="140" t="str">
        <f t="shared" si="45"/>
        <v/>
      </c>
    </row>
    <row r="212" spans="1:45">
      <c r="A212" s="10"/>
      <c r="B212" s="9"/>
      <c r="C212" s="9"/>
      <c r="D212" s="9"/>
      <c r="E212" s="10"/>
      <c r="F212" s="11"/>
      <c r="G212" s="15"/>
      <c r="H212" s="88"/>
      <c r="I212" s="24"/>
      <c r="J212" s="24"/>
      <c r="K212" s="114" t="str">
        <f t="shared" si="36"/>
        <v/>
      </c>
      <c r="L212" s="24"/>
      <c r="M212" s="24"/>
      <c r="N212" s="24"/>
      <c r="O212" s="24"/>
      <c r="P212" s="97" t="str">
        <f t="shared" si="37"/>
        <v/>
      </c>
      <c r="Q212" s="113" t="str">
        <f t="shared" si="38"/>
        <v/>
      </c>
      <c r="R212" s="88"/>
      <c r="S212" s="24"/>
      <c r="T212" s="24"/>
      <c r="U212" s="78" t="str">
        <f t="shared" si="39"/>
        <v/>
      </c>
      <c r="V212" s="24"/>
      <c r="W212" s="24"/>
      <c r="X212" s="24"/>
      <c r="Y212" s="24"/>
      <c r="Z212" s="98" t="str">
        <f t="shared" si="40"/>
        <v/>
      </c>
      <c r="AA212" s="40" t="str">
        <f t="shared" si="46"/>
        <v/>
      </c>
      <c r="AB212" s="88"/>
      <c r="AC212" s="24"/>
      <c r="AD212" s="24"/>
      <c r="AE212" s="79" t="str">
        <f t="shared" si="41"/>
        <v/>
      </c>
      <c r="AF212" s="24"/>
      <c r="AG212" s="24"/>
      <c r="AH212" s="24"/>
      <c r="AI212" s="24"/>
      <c r="AJ212" s="99" t="str">
        <f t="shared" si="42"/>
        <v/>
      </c>
      <c r="AK212" s="31" t="str">
        <f t="shared" si="47"/>
        <v/>
      </c>
      <c r="AN212" s="139" t="str">
        <f>IF($K212="","",VLOOKUP($K212,'ORF Accuracy Value LookUp'!$G$4:$H$104,2,TRUE))</f>
        <v/>
      </c>
      <c r="AO212" s="94" t="str">
        <f t="shared" si="43"/>
        <v/>
      </c>
      <c r="AP212" s="47" t="str">
        <f>IF($U212="","",VLOOKUP($U212,'ORF Accuracy Value LookUp'!$G$4:$H$104,2,TRUE))</f>
        <v/>
      </c>
      <c r="AQ212" s="94" t="str">
        <f t="shared" si="44"/>
        <v/>
      </c>
      <c r="AR212" s="46" t="str">
        <f>IF($AE212="","",VLOOKUP($AE212,'ORF Accuracy Value LookUp'!$G$4:$H$104,2,TRUE))</f>
        <v/>
      </c>
      <c r="AS212" s="140" t="str">
        <f t="shared" si="45"/>
        <v/>
      </c>
    </row>
    <row r="213" spans="1:45">
      <c r="A213" s="10"/>
      <c r="B213" s="9"/>
      <c r="C213" s="9"/>
      <c r="D213" s="9"/>
      <c r="E213" s="10"/>
      <c r="F213" s="11"/>
      <c r="G213" s="15"/>
      <c r="H213" s="88"/>
      <c r="I213" s="24"/>
      <c r="J213" s="24"/>
      <c r="K213" s="114" t="str">
        <f t="shared" si="36"/>
        <v/>
      </c>
      <c r="L213" s="24"/>
      <c r="M213" s="24"/>
      <c r="N213" s="24"/>
      <c r="O213" s="24"/>
      <c r="P213" s="97" t="str">
        <f t="shared" si="37"/>
        <v/>
      </c>
      <c r="Q213" s="113" t="str">
        <f t="shared" si="38"/>
        <v/>
      </c>
      <c r="R213" s="88"/>
      <c r="S213" s="24"/>
      <c r="T213" s="24"/>
      <c r="U213" s="78" t="str">
        <f t="shared" si="39"/>
        <v/>
      </c>
      <c r="V213" s="24"/>
      <c r="W213" s="24"/>
      <c r="X213" s="24"/>
      <c r="Y213" s="24"/>
      <c r="Z213" s="98" t="str">
        <f t="shared" si="40"/>
        <v/>
      </c>
      <c r="AA213" s="40" t="str">
        <f t="shared" si="46"/>
        <v/>
      </c>
      <c r="AB213" s="88"/>
      <c r="AC213" s="24"/>
      <c r="AD213" s="24"/>
      <c r="AE213" s="79" t="str">
        <f t="shared" si="41"/>
        <v/>
      </c>
      <c r="AF213" s="24"/>
      <c r="AG213" s="24"/>
      <c r="AH213" s="24"/>
      <c r="AI213" s="24"/>
      <c r="AJ213" s="99" t="str">
        <f t="shared" si="42"/>
        <v/>
      </c>
      <c r="AK213" s="31" t="str">
        <f t="shared" si="47"/>
        <v/>
      </c>
      <c r="AN213" s="139" t="str">
        <f>IF($K213="","",VLOOKUP($K213,'ORF Accuracy Value LookUp'!$G$4:$H$104,2,TRUE))</f>
        <v/>
      </c>
      <c r="AO213" s="94" t="str">
        <f t="shared" si="43"/>
        <v/>
      </c>
      <c r="AP213" s="47" t="str">
        <f>IF($U213="","",VLOOKUP($U213,'ORF Accuracy Value LookUp'!$G$4:$H$104,2,TRUE))</f>
        <v/>
      </c>
      <c r="AQ213" s="94" t="str">
        <f t="shared" si="44"/>
        <v/>
      </c>
      <c r="AR213" s="46" t="str">
        <f>IF($AE213="","",VLOOKUP($AE213,'ORF Accuracy Value LookUp'!$G$4:$H$104,2,TRUE))</f>
        <v/>
      </c>
      <c r="AS213" s="140" t="str">
        <f t="shared" si="45"/>
        <v/>
      </c>
    </row>
    <row r="214" spans="1:45">
      <c r="A214" s="10"/>
      <c r="B214" s="9"/>
      <c r="C214" s="9"/>
      <c r="D214" s="9"/>
      <c r="E214" s="10"/>
      <c r="F214" s="11"/>
      <c r="G214" s="15"/>
      <c r="H214" s="88"/>
      <c r="I214" s="24"/>
      <c r="J214" s="24"/>
      <c r="K214" s="114" t="str">
        <f t="shared" si="36"/>
        <v/>
      </c>
      <c r="L214" s="24"/>
      <c r="M214" s="24"/>
      <c r="N214" s="24"/>
      <c r="O214" s="24"/>
      <c r="P214" s="97" t="str">
        <f t="shared" si="37"/>
        <v/>
      </c>
      <c r="Q214" s="113" t="str">
        <f t="shared" si="38"/>
        <v/>
      </c>
      <c r="R214" s="88"/>
      <c r="S214" s="24"/>
      <c r="T214" s="24"/>
      <c r="U214" s="78" t="str">
        <f t="shared" si="39"/>
        <v/>
      </c>
      <c r="V214" s="24"/>
      <c r="W214" s="24"/>
      <c r="X214" s="24"/>
      <c r="Y214" s="24"/>
      <c r="Z214" s="98" t="str">
        <f t="shared" si="40"/>
        <v/>
      </c>
      <c r="AA214" s="40" t="str">
        <f t="shared" si="46"/>
        <v/>
      </c>
      <c r="AB214" s="88"/>
      <c r="AC214" s="24"/>
      <c r="AD214" s="24"/>
      <c r="AE214" s="79" t="str">
        <f t="shared" si="41"/>
        <v/>
      </c>
      <c r="AF214" s="24"/>
      <c r="AG214" s="24"/>
      <c r="AH214" s="24"/>
      <c r="AI214" s="24"/>
      <c r="AJ214" s="99" t="str">
        <f t="shared" si="42"/>
        <v/>
      </c>
      <c r="AK214" s="31" t="str">
        <f t="shared" si="47"/>
        <v/>
      </c>
      <c r="AN214" s="139" t="str">
        <f>IF($K214="","",VLOOKUP($K214,'ORF Accuracy Value LookUp'!$G$4:$H$104,2,TRUE))</f>
        <v/>
      </c>
      <c r="AO214" s="94" t="str">
        <f t="shared" si="43"/>
        <v/>
      </c>
      <c r="AP214" s="47" t="str">
        <f>IF($U214="","",VLOOKUP($U214,'ORF Accuracy Value LookUp'!$G$4:$H$104,2,TRUE))</f>
        <v/>
      </c>
      <c r="AQ214" s="94" t="str">
        <f t="shared" si="44"/>
        <v/>
      </c>
      <c r="AR214" s="46" t="str">
        <f>IF($AE214="","",VLOOKUP($AE214,'ORF Accuracy Value LookUp'!$G$4:$H$104,2,TRUE))</f>
        <v/>
      </c>
      <c r="AS214" s="140" t="str">
        <f t="shared" si="45"/>
        <v/>
      </c>
    </row>
    <row r="215" spans="1:45">
      <c r="A215" s="10"/>
      <c r="B215" s="9"/>
      <c r="C215" s="9"/>
      <c r="D215" s="9"/>
      <c r="E215" s="10"/>
      <c r="F215" s="11"/>
      <c r="G215" s="15"/>
      <c r="H215" s="88"/>
      <c r="I215" s="24"/>
      <c r="J215" s="24"/>
      <c r="K215" s="114" t="str">
        <f t="shared" si="36"/>
        <v/>
      </c>
      <c r="L215" s="24"/>
      <c r="M215" s="24"/>
      <c r="N215" s="24"/>
      <c r="O215" s="24"/>
      <c r="P215" s="97" t="str">
        <f t="shared" si="37"/>
        <v/>
      </c>
      <c r="Q215" s="113" t="str">
        <f t="shared" si="38"/>
        <v/>
      </c>
      <c r="R215" s="88"/>
      <c r="S215" s="24"/>
      <c r="T215" s="24"/>
      <c r="U215" s="78" t="str">
        <f t="shared" si="39"/>
        <v/>
      </c>
      <c r="V215" s="24"/>
      <c r="W215" s="24"/>
      <c r="X215" s="24"/>
      <c r="Y215" s="24"/>
      <c r="Z215" s="98" t="str">
        <f t="shared" si="40"/>
        <v/>
      </c>
      <c r="AA215" s="40" t="str">
        <f t="shared" si="46"/>
        <v/>
      </c>
      <c r="AB215" s="88"/>
      <c r="AC215" s="24"/>
      <c r="AD215" s="24"/>
      <c r="AE215" s="79" t="str">
        <f t="shared" si="41"/>
        <v/>
      </c>
      <c r="AF215" s="24"/>
      <c r="AG215" s="24"/>
      <c r="AH215" s="24"/>
      <c r="AI215" s="24"/>
      <c r="AJ215" s="99" t="str">
        <f t="shared" si="42"/>
        <v/>
      </c>
      <c r="AK215" s="31" t="str">
        <f t="shared" si="47"/>
        <v/>
      </c>
      <c r="AN215" s="139" t="str">
        <f>IF($K215="","",VLOOKUP($K215,'ORF Accuracy Value LookUp'!$G$4:$H$104,2,TRUE))</f>
        <v/>
      </c>
      <c r="AO215" s="94" t="str">
        <f t="shared" si="43"/>
        <v/>
      </c>
      <c r="AP215" s="47" t="str">
        <f>IF($U215="","",VLOOKUP($U215,'ORF Accuracy Value LookUp'!$G$4:$H$104,2,TRUE))</f>
        <v/>
      </c>
      <c r="AQ215" s="94" t="str">
        <f t="shared" si="44"/>
        <v/>
      </c>
      <c r="AR215" s="46" t="str">
        <f>IF($AE215="","",VLOOKUP($AE215,'ORF Accuracy Value LookUp'!$G$4:$H$104,2,TRUE))</f>
        <v/>
      </c>
      <c r="AS215" s="140" t="str">
        <f t="shared" si="45"/>
        <v/>
      </c>
    </row>
    <row r="216" spans="1:45">
      <c r="A216" s="10"/>
      <c r="B216" s="9"/>
      <c r="C216" s="9"/>
      <c r="D216" s="9"/>
      <c r="E216" s="10"/>
      <c r="F216" s="11"/>
      <c r="G216" s="15"/>
      <c r="H216" s="88"/>
      <c r="I216" s="24"/>
      <c r="J216" s="24"/>
      <c r="K216" s="114" t="str">
        <f t="shared" si="36"/>
        <v/>
      </c>
      <c r="L216" s="24"/>
      <c r="M216" s="24"/>
      <c r="N216" s="24"/>
      <c r="O216" s="24"/>
      <c r="P216" s="97" t="str">
        <f t="shared" si="37"/>
        <v/>
      </c>
      <c r="Q216" s="113" t="str">
        <f t="shared" si="38"/>
        <v/>
      </c>
      <c r="R216" s="88"/>
      <c r="S216" s="24"/>
      <c r="T216" s="24"/>
      <c r="U216" s="78" t="str">
        <f t="shared" si="39"/>
        <v/>
      </c>
      <c r="V216" s="24"/>
      <c r="W216" s="24"/>
      <c r="X216" s="24"/>
      <c r="Y216" s="24"/>
      <c r="Z216" s="98" t="str">
        <f t="shared" si="40"/>
        <v/>
      </c>
      <c r="AA216" s="40" t="str">
        <f t="shared" si="46"/>
        <v/>
      </c>
      <c r="AB216" s="88"/>
      <c r="AC216" s="24"/>
      <c r="AD216" s="24"/>
      <c r="AE216" s="79" t="str">
        <f t="shared" si="41"/>
        <v/>
      </c>
      <c r="AF216" s="24"/>
      <c r="AG216" s="24"/>
      <c r="AH216" s="24"/>
      <c r="AI216" s="24"/>
      <c r="AJ216" s="99" t="str">
        <f t="shared" si="42"/>
        <v/>
      </c>
      <c r="AK216" s="31" t="str">
        <f t="shared" si="47"/>
        <v/>
      </c>
      <c r="AN216" s="139" t="str">
        <f>IF($K216="","",VLOOKUP($K216,'ORF Accuracy Value LookUp'!$G$4:$H$104,2,TRUE))</f>
        <v/>
      </c>
      <c r="AO216" s="94" t="str">
        <f t="shared" si="43"/>
        <v/>
      </c>
      <c r="AP216" s="47" t="str">
        <f>IF($U216="","",VLOOKUP($U216,'ORF Accuracy Value LookUp'!$G$4:$H$104,2,TRUE))</f>
        <v/>
      </c>
      <c r="AQ216" s="94" t="str">
        <f t="shared" si="44"/>
        <v/>
      </c>
      <c r="AR216" s="46" t="str">
        <f>IF($AE216="","",VLOOKUP($AE216,'ORF Accuracy Value LookUp'!$G$4:$H$104,2,TRUE))</f>
        <v/>
      </c>
      <c r="AS216" s="140" t="str">
        <f t="shared" si="45"/>
        <v/>
      </c>
    </row>
    <row r="217" spans="1:45">
      <c r="A217" s="10"/>
      <c r="B217" s="9"/>
      <c r="C217" s="9"/>
      <c r="D217" s="9"/>
      <c r="E217" s="10"/>
      <c r="F217" s="11"/>
      <c r="G217" s="15"/>
      <c r="H217" s="88"/>
      <c r="I217" s="24"/>
      <c r="J217" s="24"/>
      <c r="K217" s="114" t="str">
        <f t="shared" si="36"/>
        <v/>
      </c>
      <c r="L217" s="24"/>
      <c r="M217" s="24"/>
      <c r="N217" s="24"/>
      <c r="O217" s="24"/>
      <c r="P217" s="97" t="str">
        <f t="shared" si="37"/>
        <v/>
      </c>
      <c r="Q217" s="113" t="str">
        <f t="shared" si="38"/>
        <v/>
      </c>
      <c r="R217" s="88"/>
      <c r="S217" s="24"/>
      <c r="T217" s="24"/>
      <c r="U217" s="78" t="str">
        <f t="shared" si="39"/>
        <v/>
      </c>
      <c r="V217" s="24"/>
      <c r="W217" s="24"/>
      <c r="X217" s="24"/>
      <c r="Y217" s="24"/>
      <c r="Z217" s="98" t="str">
        <f t="shared" si="40"/>
        <v/>
      </c>
      <c r="AA217" s="40" t="str">
        <f t="shared" si="46"/>
        <v/>
      </c>
      <c r="AB217" s="88"/>
      <c r="AC217" s="24"/>
      <c r="AD217" s="24"/>
      <c r="AE217" s="79" t="str">
        <f t="shared" si="41"/>
        <v/>
      </c>
      <c r="AF217" s="24"/>
      <c r="AG217" s="24"/>
      <c r="AH217" s="24"/>
      <c r="AI217" s="24"/>
      <c r="AJ217" s="99" t="str">
        <f t="shared" si="42"/>
        <v/>
      </c>
      <c r="AK217" s="31" t="str">
        <f t="shared" si="47"/>
        <v/>
      </c>
      <c r="AN217" s="139" t="str">
        <f>IF($K217="","",VLOOKUP($K217,'ORF Accuracy Value LookUp'!$G$4:$H$104,2,TRUE))</f>
        <v/>
      </c>
      <c r="AO217" s="94" t="str">
        <f t="shared" si="43"/>
        <v/>
      </c>
      <c r="AP217" s="47" t="str">
        <f>IF($U217="","",VLOOKUP($U217,'ORF Accuracy Value LookUp'!$G$4:$H$104,2,TRUE))</f>
        <v/>
      </c>
      <c r="AQ217" s="94" t="str">
        <f t="shared" si="44"/>
        <v/>
      </c>
      <c r="AR217" s="46" t="str">
        <f>IF($AE217="","",VLOOKUP($AE217,'ORF Accuracy Value LookUp'!$G$4:$H$104,2,TRUE))</f>
        <v/>
      </c>
      <c r="AS217" s="140" t="str">
        <f t="shared" si="45"/>
        <v/>
      </c>
    </row>
    <row r="218" spans="1:45">
      <c r="A218" s="10"/>
      <c r="B218" s="9"/>
      <c r="C218" s="9"/>
      <c r="D218" s="9"/>
      <c r="E218" s="10"/>
      <c r="F218" s="11"/>
      <c r="G218" s="15"/>
      <c r="H218" s="88"/>
      <c r="I218" s="24"/>
      <c r="J218" s="24"/>
      <c r="K218" s="114" t="str">
        <f t="shared" si="36"/>
        <v/>
      </c>
      <c r="L218" s="24"/>
      <c r="M218" s="24"/>
      <c r="N218" s="24"/>
      <c r="O218" s="24"/>
      <c r="P218" s="97" t="str">
        <f t="shared" si="37"/>
        <v/>
      </c>
      <c r="Q218" s="113" t="str">
        <f t="shared" si="38"/>
        <v/>
      </c>
      <c r="R218" s="88"/>
      <c r="S218" s="24"/>
      <c r="T218" s="24"/>
      <c r="U218" s="78" t="str">
        <f t="shared" si="39"/>
        <v/>
      </c>
      <c r="V218" s="24"/>
      <c r="W218" s="24"/>
      <c r="X218" s="24"/>
      <c r="Y218" s="24"/>
      <c r="Z218" s="98" t="str">
        <f t="shared" si="40"/>
        <v/>
      </c>
      <c r="AA218" s="40" t="str">
        <f t="shared" si="46"/>
        <v/>
      </c>
      <c r="AB218" s="88"/>
      <c r="AC218" s="24"/>
      <c r="AD218" s="24"/>
      <c r="AE218" s="79" t="str">
        <f t="shared" si="41"/>
        <v/>
      </c>
      <c r="AF218" s="24"/>
      <c r="AG218" s="24"/>
      <c r="AH218" s="24"/>
      <c r="AI218" s="24"/>
      <c r="AJ218" s="99" t="str">
        <f t="shared" si="42"/>
        <v/>
      </c>
      <c r="AK218" s="31" t="str">
        <f t="shared" si="47"/>
        <v/>
      </c>
      <c r="AN218" s="139" t="str">
        <f>IF($K218="","",VLOOKUP($K218,'ORF Accuracy Value LookUp'!$G$4:$H$104,2,TRUE))</f>
        <v/>
      </c>
      <c r="AO218" s="94" t="str">
        <f t="shared" si="43"/>
        <v/>
      </c>
      <c r="AP218" s="47" t="str">
        <f>IF($U218="","",VLOOKUP($U218,'ORF Accuracy Value LookUp'!$G$4:$H$104,2,TRUE))</f>
        <v/>
      </c>
      <c r="AQ218" s="94" t="str">
        <f t="shared" si="44"/>
        <v/>
      </c>
      <c r="AR218" s="46" t="str">
        <f>IF($AE218="","",VLOOKUP($AE218,'ORF Accuracy Value LookUp'!$G$4:$H$104,2,TRUE))</f>
        <v/>
      </c>
      <c r="AS218" s="140" t="str">
        <f t="shared" si="45"/>
        <v/>
      </c>
    </row>
    <row r="219" spans="1:45">
      <c r="A219" s="10"/>
      <c r="B219" s="9"/>
      <c r="C219" s="9"/>
      <c r="D219" s="9"/>
      <c r="E219" s="10"/>
      <c r="F219" s="11"/>
      <c r="G219" s="15"/>
      <c r="H219" s="88"/>
      <c r="I219" s="24"/>
      <c r="J219" s="24"/>
      <c r="K219" s="114" t="str">
        <f t="shared" si="36"/>
        <v/>
      </c>
      <c r="L219" s="24"/>
      <c r="M219" s="24"/>
      <c r="N219" s="24"/>
      <c r="O219" s="24"/>
      <c r="P219" s="97" t="str">
        <f t="shared" si="37"/>
        <v/>
      </c>
      <c r="Q219" s="113" t="str">
        <f t="shared" si="38"/>
        <v/>
      </c>
      <c r="R219" s="88"/>
      <c r="S219" s="24"/>
      <c r="T219" s="24"/>
      <c r="U219" s="78" t="str">
        <f t="shared" si="39"/>
        <v/>
      </c>
      <c r="V219" s="24"/>
      <c r="W219" s="24"/>
      <c r="X219" s="24"/>
      <c r="Y219" s="24"/>
      <c r="Z219" s="98" t="str">
        <f t="shared" si="40"/>
        <v/>
      </c>
      <c r="AA219" s="40" t="str">
        <f t="shared" si="46"/>
        <v/>
      </c>
      <c r="AB219" s="88"/>
      <c r="AC219" s="24"/>
      <c r="AD219" s="24"/>
      <c r="AE219" s="79" t="str">
        <f t="shared" si="41"/>
        <v/>
      </c>
      <c r="AF219" s="24"/>
      <c r="AG219" s="24"/>
      <c r="AH219" s="24"/>
      <c r="AI219" s="24"/>
      <c r="AJ219" s="99" t="str">
        <f t="shared" si="42"/>
        <v/>
      </c>
      <c r="AK219" s="31" t="str">
        <f t="shared" si="47"/>
        <v/>
      </c>
      <c r="AN219" s="139" t="str">
        <f>IF($K219="","",VLOOKUP($K219,'ORF Accuracy Value LookUp'!$G$4:$H$104,2,TRUE))</f>
        <v/>
      </c>
      <c r="AO219" s="94" t="str">
        <f t="shared" si="43"/>
        <v/>
      </c>
      <c r="AP219" s="47" t="str">
        <f>IF($U219="","",VLOOKUP($U219,'ORF Accuracy Value LookUp'!$G$4:$H$104,2,TRUE))</f>
        <v/>
      </c>
      <c r="AQ219" s="94" t="str">
        <f t="shared" si="44"/>
        <v/>
      </c>
      <c r="AR219" s="46" t="str">
        <f>IF($AE219="","",VLOOKUP($AE219,'ORF Accuracy Value LookUp'!$G$4:$H$104,2,TRUE))</f>
        <v/>
      </c>
      <c r="AS219" s="140" t="str">
        <f t="shared" si="45"/>
        <v/>
      </c>
    </row>
    <row r="220" spans="1:45">
      <c r="A220" s="10"/>
      <c r="B220" s="9"/>
      <c r="C220" s="9"/>
      <c r="D220" s="9"/>
      <c r="E220" s="10"/>
      <c r="F220" s="11"/>
      <c r="G220" s="15"/>
      <c r="H220" s="88"/>
      <c r="I220" s="24"/>
      <c r="J220" s="24"/>
      <c r="K220" s="114" t="str">
        <f t="shared" si="36"/>
        <v/>
      </c>
      <c r="L220" s="24"/>
      <c r="M220" s="24"/>
      <c r="N220" s="24"/>
      <c r="O220" s="24"/>
      <c r="P220" s="97" t="str">
        <f t="shared" si="37"/>
        <v/>
      </c>
      <c r="Q220" s="113" t="str">
        <f t="shared" si="38"/>
        <v/>
      </c>
      <c r="R220" s="88"/>
      <c r="S220" s="24"/>
      <c r="T220" s="24"/>
      <c r="U220" s="78" t="str">
        <f t="shared" si="39"/>
        <v/>
      </c>
      <c r="V220" s="24"/>
      <c r="W220" s="24"/>
      <c r="X220" s="24"/>
      <c r="Y220" s="24"/>
      <c r="Z220" s="98" t="str">
        <f t="shared" si="40"/>
        <v/>
      </c>
      <c r="AA220" s="40" t="str">
        <f t="shared" si="46"/>
        <v/>
      </c>
      <c r="AB220" s="88"/>
      <c r="AC220" s="24"/>
      <c r="AD220" s="24"/>
      <c r="AE220" s="79" t="str">
        <f t="shared" si="41"/>
        <v/>
      </c>
      <c r="AF220" s="24"/>
      <c r="AG220" s="24"/>
      <c r="AH220" s="24"/>
      <c r="AI220" s="24"/>
      <c r="AJ220" s="99" t="str">
        <f t="shared" si="42"/>
        <v/>
      </c>
      <c r="AK220" s="31" t="str">
        <f t="shared" si="47"/>
        <v/>
      </c>
      <c r="AN220" s="139" t="str">
        <f>IF($K220="","",VLOOKUP($K220,'ORF Accuracy Value LookUp'!$G$4:$H$104,2,TRUE))</f>
        <v/>
      </c>
      <c r="AO220" s="94" t="str">
        <f t="shared" si="43"/>
        <v/>
      </c>
      <c r="AP220" s="47" t="str">
        <f>IF($U220="","",VLOOKUP($U220,'ORF Accuracy Value LookUp'!$G$4:$H$104,2,TRUE))</f>
        <v/>
      </c>
      <c r="AQ220" s="94" t="str">
        <f t="shared" si="44"/>
        <v/>
      </c>
      <c r="AR220" s="46" t="str">
        <f>IF($AE220="","",VLOOKUP($AE220,'ORF Accuracy Value LookUp'!$G$4:$H$104,2,TRUE))</f>
        <v/>
      </c>
      <c r="AS220" s="140" t="str">
        <f t="shared" si="45"/>
        <v/>
      </c>
    </row>
    <row r="221" spans="1:45">
      <c r="A221" s="10"/>
      <c r="B221" s="9"/>
      <c r="C221" s="9"/>
      <c r="D221" s="9"/>
      <c r="E221" s="10"/>
      <c r="F221" s="11"/>
      <c r="G221" s="15"/>
      <c r="H221" s="88"/>
      <c r="I221" s="24"/>
      <c r="J221" s="24"/>
      <c r="K221" s="114" t="str">
        <f t="shared" si="36"/>
        <v/>
      </c>
      <c r="L221" s="24"/>
      <c r="M221" s="24"/>
      <c r="N221" s="24"/>
      <c r="O221" s="24"/>
      <c r="P221" s="97" t="str">
        <f t="shared" si="37"/>
        <v/>
      </c>
      <c r="Q221" s="113" t="str">
        <f t="shared" si="38"/>
        <v/>
      </c>
      <c r="R221" s="88"/>
      <c r="S221" s="24"/>
      <c r="T221" s="24"/>
      <c r="U221" s="78" t="str">
        <f t="shared" si="39"/>
        <v/>
      </c>
      <c r="V221" s="24"/>
      <c r="W221" s="24"/>
      <c r="X221" s="24"/>
      <c r="Y221" s="24"/>
      <c r="Z221" s="98" t="str">
        <f t="shared" si="40"/>
        <v/>
      </c>
      <c r="AA221" s="40" t="str">
        <f t="shared" si="46"/>
        <v/>
      </c>
      <c r="AB221" s="88"/>
      <c r="AC221" s="24"/>
      <c r="AD221" s="24"/>
      <c r="AE221" s="79" t="str">
        <f t="shared" si="41"/>
        <v/>
      </c>
      <c r="AF221" s="24"/>
      <c r="AG221" s="24"/>
      <c r="AH221" s="24"/>
      <c r="AI221" s="24"/>
      <c r="AJ221" s="99" t="str">
        <f t="shared" si="42"/>
        <v/>
      </c>
      <c r="AK221" s="31" t="str">
        <f t="shared" si="47"/>
        <v/>
      </c>
      <c r="AN221" s="139" t="str">
        <f>IF($K221="","",VLOOKUP($K221,'ORF Accuracy Value LookUp'!$G$4:$H$104,2,TRUE))</f>
        <v/>
      </c>
      <c r="AO221" s="94" t="str">
        <f t="shared" si="43"/>
        <v/>
      </c>
      <c r="AP221" s="47" t="str">
        <f>IF($U221="","",VLOOKUP($U221,'ORF Accuracy Value LookUp'!$G$4:$H$104,2,TRUE))</f>
        <v/>
      </c>
      <c r="AQ221" s="94" t="str">
        <f t="shared" si="44"/>
        <v/>
      </c>
      <c r="AR221" s="46" t="str">
        <f>IF($AE221="","",VLOOKUP($AE221,'ORF Accuracy Value LookUp'!$G$4:$H$104,2,TRUE))</f>
        <v/>
      </c>
      <c r="AS221" s="140" t="str">
        <f t="shared" si="45"/>
        <v/>
      </c>
    </row>
    <row r="222" spans="1:45">
      <c r="A222" s="10"/>
      <c r="B222" s="9"/>
      <c r="C222" s="9"/>
      <c r="D222" s="9"/>
      <c r="E222" s="10"/>
      <c r="F222" s="11"/>
      <c r="G222" s="15"/>
      <c r="H222" s="88"/>
      <c r="I222" s="24"/>
      <c r="J222" s="24"/>
      <c r="K222" s="114" t="str">
        <f t="shared" si="36"/>
        <v/>
      </c>
      <c r="L222" s="24"/>
      <c r="M222" s="24"/>
      <c r="N222" s="24"/>
      <c r="O222" s="24"/>
      <c r="P222" s="97" t="str">
        <f t="shared" si="37"/>
        <v/>
      </c>
      <c r="Q222" s="113" t="str">
        <f t="shared" si="38"/>
        <v/>
      </c>
      <c r="R222" s="88"/>
      <c r="S222" s="24"/>
      <c r="T222" s="24"/>
      <c r="U222" s="78" t="str">
        <f t="shared" si="39"/>
        <v/>
      </c>
      <c r="V222" s="24"/>
      <c r="W222" s="24"/>
      <c r="X222" s="24"/>
      <c r="Y222" s="24"/>
      <c r="Z222" s="98" t="str">
        <f t="shared" si="40"/>
        <v/>
      </c>
      <c r="AA222" s="40" t="str">
        <f t="shared" si="46"/>
        <v/>
      </c>
      <c r="AB222" s="88"/>
      <c r="AC222" s="24"/>
      <c r="AD222" s="24"/>
      <c r="AE222" s="79" t="str">
        <f t="shared" si="41"/>
        <v/>
      </c>
      <c r="AF222" s="24"/>
      <c r="AG222" s="24"/>
      <c r="AH222" s="24"/>
      <c r="AI222" s="24"/>
      <c r="AJ222" s="99" t="str">
        <f t="shared" si="42"/>
        <v/>
      </c>
      <c r="AK222" s="31" t="str">
        <f t="shared" si="47"/>
        <v/>
      </c>
      <c r="AN222" s="139" t="str">
        <f>IF($K222="","",VLOOKUP($K222,'ORF Accuracy Value LookUp'!$G$4:$H$104,2,TRUE))</f>
        <v/>
      </c>
      <c r="AO222" s="94" t="str">
        <f t="shared" si="43"/>
        <v/>
      </c>
      <c r="AP222" s="47" t="str">
        <f>IF($U222="","",VLOOKUP($U222,'ORF Accuracy Value LookUp'!$G$4:$H$104,2,TRUE))</f>
        <v/>
      </c>
      <c r="AQ222" s="94" t="str">
        <f t="shared" si="44"/>
        <v/>
      </c>
      <c r="AR222" s="46" t="str">
        <f>IF($AE222="","",VLOOKUP($AE222,'ORF Accuracy Value LookUp'!$G$4:$H$104,2,TRUE))</f>
        <v/>
      </c>
      <c r="AS222" s="140" t="str">
        <f t="shared" si="45"/>
        <v/>
      </c>
    </row>
    <row r="223" spans="1:45">
      <c r="A223" s="10"/>
      <c r="B223" s="9"/>
      <c r="C223" s="9"/>
      <c r="D223" s="9"/>
      <c r="E223" s="10"/>
      <c r="F223" s="11"/>
      <c r="G223" s="15"/>
      <c r="H223" s="88"/>
      <c r="I223" s="24"/>
      <c r="J223" s="24"/>
      <c r="K223" s="114" t="str">
        <f t="shared" si="36"/>
        <v/>
      </c>
      <c r="L223" s="24"/>
      <c r="M223" s="24"/>
      <c r="N223" s="24"/>
      <c r="O223" s="24"/>
      <c r="P223" s="97" t="str">
        <f t="shared" si="37"/>
        <v/>
      </c>
      <c r="Q223" s="113" t="str">
        <f t="shared" si="38"/>
        <v/>
      </c>
      <c r="R223" s="88"/>
      <c r="S223" s="24"/>
      <c r="T223" s="24"/>
      <c r="U223" s="78" t="str">
        <f t="shared" si="39"/>
        <v/>
      </c>
      <c r="V223" s="24"/>
      <c r="W223" s="24"/>
      <c r="X223" s="24"/>
      <c r="Y223" s="24"/>
      <c r="Z223" s="98" t="str">
        <f t="shared" si="40"/>
        <v/>
      </c>
      <c r="AA223" s="40" t="str">
        <f t="shared" si="46"/>
        <v/>
      </c>
      <c r="AB223" s="88"/>
      <c r="AC223" s="24"/>
      <c r="AD223" s="24"/>
      <c r="AE223" s="79" t="str">
        <f t="shared" si="41"/>
        <v/>
      </c>
      <c r="AF223" s="24"/>
      <c r="AG223" s="24"/>
      <c r="AH223" s="24"/>
      <c r="AI223" s="24"/>
      <c r="AJ223" s="99" t="str">
        <f t="shared" si="42"/>
        <v/>
      </c>
      <c r="AK223" s="31" t="str">
        <f t="shared" si="47"/>
        <v/>
      </c>
      <c r="AN223" s="139" t="str">
        <f>IF($K223="","",VLOOKUP($K223,'ORF Accuracy Value LookUp'!$G$4:$H$104,2,TRUE))</f>
        <v/>
      </c>
      <c r="AO223" s="94" t="str">
        <f t="shared" si="43"/>
        <v/>
      </c>
      <c r="AP223" s="47" t="str">
        <f>IF($U223="","",VLOOKUP($U223,'ORF Accuracy Value LookUp'!$G$4:$H$104,2,TRUE))</f>
        <v/>
      </c>
      <c r="AQ223" s="94" t="str">
        <f t="shared" si="44"/>
        <v/>
      </c>
      <c r="AR223" s="46" t="str">
        <f>IF($AE223="","",VLOOKUP($AE223,'ORF Accuracy Value LookUp'!$G$4:$H$104,2,TRUE))</f>
        <v/>
      </c>
      <c r="AS223" s="140" t="str">
        <f t="shared" si="45"/>
        <v/>
      </c>
    </row>
    <row r="224" spans="1:45">
      <c r="A224" s="10"/>
      <c r="B224" s="9"/>
      <c r="C224" s="9"/>
      <c r="D224" s="9"/>
      <c r="E224" s="10"/>
      <c r="F224" s="11"/>
      <c r="G224" s="15"/>
      <c r="H224" s="88"/>
      <c r="I224" s="24"/>
      <c r="J224" s="24"/>
      <c r="K224" s="114" t="str">
        <f t="shared" si="36"/>
        <v/>
      </c>
      <c r="L224" s="24"/>
      <c r="M224" s="24"/>
      <c r="N224" s="24"/>
      <c r="O224" s="24"/>
      <c r="P224" s="97" t="str">
        <f t="shared" si="37"/>
        <v/>
      </c>
      <c r="Q224" s="113" t="str">
        <f t="shared" si="38"/>
        <v/>
      </c>
      <c r="R224" s="88"/>
      <c r="S224" s="24"/>
      <c r="T224" s="24"/>
      <c r="U224" s="78" t="str">
        <f t="shared" si="39"/>
        <v/>
      </c>
      <c r="V224" s="24"/>
      <c r="W224" s="24"/>
      <c r="X224" s="24"/>
      <c r="Y224" s="24"/>
      <c r="Z224" s="98" t="str">
        <f t="shared" si="40"/>
        <v/>
      </c>
      <c r="AA224" s="40" t="str">
        <f t="shared" si="46"/>
        <v/>
      </c>
      <c r="AB224" s="88"/>
      <c r="AC224" s="24"/>
      <c r="AD224" s="24"/>
      <c r="AE224" s="79" t="str">
        <f t="shared" si="41"/>
        <v/>
      </c>
      <c r="AF224" s="24"/>
      <c r="AG224" s="24"/>
      <c r="AH224" s="24"/>
      <c r="AI224" s="24"/>
      <c r="AJ224" s="99" t="str">
        <f t="shared" si="42"/>
        <v/>
      </c>
      <c r="AK224" s="31" t="str">
        <f t="shared" si="47"/>
        <v/>
      </c>
      <c r="AN224" s="139" t="str">
        <f>IF($K224="","",VLOOKUP($K224,'ORF Accuracy Value LookUp'!$G$4:$H$104,2,TRUE))</f>
        <v/>
      </c>
      <c r="AO224" s="94" t="str">
        <f t="shared" si="43"/>
        <v/>
      </c>
      <c r="AP224" s="47" t="str">
        <f>IF($U224="","",VLOOKUP($U224,'ORF Accuracy Value LookUp'!$G$4:$H$104,2,TRUE))</f>
        <v/>
      </c>
      <c r="AQ224" s="94" t="str">
        <f t="shared" si="44"/>
        <v/>
      </c>
      <c r="AR224" s="46" t="str">
        <f>IF($AE224="","",VLOOKUP($AE224,'ORF Accuracy Value LookUp'!$G$4:$H$104,2,TRUE))</f>
        <v/>
      </c>
      <c r="AS224" s="140" t="str">
        <f t="shared" si="45"/>
        <v/>
      </c>
    </row>
    <row r="225" spans="1:45">
      <c r="A225" s="10"/>
      <c r="B225" s="9"/>
      <c r="C225" s="9"/>
      <c r="D225" s="9"/>
      <c r="E225" s="10"/>
      <c r="F225" s="11"/>
      <c r="G225" s="15"/>
      <c r="H225" s="88"/>
      <c r="I225" s="24"/>
      <c r="J225" s="24"/>
      <c r="K225" s="114" t="str">
        <f t="shared" si="36"/>
        <v/>
      </c>
      <c r="L225" s="24"/>
      <c r="M225" s="24"/>
      <c r="N225" s="24"/>
      <c r="O225" s="24"/>
      <c r="P225" s="97" t="str">
        <f t="shared" si="37"/>
        <v/>
      </c>
      <c r="Q225" s="113" t="str">
        <f t="shared" si="38"/>
        <v/>
      </c>
      <c r="R225" s="88"/>
      <c r="S225" s="24"/>
      <c r="T225" s="24"/>
      <c r="U225" s="78" t="str">
        <f t="shared" si="39"/>
        <v/>
      </c>
      <c r="V225" s="24"/>
      <c r="W225" s="24"/>
      <c r="X225" s="24"/>
      <c r="Y225" s="24"/>
      <c r="Z225" s="98" t="str">
        <f t="shared" si="40"/>
        <v/>
      </c>
      <c r="AA225" s="40" t="str">
        <f t="shared" si="46"/>
        <v/>
      </c>
      <c r="AB225" s="88"/>
      <c r="AC225" s="24"/>
      <c r="AD225" s="24"/>
      <c r="AE225" s="79" t="str">
        <f t="shared" si="41"/>
        <v/>
      </c>
      <c r="AF225" s="24"/>
      <c r="AG225" s="24"/>
      <c r="AH225" s="24"/>
      <c r="AI225" s="24"/>
      <c r="AJ225" s="99" t="str">
        <f t="shared" si="42"/>
        <v/>
      </c>
      <c r="AK225" s="31" t="str">
        <f t="shared" si="47"/>
        <v/>
      </c>
      <c r="AN225" s="139" t="str">
        <f>IF($K225="","",VLOOKUP($K225,'ORF Accuracy Value LookUp'!$G$4:$H$104,2,TRUE))</f>
        <v/>
      </c>
      <c r="AO225" s="94" t="str">
        <f t="shared" si="43"/>
        <v/>
      </c>
      <c r="AP225" s="47" t="str">
        <f>IF($U225="","",VLOOKUP($U225,'ORF Accuracy Value LookUp'!$G$4:$H$104,2,TRUE))</f>
        <v/>
      </c>
      <c r="AQ225" s="94" t="str">
        <f t="shared" si="44"/>
        <v/>
      </c>
      <c r="AR225" s="46" t="str">
        <f>IF($AE225="","",VLOOKUP($AE225,'ORF Accuracy Value LookUp'!$G$4:$H$104,2,TRUE))</f>
        <v/>
      </c>
      <c r="AS225" s="140" t="str">
        <f t="shared" si="45"/>
        <v/>
      </c>
    </row>
    <row r="226" spans="1:45">
      <c r="A226" s="10"/>
      <c r="B226" s="9"/>
      <c r="C226" s="9"/>
      <c r="D226" s="9"/>
      <c r="E226" s="10"/>
      <c r="F226" s="11"/>
      <c r="G226" s="15"/>
      <c r="H226" s="88"/>
      <c r="I226" s="24"/>
      <c r="J226" s="24"/>
      <c r="K226" s="114" t="str">
        <f t="shared" si="36"/>
        <v/>
      </c>
      <c r="L226" s="24"/>
      <c r="M226" s="24"/>
      <c r="N226" s="24"/>
      <c r="O226" s="24"/>
      <c r="P226" s="97" t="str">
        <f t="shared" si="37"/>
        <v/>
      </c>
      <c r="Q226" s="113" t="str">
        <f t="shared" si="38"/>
        <v/>
      </c>
      <c r="R226" s="88"/>
      <c r="S226" s="24"/>
      <c r="T226" s="24"/>
      <c r="U226" s="78" t="str">
        <f t="shared" si="39"/>
        <v/>
      </c>
      <c r="V226" s="24"/>
      <c r="W226" s="24"/>
      <c r="X226" s="24"/>
      <c r="Y226" s="24"/>
      <c r="Z226" s="98" t="str">
        <f t="shared" si="40"/>
        <v/>
      </c>
      <c r="AA226" s="40" t="str">
        <f t="shared" si="46"/>
        <v/>
      </c>
      <c r="AB226" s="88"/>
      <c r="AC226" s="24"/>
      <c r="AD226" s="24"/>
      <c r="AE226" s="79" t="str">
        <f t="shared" si="41"/>
        <v/>
      </c>
      <c r="AF226" s="24"/>
      <c r="AG226" s="24"/>
      <c r="AH226" s="24"/>
      <c r="AI226" s="24"/>
      <c r="AJ226" s="99" t="str">
        <f t="shared" si="42"/>
        <v/>
      </c>
      <c r="AK226" s="31" t="str">
        <f t="shared" si="47"/>
        <v/>
      </c>
      <c r="AN226" s="139" t="str">
        <f>IF($K226="","",VLOOKUP($K226,'ORF Accuracy Value LookUp'!$G$4:$H$104,2,TRUE))</f>
        <v/>
      </c>
      <c r="AO226" s="94" t="str">
        <f t="shared" si="43"/>
        <v/>
      </c>
      <c r="AP226" s="47" t="str">
        <f>IF($U226="","",VLOOKUP($U226,'ORF Accuracy Value LookUp'!$G$4:$H$104,2,TRUE))</f>
        <v/>
      </c>
      <c r="AQ226" s="94" t="str">
        <f t="shared" si="44"/>
        <v/>
      </c>
      <c r="AR226" s="46" t="str">
        <f>IF($AE226="","",VLOOKUP($AE226,'ORF Accuracy Value LookUp'!$G$4:$H$104,2,TRUE))</f>
        <v/>
      </c>
      <c r="AS226" s="140" t="str">
        <f t="shared" si="45"/>
        <v/>
      </c>
    </row>
    <row r="227" spans="1:45">
      <c r="A227" s="10"/>
      <c r="B227" s="9"/>
      <c r="C227" s="9"/>
      <c r="D227" s="9"/>
      <c r="E227" s="10"/>
      <c r="F227" s="11"/>
      <c r="G227" s="15"/>
      <c r="H227" s="88"/>
      <c r="I227" s="24"/>
      <c r="J227" s="24"/>
      <c r="K227" s="114" t="str">
        <f t="shared" si="36"/>
        <v/>
      </c>
      <c r="L227" s="24"/>
      <c r="M227" s="24"/>
      <c r="N227" s="24"/>
      <c r="O227" s="24"/>
      <c r="P227" s="97" t="str">
        <f t="shared" si="37"/>
        <v/>
      </c>
      <c r="Q227" s="113" t="str">
        <f t="shared" si="38"/>
        <v/>
      </c>
      <c r="R227" s="88"/>
      <c r="S227" s="24"/>
      <c r="T227" s="24"/>
      <c r="U227" s="78" t="str">
        <f t="shared" si="39"/>
        <v/>
      </c>
      <c r="V227" s="24"/>
      <c r="W227" s="24"/>
      <c r="X227" s="24"/>
      <c r="Y227" s="24"/>
      <c r="Z227" s="98" t="str">
        <f t="shared" si="40"/>
        <v/>
      </c>
      <c r="AA227" s="40" t="str">
        <f t="shared" si="46"/>
        <v/>
      </c>
      <c r="AB227" s="88"/>
      <c r="AC227" s="24"/>
      <c r="AD227" s="24"/>
      <c r="AE227" s="79" t="str">
        <f t="shared" si="41"/>
        <v/>
      </c>
      <c r="AF227" s="24"/>
      <c r="AG227" s="24"/>
      <c r="AH227" s="24"/>
      <c r="AI227" s="24"/>
      <c r="AJ227" s="99" t="str">
        <f t="shared" si="42"/>
        <v/>
      </c>
      <c r="AK227" s="31" t="str">
        <f t="shared" si="47"/>
        <v/>
      </c>
      <c r="AN227" s="139" t="str">
        <f>IF($K227="","",VLOOKUP($K227,'ORF Accuracy Value LookUp'!$G$4:$H$104,2,TRUE))</f>
        <v/>
      </c>
      <c r="AO227" s="94" t="str">
        <f t="shared" si="43"/>
        <v/>
      </c>
      <c r="AP227" s="47" t="str">
        <f>IF($U227="","",VLOOKUP($U227,'ORF Accuracy Value LookUp'!$G$4:$H$104,2,TRUE))</f>
        <v/>
      </c>
      <c r="AQ227" s="94" t="str">
        <f t="shared" si="44"/>
        <v/>
      </c>
      <c r="AR227" s="46" t="str">
        <f>IF($AE227="","",VLOOKUP($AE227,'ORF Accuracy Value LookUp'!$G$4:$H$104,2,TRUE))</f>
        <v/>
      </c>
      <c r="AS227" s="140" t="str">
        <f t="shared" si="45"/>
        <v/>
      </c>
    </row>
    <row r="228" spans="1:45">
      <c r="A228" s="10"/>
      <c r="B228" s="9"/>
      <c r="C228" s="9"/>
      <c r="D228" s="9"/>
      <c r="E228" s="10"/>
      <c r="F228" s="11"/>
      <c r="G228" s="15"/>
      <c r="H228" s="88"/>
      <c r="I228" s="24"/>
      <c r="J228" s="24"/>
      <c r="K228" s="114" t="str">
        <f t="shared" si="36"/>
        <v/>
      </c>
      <c r="L228" s="24"/>
      <c r="M228" s="24"/>
      <c r="N228" s="24"/>
      <c r="O228" s="24"/>
      <c r="P228" s="97" t="str">
        <f t="shared" si="37"/>
        <v/>
      </c>
      <c r="Q228" s="113" t="str">
        <f t="shared" si="38"/>
        <v/>
      </c>
      <c r="R228" s="88"/>
      <c r="S228" s="24"/>
      <c r="T228" s="24"/>
      <c r="U228" s="78" t="str">
        <f t="shared" si="39"/>
        <v/>
      </c>
      <c r="V228" s="24"/>
      <c r="W228" s="24"/>
      <c r="X228" s="24"/>
      <c r="Y228" s="24"/>
      <c r="Z228" s="98" t="str">
        <f t="shared" si="40"/>
        <v/>
      </c>
      <c r="AA228" s="40" t="str">
        <f t="shared" si="46"/>
        <v/>
      </c>
      <c r="AB228" s="88"/>
      <c r="AC228" s="24"/>
      <c r="AD228" s="24"/>
      <c r="AE228" s="79" t="str">
        <f t="shared" si="41"/>
        <v/>
      </c>
      <c r="AF228" s="24"/>
      <c r="AG228" s="24"/>
      <c r="AH228" s="24"/>
      <c r="AI228" s="24"/>
      <c r="AJ228" s="99" t="str">
        <f t="shared" si="42"/>
        <v/>
      </c>
      <c r="AK228" s="31" t="str">
        <f t="shared" si="47"/>
        <v/>
      </c>
      <c r="AN228" s="139" t="str">
        <f>IF($K228="","",VLOOKUP($K228,'ORF Accuracy Value LookUp'!$G$4:$H$104,2,TRUE))</f>
        <v/>
      </c>
      <c r="AO228" s="94" t="str">
        <f t="shared" si="43"/>
        <v/>
      </c>
      <c r="AP228" s="47" t="str">
        <f>IF($U228="","",VLOOKUP($U228,'ORF Accuracy Value LookUp'!$G$4:$H$104,2,TRUE))</f>
        <v/>
      </c>
      <c r="AQ228" s="94" t="str">
        <f t="shared" si="44"/>
        <v/>
      </c>
      <c r="AR228" s="46" t="str">
        <f>IF($AE228="","",VLOOKUP($AE228,'ORF Accuracy Value LookUp'!$G$4:$H$104,2,TRUE))</f>
        <v/>
      </c>
      <c r="AS228" s="140" t="str">
        <f t="shared" si="45"/>
        <v/>
      </c>
    </row>
    <row r="229" spans="1:45">
      <c r="A229" s="10"/>
      <c r="B229" s="9"/>
      <c r="C229" s="9"/>
      <c r="D229" s="9"/>
      <c r="E229" s="10"/>
      <c r="F229" s="11"/>
      <c r="G229" s="15"/>
      <c r="H229" s="88"/>
      <c r="I229" s="24"/>
      <c r="J229" s="24"/>
      <c r="K229" s="114" t="str">
        <f t="shared" si="36"/>
        <v/>
      </c>
      <c r="L229" s="24"/>
      <c r="M229" s="24"/>
      <c r="N229" s="24"/>
      <c r="O229" s="24"/>
      <c r="P229" s="97" t="str">
        <f t="shared" si="37"/>
        <v/>
      </c>
      <c r="Q229" s="113" t="str">
        <f t="shared" si="38"/>
        <v/>
      </c>
      <c r="R229" s="88"/>
      <c r="S229" s="24"/>
      <c r="T229" s="24"/>
      <c r="U229" s="78" t="str">
        <f t="shared" si="39"/>
        <v/>
      </c>
      <c r="V229" s="24"/>
      <c r="W229" s="24"/>
      <c r="X229" s="24"/>
      <c r="Y229" s="24"/>
      <c r="Z229" s="98" t="str">
        <f t="shared" si="40"/>
        <v/>
      </c>
      <c r="AA229" s="40" t="str">
        <f t="shared" si="46"/>
        <v/>
      </c>
      <c r="AB229" s="88"/>
      <c r="AC229" s="24"/>
      <c r="AD229" s="24"/>
      <c r="AE229" s="79" t="str">
        <f t="shared" si="41"/>
        <v/>
      </c>
      <c r="AF229" s="24"/>
      <c r="AG229" s="24"/>
      <c r="AH229" s="24"/>
      <c r="AI229" s="24"/>
      <c r="AJ229" s="99" t="str">
        <f t="shared" si="42"/>
        <v/>
      </c>
      <c r="AK229" s="31" t="str">
        <f t="shared" si="47"/>
        <v/>
      </c>
      <c r="AN229" s="139" t="str">
        <f>IF($K229="","",VLOOKUP($K229,'ORF Accuracy Value LookUp'!$G$4:$H$104,2,TRUE))</f>
        <v/>
      </c>
      <c r="AO229" s="94" t="str">
        <f t="shared" si="43"/>
        <v/>
      </c>
      <c r="AP229" s="47" t="str">
        <f>IF($U229="","",VLOOKUP($U229,'ORF Accuracy Value LookUp'!$G$4:$H$104,2,TRUE))</f>
        <v/>
      </c>
      <c r="AQ229" s="94" t="str">
        <f t="shared" si="44"/>
        <v/>
      </c>
      <c r="AR229" s="46" t="str">
        <f>IF($AE229="","",VLOOKUP($AE229,'ORF Accuracy Value LookUp'!$G$4:$H$104,2,TRUE))</f>
        <v/>
      </c>
      <c r="AS229" s="140" t="str">
        <f t="shared" si="45"/>
        <v/>
      </c>
    </row>
    <row r="230" spans="1:45">
      <c r="A230" s="10"/>
      <c r="B230" s="9"/>
      <c r="C230" s="9"/>
      <c r="D230" s="9"/>
      <c r="E230" s="10"/>
      <c r="F230" s="11"/>
      <c r="G230" s="15"/>
      <c r="H230" s="88"/>
      <c r="I230" s="24"/>
      <c r="J230" s="24"/>
      <c r="K230" s="114" t="str">
        <f t="shared" si="36"/>
        <v/>
      </c>
      <c r="L230" s="24"/>
      <c r="M230" s="24"/>
      <c r="N230" s="24"/>
      <c r="O230" s="24"/>
      <c r="P230" s="97" t="str">
        <f t="shared" si="37"/>
        <v/>
      </c>
      <c r="Q230" s="113" t="str">
        <f t="shared" si="38"/>
        <v/>
      </c>
      <c r="R230" s="88"/>
      <c r="S230" s="24"/>
      <c r="T230" s="24"/>
      <c r="U230" s="78" t="str">
        <f t="shared" si="39"/>
        <v/>
      </c>
      <c r="V230" s="24"/>
      <c r="W230" s="24"/>
      <c r="X230" s="24"/>
      <c r="Y230" s="24"/>
      <c r="Z230" s="98" t="str">
        <f t="shared" si="40"/>
        <v/>
      </c>
      <c r="AA230" s="40" t="str">
        <f t="shared" si="46"/>
        <v/>
      </c>
      <c r="AB230" s="88"/>
      <c r="AC230" s="24"/>
      <c r="AD230" s="24"/>
      <c r="AE230" s="79" t="str">
        <f t="shared" si="41"/>
        <v/>
      </c>
      <c r="AF230" s="24"/>
      <c r="AG230" s="24"/>
      <c r="AH230" s="24"/>
      <c r="AI230" s="24"/>
      <c r="AJ230" s="99" t="str">
        <f t="shared" si="42"/>
        <v/>
      </c>
      <c r="AK230" s="31" t="str">
        <f t="shared" si="47"/>
        <v/>
      </c>
      <c r="AN230" s="139" t="str">
        <f>IF($K230="","",VLOOKUP($K230,'ORF Accuracy Value LookUp'!$G$4:$H$104,2,TRUE))</f>
        <v/>
      </c>
      <c r="AO230" s="94" t="str">
        <f t="shared" si="43"/>
        <v/>
      </c>
      <c r="AP230" s="47" t="str">
        <f>IF($U230="","",VLOOKUP($U230,'ORF Accuracy Value LookUp'!$G$4:$H$104,2,TRUE))</f>
        <v/>
      </c>
      <c r="AQ230" s="94" t="str">
        <f t="shared" si="44"/>
        <v/>
      </c>
      <c r="AR230" s="46" t="str">
        <f>IF($AE230="","",VLOOKUP($AE230,'ORF Accuracy Value LookUp'!$G$4:$H$104,2,TRUE))</f>
        <v/>
      </c>
      <c r="AS230" s="140" t="str">
        <f t="shared" si="45"/>
        <v/>
      </c>
    </row>
    <row r="231" spans="1:45">
      <c r="A231" s="10"/>
      <c r="B231" s="9"/>
      <c r="C231" s="9"/>
      <c r="D231" s="9"/>
      <c r="E231" s="10"/>
      <c r="F231" s="11"/>
      <c r="G231" s="15"/>
      <c r="H231" s="88"/>
      <c r="I231" s="24"/>
      <c r="J231" s="24"/>
      <c r="K231" s="114" t="str">
        <f t="shared" si="36"/>
        <v/>
      </c>
      <c r="L231" s="24"/>
      <c r="M231" s="24"/>
      <c r="N231" s="24"/>
      <c r="O231" s="24"/>
      <c r="P231" s="97" t="str">
        <f t="shared" si="37"/>
        <v/>
      </c>
      <c r="Q231" s="113" t="str">
        <f t="shared" si="38"/>
        <v/>
      </c>
      <c r="R231" s="88"/>
      <c r="S231" s="24"/>
      <c r="T231" s="24"/>
      <c r="U231" s="78" t="str">
        <f t="shared" si="39"/>
        <v/>
      </c>
      <c r="V231" s="24"/>
      <c r="W231" s="24"/>
      <c r="X231" s="24"/>
      <c r="Y231" s="24"/>
      <c r="Z231" s="98" t="str">
        <f t="shared" si="40"/>
        <v/>
      </c>
      <c r="AA231" s="40" t="str">
        <f t="shared" si="46"/>
        <v/>
      </c>
      <c r="AB231" s="88"/>
      <c r="AC231" s="24"/>
      <c r="AD231" s="24"/>
      <c r="AE231" s="79" t="str">
        <f t="shared" si="41"/>
        <v/>
      </c>
      <c r="AF231" s="24"/>
      <c r="AG231" s="24"/>
      <c r="AH231" s="24"/>
      <c r="AI231" s="24"/>
      <c r="AJ231" s="99" t="str">
        <f t="shared" si="42"/>
        <v/>
      </c>
      <c r="AK231" s="31" t="str">
        <f t="shared" si="47"/>
        <v/>
      </c>
      <c r="AN231" s="139" t="str">
        <f>IF($K231="","",VLOOKUP($K231,'ORF Accuracy Value LookUp'!$G$4:$H$104,2,TRUE))</f>
        <v/>
      </c>
      <c r="AO231" s="94" t="str">
        <f t="shared" si="43"/>
        <v/>
      </c>
      <c r="AP231" s="47" t="str">
        <f>IF($U231="","",VLOOKUP($U231,'ORF Accuracy Value LookUp'!$G$4:$H$104,2,TRUE))</f>
        <v/>
      </c>
      <c r="AQ231" s="94" t="str">
        <f t="shared" si="44"/>
        <v/>
      </c>
      <c r="AR231" s="46" t="str">
        <f>IF($AE231="","",VLOOKUP($AE231,'ORF Accuracy Value LookUp'!$G$4:$H$104,2,TRUE))</f>
        <v/>
      </c>
      <c r="AS231" s="140" t="str">
        <f t="shared" si="45"/>
        <v/>
      </c>
    </row>
    <row r="232" spans="1:45">
      <c r="A232" s="10"/>
      <c r="B232" s="9"/>
      <c r="C232" s="9"/>
      <c r="D232" s="9"/>
      <c r="E232" s="10"/>
      <c r="F232" s="11"/>
      <c r="G232" s="15"/>
      <c r="H232" s="88"/>
      <c r="I232" s="24"/>
      <c r="J232" s="24"/>
      <c r="K232" s="114" t="str">
        <f t="shared" si="36"/>
        <v/>
      </c>
      <c r="L232" s="24"/>
      <c r="M232" s="24"/>
      <c r="N232" s="24"/>
      <c r="O232" s="24"/>
      <c r="P232" s="97" t="str">
        <f t="shared" si="37"/>
        <v/>
      </c>
      <c r="Q232" s="113" t="str">
        <f t="shared" si="38"/>
        <v/>
      </c>
      <c r="R232" s="88"/>
      <c r="S232" s="24"/>
      <c r="T232" s="24"/>
      <c r="U232" s="78" t="str">
        <f t="shared" si="39"/>
        <v/>
      </c>
      <c r="V232" s="24"/>
      <c r="W232" s="24"/>
      <c r="X232" s="24"/>
      <c r="Y232" s="24"/>
      <c r="Z232" s="98" t="str">
        <f t="shared" si="40"/>
        <v/>
      </c>
      <c r="AA232" s="40" t="str">
        <f t="shared" si="46"/>
        <v/>
      </c>
      <c r="AB232" s="88"/>
      <c r="AC232" s="24"/>
      <c r="AD232" s="24"/>
      <c r="AE232" s="79" t="str">
        <f t="shared" si="41"/>
        <v/>
      </c>
      <c r="AF232" s="24"/>
      <c r="AG232" s="24"/>
      <c r="AH232" s="24"/>
      <c r="AI232" s="24"/>
      <c r="AJ232" s="99" t="str">
        <f t="shared" si="42"/>
        <v/>
      </c>
      <c r="AK232" s="31" t="str">
        <f t="shared" si="47"/>
        <v/>
      </c>
      <c r="AN232" s="139" t="str">
        <f>IF($K232="","",VLOOKUP($K232,'ORF Accuracy Value LookUp'!$G$4:$H$104,2,TRUE))</f>
        <v/>
      </c>
      <c r="AO232" s="94" t="str">
        <f t="shared" si="43"/>
        <v/>
      </c>
      <c r="AP232" s="47" t="str">
        <f>IF($U232="","",VLOOKUP($U232,'ORF Accuracy Value LookUp'!$G$4:$H$104,2,TRUE))</f>
        <v/>
      </c>
      <c r="AQ232" s="94" t="str">
        <f t="shared" si="44"/>
        <v/>
      </c>
      <c r="AR232" s="46" t="str">
        <f>IF($AE232="","",VLOOKUP($AE232,'ORF Accuracy Value LookUp'!$G$4:$H$104,2,TRUE))</f>
        <v/>
      </c>
      <c r="AS232" s="140" t="str">
        <f t="shared" si="45"/>
        <v/>
      </c>
    </row>
    <row r="233" spans="1:45">
      <c r="A233" s="10"/>
      <c r="B233" s="9"/>
      <c r="C233" s="9"/>
      <c r="D233" s="9"/>
      <c r="E233" s="10"/>
      <c r="F233" s="11"/>
      <c r="G233" s="15"/>
      <c r="H233" s="88"/>
      <c r="I233" s="24"/>
      <c r="J233" s="24"/>
      <c r="K233" s="114" t="str">
        <f t="shared" si="36"/>
        <v/>
      </c>
      <c r="L233" s="24"/>
      <c r="M233" s="24"/>
      <c r="N233" s="24"/>
      <c r="O233" s="24"/>
      <c r="P233" s="97" t="str">
        <f t="shared" si="37"/>
        <v/>
      </c>
      <c r="Q233" s="113" t="str">
        <f t="shared" si="38"/>
        <v/>
      </c>
      <c r="R233" s="88"/>
      <c r="S233" s="24"/>
      <c r="T233" s="24"/>
      <c r="U233" s="78" t="str">
        <f t="shared" si="39"/>
        <v/>
      </c>
      <c r="V233" s="24"/>
      <c r="W233" s="24"/>
      <c r="X233" s="24"/>
      <c r="Y233" s="24"/>
      <c r="Z233" s="98" t="str">
        <f t="shared" si="40"/>
        <v/>
      </c>
      <c r="AA233" s="40" t="str">
        <f t="shared" si="46"/>
        <v/>
      </c>
      <c r="AB233" s="88"/>
      <c r="AC233" s="24"/>
      <c r="AD233" s="24"/>
      <c r="AE233" s="79" t="str">
        <f t="shared" si="41"/>
        <v/>
      </c>
      <c r="AF233" s="24"/>
      <c r="AG233" s="24"/>
      <c r="AH233" s="24"/>
      <c r="AI233" s="24"/>
      <c r="AJ233" s="99" t="str">
        <f t="shared" si="42"/>
        <v/>
      </c>
      <c r="AK233" s="31" t="str">
        <f t="shared" si="47"/>
        <v/>
      </c>
      <c r="AN233" s="139" t="str">
        <f>IF($K233="","",VLOOKUP($K233,'ORF Accuracy Value LookUp'!$G$4:$H$104,2,TRUE))</f>
        <v/>
      </c>
      <c r="AO233" s="94" t="str">
        <f t="shared" si="43"/>
        <v/>
      </c>
      <c r="AP233" s="47" t="str">
        <f>IF($U233="","",VLOOKUP($U233,'ORF Accuracy Value LookUp'!$G$4:$H$104,2,TRUE))</f>
        <v/>
      </c>
      <c r="AQ233" s="94" t="str">
        <f t="shared" si="44"/>
        <v/>
      </c>
      <c r="AR233" s="46" t="str">
        <f>IF($AE233="","",VLOOKUP($AE233,'ORF Accuracy Value LookUp'!$G$4:$H$104,2,TRUE))</f>
        <v/>
      </c>
      <c r="AS233" s="140" t="str">
        <f t="shared" si="45"/>
        <v/>
      </c>
    </row>
    <row r="234" spans="1:45">
      <c r="A234" s="10"/>
      <c r="B234" s="9"/>
      <c r="C234" s="9"/>
      <c r="D234" s="9"/>
      <c r="E234" s="10"/>
      <c r="F234" s="11"/>
      <c r="G234" s="15"/>
      <c r="H234" s="88"/>
      <c r="I234" s="24"/>
      <c r="J234" s="24"/>
      <c r="K234" s="114" t="str">
        <f t="shared" si="36"/>
        <v/>
      </c>
      <c r="L234" s="24"/>
      <c r="M234" s="24"/>
      <c r="N234" s="24"/>
      <c r="O234" s="24"/>
      <c r="P234" s="97" t="str">
        <f t="shared" si="37"/>
        <v/>
      </c>
      <c r="Q234" s="113" t="str">
        <f t="shared" si="38"/>
        <v/>
      </c>
      <c r="R234" s="88"/>
      <c r="S234" s="24"/>
      <c r="T234" s="24"/>
      <c r="U234" s="78" t="str">
        <f t="shared" si="39"/>
        <v/>
      </c>
      <c r="V234" s="24"/>
      <c r="W234" s="24"/>
      <c r="X234" s="24"/>
      <c r="Y234" s="24"/>
      <c r="Z234" s="98" t="str">
        <f t="shared" si="40"/>
        <v/>
      </c>
      <c r="AA234" s="40" t="str">
        <f t="shared" si="46"/>
        <v/>
      </c>
      <c r="AB234" s="88"/>
      <c r="AC234" s="24"/>
      <c r="AD234" s="24"/>
      <c r="AE234" s="79" t="str">
        <f t="shared" si="41"/>
        <v/>
      </c>
      <c r="AF234" s="24"/>
      <c r="AG234" s="24"/>
      <c r="AH234" s="24"/>
      <c r="AI234" s="24"/>
      <c r="AJ234" s="99" t="str">
        <f t="shared" si="42"/>
        <v/>
      </c>
      <c r="AK234" s="31" t="str">
        <f t="shared" si="47"/>
        <v/>
      </c>
      <c r="AN234" s="139" t="str">
        <f>IF($K234="","",VLOOKUP($K234,'ORF Accuracy Value LookUp'!$G$4:$H$104,2,TRUE))</f>
        <v/>
      </c>
      <c r="AO234" s="94" t="str">
        <f t="shared" si="43"/>
        <v/>
      </c>
      <c r="AP234" s="47" t="str">
        <f>IF($U234="","",VLOOKUP($U234,'ORF Accuracy Value LookUp'!$G$4:$H$104,2,TRUE))</f>
        <v/>
      </c>
      <c r="AQ234" s="94" t="str">
        <f t="shared" si="44"/>
        <v/>
      </c>
      <c r="AR234" s="46" t="str">
        <f>IF($AE234="","",VLOOKUP($AE234,'ORF Accuracy Value LookUp'!$G$4:$H$104,2,TRUE))</f>
        <v/>
      </c>
      <c r="AS234" s="140" t="str">
        <f t="shared" si="45"/>
        <v/>
      </c>
    </row>
    <row r="235" spans="1:45">
      <c r="A235" s="10"/>
      <c r="B235" s="9"/>
      <c r="C235" s="9"/>
      <c r="D235" s="9"/>
      <c r="E235" s="10"/>
      <c r="F235" s="11"/>
      <c r="G235" s="15"/>
      <c r="H235" s="88"/>
      <c r="I235" s="24"/>
      <c r="J235" s="24"/>
      <c r="K235" s="114" t="str">
        <f t="shared" si="36"/>
        <v/>
      </c>
      <c r="L235" s="24"/>
      <c r="M235" s="24"/>
      <c r="N235" s="24"/>
      <c r="O235" s="24"/>
      <c r="P235" s="97" t="str">
        <f t="shared" si="37"/>
        <v/>
      </c>
      <c r="Q235" s="113" t="str">
        <f t="shared" si="38"/>
        <v/>
      </c>
      <c r="R235" s="88"/>
      <c r="S235" s="24"/>
      <c r="T235" s="24"/>
      <c r="U235" s="78" t="str">
        <f t="shared" si="39"/>
        <v/>
      </c>
      <c r="V235" s="24"/>
      <c r="W235" s="24"/>
      <c r="X235" s="24"/>
      <c r="Y235" s="24"/>
      <c r="Z235" s="98" t="str">
        <f t="shared" si="40"/>
        <v/>
      </c>
      <c r="AA235" s="40" t="str">
        <f t="shared" si="46"/>
        <v/>
      </c>
      <c r="AB235" s="88"/>
      <c r="AC235" s="24"/>
      <c r="AD235" s="24"/>
      <c r="AE235" s="79" t="str">
        <f t="shared" si="41"/>
        <v/>
      </c>
      <c r="AF235" s="24"/>
      <c r="AG235" s="24"/>
      <c r="AH235" s="24"/>
      <c r="AI235" s="24"/>
      <c r="AJ235" s="99" t="str">
        <f t="shared" si="42"/>
        <v/>
      </c>
      <c r="AK235" s="31" t="str">
        <f t="shared" si="47"/>
        <v/>
      </c>
      <c r="AN235" s="139" t="str">
        <f>IF($K235="","",VLOOKUP($K235,'ORF Accuracy Value LookUp'!$G$4:$H$104,2,TRUE))</f>
        <v/>
      </c>
      <c r="AO235" s="94" t="str">
        <f t="shared" si="43"/>
        <v/>
      </c>
      <c r="AP235" s="47" t="str">
        <f>IF($U235="","",VLOOKUP($U235,'ORF Accuracy Value LookUp'!$G$4:$H$104,2,TRUE))</f>
        <v/>
      </c>
      <c r="AQ235" s="94" t="str">
        <f t="shared" si="44"/>
        <v/>
      </c>
      <c r="AR235" s="46" t="str">
        <f>IF($AE235="","",VLOOKUP($AE235,'ORF Accuracy Value LookUp'!$G$4:$H$104,2,TRUE))</f>
        <v/>
      </c>
      <c r="AS235" s="140" t="str">
        <f t="shared" si="45"/>
        <v/>
      </c>
    </row>
    <row r="236" spans="1:45">
      <c r="A236" s="10"/>
      <c r="B236" s="9"/>
      <c r="C236" s="9"/>
      <c r="D236" s="9"/>
      <c r="E236" s="10"/>
      <c r="F236" s="11"/>
      <c r="G236" s="15"/>
      <c r="H236" s="88"/>
      <c r="I236" s="24"/>
      <c r="J236" s="24"/>
      <c r="K236" s="114" t="str">
        <f t="shared" si="36"/>
        <v/>
      </c>
      <c r="L236" s="24"/>
      <c r="M236" s="24"/>
      <c r="N236" s="24"/>
      <c r="O236" s="24"/>
      <c r="P236" s="97" t="str">
        <f t="shared" si="37"/>
        <v/>
      </c>
      <c r="Q236" s="113" t="str">
        <f t="shared" si="38"/>
        <v/>
      </c>
      <c r="R236" s="88"/>
      <c r="S236" s="24"/>
      <c r="T236" s="24"/>
      <c r="U236" s="78" t="str">
        <f t="shared" si="39"/>
        <v/>
      </c>
      <c r="V236" s="24"/>
      <c r="W236" s="24"/>
      <c r="X236" s="24"/>
      <c r="Y236" s="24"/>
      <c r="Z236" s="98" t="str">
        <f t="shared" si="40"/>
        <v/>
      </c>
      <c r="AA236" s="40" t="str">
        <f t="shared" si="46"/>
        <v/>
      </c>
      <c r="AB236" s="88"/>
      <c r="AC236" s="24"/>
      <c r="AD236" s="24"/>
      <c r="AE236" s="79" t="str">
        <f t="shared" si="41"/>
        <v/>
      </c>
      <c r="AF236" s="24"/>
      <c r="AG236" s="24"/>
      <c r="AH236" s="24"/>
      <c r="AI236" s="24"/>
      <c r="AJ236" s="99" t="str">
        <f t="shared" si="42"/>
        <v/>
      </c>
      <c r="AK236" s="31" t="str">
        <f t="shared" si="47"/>
        <v/>
      </c>
      <c r="AN236" s="139" t="str">
        <f>IF($K236="","",VLOOKUP($K236,'ORF Accuracy Value LookUp'!$G$4:$H$104,2,TRUE))</f>
        <v/>
      </c>
      <c r="AO236" s="94" t="str">
        <f t="shared" si="43"/>
        <v/>
      </c>
      <c r="AP236" s="47" t="str">
        <f>IF($U236="","",VLOOKUP($U236,'ORF Accuracy Value LookUp'!$G$4:$H$104,2,TRUE))</f>
        <v/>
      </c>
      <c r="AQ236" s="94" t="str">
        <f t="shared" si="44"/>
        <v/>
      </c>
      <c r="AR236" s="46" t="str">
        <f>IF($AE236="","",VLOOKUP($AE236,'ORF Accuracy Value LookUp'!$G$4:$H$104,2,TRUE))</f>
        <v/>
      </c>
      <c r="AS236" s="140" t="str">
        <f t="shared" si="45"/>
        <v/>
      </c>
    </row>
    <row r="237" spans="1:45">
      <c r="A237" s="10"/>
      <c r="B237" s="9"/>
      <c r="C237" s="9"/>
      <c r="D237" s="9"/>
      <c r="E237" s="10"/>
      <c r="F237" s="11"/>
      <c r="G237" s="15"/>
      <c r="H237" s="88"/>
      <c r="I237" s="24"/>
      <c r="J237" s="24"/>
      <c r="K237" s="114" t="str">
        <f t="shared" si="36"/>
        <v/>
      </c>
      <c r="L237" s="24"/>
      <c r="M237" s="24"/>
      <c r="N237" s="24"/>
      <c r="O237" s="24"/>
      <c r="P237" s="97" t="str">
        <f t="shared" si="37"/>
        <v/>
      </c>
      <c r="Q237" s="113" t="str">
        <f t="shared" si="38"/>
        <v/>
      </c>
      <c r="R237" s="88"/>
      <c r="S237" s="24"/>
      <c r="T237" s="24"/>
      <c r="U237" s="78" t="str">
        <f t="shared" si="39"/>
        <v/>
      </c>
      <c r="V237" s="24"/>
      <c r="W237" s="24"/>
      <c r="X237" s="24"/>
      <c r="Y237" s="24"/>
      <c r="Z237" s="98" t="str">
        <f t="shared" si="40"/>
        <v/>
      </c>
      <c r="AA237" s="40" t="str">
        <f t="shared" si="46"/>
        <v/>
      </c>
      <c r="AB237" s="88"/>
      <c r="AC237" s="24"/>
      <c r="AD237" s="24"/>
      <c r="AE237" s="79" t="str">
        <f t="shared" si="41"/>
        <v/>
      </c>
      <c r="AF237" s="24"/>
      <c r="AG237" s="24"/>
      <c r="AH237" s="24"/>
      <c r="AI237" s="24"/>
      <c r="AJ237" s="99" t="str">
        <f t="shared" si="42"/>
        <v/>
      </c>
      <c r="AK237" s="31" t="str">
        <f t="shared" si="47"/>
        <v/>
      </c>
      <c r="AN237" s="139" t="str">
        <f>IF($K237="","",VLOOKUP($K237,'ORF Accuracy Value LookUp'!$G$4:$H$104,2,TRUE))</f>
        <v/>
      </c>
      <c r="AO237" s="94" t="str">
        <f t="shared" si="43"/>
        <v/>
      </c>
      <c r="AP237" s="47" t="str">
        <f>IF($U237="","",VLOOKUP($U237,'ORF Accuracy Value LookUp'!$G$4:$H$104,2,TRUE))</f>
        <v/>
      </c>
      <c r="AQ237" s="94" t="str">
        <f t="shared" si="44"/>
        <v/>
      </c>
      <c r="AR237" s="46" t="str">
        <f>IF($AE237="","",VLOOKUP($AE237,'ORF Accuracy Value LookUp'!$G$4:$H$104,2,TRUE))</f>
        <v/>
      </c>
      <c r="AS237" s="140" t="str">
        <f t="shared" si="45"/>
        <v/>
      </c>
    </row>
    <row r="238" spans="1:45">
      <c r="A238" s="10"/>
      <c r="B238" s="9"/>
      <c r="C238" s="9"/>
      <c r="D238" s="9"/>
      <c r="E238" s="10"/>
      <c r="F238" s="11"/>
      <c r="G238" s="15"/>
      <c r="H238" s="88"/>
      <c r="I238" s="24"/>
      <c r="J238" s="24"/>
      <c r="K238" s="114" t="str">
        <f t="shared" si="36"/>
        <v/>
      </c>
      <c r="L238" s="24"/>
      <c r="M238" s="24"/>
      <c r="N238" s="24"/>
      <c r="O238" s="24"/>
      <c r="P238" s="97" t="str">
        <f t="shared" si="37"/>
        <v/>
      </c>
      <c r="Q238" s="113" t="str">
        <f t="shared" si="38"/>
        <v/>
      </c>
      <c r="R238" s="88"/>
      <c r="S238" s="24"/>
      <c r="T238" s="24"/>
      <c r="U238" s="78" t="str">
        <f t="shared" si="39"/>
        <v/>
      </c>
      <c r="V238" s="24"/>
      <c r="W238" s="24"/>
      <c r="X238" s="24"/>
      <c r="Y238" s="24"/>
      <c r="Z238" s="98" t="str">
        <f t="shared" si="40"/>
        <v/>
      </c>
      <c r="AA238" s="40" t="str">
        <f t="shared" si="46"/>
        <v/>
      </c>
      <c r="AB238" s="88"/>
      <c r="AC238" s="24"/>
      <c r="AD238" s="24"/>
      <c r="AE238" s="79" t="str">
        <f t="shared" si="41"/>
        <v/>
      </c>
      <c r="AF238" s="24"/>
      <c r="AG238" s="24"/>
      <c r="AH238" s="24"/>
      <c r="AI238" s="24"/>
      <c r="AJ238" s="99" t="str">
        <f t="shared" si="42"/>
        <v/>
      </c>
      <c r="AK238" s="31" t="str">
        <f t="shared" si="47"/>
        <v/>
      </c>
      <c r="AN238" s="139" t="str">
        <f>IF($K238="","",VLOOKUP($K238,'ORF Accuracy Value LookUp'!$G$4:$H$104,2,TRUE))</f>
        <v/>
      </c>
      <c r="AO238" s="94" t="str">
        <f t="shared" si="43"/>
        <v/>
      </c>
      <c r="AP238" s="47" t="str">
        <f>IF($U238="","",VLOOKUP($U238,'ORF Accuracy Value LookUp'!$G$4:$H$104,2,TRUE))</f>
        <v/>
      </c>
      <c r="AQ238" s="94" t="str">
        <f t="shared" si="44"/>
        <v/>
      </c>
      <c r="AR238" s="46" t="str">
        <f>IF($AE238="","",VLOOKUP($AE238,'ORF Accuracy Value LookUp'!$G$4:$H$104,2,TRUE))</f>
        <v/>
      </c>
      <c r="AS238" s="140" t="str">
        <f t="shared" si="45"/>
        <v/>
      </c>
    </row>
    <row r="239" spans="1:45">
      <c r="A239" s="10"/>
      <c r="B239" s="9"/>
      <c r="C239" s="9"/>
      <c r="D239" s="9"/>
      <c r="E239" s="10"/>
      <c r="F239" s="11"/>
      <c r="G239" s="15"/>
      <c r="H239" s="88"/>
      <c r="I239" s="24"/>
      <c r="J239" s="24"/>
      <c r="K239" s="114" t="str">
        <f t="shared" si="36"/>
        <v/>
      </c>
      <c r="L239" s="24"/>
      <c r="M239" s="24"/>
      <c r="N239" s="24"/>
      <c r="O239" s="24"/>
      <c r="P239" s="97" t="str">
        <f t="shared" si="37"/>
        <v/>
      </c>
      <c r="Q239" s="113" t="str">
        <f t="shared" si="38"/>
        <v/>
      </c>
      <c r="R239" s="88"/>
      <c r="S239" s="24"/>
      <c r="T239" s="24"/>
      <c r="U239" s="78" t="str">
        <f t="shared" si="39"/>
        <v/>
      </c>
      <c r="V239" s="24"/>
      <c r="W239" s="24"/>
      <c r="X239" s="24"/>
      <c r="Y239" s="24"/>
      <c r="Z239" s="98" t="str">
        <f t="shared" si="40"/>
        <v/>
      </c>
      <c r="AA239" s="40" t="str">
        <f t="shared" si="46"/>
        <v/>
      </c>
      <c r="AB239" s="88"/>
      <c r="AC239" s="24"/>
      <c r="AD239" s="24"/>
      <c r="AE239" s="79" t="str">
        <f t="shared" si="41"/>
        <v/>
      </c>
      <c r="AF239" s="24"/>
      <c r="AG239" s="24"/>
      <c r="AH239" s="24"/>
      <c r="AI239" s="24"/>
      <c r="AJ239" s="99" t="str">
        <f t="shared" si="42"/>
        <v/>
      </c>
      <c r="AK239" s="31" t="str">
        <f t="shared" si="47"/>
        <v/>
      </c>
      <c r="AN239" s="139" t="str">
        <f>IF($K239="","",VLOOKUP($K239,'ORF Accuracy Value LookUp'!$G$4:$H$104,2,TRUE))</f>
        <v/>
      </c>
      <c r="AO239" s="94" t="str">
        <f t="shared" si="43"/>
        <v/>
      </c>
      <c r="AP239" s="47" t="str">
        <f>IF($U239="","",VLOOKUP($U239,'ORF Accuracy Value LookUp'!$G$4:$H$104,2,TRUE))</f>
        <v/>
      </c>
      <c r="AQ239" s="94" t="str">
        <f t="shared" si="44"/>
        <v/>
      </c>
      <c r="AR239" s="46" t="str">
        <f>IF($AE239="","",VLOOKUP($AE239,'ORF Accuracy Value LookUp'!$G$4:$H$104,2,TRUE))</f>
        <v/>
      </c>
      <c r="AS239" s="140" t="str">
        <f t="shared" si="45"/>
        <v/>
      </c>
    </row>
    <row r="240" spans="1:45">
      <c r="A240" s="10"/>
      <c r="B240" s="9"/>
      <c r="C240" s="9"/>
      <c r="D240" s="9"/>
      <c r="E240" s="10"/>
      <c r="F240" s="11"/>
      <c r="G240" s="15"/>
      <c r="H240" s="88"/>
      <c r="I240" s="24"/>
      <c r="J240" s="24"/>
      <c r="K240" s="114" t="str">
        <f t="shared" si="36"/>
        <v/>
      </c>
      <c r="L240" s="24"/>
      <c r="M240" s="24"/>
      <c r="N240" s="24"/>
      <c r="O240" s="24"/>
      <c r="P240" s="97" t="str">
        <f t="shared" si="37"/>
        <v/>
      </c>
      <c r="Q240" s="113" t="str">
        <f t="shared" si="38"/>
        <v/>
      </c>
      <c r="R240" s="88"/>
      <c r="S240" s="24"/>
      <c r="T240" s="24"/>
      <c r="U240" s="78" t="str">
        <f t="shared" si="39"/>
        <v/>
      </c>
      <c r="V240" s="24"/>
      <c r="W240" s="24"/>
      <c r="X240" s="24"/>
      <c r="Y240" s="24"/>
      <c r="Z240" s="98" t="str">
        <f t="shared" si="40"/>
        <v/>
      </c>
      <c r="AA240" s="40" t="str">
        <f t="shared" si="46"/>
        <v/>
      </c>
      <c r="AB240" s="88"/>
      <c r="AC240" s="24"/>
      <c r="AD240" s="24"/>
      <c r="AE240" s="79" t="str">
        <f t="shared" si="41"/>
        <v/>
      </c>
      <c r="AF240" s="24"/>
      <c r="AG240" s="24"/>
      <c r="AH240" s="24"/>
      <c r="AI240" s="24"/>
      <c r="AJ240" s="99" t="str">
        <f t="shared" si="42"/>
        <v/>
      </c>
      <c r="AK240" s="31" t="str">
        <f t="shared" si="47"/>
        <v/>
      </c>
      <c r="AN240" s="139" t="str">
        <f>IF($K240="","",VLOOKUP($K240,'ORF Accuracy Value LookUp'!$G$4:$H$104,2,TRUE))</f>
        <v/>
      </c>
      <c r="AO240" s="94" t="str">
        <f t="shared" si="43"/>
        <v/>
      </c>
      <c r="AP240" s="47" t="str">
        <f>IF($U240="","",VLOOKUP($U240,'ORF Accuracy Value LookUp'!$G$4:$H$104,2,TRUE))</f>
        <v/>
      </c>
      <c r="AQ240" s="94" t="str">
        <f t="shared" si="44"/>
        <v/>
      </c>
      <c r="AR240" s="46" t="str">
        <f>IF($AE240="","",VLOOKUP($AE240,'ORF Accuracy Value LookUp'!$G$4:$H$104,2,TRUE))</f>
        <v/>
      </c>
      <c r="AS240" s="140" t="str">
        <f t="shared" si="45"/>
        <v/>
      </c>
    </row>
    <row r="241" spans="1:45">
      <c r="A241" s="10"/>
      <c r="B241" s="9"/>
      <c r="C241" s="9"/>
      <c r="D241" s="9"/>
      <c r="E241" s="10"/>
      <c r="F241" s="11"/>
      <c r="G241" s="15"/>
      <c r="H241" s="88"/>
      <c r="I241" s="24"/>
      <c r="J241" s="24"/>
      <c r="K241" s="114" t="str">
        <f t="shared" si="36"/>
        <v/>
      </c>
      <c r="L241" s="24"/>
      <c r="M241" s="24"/>
      <c r="N241" s="24"/>
      <c r="O241" s="24"/>
      <c r="P241" s="97" t="str">
        <f t="shared" si="37"/>
        <v/>
      </c>
      <c r="Q241" s="113" t="str">
        <f t="shared" si="38"/>
        <v/>
      </c>
      <c r="R241" s="88"/>
      <c r="S241" s="24"/>
      <c r="T241" s="24"/>
      <c r="U241" s="78" t="str">
        <f t="shared" si="39"/>
        <v/>
      </c>
      <c r="V241" s="24"/>
      <c r="W241" s="24"/>
      <c r="X241" s="24"/>
      <c r="Y241" s="24"/>
      <c r="Z241" s="98" t="str">
        <f t="shared" si="40"/>
        <v/>
      </c>
      <c r="AA241" s="40" t="str">
        <f t="shared" si="46"/>
        <v/>
      </c>
      <c r="AB241" s="88"/>
      <c r="AC241" s="24"/>
      <c r="AD241" s="24"/>
      <c r="AE241" s="79" t="str">
        <f t="shared" si="41"/>
        <v/>
      </c>
      <c r="AF241" s="24"/>
      <c r="AG241" s="24"/>
      <c r="AH241" s="24"/>
      <c r="AI241" s="24"/>
      <c r="AJ241" s="99" t="str">
        <f t="shared" si="42"/>
        <v/>
      </c>
      <c r="AK241" s="31" t="str">
        <f t="shared" si="47"/>
        <v/>
      </c>
      <c r="AN241" s="139" t="str">
        <f>IF($K241="","",VLOOKUP($K241,'ORF Accuracy Value LookUp'!$G$4:$H$104,2,TRUE))</f>
        <v/>
      </c>
      <c r="AO241" s="94" t="str">
        <f t="shared" si="43"/>
        <v/>
      </c>
      <c r="AP241" s="47" t="str">
        <f>IF($U241="","",VLOOKUP($U241,'ORF Accuracy Value LookUp'!$G$4:$H$104,2,TRUE))</f>
        <v/>
      </c>
      <c r="AQ241" s="94" t="str">
        <f t="shared" si="44"/>
        <v/>
      </c>
      <c r="AR241" s="46" t="str">
        <f>IF($AE241="","",VLOOKUP($AE241,'ORF Accuracy Value LookUp'!$G$4:$H$104,2,TRUE))</f>
        <v/>
      </c>
      <c r="AS241" s="140" t="str">
        <f t="shared" si="45"/>
        <v/>
      </c>
    </row>
    <row r="242" spans="1:45">
      <c r="A242" s="10"/>
      <c r="B242" s="9"/>
      <c r="C242" s="9"/>
      <c r="D242" s="9"/>
      <c r="E242" s="10"/>
      <c r="F242" s="11"/>
      <c r="G242" s="15"/>
      <c r="H242" s="88"/>
      <c r="I242" s="24"/>
      <c r="J242" s="24"/>
      <c r="K242" s="114" t="str">
        <f t="shared" si="36"/>
        <v/>
      </c>
      <c r="L242" s="24"/>
      <c r="M242" s="24"/>
      <c r="N242" s="24"/>
      <c r="O242" s="24"/>
      <c r="P242" s="97" t="str">
        <f t="shared" si="37"/>
        <v/>
      </c>
      <c r="Q242" s="113" t="str">
        <f t="shared" si="38"/>
        <v/>
      </c>
      <c r="R242" s="88"/>
      <c r="S242" s="24"/>
      <c r="T242" s="24"/>
      <c r="U242" s="78" t="str">
        <f t="shared" si="39"/>
        <v/>
      </c>
      <c r="V242" s="24"/>
      <c r="W242" s="24"/>
      <c r="X242" s="24"/>
      <c r="Y242" s="24"/>
      <c r="Z242" s="98" t="str">
        <f t="shared" si="40"/>
        <v/>
      </c>
      <c r="AA242" s="40" t="str">
        <f t="shared" si="46"/>
        <v/>
      </c>
      <c r="AB242" s="88"/>
      <c r="AC242" s="24"/>
      <c r="AD242" s="24"/>
      <c r="AE242" s="79" t="str">
        <f t="shared" si="41"/>
        <v/>
      </c>
      <c r="AF242" s="24"/>
      <c r="AG242" s="24"/>
      <c r="AH242" s="24"/>
      <c r="AI242" s="24"/>
      <c r="AJ242" s="99" t="str">
        <f t="shared" si="42"/>
        <v/>
      </c>
      <c r="AK242" s="31" t="str">
        <f t="shared" si="47"/>
        <v/>
      </c>
      <c r="AN242" s="139" t="str">
        <f>IF($K242="","",VLOOKUP($K242,'ORF Accuracy Value LookUp'!$G$4:$H$104,2,TRUE))</f>
        <v/>
      </c>
      <c r="AO242" s="94" t="str">
        <f t="shared" si="43"/>
        <v/>
      </c>
      <c r="AP242" s="47" t="str">
        <f>IF($U242="","",VLOOKUP($U242,'ORF Accuracy Value LookUp'!$G$4:$H$104,2,TRUE))</f>
        <v/>
      </c>
      <c r="AQ242" s="94" t="str">
        <f t="shared" si="44"/>
        <v/>
      </c>
      <c r="AR242" s="46" t="str">
        <f>IF($AE242="","",VLOOKUP($AE242,'ORF Accuracy Value LookUp'!$G$4:$H$104,2,TRUE))</f>
        <v/>
      </c>
      <c r="AS242" s="140" t="str">
        <f t="shared" si="45"/>
        <v/>
      </c>
    </row>
    <row r="243" spans="1:45">
      <c r="A243" s="10"/>
      <c r="B243" s="9"/>
      <c r="C243" s="9"/>
      <c r="D243" s="9"/>
      <c r="E243" s="10"/>
      <c r="F243" s="11"/>
      <c r="G243" s="15"/>
      <c r="H243" s="88"/>
      <c r="I243" s="24"/>
      <c r="J243" s="24"/>
      <c r="K243" s="114" t="str">
        <f t="shared" si="36"/>
        <v/>
      </c>
      <c r="L243" s="24"/>
      <c r="M243" s="24"/>
      <c r="N243" s="24"/>
      <c r="O243" s="24"/>
      <c r="P243" s="97" t="str">
        <f t="shared" si="37"/>
        <v/>
      </c>
      <c r="Q243" s="113" t="str">
        <f t="shared" si="38"/>
        <v/>
      </c>
      <c r="R243" s="88"/>
      <c r="S243" s="24"/>
      <c r="T243" s="24"/>
      <c r="U243" s="78" t="str">
        <f t="shared" si="39"/>
        <v/>
      </c>
      <c r="V243" s="24"/>
      <c r="W243" s="24"/>
      <c r="X243" s="24"/>
      <c r="Y243" s="24"/>
      <c r="Z243" s="98" t="str">
        <f t="shared" si="40"/>
        <v/>
      </c>
      <c r="AA243" s="40" t="str">
        <f t="shared" si="46"/>
        <v/>
      </c>
      <c r="AB243" s="88"/>
      <c r="AC243" s="24"/>
      <c r="AD243" s="24"/>
      <c r="AE243" s="79" t="str">
        <f t="shared" si="41"/>
        <v/>
      </c>
      <c r="AF243" s="24"/>
      <c r="AG243" s="24"/>
      <c r="AH243" s="24"/>
      <c r="AI243" s="24"/>
      <c r="AJ243" s="99" t="str">
        <f t="shared" si="42"/>
        <v/>
      </c>
      <c r="AK243" s="31" t="str">
        <f t="shared" si="47"/>
        <v/>
      </c>
      <c r="AN243" s="139" t="str">
        <f>IF($K243="","",VLOOKUP($K243,'ORF Accuracy Value LookUp'!$G$4:$H$104,2,TRUE))</f>
        <v/>
      </c>
      <c r="AO243" s="94" t="str">
        <f t="shared" si="43"/>
        <v/>
      </c>
      <c r="AP243" s="47" t="str">
        <f>IF($U243="","",VLOOKUP($U243,'ORF Accuracy Value LookUp'!$G$4:$H$104,2,TRUE))</f>
        <v/>
      </c>
      <c r="AQ243" s="94" t="str">
        <f t="shared" si="44"/>
        <v/>
      </c>
      <c r="AR243" s="46" t="str">
        <f>IF($AE243="","",VLOOKUP($AE243,'ORF Accuracy Value LookUp'!$G$4:$H$104,2,TRUE))</f>
        <v/>
      </c>
      <c r="AS243" s="140" t="str">
        <f t="shared" si="45"/>
        <v/>
      </c>
    </row>
    <row r="244" spans="1:45">
      <c r="A244" s="10"/>
      <c r="B244" s="9"/>
      <c r="C244" s="9"/>
      <c r="D244" s="9"/>
      <c r="E244" s="10"/>
      <c r="F244" s="11"/>
      <c r="G244" s="15"/>
      <c r="H244" s="88"/>
      <c r="I244" s="24"/>
      <c r="J244" s="24"/>
      <c r="K244" s="114" t="str">
        <f t="shared" si="36"/>
        <v/>
      </c>
      <c r="L244" s="24"/>
      <c r="M244" s="24"/>
      <c r="N244" s="24"/>
      <c r="O244" s="24"/>
      <c r="P244" s="97" t="str">
        <f t="shared" si="37"/>
        <v/>
      </c>
      <c r="Q244" s="113" t="str">
        <f t="shared" si="38"/>
        <v/>
      </c>
      <c r="R244" s="88"/>
      <c r="S244" s="24"/>
      <c r="T244" s="24"/>
      <c r="U244" s="78" t="str">
        <f t="shared" si="39"/>
        <v/>
      </c>
      <c r="V244" s="24"/>
      <c r="W244" s="24"/>
      <c r="X244" s="24"/>
      <c r="Y244" s="24"/>
      <c r="Z244" s="98" t="str">
        <f t="shared" si="40"/>
        <v/>
      </c>
      <c r="AA244" s="40" t="str">
        <f t="shared" si="46"/>
        <v/>
      </c>
      <c r="AB244" s="88"/>
      <c r="AC244" s="24"/>
      <c r="AD244" s="24"/>
      <c r="AE244" s="79" t="str">
        <f t="shared" si="41"/>
        <v/>
      </c>
      <c r="AF244" s="24"/>
      <c r="AG244" s="24"/>
      <c r="AH244" s="24"/>
      <c r="AI244" s="24"/>
      <c r="AJ244" s="99" t="str">
        <f t="shared" si="42"/>
        <v/>
      </c>
      <c r="AK244" s="31" t="str">
        <f t="shared" si="47"/>
        <v/>
      </c>
      <c r="AN244" s="139" t="str">
        <f>IF($K244="","",VLOOKUP($K244,'ORF Accuracy Value LookUp'!$G$4:$H$104,2,TRUE))</f>
        <v/>
      </c>
      <c r="AO244" s="94" t="str">
        <f t="shared" si="43"/>
        <v/>
      </c>
      <c r="AP244" s="47" t="str">
        <f>IF($U244="","",VLOOKUP($U244,'ORF Accuracy Value LookUp'!$G$4:$H$104,2,TRUE))</f>
        <v/>
      </c>
      <c r="AQ244" s="94" t="str">
        <f t="shared" si="44"/>
        <v/>
      </c>
      <c r="AR244" s="46" t="str">
        <f>IF($AE244="","",VLOOKUP($AE244,'ORF Accuracy Value LookUp'!$G$4:$H$104,2,TRUE))</f>
        <v/>
      </c>
      <c r="AS244" s="140" t="str">
        <f t="shared" si="45"/>
        <v/>
      </c>
    </row>
    <row r="245" spans="1:45">
      <c r="A245" s="10"/>
      <c r="B245" s="9"/>
      <c r="C245" s="9"/>
      <c r="D245" s="9"/>
      <c r="E245" s="10"/>
      <c r="F245" s="11"/>
      <c r="G245" s="15"/>
      <c r="H245" s="88"/>
      <c r="I245" s="24"/>
      <c r="J245" s="24"/>
      <c r="K245" s="114" t="str">
        <f t="shared" si="36"/>
        <v/>
      </c>
      <c r="L245" s="24"/>
      <c r="M245" s="24"/>
      <c r="N245" s="24"/>
      <c r="O245" s="24"/>
      <c r="P245" s="97" t="str">
        <f t="shared" si="37"/>
        <v/>
      </c>
      <c r="Q245" s="113" t="str">
        <f t="shared" si="38"/>
        <v/>
      </c>
      <c r="R245" s="88"/>
      <c r="S245" s="24"/>
      <c r="T245" s="24"/>
      <c r="U245" s="78" t="str">
        <f t="shared" si="39"/>
        <v/>
      </c>
      <c r="V245" s="24"/>
      <c r="W245" s="24"/>
      <c r="X245" s="24"/>
      <c r="Y245" s="24"/>
      <c r="Z245" s="98" t="str">
        <f t="shared" si="40"/>
        <v/>
      </c>
      <c r="AA245" s="40" t="str">
        <f t="shared" si="46"/>
        <v/>
      </c>
      <c r="AB245" s="88"/>
      <c r="AC245" s="24"/>
      <c r="AD245" s="24"/>
      <c r="AE245" s="79" t="str">
        <f t="shared" si="41"/>
        <v/>
      </c>
      <c r="AF245" s="24"/>
      <c r="AG245" s="24"/>
      <c r="AH245" s="24"/>
      <c r="AI245" s="24"/>
      <c r="AJ245" s="99" t="str">
        <f t="shared" si="42"/>
        <v/>
      </c>
      <c r="AK245" s="31" t="str">
        <f t="shared" si="47"/>
        <v/>
      </c>
      <c r="AN245" s="139" t="str">
        <f>IF($K245="","",VLOOKUP($K245,'ORF Accuracy Value LookUp'!$G$4:$H$104,2,TRUE))</f>
        <v/>
      </c>
      <c r="AO245" s="94" t="str">
        <f t="shared" si="43"/>
        <v/>
      </c>
      <c r="AP245" s="47" t="str">
        <f>IF($U245="","",VLOOKUP($U245,'ORF Accuracy Value LookUp'!$G$4:$H$104,2,TRUE))</f>
        <v/>
      </c>
      <c r="AQ245" s="94" t="str">
        <f t="shared" si="44"/>
        <v/>
      </c>
      <c r="AR245" s="46" t="str">
        <f>IF($AE245="","",VLOOKUP($AE245,'ORF Accuracy Value LookUp'!$G$4:$H$104,2,TRUE))</f>
        <v/>
      </c>
      <c r="AS245" s="140" t="str">
        <f t="shared" si="45"/>
        <v/>
      </c>
    </row>
    <row r="246" spans="1:45">
      <c r="A246" s="10"/>
      <c r="B246" s="9"/>
      <c r="C246" s="9"/>
      <c r="D246" s="9"/>
      <c r="E246" s="10"/>
      <c r="F246" s="11"/>
      <c r="G246" s="15"/>
      <c r="H246" s="88"/>
      <c r="I246" s="24"/>
      <c r="J246" s="24"/>
      <c r="K246" s="114" t="str">
        <f t="shared" si="36"/>
        <v/>
      </c>
      <c r="L246" s="24"/>
      <c r="M246" s="24"/>
      <c r="N246" s="24"/>
      <c r="O246" s="24"/>
      <c r="P246" s="97" t="str">
        <f t="shared" si="37"/>
        <v/>
      </c>
      <c r="Q246" s="113" t="str">
        <f t="shared" si="38"/>
        <v/>
      </c>
      <c r="R246" s="88"/>
      <c r="S246" s="24"/>
      <c r="T246" s="24"/>
      <c r="U246" s="78" t="str">
        <f t="shared" si="39"/>
        <v/>
      </c>
      <c r="V246" s="24"/>
      <c r="W246" s="24"/>
      <c r="X246" s="24"/>
      <c r="Y246" s="24"/>
      <c r="Z246" s="98" t="str">
        <f t="shared" si="40"/>
        <v/>
      </c>
      <c r="AA246" s="40" t="str">
        <f t="shared" si="46"/>
        <v/>
      </c>
      <c r="AB246" s="88"/>
      <c r="AC246" s="24"/>
      <c r="AD246" s="24"/>
      <c r="AE246" s="79" t="str">
        <f t="shared" si="41"/>
        <v/>
      </c>
      <c r="AF246" s="24"/>
      <c r="AG246" s="24"/>
      <c r="AH246" s="24"/>
      <c r="AI246" s="24"/>
      <c r="AJ246" s="99" t="str">
        <f t="shared" si="42"/>
        <v/>
      </c>
      <c r="AK246" s="31" t="str">
        <f t="shared" si="47"/>
        <v/>
      </c>
      <c r="AN246" s="139" t="str">
        <f>IF($K246="","",VLOOKUP($K246,'ORF Accuracy Value LookUp'!$G$4:$H$104,2,TRUE))</f>
        <v/>
      </c>
      <c r="AO246" s="94" t="str">
        <f t="shared" si="43"/>
        <v/>
      </c>
      <c r="AP246" s="47" t="str">
        <f>IF($U246="","",VLOOKUP($U246,'ORF Accuracy Value LookUp'!$G$4:$H$104,2,TRUE))</f>
        <v/>
      </c>
      <c r="AQ246" s="94" t="str">
        <f t="shared" si="44"/>
        <v/>
      </c>
      <c r="AR246" s="46" t="str">
        <f>IF($AE246="","",VLOOKUP($AE246,'ORF Accuracy Value LookUp'!$G$4:$H$104,2,TRUE))</f>
        <v/>
      </c>
      <c r="AS246" s="140" t="str">
        <f t="shared" si="45"/>
        <v/>
      </c>
    </row>
    <row r="247" spans="1:45">
      <c r="A247" s="10"/>
      <c r="B247" s="9"/>
      <c r="C247" s="9"/>
      <c r="D247" s="9"/>
      <c r="E247" s="10"/>
      <c r="F247" s="11"/>
      <c r="G247" s="15"/>
      <c r="H247" s="88"/>
      <c r="I247" s="24"/>
      <c r="J247" s="24"/>
      <c r="K247" s="114" t="str">
        <f t="shared" si="36"/>
        <v/>
      </c>
      <c r="L247" s="24"/>
      <c r="M247" s="24"/>
      <c r="N247" s="24"/>
      <c r="O247" s="24"/>
      <c r="P247" s="97" t="str">
        <f t="shared" si="37"/>
        <v/>
      </c>
      <c r="Q247" s="113" t="str">
        <f t="shared" si="38"/>
        <v/>
      </c>
      <c r="R247" s="88"/>
      <c r="S247" s="24"/>
      <c r="T247" s="24"/>
      <c r="U247" s="78" t="str">
        <f t="shared" si="39"/>
        <v/>
      </c>
      <c r="V247" s="24"/>
      <c r="W247" s="24"/>
      <c r="X247" s="24"/>
      <c r="Y247" s="24"/>
      <c r="Z247" s="98" t="str">
        <f t="shared" si="40"/>
        <v/>
      </c>
      <c r="AA247" s="40" t="str">
        <f t="shared" si="46"/>
        <v/>
      </c>
      <c r="AB247" s="88"/>
      <c r="AC247" s="24"/>
      <c r="AD247" s="24"/>
      <c r="AE247" s="79" t="str">
        <f t="shared" si="41"/>
        <v/>
      </c>
      <c r="AF247" s="24"/>
      <c r="AG247" s="24"/>
      <c r="AH247" s="24"/>
      <c r="AI247" s="24"/>
      <c r="AJ247" s="99" t="str">
        <f t="shared" si="42"/>
        <v/>
      </c>
      <c r="AK247" s="31" t="str">
        <f t="shared" si="47"/>
        <v/>
      </c>
      <c r="AN247" s="139" t="str">
        <f>IF($K247="","",VLOOKUP($K247,'ORF Accuracy Value LookUp'!$G$4:$H$104,2,TRUE))</f>
        <v/>
      </c>
      <c r="AO247" s="94" t="str">
        <f t="shared" si="43"/>
        <v/>
      </c>
      <c r="AP247" s="47" t="str">
        <f>IF($U247="","",VLOOKUP($U247,'ORF Accuracy Value LookUp'!$G$4:$H$104,2,TRUE))</f>
        <v/>
      </c>
      <c r="AQ247" s="94" t="str">
        <f t="shared" si="44"/>
        <v/>
      </c>
      <c r="AR247" s="46" t="str">
        <f>IF($AE247="","",VLOOKUP($AE247,'ORF Accuracy Value LookUp'!$G$4:$H$104,2,TRUE))</f>
        <v/>
      </c>
      <c r="AS247" s="140" t="str">
        <f t="shared" si="45"/>
        <v/>
      </c>
    </row>
    <row r="248" spans="1:45">
      <c r="A248" s="10"/>
      <c r="B248" s="9"/>
      <c r="C248" s="9"/>
      <c r="D248" s="9"/>
      <c r="E248" s="10"/>
      <c r="F248" s="11"/>
      <c r="G248" s="15"/>
      <c r="H248" s="88"/>
      <c r="I248" s="24"/>
      <c r="J248" s="24"/>
      <c r="K248" s="114" t="str">
        <f t="shared" si="36"/>
        <v/>
      </c>
      <c r="L248" s="24"/>
      <c r="M248" s="24"/>
      <c r="N248" s="24"/>
      <c r="O248" s="24"/>
      <c r="P248" s="97" t="str">
        <f t="shared" si="37"/>
        <v/>
      </c>
      <c r="Q248" s="113" t="str">
        <f t="shared" si="38"/>
        <v/>
      </c>
      <c r="R248" s="88"/>
      <c r="S248" s="24"/>
      <c r="T248" s="24"/>
      <c r="U248" s="78" t="str">
        <f t="shared" si="39"/>
        <v/>
      </c>
      <c r="V248" s="24"/>
      <c r="W248" s="24"/>
      <c r="X248" s="24"/>
      <c r="Y248" s="24"/>
      <c r="Z248" s="98" t="str">
        <f t="shared" si="40"/>
        <v/>
      </c>
      <c r="AA248" s="40" t="str">
        <f t="shared" si="46"/>
        <v/>
      </c>
      <c r="AB248" s="88"/>
      <c r="AC248" s="24"/>
      <c r="AD248" s="24"/>
      <c r="AE248" s="79" t="str">
        <f t="shared" si="41"/>
        <v/>
      </c>
      <c r="AF248" s="24"/>
      <c r="AG248" s="24"/>
      <c r="AH248" s="24"/>
      <c r="AI248" s="24"/>
      <c r="AJ248" s="99" t="str">
        <f t="shared" si="42"/>
        <v/>
      </c>
      <c r="AK248" s="31" t="str">
        <f t="shared" si="47"/>
        <v/>
      </c>
      <c r="AN248" s="139" t="str">
        <f>IF($K248="","",VLOOKUP($K248,'ORF Accuracy Value LookUp'!$G$4:$H$104,2,TRUE))</f>
        <v/>
      </c>
      <c r="AO248" s="94" t="str">
        <f t="shared" si="43"/>
        <v/>
      </c>
      <c r="AP248" s="47" t="str">
        <f>IF($U248="","",VLOOKUP($U248,'ORF Accuracy Value LookUp'!$G$4:$H$104,2,TRUE))</f>
        <v/>
      </c>
      <c r="AQ248" s="94" t="str">
        <f t="shared" si="44"/>
        <v/>
      </c>
      <c r="AR248" s="46" t="str">
        <f>IF($AE248="","",VLOOKUP($AE248,'ORF Accuracy Value LookUp'!$G$4:$H$104,2,TRUE))</f>
        <v/>
      </c>
      <c r="AS248" s="140" t="str">
        <f t="shared" si="45"/>
        <v/>
      </c>
    </row>
    <row r="249" spans="1:45">
      <c r="A249" s="10"/>
      <c r="B249" s="9"/>
      <c r="C249" s="9"/>
      <c r="D249" s="9"/>
      <c r="E249" s="10"/>
      <c r="F249" s="11"/>
      <c r="G249" s="15"/>
      <c r="H249" s="88"/>
      <c r="I249" s="24"/>
      <c r="J249" s="24"/>
      <c r="K249" s="114" t="str">
        <f t="shared" si="36"/>
        <v/>
      </c>
      <c r="L249" s="24"/>
      <c r="M249" s="24"/>
      <c r="N249" s="24"/>
      <c r="O249" s="24"/>
      <c r="P249" s="97" t="str">
        <f t="shared" si="37"/>
        <v/>
      </c>
      <c r="Q249" s="113" t="str">
        <f t="shared" si="38"/>
        <v/>
      </c>
      <c r="R249" s="88"/>
      <c r="S249" s="24"/>
      <c r="T249" s="24"/>
      <c r="U249" s="78" t="str">
        <f t="shared" si="39"/>
        <v/>
      </c>
      <c r="V249" s="24"/>
      <c r="W249" s="24"/>
      <c r="X249" s="24"/>
      <c r="Y249" s="24"/>
      <c r="Z249" s="98" t="str">
        <f t="shared" si="40"/>
        <v/>
      </c>
      <c r="AA249" s="40" t="str">
        <f t="shared" si="46"/>
        <v/>
      </c>
      <c r="AB249" s="88"/>
      <c r="AC249" s="24"/>
      <c r="AD249" s="24"/>
      <c r="AE249" s="79" t="str">
        <f t="shared" si="41"/>
        <v/>
      </c>
      <c r="AF249" s="24"/>
      <c r="AG249" s="24"/>
      <c r="AH249" s="24"/>
      <c r="AI249" s="24"/>
      <c r="AJ249" s="99" t="str">
        <f t="shared" si="42"/>
        <v/>
      </c>
      <c r="AK249" s="31" t="str">
        <f t="shared" si="47"/>
        <v/>
      </c>
      <c r="AN249" s="139" t="str">
        <f>IF($K249="","",VLOOKUP($K249,'ORF Accuracy Value LookUp'!$G$4:$H$104,2,TRUE))</f>
        <v/>
      </c>
      <c r="AO249" s="94" t="str">
        <f t="shared" si="43"/>
        <v/>
      </c>
      <c r="AP249" s="47" t="str">
        <f>IF($U249="","",VLOOKUP($U249,'ORF Accuracy Value LookUp'!$G$4:$H$104,2,TRUE))</f>
        <v/>
      </c>
      <c r="AQ249" s="94" t="str">
        <f t="shared" si="44"/>
        <v/>
      </c>
      <c r="AR249" s="46" t="str">
        <f>IF($AE249="","",VLOOKUP($AE249,'ORF Accuracy Value LookUp'!$G$4:$H$104,2,TRUE))</f>
        <v/>
      </c>
      <c r="AS249" s="140" t="str">
        <f t="shared" si="45"/>
        <v/>
      </c>
    </row>
    <row r="250" spans="1:45">
      <c r="A250" s="10"/>
      <c r="B250" s="9"/>
      <c r="C250" s="9"/>
      <c r="D250" s="9"/>
      <c r="E250" s="10"/>
      <c r="F250" s="11"/>
      <c r="G250" s="15"/>
      <c r="H250" s="88"/>
      <c r="I250" s="24"/>
      <c r="J250" s="24"/>
      <c r="K250" s="114" t="str">
        <f t="shared" si="36"/>
        <v/>
      </c>
      <c r="L250" s="24"/>
      <c r="M250" s="24"/>
      <c r="N250" s="24"/>
      <c r="O250" s="24"/>
      <c r="P250" s="97" t="str">
        <f t="shared" si="37"/>
        <v/>
      </c>
      <c r="Q250" s="113" t="str">
        <f t="shared" si="38"/>
        <v/>
      </c>
      <c r="R250" s="88"/>
      <c r="S250" s="24"/>
      <c r="T250" s="24"/>
      <c r="U250" s="78" t="str">
        <f t="shared" si="39"/>
        <v/>
      </c>
      <c r="V250" s="24"/>
      <c r="W250" s="24"/>
      <c r="X250" s="24"/>
      <c r="Y250" s="24"/>
      <c r="Z250" s="98" t="str">
        <f t="shared" si="40"/>
        <v/>
      </c>
      <c r="AA250" s="40" t="str">
        <f t="shared" si="46"/>
        <v/>
      </c>
      <c r="AB250" s="88"/>
      <c r="AC250" s="24"/>
      <c r="AD250" s="24"/>
      <c r="AE250" s="79" t="str">
        <f t="shared" si="41"/>
        <v/>
      </c>
      <c r="AF250" s="24"/>
      <c r="AG250" s="24"/>
      <c r="AH250" s="24"/>
      <c r="AI250" s="24"/>
      <c r="AJ250" s="99" t="str">
        <f t="shared" si="42"/>
        <v/>
      </c>
      <c r="AK250" s="31" t="str">
        <f t="shared" si="47"/>
        <v/>
      </c>
      <c r="AN250" s="139" t="str">
        <f>IF($K250="","",VLOOKUP($K250,'ORF Accuracy Value LookUp'!$G$4:$H$104,2,TRUE))</f>
        <v/>
      </c>
      <c r="AO250" s="94" t="str">
        <f t="shared" si="43"/>
        <v/>
      </c>
      <c r="AP250" s="47" t="str">
        <f>IF($U250="","",VLOOKUP($U250,'ORF Accuracy Value LookUp'!$G$4:$H$104,2,TRUE))</f>
        <v/>
      </c>
      <c r="AQ250" s="94" t="str">
        <f t="shared" si="44"/>
        <v/>
      </c>
      <c r="AR250" s="46" t="str">
        <f>IF($AE250="","",VLOOKUP($AE250,'ORF Accuracy Value LookUp'!$G$4:$H$104,2,TRUE))</f>
        <v/>
      </c>
      <c r="AS250" s="140" t="str">
        <f t="shared" si="45"/>
        <v/>
      </c>
    </row>
    <row r="251" spans="1:45">
      <c r="A251" s="10"/>
      <c r="B251" s="9"/>
      <c r="C251" s="9"/>
      <c r="D251" s="9"/>
      <c r="E251" s="10"/>
      <c r="F251" s="11"/>
      <c r="G251" s="15"/>
      <c r="H251" s="88"/>
      <c r="I251" s="24"/>
      <c r="J251" s="24"/>
      <c r="K251" s="114" t="str">
        <f t="shared" si="36"/>
        <v/>
      </c>
      <c r="L251" s="24"/>
      <c r="M251" s="24"/>
      <c r="N251" s="24"/>
      <c r="O251" s="24"/>
      <c r="P251" s="97" t="str">
        <f t="shared" si="37"/>
        <v/>
      </c>
      <c r="Q251" s="113" t="str">
        <f t="shared" si="38"/>
        <v/>
      </c>
      <c r="R251" s="88"/>
      <c r="S251" s="24"/>
      <c r="T251" s="24"/>
      <c r="U251" s="78" t="str">
        <f t="shared" si="39"/>
        <v/>
      </c>
      <c r="V251" s="24"/>
      <c r="W251" s="24"/>
      <c r="X251" s="24"/>
      <c r="Y251" s="24"/>
      <c r="Z251" s="98" t="str">
        <f t="shared" si="40"/>
        <v/>
      </c>
      <c r="AA251" s="40" t="str">
        <f t="shared" si="46"/>
        <v/>
      </c>
      <c r="AB251" s="88"/>
      <c r="AC251" s="24"/>
      <c r="AD251" s="24"/>
      <c r="AE251" s="79" t="str">
        <f t="shared" si="41"/>
        <v/>
      </c>
      <c r="AF251" s="24"/>
      <c r="AG251" s="24"/>
      <c r="AH251" s="24"/>
      <c r="AI251" s="24"/>
      <c r="AJ251" s="99" t="str">
        <f t="shared" si="42"/>
        <v/>
      </c>
      <c r="AK251" s="31" t="str">
        <f t="shared" si="47"/>
        <v/>
      </c>
      <c r="AN251" s="139" t="str">
        <f>IF($K251="","",VLOOKUP($K251,'ORF Accuracy Value LookUp'!$G$4:$H$104,2,TRUE))</f>
        <v/>
      </c>
      <c r="AO251" s="94" t="str">
        <f t="shared" si="43"/>
        <v/>
      </c>
      <c r="AP251" s="47" t="str">
        <f>IF($U251="","",VLOOKUP($U251,'ORF Accuracy Value LookUp'!$G$4:$H$104,2,TRUE))</f>
        <v/>
      </c>
      <c r="AQ251" s="94" t="str">
        <f t="shared" si="44"/>
        <v/>
      </c>
      <c r="AR251" s="46" t="str">
        <f>IF($AE251="","",VLOOKUP($AE251,'ORF Accuracy Value LookUp'!$G$4:$H$104,2,TRUE))</f>
        <v/>
      </c>
      <c r="AS251" s="140" t="str">
        <f t="shared" si="45"/>
        <v/>
      </c>
    </row>
    <row r="252" spans="1:45">
      <c r="A252" s="10"/>
      <c r="B252" s="9"/>
      <c r="C252" s="9"/>
      <c r="D252" s="9"/>
      <c r="E252" s="10"/>
      <c r="F252" s="11"/>
      <c r="G252" s="15"/>
      <c r="H252" s="88"/>
      <c r="I252" s="24"/>
      <c r="J252" s="24"/>
      <c r="K252" s="114" t="str">
        <f t="shared" si="36"/>
        <v/>
      </c>
      <c r="L252" s="24"/>
      <c r="M252" s="24"/>
      <c r="N252" s="24"/>
      <c r="O252" s="24"/>
      <c r="P252" s="97" t="str">
        <f t="shared" si="37"/>
        <v/>
      </c>
      <c r="Q252" s="113" t="str">
        <f t="shared" si="38"/>
        <v/>
      </c>
      <c r="R252" s="88"/>
      <c r="S252" s="24"/>
      <c r="T252" s="24"/>
      <c r="U252" s="78" t="str">
        <f t="shared" si="39"/>
        <v/>
      </c>
      <c r="V252" s="24"/>
      <c r="W252" s="24"/>
      <c r="X252" s="24"/>
      <c r="Y252" s="24"/>
      <c r="Z252" s="98" t="str">
        <f t="shared" si="40"/>
        <v/>
      </c>
      <c r="AA252" s="40" t="str">
        <f t="shared" si="46"/>
        <v/>
      </c>
      <c r="AB252" s="88"/>
      <c r="AC252" s="24"/>
      <c r="AD252" s="24"/>
      <c r="AE252" s="79" t="str">
        <f t="shared" si="41"/>
        <v/>
      </c>
      <c r="AF252" s="24"/>
      <c r="AG252" s="24"/>
      <c r="AH252" s="24"/>
      <c r="AI252" s="24"/>
      <c r="AJ252" s="99" t="str">
        <f t="shared" si="42"/>
        <v/>
      </c>
      <c r="AK252" s="31" t="str">
        <f t="shared" si="47"/>
        <v/>
      </c>
      <c r="AN252" s="139" t="str">
        <f>IF($K252="","",VLOOKUP($K252,'ORF Accuracy Value LookUp'!$G$4:$H$104,2,TRUE))</f>
        <v/>
      </c>
      <c r="AO252" s="94" t="str">
        <f t="shared" si="43"/>
        <v/>
      </c>
      <c r="AP252" s="47" t="str">
        <f>IF($U252="","",VLOOKUP($U252,'ORF Accuracy Value LookUp'!$G$4:$H$104,2,TRUE))</f>
        <v/>
      </c>
      <c r="AQ252" s="94" t="str">
        <f t="shared" si="44"/>
        <v/>
      </c>
      <c r="AR252" s="46" t="str">
        <f>IF($AE252="","",VLOOKUP($AE252,'ORF Accuracy Value LookUp'!$G$4:$H$104,2,TRUE))</f>
        <v/>
      </c>
      <c r="AS252" s="140" t="str">
        <f t="shared" si="45"/>
        <v/>
      </c>
    </row>
    <row r="253" spans="1:45">
      <c r="A253" s="10"/>
      <c r="B253" s="9"/>
      <c r="C253" s="9"/>
      <c r="D253" s="9"/>
      <c r="E253" s="10"/>
      <c r="F253" s="11"/>
      <c r="G253" s="15"/>
      <c r="H253" s="88"/>
      <c r="I253" s="24"/>
      <c r="J253" s="24"/>
      <c r="K253" s="114" t="str">
        <f t="shared" si="36"/>
        <v/>
      </c>
      <c r="L253" s="24"/>
      <c r="M253" s="24"/>
      <c r="N253" s="24"/>
      <c r="O253" s="24"/>
      <c r="P253" s="97" t="str">
        <f t="shared" si="37"/>
        <v/>
      </c>
      <c r="Q253" s="113" t="str">
        <f t="shared" si="38"/>
        <v/>
      </c>
      <c r="R253" s="88"/>
      <c r="S253" s="24"/>
      <c r="T253" s="24"/>
      <c r="U253" s="78" t="str">
        <f t="shared" si="39"/>
        <v/>
      </c>
      <c r="V253" s="24"/>
      <c r="W253" s="24"/>
      <c r="X253" s="24"/>
      <c r="Y253" s="24"/>
      <c r="Z253" s="98" t="str">
        <f t="shared" si="40"/>
        <v/>
      </c>
      <c r="AA253" s="40" t="str">
        <f t="shared" si="46"/>
        <v/>
      </c>
      <c r="AB253" s="88"/>
      <c r="AC253" s="24"/>
      <c r="AD253" s="24"/>
      <c r="AE253" s="79" t="str">
        <f t="shared" si="41"/>
        <v/>
      </c>
      <c r="AF253" s="24"/>
      <c r="AG253" s="24"/>
      <c r="AH253" s="24"/>
      <c r="AI253" s="24"/>
      <c r="AJ253" s="99" t="str">
        <f t="shared" si="42"/>
        <v/>
      </c>
      <c r="AK253" s="31" t="str">
        <f t="shared" si="47"/>
        <v/>
      </c>
      <c r="AN253" s="139" t="str">
        <f>IF($K253="","",VLOOKUP($K253,'ORF Accuracy Value LookUp'!$G$4:$H$104,2,TRUE))</f>
        <v/>
      </c>
      <c r="AO253" s="94" t="str">
        <f t="shared" si="43"/>
        <v/>
      </c>
      <c r="AP253" s="47" t="str">
        <f>IF($U253="","",VLOOKUP($U253,'ORF Accuracy Value LookUp'!$G$4:$H$104,2,TRUE))</f>
        <v/>
      </c>
      <c r="AQ253" s="94" t="str">
        <f t="shared" si="44"/>
        <v/>
      </c>
      <c r="AR253" s="46" t="str">
        <f>IF($AE253="","",VLOOKUP($AE253,'ORF Accuracy Value LookUp'!$G$4:$H$104,2,TRUE))</f>
        <v/>
      </c>
      <c r="AS253" s="140" t="str">
        <f t="shared" si="45"/>
        <v/>
      </c>
    </row>
    <row r="254" spans="1:45">
      <c r="A254" s="10"/>
      <c r="B254" s="9"/>
      <c r="C254" s="9"/>
      <c r="D254" s="9"/>
      <c r="E254" s="10"/>
      <c r="F254" s="11"/>
      <c r="G254" s="15"/>
      <c r="H254" s="88"/>
      <c r="I254" s="24"/>
      <c r="J254" s="24"/>
      <c r="K254" s="114" t="str">
        <f t="shared" si="36"/>
        <v/>
      </c>
      <c r="L254" s="24"/>
      <c r="M254" s="24"/>
      <c r="N254" s="24"/>
      <c r="O254" s="24"/>
      <c r="P254" s="97" t="str">
        <f t="shared" si="37"/>
        <v/>
      </c>
      <c r="Q254" s="113" t="str">
        <f t="shared" si="38"/>
        <v/>
      </c>
      <c r="R254" s="88"/>
      <c r="S254" s="24"/>
      <c r="T254" s="24"/>
      <c r="U254" s="78" t="str">
        <f t="shared" si="39"/>
        <v/>
      </c>
      <c r="V254" s="24"/>
      <c r="W254" s="24"/>
      <c r="X254" s="24"/>
      <c r="Y254" s="24"/>
      <c r="Z254" s="98" t="str">
        <f t="shared" si="40"/>
        <v/>
      </c>
      <c r="AA254" s="40" t="str">
        <f t="shared" si="46"/>
        <v/>
      </c>
      <c r="AB254" s="88"/>
      <c r="AC254" s="24"/>
      <c r="AD254" s="24"/>
      <c r="AE254" s="79" t="str">
        <f t="shared" si="41"/>
        <v/>
      </c>
      <c r="AF254" s="24"/>
      <c r="AG254" s="24"/>
      <c r="AH254" s="24"/>
      <c r="AI254" s="24"/>
      <c r="AJ254" s="99" t="str">
        <f t="shared" si="42"/>
        <v/>
      </c>
      <c r="AK254" s="31" t="str">
        <f t="shared" si="47"/>
        <v/>
      </c>
      <c r="AN254" s="139" t="str">
        <f>IF($K254="","",VLOOKUP($K254,'ORF Accuracy Value LookUp'!$G$4:$H$104,2,TRUE))</f>
        <v/>
      </c>
      <c r="AO254" s="94" t="str">
        <f t="shared" si="43"/>
        <v/>
      </c>
      <c r="AP254" s="47" t="str">
        <f>IF($U254="","",VLOOKUP($U254,'ORF Accuracy Value LookUp'!$G$4:$H$104,2,TRUE))</f>
        <v/>
      </c>
      <c r="AQ254" s="94" t="str">
        <f t="shared" si="44"/>
        <v/>
      </c>
      <c r="AR254" s="46" t="str">
        <f>IF($AE254="","",VLOOKUP($AE254,'ORF Accuracy Value LookUp'!$G$4:$H$104,2,TRUE))</f>
        <v/>
      </c>
      <c r="AS254" s="140" t="str">
        <f t="shared" si="45"/>
        <v/>
      </c>
    </row>
    <row r="255" spans="1:45">
      <c r="A255" s="10"/>
      <c r="B255" s="9"/>
      <c r="C255" s="9"/>
      <c r="D255" s="9"/>
      <c r="E255" s="10"/>
      <c r="F255" s="11"/>
      <c r="G255" s="15"/>
      <c r="H255" s="88"/>
      <c r="I255" s="24"/>
      <c r="J255" s="24"/>
      <c r="K255" s="114" t="str">
        <f t="shared" si="36"/>
        <v/>
      </c>
      <c r="L255" s="24"/>
      <c r="M255" s="24"/>
      <c r="N255" s="24"/>
      <c r="O255" s="24"/>
      <c r="P255" s="97" t="str">
        <f t="shared" si="37"/>
        <v/>
      </c>
      <c r="Q255" s="113" t="str">
        <f t="shared" si="38"/>
        <v/>
      </c>
      <c r="R255" s="88"/>
      <c r="S255" s="24"/>
      <c r="T255" s="24"/>
      <c r="U255" s="78" t="str">
        <f t="shared" si="39"/>
        <v/>
      </c>
      <c r="V255" s="24"/>
      <c r="W255" s="24"/>
      <c r="X255" s="24"/>
      <c r="Y255" s="24"/>
      <c r="Z255" s="98" t="str">
        <f t="shared" si="40"/>
        <v/>
      </c>
      <c r="AA255" s="40" t="str">
        <f t="shared" si="46"/>
        <v/>
      </c>
      <c r="AB255" s="88"/>
      <c r="AC255" s="24"/>
      <c r="AD255" s="24"/>
      <c r="AE255" s="79" t="str">
        <f t="shared" si="41"/>
        <v/>
      </c>
      <c r="AF255" s="24"/>
      <c r="AG255" s="24"/>
      <c r="AH255" s="24"/>
      <c r="AI255" s="24"/>
      <c r="AJ255" s="99" t="str">
        <f t="shared" si="42"/>
        <v/>
      </c>
      <c r="AK255" s="31" t="str">
        <f t="shared" si="47"/>
        <v/>
      </c>
      <c r="AN255" s="139" t="str">
        <f>IF($K255="","",VLOOKUP($K255,'ORF Accuracy Value LookUp'!$G$4:$H$104,2,TRUE))</f>
        <v/>
      </c>
      <c r="AO255" s="94" t="str">
        <f t="shared" si="43"/>
        <v/>
      </c>
      <c r="AP255" s="47" t="str">
        <f>IF($U255="","",VLOOKUP($U255,'ORF Accuracy Value LookUp'!$G$4:$H$104,2,TRUE))</f>
        <v/>
      </c>
      <c r="AQ255" s="94" t="str">
        <f t="shared" si="44"/>
        <v/>
      </c>
      <c r="AR255" s="46" t="str">
        <f>IF($AE255="","",VLOOKUP($AE255,'ORF Accuracy Value LookUp'!$G$4:$H$104,2,TRUE))</f>
        <v/>
      </c>
      <c r="AS255" s="140" t="str">
        <f t="shared" si="45"/>
        <v/>
      </c>
    </row>
    <row r="256" spans="1:45">
      <c r="A256" s="10"/>
      <c r="B256" s="9"/>
      <c r="C256" s="9"/>
      <c r="D256" s="9"/>
      <c r="E256" s="10"/>
      <c r="F256" s="11"/>
      <c r="G256" s="15"/>
      <c r="H256" s="88"/>
      <c r="I256" s="24"/>
      <c r="J256" s="24"/>
      <c r="K256" s="114" t="str">
        <f t="shared" si="36"/>
        <v/>
      </c>
      <c r="L256" s="24"/>
      <c r="M256" s="24"/>
      <c r="N256" s="24"/>
      <c r="O256" s="24"/>
      <c r="P256" s="97" t="str">
        <f t="shared" si="37"/>
        <v/>
      </c>
      <c r="Q256" s="113" t="str">
        <f t="shared" si="38"/>
        <v/>
      </c>
      <c r="R256" s="88"/>
      <c r="S256" s="24"/>
      <c r="T256" s="24"/>
      <c r="U256" s="78" t="str">
        <f t="shared" si="39"/>
        <v/>
      </c>
      <c r="V256" s="24"/>
      <c r="W256" s="24"/>
      <c r="X256" s="24"/>
      <c r="Y256" s="24"/>
      <c r="Z256" s="98" t="str">
        <f t="shared" si="40"/>
        <v/>
      </c>
      <c r="AA256" s="40" t="str">
        <f t="shared" si="46"/>
        <v/>
      </c>
      <c r="AB256" s="88"/>
      <c r="AC256" s="24"/>
      <c r="AD256" s="24"/>
      <c r="AE256" s="79" t="str">
        <f t="shared" si="41"/>
        <v/>
      </c>
      <c r="AF256" s="24"/>
      <c r="AG256" s="24"/>
      <c r="AH256" s="24"/>
      <c r="AI256" s="24"/>
      <c r="AJ256" s="99" t="str">
        <f t="shared" si="42"/>
        <v/>
      </c>
      <c r="AK256" s="31" t="str">
        <f t="shared" si="47"/>
        <v/>
      </c>
      <c r="AN256" s="139" t="str">
        <f>IF($K256="","",VLOOKUP($K256,'ORF Accuracy Value LookUp'!$G$4:$H$104,2,TRUE))</f>
        <v/>
      </c>
      <c r="AO256" s="94" t="str">
        <f t="shared" si="43"/>
        <v/>
      </c>
      <c r="AP256" s="47" t="str">
        <f>IF($U256="","",VLOOKUP($U256,'ORF Accuracy Value LookUp'!$G$4:$H$104,2,TRUE))</f>
        <v/>
      </c>
      <c r="AQ256" s="94" t="str">
        <f t="shared" si="44"/>
        <v/>
      </c>
      <c r="AR256" s="46" t="str">
        <f>IF($AE256="","",VLOOKUP($AE256,'ORF Accuracy Value LookUp'!$G$4:$H$104,2,TRUE))</f>
        <v/>
      </c>
      <c r="AS256" s="140" t="str">
        <f t="shared" si="45"/>
        <v/>
      </c>
    </row>
    <row r="257" spans="1:45">
      <c r="A257" s="10"/>
      <c r="B257" s="9"/>
      <c r="C257" s="9"/>
      <c r="D257" s="9"/>
      <c r="E257" s="10"/>
      <c r="F257" s="11"/>
      <c r="G257" s="15"/>
      <c r="H257" s="88"/>
      <c r="I257" s="24"/>
      <c r="J257" s="24"/>
      <c r="K257" s="114" t="str">
        <f t="shared" si="36"/>
        <v/>
      </c>
      <c r="L257" s="24"/>
      <c r="M257" s="24"/>
      <c r="N257" s="24"/>
      <c r="O257" s="24"/>
      <c r="P257" s="97" t="str">
        <f t="shared" si="37"/>
        <v/>
      </c>
      <c r="Q257" s="113" t="str">
        <f t="shared" si="38"/>
        <v/>
      </c>
      <c r="R257" s="88"/>
      <c r="S257" s="24"/>
      <c r="T257" s="24"/>
      <c r="U257" s="78" t="str">
        <f t="shared" si="39"/>
        <v/>
      </c>
      <c r="V257" s="24"/>
      <c r="W257" s="24"/>
      <c r="X257" s="24"/>
      <c r="Y257" s="24"/>
      <c r="Z257" s="98" t="str">
        <f t="shared" si="40"/>
        <v/>
      </c>
      <c r="AA257" s="40" t="str">
        <f t="shared" si="46"/>
        <v/>
      </c>
      <c r="AB257" s="88"/>
      <c r="AC257" s="24"/>
      <c r="AD257" s="24"/>
      <c r="AE257" s="79" t="str">
        <f t="shared" si="41"/>
        <v/>
      </c>
      <c r="AF257" s="24"/>
      <c r="AG257" s="24"/>
      <c r="AH257" s="24"/>
      <c r="AI257" s="24"/>
      <c r="AJ257" s="99" t="str">
        <f t="shared" si="42"/>
        <v/>
      </c>
      <c r="AK257" s="31" t="str">
        <f t="shared" si="47"/>
        <v/>
      </c>
      <c r="AN257" s="139" t="str">
        <f>IF($K257="","",VLOOKUP($K257,'ORF Accuracy Value LookUp'!$G$4:$H$104,2,TRUE))</f>
        <v/>
      </c>
      <c r="AO257" s="94" t="str">
        <f t="shared" si="43"/>
        <v/>
      </c>
      <c r="AP257" s="47" t="str">
        <f>IF($U257="","",VLOOKUP($U257,'ORF Accuracy Value LookUp'!$G$4:$H$104,2,TRUE))</f>
        <v/>
      </c>
      <c r="AQ257" s="94" t="str">
        <f t="shared" si="44"/>
        <v/>
      </c>
      <c r="AR257" s="46" t="str">
        <f>IF($AE257="","",VLOOKUP($AE257,'ORF Accuracy Value LookUp'!$G$4:$H$104,2,TRUE))</f>
        <v/>
      </c>
      <c r="AS257" s="140" t="str">
        <f t="shared" si="45"/>
        <v/>
      </c>
    </row>
    <row r="258" spans="1:45">
      <c r="A258" s="10"/>
      <c r="B258" s="9"/>
      <c r="C258" s="9"/>
      <c r="D258" s="9"/>
      <c r="E258" s="10"/>
      <c r="F258" s="11"/>
      <c r="G258" s="15"/>
      <c r="H258" s="88"/>
      <c r="I258" s="24"/>
      <c r="J258" s="24"/>
      <c r="K258" s="114" t="str">
        <f t="shared" si="36"/>
        <v/>
      </c>
      <c r="L258" s="24"/>
      <c r="M258" s="24"/>
      <c r="N258" s="24"/>
      <c r="O258" s="24"/>
      <c r="P258" s="97" t="str">
        <f t="shared" si="37"/>
        <v/>
      </c>
      <c r="Q258" s="113" t="str">
        <f t="shared" si="38"/>
        <v/>
      </c>
      <c r="R258" s="88"/>
      <c r="S258" s="24"/>
      <c r="T258" s="24"/>
      <c r="U258" s="78" t="str">
        <f t="shared" si="39"/>
        <v/>
      </c>
      <c r="V258" s="24"/>
      <c r="W258" s="24"/>
      <c r="X258" s="24"/>
      <c r="Y258" s="24"/>
      <c r="Z258" s="98" t="str">
        <f t="shared" si="40"/>
        <v/>
      </c>
      <c r="AA258" s="40" t="str">
        <f t="shared" si="46"/>
        <v/>
      </c>
      <c r="AB258" s="88"/>
      <c r="AC258" s="24"/>
      <c r="AD258" s="24"/>
      <c r="AE258" s="79" t="str">
        <f t="shared" si="41"/>
        <v/>
      </c>
      <c r="AF258" s="24"/>
      <c r="AG258" s="24"/>
      <c r="AH258" s="24"/>
      <c r="AI258" s="24"/>
      <c r="AJ258" s="99" t="str">
        <f t="shared" si="42"/>
        <v/>
      </c>
      <c r="AK258" s="31" t="str">
        <f t="shared" si="47"/>
        <v/>
      </c>
      <c r="AN258" s="139" t="str">
        <f>IF($K258="","",VLOOKUP($K258,'ORF Accuracy Value LookUp'!$G$4:$H$104,2,TRUE))</f>
        <v/>
      </c>
      <c r="AO258" s="94" t="str">
        <f t="shared" si="43"/>
        <v/>
      </c>
      <c r="AP258" s="47" t="str">
        <f>IF($U258="","",VLOOKUP($U258,'ORF Accuracy Value LookUp'!$G$4:$H$104,2,TRUE))</f>
        <v/>
      </c>
      <c r="AQ258" s="94" t="str">
        <f t="shared" si="44"/>
        <v/>
      </c>
      <c r="AR258" s="46" t="str">
        <f>IF($AE258="","",VLOOKUP($AE258,'ORF Accuracy Value LookUp'!$G$4:$H$104,2,TRUE))</f>
        <v/>
      </c>
      <c r="AS258" s="140" t="str">
        <f t="shared" si="45"/>
        <v/>
      </c>
    </row>
    <row r="259" spans="1:45">
      <c r="A259" s="10"/>
      <c r="B259" s="9"/>
      <c r="C259" s="9"/>
      <c r="D259" s="9"/>
      <c r="E259" s="10"/>
      <c r="F259" s="11"/>
      <c r="G259" s="15"/>
      <c r="H259" s="88"/>
      <c r="I259" s="24"/>
      <c r="J259" s="24"/>
      <c r="K259" s="114" t="str">
        <f t="shared" si="36"/>
        <v/>
      </c>
      <c r="L259" s="24"/>
      <c r="M259" s="24"/>
      <c r="N259" s="24"/>
      <c r="O259" s="24"/>
      <c r="P259" s="97" t="str">
        <f t="shared" si="37"/>
        <v/>
      </c>
      <c r="Q259" s="113" t="str">
        <f t="shared" si="38"/>
        <v/>
      </c>
      <c r="R259" s="88"/>
      <c r="S259" s="24"/>
      <c r="T259" s="24"/>
      <c r="U259" s="78" t="str">
        <f t="shared" si="39"/>
        <v/>
      </c>
      <c r="V259" s="24"/>
      <c r="W259" s="24"/>
      <c r="X259" s="24"/>
      <c r="Y259" s="24"/>
      <c r="Z259" s="98" t="str">
        <f t="shared" si="40"/>
        <v/>
      </c>
      <c r="AA259" s="40" t="str">
        <f t="shared" si="46"/>
        <v/>
      </c>
      <c r="AB259" s="88"/>
      <c r="AC259" s="24"/>
      <c r="AD259" s="24"/>
      <c r="AE259" s="79" t="str">
        <f t="shared" si="41"/>
        <v/>
      </c>
      <c r="AF259" s="24"/>
      <c r="AG259" s="24"/>
      <c r="AH259" s="24"/>
      <c r="AI259" s="24"/>
      <c r="AJ259" s="99" t="str">
        <f t="shared" si="42"/>
        <v/>
      </c>
      <c r="AK259" s="31" t="str">
        <f t="shared" si="47"/>
        <v/>
      </c>
      <c r="AN259" s="139" t="str">
        <f>IF($K259="","",VLOOKUP($K259,'ORF Accuracy Value LookUp'!$G$4:$H$104,2,TRUE))</f>
        <v/>
      </c>
      <c r="AO259" s="94" t="str">
        <f t="shared" si="43"/>
        <v/>
      </c>
      <c r="AP259" s="47" t="str">
        <f>IF($U259="","",VLOOKUP($U259,'ORF Accuracy Value LookUp'!$G$4:$H$104,2,TRUE))</f>
        <v/>
      </c>
      <c r="AQ259" s="94" t="str">
        <f t="shared" si="44"/>
        <v/>
      </c>
      <c r="AR259" s="46" t="str">
        <f>IF($AE259="","",VLOOKUP($AE259,'ORF Accuracy Value LookUp'!$G$4:$H$104,2,TRUE))</f>
        <v/>
      </c>
      <c r="AS259" s="140" t="str">
        <f t="shared" si="45"/>
        <v/>
      </c>
    </row>
    <row r="260" spans="1:45">
      <c r="A260" s="10"/>
      <c r="B260" s="9"/>
      <c r="C260" s="9"/>
      <c r="D260" s="9"/>
      <c r="E260" s="10"/>
      <c r="F260" s="11"/>
      <c r="G260" s="15"/>
      <c r="H260" s="88"/>
      <c r="I260" s="24"/>
      <c r="J260" s="24"/>
      <c r="K260" s="114" t="str">
        <f t="shared" si="36"/>
        <v/>
      </c>
      <c r="L260" s="24"/>
      <c r="M260" s="24"/>
      <c r="N260" s="24"/>
      <c r="O260" s="24"/>
      <c r="P260" s="97" t="str">
        <f t="shared" si="37"/>
        <v/>
      </c>
      <c r="Q260" s="113" t="str">
        <f t="shared" si="38"/>
        <v/>
      </c>
      <c r="R260" s="88"/>
      <c r="S260" s="24"/>
      <c r="T260" s="24"/>
      <c r="U260" s="78" t="str">
        <f t="shared" si="39"/>
        <v/>
      </c>
      <c r="V260" s="24"/>
      <c r="W260" s="24"/>
      <c r="X260" s="24"/>
      <c r="Y260" s="24"/>
      <c r="Z260" s="98" t="str">
        <f t="shared" si="40"/>
        <v/>
      </c>
      <c r="AA260" s="40" t="str">
        <f t="shared" si="46"/>
        <v/>
      </c>
      <c r="AB260" s="88"/>
      <c r="AC260" s="24"/>
      <c r="AD260" s="24"/>
      <c r="AE260" s="79" t="str">
        <f t="shared" si="41"/>
        <v/>
      </c>
      <c r="AF260" s="24"/>
      <c r="AG260" s="24"/>
      <c r="AH260" s="24"/>
      <c r="AI260" s="24"/>
      <c r="AJ260" s="99" t="str">
        <f t="shared" si="42"/>
        <v/>
      </c>
      <c r="AK260" s="31" t="str">
        <f t="shared" si="47"/>
        <v/>
      </c>
      <c r="AN260" s="139" t="str">
        <f>IF($K260="","",VLOOKUP($K260,'ORF Accuracy Value LookUp'!$G$4:$H$104,2,TRUE))</f>
        <v/>
      </c>
      <c r="AO260" s="94" t="str">
        <f t="shared" si="43"/>
        <v/>
      </c>
      <c r="AP260" s="47" t="str">
        <f>IF($U260="","",VLOOKUP($U260,'ORF Accuracy Value LookUp'!$G$4:$H$104,2,TRUE))</f>
        <v/>
      </c>
      <c r="AQ260" s="94" t="str">
        <f t="shared" si="44"/>
        <v/>
      </c>
      <c r="AR260" s="46" t="str">
        <f>IF($AE260="","",VLOOKUP($AE260,'ORF Accuracy Value LookUp'!$G$4:$H$104,2,TRUE))</f>
        <v/>
      </c>
      <c r="AS260" s="140" t="str">
        <f t="shared" si="45"/>
        <v/>
      </c>
    </row>
    <row r="261" spans="1:45">
      <c r="A261" s="10"/>
      <c r="B261" s="9"/>
      <c r="C261" s="9"/>
      <c r="D261" s="9"/>
      <c r="E261" s="10"/>
      <c r="F261" s="11"/>
      <c r="G261" s="15"/>
      <c r="H261" s="88"/>
      <c r="I261" s="24"/>
      <c r="J261" s="24"/>
      <c r="K261" s="114" t="str">
        <f t="shared" ref="K261:K324" si="48">IF($I261="","",SUM($I261/($I261+$J261)))</f>
        <v/>
      </c>
      <c r="L261" s="24"/>
      <c r="M261" s="24"/>
      <c r="N261" s="24"/>
      <c r="O261" s="24"/>
      <c r="P261" s="97" t="str">
        <f t="shared" ref="P261:P324" si="49">IF($AO261&gt;0,$AO261,0)</f>
        <v/>
      </c>
      <c r="Q261" s="113" t="str">
        <f t="shared" ref="Q261:Q324" si="50">IF($B261="","",SUM($I261+$AN261+($L261*2)+($P261*2)))</f>
        <v/>
      </c>
      <c r="R261" s="88"/>
      <c r="S261" s="24"/>
      <c r="T261" s="24"/>
      <c r="U261" s="78" t="str">
        <f t="shared" ref="U261:U324" si="51">IF($S261="","",SUM($S261/($S261+$T261)))</f>
        <v/>
      </c>
      <c r="V261" s="24"/>
      <c r="W261" s="24"/>
      <c r="X261" s="24"/>
      <c r="Y261" s="24"/>
      <c r="Z261" s="98" t="str">
        <f t="shared" ref="Z261:Z324" si="52">IF($AQ261&gt;0,$AQ261,0)</f>
        <v/>
      </c>
      <c r="AA261" s="40" t="str">
        <f t="shared" si="46"/>
        <v/>
      </c>
      <c r="AB261" s="88"/>
      <c r="AC261" s="24"/>
      <c r="AD261" s="24"/>
      <c r="AE261" s="79" t="str">
        <f t="shared" ref="AE261:AE324" si="53">IF($AC261="","",SUM($AC261/($AC261+$AD261)))</f>
        <v/>
      </c>
      <c r="AF261" s="24"/>
      <c r="AG261" s="24"/>
      <c r="AH261" s="24"/>
      <c r="AI261" s="24"/>
      <c r="AJ261" s="99" t="str">
        <f t="shared" ref="AJ261:AJ324" si="54">IF($AS261&gt;0,$AS261,0)</f>
        <v/>
      </c>
      <c r="AK261" s="31" t="str">
        <f t="shared" si="47"/>
        <v/>
      </c>
      <c r="AN261" s="139" t="str">
        <f>IF($K261="","",VLOOKUP($K261,'ORF Accuracy Value LookUp'!$G$4:$H$104,2,TRUE))</f>
        <v/>
      </c>
      <c r="AO261" s="94" t="str">
        <f t="shared" ref="AO261:AO324" si="55">IF($N261="","",($N261-($O261/2)))</f>
        <v/>
      </c>
      <c r="AP261" s="47" t="str">
        <f>IF($U261="","",VLOOKUP($U261,'ORF Accuracy Value LookUp'!$G$4:$H$104,2,TRUE))</f>
        <v/>
      </c>
      <c r="AQ261" s="94" t="str">
        <f t="shared" ref="AQ261:AQ324" si="56">IF($X261="","",$X261-($Y261/2))</f>
        <v/>
      </c>
      <c r="AR261" s="46" t="str">
        <f>IF($AE261="","",VLOOKUP($AE261,'ORF Accuracy Value LookUp'!$G$4:$H$104,2,TRUE))</f>
        <v/>
      </c>
      <c r="AS261" s="140" t="str">
        <f t="shared" ref="AS261:AS324" si="57">IF($AH261="","",$AH261-($AI261/2))</f>
        <v/>
      </c>
    </row>
    <row r="262" spans="1:45">
      <c r="A262" s="10"/>
      <c r="B262" s="9"/>
      <c r="C262" s="9"/>
      <c r="D262" s="9"/>
      <c r="E262" s="10"/>
      <c r="F262" s="11"/>
      <c r="G262" s="15"/>
      <c r="H262" s="88"/>
      <c r="I262" s="24"/>
      <c r="J262" s="24"/>
      <c r="K262" s="114" t="str">
        <f t="shared" si="48"/>
        <v/>
      </c>
      <c r="L262" s="24"/>
      <c r="M262" s="24"/>
      <c r="N262" s="24"/>
      <c r="O262" s="24"/>
      <c r="P262" s="97" t="str">
        <f t="shared" si="49"/>
        <v/>
      </c>
      <c r="Q262" s="113" t="str">
        <f t="shared" si="50"/>
        <v/>
      </c>
      <c r="R262" s="88"/>
      <c r="S262" s="24"/>
      <c r="T262" s="24"/>
      <c r="U262" s="78" t="str">
        <f t="shared" si="51"/>
        <v/>
      </c>
      <c r="V262" s="24"/>
      <c r="W262" s="24"/>
      <c r="X262" s="24"/>
      <c r="Y262" s="24"/>
      <c r="Z262" s="98" t="str">
        <f t="shared" si="52"/>
        <v/>
      </c>
      <c r="AA262" s="40" t="str">
        <f t="shared" ref="AA262:AA325" si="58">IF($R262="","",SUM($S262+$AP262+($V262*2)+($Z262*4)))</f>
        <v/>
      </c>
      <c r="AB262" s="88"/>
      <c r="AC262" s="24"/>
      <c r="AD262" s="24"/>
      <c r="AE262" s="79" t="str">
        <f t="shared" si="53"/>
        <v/>
      </c>
      <c r="AF262" s="24"/>
      <c r="AG262" s="24"/>
      <c r="AH262" s="24"/>
      <c r="AI262" s="24"/>
      <c r="AJ262" s="99" t="str">
        <f t="shared" si="54"/>
        <v/>
      </c>
      <c r="AK262" s="31" t="str">
        <f t="shared" ref="AK262:AK325" si="59">IF($AB262="","",SUM($AC262+$AR262+($AF262*2)+($AJ262*4)))</f>
        <v/>
      </c>
      <c r="AN262" s="139" t="str">
        <f>IF($K262="","",VLOOKUP($K262,'ORF Accuracy Value LookUp'!$G$4:$H$104,2,TRUE))</f>
        <v/>
      </c>
      <c r="AO262" s="94" t="str">
        <f t="shared" si="55"/>
        <v/>
      </c>
      <c r="AP262" s="47" t="str">
        <f>IF($U262="","",VLOOKUP($U262,'ORF Accuracy Value LookUp'!$G$4:$H$104,2,TRUE))</f>
        <v/>
      </c>
      <c r="AQ262" s="94" t="str">
        <f t="shared" si="56"/>
        <v/>
      </c>
      <c r="AR262" s="46" t="str">
        <f>IF($AE262="","",VLOOKUP($AE262,'ORF Accuracy Value LookUp'!$G$4:$H$104,2,TRUE))</f>
        <v/>
      </c>
      <c r="AS262" s="140" t="str">
        <f t="shared" si="57"/>
        <v/>
      </c>
    </row>
    <row r="263" spans="1:45">
      <c r="A263" s="10"/>
      <c r="B263" s="9"/>
      <c r="C263" s="9"/>
      <c r="D263" s="9"/>
      <c r="E263" s="10"/>
      <c r="F263" s="11"/>
      <c r="G263" s="15"/>
      <c r="H263" s="88"/>
      <c r="I263" s="24"/>
      <c r="J263" s="24"/>
      <c r="K263" s="114" t="str">
        <f t="shared" si="48"/>
        <v/>
      </c>
      <c r="L263" s="24"/>
      <c r="M263" s="24"/>
      <c r="N263" s="24"/>
      <c r="O263" s="24"/>
      <c r="P263" s="97" t="str">
        <f t="shared" si="49"/>
        <v/>
      </c>
      <c r="Q263" s="113" t="str">
        <f t="shared" si="50"/>
        <v/>
      </c>
      <c r="R263" s="88"/>
      <c r="S263" s="24"/>
      <c r="T263" s="24"/>
      <c r="U263" s="78" t="str">
        <f t="shared" si="51"/>
        <v/>
      </c>
      <c r="V263" s="24"/>
      <c r="W263" s="24"/>
      <c r="X263" s="24"/>
      <c r="Y263" s="24"/>
      <c r="Z263" s="98" t="str">
        <f t="shared" si="52"/>
        <v/>
      </c>
      <c r="AA263" s="40" t="str">
        <f t="shared" si="58"/>
        <v/>
      </c>
      <c r="AB263" s="88"/>
      <c r="AC263" s="24"/>
      <c r="AD263" s="24"/>
      <c r="AE263" s="79" t="str">
        <f t="shared" si="53"/>
        <v/>
      </c>
      <c r="AF263" s="24"/>
      <c r="AG263" s="24"/>
      <c r="AH263" s="24"/>
      <c r="AI263" s="24"/>
      <c r="AJ263" s="99" t="str">
        <f t="shared" si="54"/>
        <v/>
      </c>
      <c r="AK263" s="31" t="str">
        <f t="shared" si="59"/>
        <v/>
      </c>
      <c r="AN263" s="139" t="str">
        <f>IF($K263="","",VLOOKUP($K263,'ORF Accuracy Value LookUp'!$G$4:$H$104,2,TRUE))</f>
        <v/>
      </c>
      <c r="AO263" s="94" t="str">
        <f t="shared" si="55"/>
        <v/>
      </c>
      <c r="AP263" s="47" t="str">
        <f>IF($U263="","",VLOOKUP($U263,'ORF Accuracy Value LookUp'!$G$4:$H$104,2,TRUE))</f>
        <v/>
      </c>
      <c r="AQ263" s="94" t="str">
        <f t="shared" si="56"/>
        <v/>
      </c>
      <c r="AR263" s="46" t="str">
        <f>IF($AE263="","",VLOOKUP($AE263,'ORF Accuracy Value LookUp'!$G$4:$H$104,2,TRUE))</f>
        <v/>
      </c>
      <c r="AS263" s="140" t="str">
        <f t="shared" si="57"/>
        <v/>
      </c>
    </row>
    <row r="264" spans="1:45">
      <c r="A264" s="10"/>
      <c r="B264" s="9"/>
      <c r="C264" s="9"/>
      <c r="D264" s="9"/>
      <c r="E264" s="10"/>
      <c r="F264" s="11"/>
      <c r="G264" s="15"/>
      <c r="H264" s="88"/>
      <c r="I264" s="24"/>
      <c r="J264" s="24"/>
      <c r="K264" s="114" t="str">
        <f t="shared" si="48"/>
        <v/>
      </c>
      <c r="L264" s="24"/>
      <c r="M264" s="24"/>
      <c r="N264" s="24"/>
      <c r="O264" s="24"/>
      <c r="P264" s="97" t="str">
        <f t="shared" si="49"/>
        <v/>
      </c>
      <c r="Q264" s="113" t="str">
        <f t="shared" si="50"/>
        <v/>
      </c>
      <c r="R264" s="88"/>
      <c r="S264" s="24"/>
      <c r="T264" s="24"/>
      <c r="U264" s="78" t="str">
        <f t="shared" si="51"/>
        <v/>
      </c>
      <c r="V264" s="24"/>
      <c r="W264" s="24"/>
      <c r="X264" s="24"/>
      <c r="Y264" s="24"/>
      <c r="Z264" s="98" t="str">
        <f t="shared" si="52"/>
        <v/>
      </c>
      <c r="AA264" s="40" t="str">
        <f t="shared" si="58"/>
        <v/>
      </c>
      <c r="AB264" s="88"/>
      <c r="AC264" s="24"/>
      <c r="AD264" s="24"/>
      <c r="AE264" s="79" t="str">
        <f t="shared" si="53"/>
        <v/>
      </c>
      <c r="AF264" s="24"/>
      <c r="AG264" s="24"/>
      <c r="AH264" s="24"/>
      <c r="AI264" s="24"/>
      <c r="AJ264" s="99" t="str">
        <f t="shared" si="54"/>
        <v/>
      </c>
      <c r="AK264" s="31" t="str">
        <f t="shared" si="59"/>
        <v/>
      </c>
      <c r="AN264" s="139" t="str">
        <f>IF($K264="","",VLOOKUP($K264,'ORF Accuracy Value LookUp'!$G$4:$H$104,2,TRUE))</f>
        <v/>
      </c>
      <c r="AO264" s="94" t="str">
        <f t="shared" si="55"/>
        <v/>
      </c>
      <c r="AP264" s="47" t="str">
        <f>IF($U264="","",VLOOKUP($U264,'ORF Accuracy Value LookUp'!$G$4:$H$104,2,TRUE))</f>
        <v/>
      </c>
      <c r="AQ264" s="94" t="str">
        <f t="shared" si="56"/>
        <v/>
      </c>
      <c r="AR264" s="46" t="str">
        <f>IF($AE264="","",VLOOKUP($AE264,'ORF Accuracy Value LookUp'!$G$4:$H$104,2,TRUE))</f>
        <v/>
      </c>
      <c r="AS264" s="140" t="str">
        <f t="shared" si="57"/>
        <v/>
      </c>
    </row>
    <row r="265" spans="1:45">
      <c r="A265" s="10"/>
      <c r="B265" s="9"/>
      <c r="C265" s="9"/>
      <c r="D265" s="9"/>
      <c r="E265" s="10"/>
      <c r="F265" s="11"/>
      <c r="G265" s="15"/>
      <c r="H265" s="88"/>
      <c r="I265" s="24"/>
      <c r="J265" s="24"/>
      <c r="K265" s="114" t="str">
        <f t="shared" si="48"/>
        <v/>
      </c>
      <c r="L265" s="24"/>
      <c r="M265" s="24"/>
      <c r="N265" s="24"/>
      <c r="O265" s="24"/>
      <c r="P265" s="97" t="str">
        <f t="shared" si="49"/>
        <v/>
      </c>
      <c r="Q265" s="113" t="str">
        <f t="shared" si="50"/>
        <v/>
      </c>
      <c r="R265" s="88"/>
      <c r="S265" s="24"/>
      <c r="T265" s="24"/>
      <c r="U265" s="78" t="str">
        <f t="shared" si="51"/>
        <v/>
      </c>
      <c r="V265" s="24"/>
      <c r="W265" s="24"/>
      <c r="X265" s="24"/>
      <c r="Y265" s="24"/>
      <c r="Z265" s="98" t="str">
        <f t="shared" si="52"/>
        <v/>
      </c>
      <c r="AA265" s="40" t="str">
        <f t="shared" si="58"/>
        <v/>
      </c>
      <c r="AB265" s="88"/>
      <c r="AC265" s="24"/>
      <c r="AD265" s="24"/>
      <c r="AE265" s="79" t="str">
        <f t="shared" si="53"/>
        <v/>
      </c>
      <c r="AF265" s="24"/>
      <c r="AG265" s="24"/>
      <c r="AH265" s="24"/>
      <c r="AI265" s="24"/>
      <c r="AJ265" s="99" t="str">
        <f t="shared" si="54"/>
        <v/>
      </c>
      <c r="AK265" s="31" t="str">
        <f t="shared" si="59"/>
        <v/>
      </c>
      <c r="AN265" s="139" t="str">
        <f>IF($K265="","",VLOOKUP($K265,'ORF Accuracy Value LookUp'!$G$4:$H$104,2,TRUE))</f>
        <v/>
      </c>
      <c r="AO265" s="94" t="str">
        <f t="shared" si="55"/>
        <v/>
      </c>
      <c r="AP265" s="47" t="str">
        <f>IF($U265="","",VLOOKUP($U265,'ORF Accuracy Value LookUp'!$G$4:$H$104,2,TRUE))</f>
        <v/>
      </c>
      <c r="AQ265" s="94" t="str">
        <f t="shared" si="56"/>
        <v/>
      </c>
      <c r="AR265" s="46" t="str">
        <f>IF($AE265="","",VLOOKUP($AE265,'ORF Accuracy Value LookUp'!$G$4:$H$104,2,TRUE))</f>
        <v/>
      </c>
      <c r="AS265" s="140" t="str">
        <f t="shared" si="57"/>
        <v/>
      </c>
    </row>
    <row r="266" spans="1:45">
      <c r="A266" s="10"/>
      <c r="B266" s="9"/>
      <c r="C266" s="9"/>
      <c r="D266" s="9"/>
      <c r="E266" s="10"/>
      <c r="F266" s="11"/>
      <c r="G266" s="15"/>
      <c r="H266" s="88"/>
      <c r="I266" s="24"/>
      <c r="J266" s="24"/>
      <c r="K266" s="114" t="str">
        <f t="shared" si="48"/>
        <v/>
      </c>
      <c r="L266" s="24"/>
      <c r="M266" s="24"/>
      <c r="N266" s="24"/>
      <c r="O266" s="24"/>
      <c r="P266" s="97" t="str">
        <f t="shared" si="49"/>
        <v/>
      </c>
      <c r="Q266" s="113" t="str">
        <f t="shared" si="50"/>
        <v/>
      </c>
      <c r="R266" s="88"/>
      <c r="S266" s="24"/>
      <c r="T266" s="24"/>
      <c r="U266" s="78" t="str">
        <f t="shared" si="51"/>
        <v/>
      </c>
      <c r="V266" s="24"/>
      <c r="W266" s="24"/>
      <c r="X266" s="24"/>
      <c r="Y266" s="24"/>
      <c r="Z266" s="98" t="str">
        <f t="shared" si="52"/>
        <v/>
      </c>
      <c r="AA266" s="40" t="str">
        <f t="shared" si="58"/>
        <v/>
      </c>
      <c r="AB266" s="88"/>
      <c r="AC266" s="24"/>
      <c r="AD266" s="24"/>
      <c r="AE266" s="79" t="str">
        <f t="shared" si="53"/>
        <v/>
      </c>
      <c r="AF266" s="24"/>
      <c r="AG266" s="24"/>
      <c r="AH266" s="24"/>
      <c r="AI266" s="24"/>
      <c r="AJ266" s="99" t="str">
        <f t="shared" si="54"/>
        <v/>
      </c>
      <c r="AK266" s="31" t="str">
        <f t="shared" si="59"/>
        <v/>
      </c>
      <c r="AN266" s="139" t="str">
        <f>IF($K266="","",VLOOKUP($K266,'ORF Accuracy Value LookUp'!$G$4:$H$104,2,TRUE))</f>
        <v/>
      </c>
      <c r="AO266" s="94" t="str">
        <f t="shared" si="55"/>
        <v/>
      </c>
      <c r="AP266" s="47" t="str">
        <f>IF($U266="","",VLOOKUP($U266,'ORF Accuracy Value LookUp'!$G$4:$H$104,2,TRUE))</f>
        <v/>
      </c>
      <c r="AQ266" s="94" t="str">
        <f t="shared" si="56"/>
        <v/>
      </c>
      <c r="AR266" s="46" t="str">
        <f>IF($AE266="","",VLOOKUP($AE266,'ORF Accuracy Value LookUp'!$G$4:$H$104,2,TRUE))</f>
        <v/>
      </c>
      <c r="AS266" s="140" t="str">
        <f t="shared" si="57"/>
        <v/>
      </c>
    </row>
    <row r="267" spans="1:45">
      <c r="A267" s="10"/>
      <c r="B267" s="9"/>
      <c r="C267" s="9"/>
      <c r="D267" s="9"/>
      <c r="E267" s="10"/>
      <c r="F267" s="11"/>
      <c r="G267" s="15"/>
      <c r="H267" s="88"/>
      <c r="I267" s="24"/>
      <c r="J267" s="24"/>
      <c r="K267" s="114" t="str">
        <f t="shared" si="48"/>
        <v/>
      </c>
      <c r="L267" s="24"/>
      <c r="M267" s="24"/>
      <c r="N267" s="24"/>
      <c r="O267" s="24"/>
      <c r="P267" s="97" t="str">
        <f t="shared" si="49"/>
        <v/>
      </c>
      <c r="Q267" s="113" t="str">
        <f t="shared" si="50"/>
        <v/>
      </c>
      <c r="R267" s="88"/>
      <c r="S267" s="24"/>
      <c r="T267" s="24"/>
      <c r="U267" s="78" t="str">
        <f t="shared" si="51"/>
        <v/>
      </c>
      <c r="V267" s="24"/>
      <c r="W267" s="24"/>
      <c r="X267" s="24"/>
      <c r="Y267" s="24"/>
      <c r="Z267" s="98" t="str">
        <f t="shared" si="52"/>
        <v/>
      </c>
      <c r="AA267" s="40" t="str">
        <f t="shared" si="58"/>
        <v/>
      </c>
      <c r="AB267" s="88"/>
      <c r="AC267" s="24"/>
      <c r="AD267" s="24"/>
      <c r="AE267" s="79" t="str">
        <f t="shared" si="53"/>
        <v/>
      </c>
      <c r="AF267" s="24"/>
      <c r="AG267" s="24"/>
      <c r="AH267" s="24"/>
      <c r="AI267" s="24"/>
      <c r="AJ267" s="99" t="str">
        <f t="shared" si="54"/>
        <v/>
      </c>
      <c r="AK267" s="31" t="str">
        <f t="shared" si="59"/>
        <v/>
      </c>
      <c r="AN267" s="139" t="str">
        <f>IF($K267="","",VLOOKUP($K267,'ORF Accuracy Value LookUp'!$G$4:$H$104,2,TRUE))</f>
        <v/>
      </c>
      <c r="AO267" s="94" t="str">
        <f t="shared" si="55"/>
        <v/>
      </c>
      <c r="AP267" s="47" t="str">
        <f>IF($U267="","",VLOOKUP($U267,'ORF Accuracy Value LookUp'!$G$4:$H$104,2,TRUE))</f>
        <v/>
      </c>
      <c r="AQ267" s="94" t="str">
        <f t="shared" si="56"/>
        <v/>
      </c>
      <c r="AR267" s="46" t="str">
        <f>IF($AE267="","",VLOOKUP($AE267,'ORF Accuracy Value LookUp'!$G$4:$H$104,2,TRUE))</f>
        <v/>
      </c>
      <c r="AS267" s="140" t="str">
        <f t="shared" si="57"/>
        <v/>
      </c>
    </row>
    <row r="268" spans="1:45">
      <c r="A268" s="10"/>
      <c r="B268" s="9"/>
      <c r="C268" s="9"/>
      <c r="D268" s="9"/>
      <c r="E268" s="10"/>
      <c r="F268" s="11"/>
      <c r="G268" s="15"/>
      <c r="H268" s="88"/>
      <c r="I268" s="24"/>
      <c r="J268" s="24"/>
      <c r="K268" s="114" t="str">
        <f t="shared" si="48"/>
        <v/>
      </c>
      <c r="L268" s="24"/>
      <c r="M268" s="24"/>
      <c r="N268" s="24"/>
      <c r="O268" s="24"/>
      <c r="P268" s="97" t="str">
        <f t="shared" si="49"/>
        <v/>
      </c>
      <c r="Q268" s="113" t="str">
        <f t="shared" si="50"/>
        <v/>
      </c>
      <c r="R268" s="88"/>
      <c r="S268" s="24"/>
      <c r="T268" s="24"/>
      <c r="U268" s="78" t="str">
        <f t="shared" si="51"/>
        <v/>
      </c>
      <c r="V268" s="24"/>
      <c r="W268" s="24"/>
      <c r="X268" s="24"/>
      <c r="Y268" s="24"/>
      <c r="Z268" s="98" t="str">
        <f t="shared" si="52"/>
        <v/>
      </c>
      <c r="AA268" s="40" t="str">
        <f t="shared" si="58"/>
        <v/>
      </c>
      <c r="AB268" s="88"/>
      <c r="AC268" s="24"/>
      <c r="AD268" s="24"/>
      <c r="AE268" s="79" t="str">
        <f t="shared" si="53"/>
        <v/>
      </c>
      <c r="AF268" s="24"/>
      <c r="AG268" s="24"/>
      <c r="AH268" s="24"/>
      <c r="AI268" s="24"/>
      <c r="AJ268" s="99" t="str">
        <f t="shared" si="54"/>
        <v/>
      </c>
      <c r="AK268" s="31" t="str">
        <f t="shared" si="59"/>
        <v/>
      </c>
      <c r="AN268" s="139" t="str">
        <f>IF($K268="","",VLOOKUP($K268,'ORF Accuracy Value LookUp'!$G$4:$H$104,2,TRUE))</f>
        <v/>
      </c>
      <c r="AO268" s="94" t="str">
        <f t="shared" si="55"/>
        <v/>
      </c>
      <c r="AP268" s="47" t="str">
        <f>IF($U268="","",VLOOKUP($U268,'ORF Accuracy Value LookUp'!$G$4:$H$104,2,TRUE))</f>
        <v/>
      </c>
      <c r="AQ268" s="94" t="str">
        <f t="shared" si="56"/>
        <v/>
      </c>
      <c r="AR268" s="46" t="str">
        <f>IF($AE268="","",VLOOKUP($AE268,'ORF Accuracy Value LookUp'!$G$4:$H$104,2,TRUE))</f>
        <v/>
      </c>
      <c r="AS268" s="140" t="str">
        <f t="shared" si="57"/>
        <v/>
      </c>
    </row>
    <row r="269" spans="1:45">
      <c r="A269" s="10"/>
      <c r="B269" s="9"/>
      <c r="C269" s="9"/>
      <c r="D269" s="9"/>
      <c r="E269" s="10"/>
      <c r="F269" s="11"/>
      <c r="G269" s="15"/>
      <c r="H269" s="88"/>
      <c r="I269" s="24"/>
      <c r="J269" s="24"/>
      <c r="K269" s="114" t="str">
        <f t="shared" si="48"/>
        <v/>
      </c>
      <c r="L269" s="24"/>
      <c r="M269" s="24"/>
      <c r="N269" s="24"/>
      <c r="O269" s="24"/>
      <c r="P269" s="97" t="str">
        <f t="shared" si="49"/>
        <v/>
      </c>
      <c r="Q269" s="113" t="str">
        <f t="shared" si="50"/>
        <v/>
      </c>
      <c r="R269" s="88"/>
      <c r="S269" s="24"/>
      <c r="T269" s="24"/>
      <c r="U269" s="78" t="str">
        <f t="shared" si="51"/>
        <v/>
      </c>
      <c r="V269" s="24"/>
      <c r="W269" s="24"/>
      <c r="X269" s="24"/>
      <c r="Y269" s="24"/>
      <c r="Z269" s="98" t="str">
        <f t="shared" si="52"/>
        <v/>
      </c>
      <c r="AA269" s="40" t="str">
        <f t="shared" si="58"/>
        <v/>
      </c>
      <c r="AB269" s="88"/>
      <c r="AC269" s="24"/>
      <c r="AD269" s="24"/>
      <c r="AE269" s="79" t="str">
        <f t="shared" si="53"/>
        <v/>
      </c>
      <c r="AF269" s="24"/>
      <c r="AG269" s="24"/>
      <c r="AH269" s="24"/>
      <c r="AI269" s="24"/>
      <c r="AJ269" s="99" t="str">
        <f t="shared" si="54"/>
        <v/>
      </c>
      <c r="AK269" s="31" t="str">
        <f t="shared" si="59"/>
        <v/>
      </c>
      <c r="AN269" s="139" t="str">
        <f>IF($K269="","",VLOOKUP($K269,'ORF Accuracy Value LookUp'!$G$4:$H$104,2,TRUE))</f>
        <v/>
      </c>
      <c r="AO269" s="94" t="str">
        <f t="shared" si="55"/>
        <v/>
      </c>
      <c r="AP269" s="47" t="str">
        <f>IF($U269="","",VLOOKUP($U269,'ORF Accuracy Value LookUp'!$G$4:$H$104,2,TRUE))</f>
        <v/>
      </c>
      <c r="AQ269" s="94" t="str">
        <f t="shared" si="56"/>
        <v/>
      </c>
      <c r="AR269" s="46" t="str">
        <f>IF($AE269="","",VLOOKUP($AE269,'ORF Accuracy Value LookUp'!$G$4:$H$104,2,TRUE))</f>
        <v/>
      </c>
      <c r="AS269" s="140" t="str">
        <f t="shared" si="57"/>
        <v/>
      </c>
    </row>
    <row r="270" spans="1:45">
      <c r="A270" s="10"/>
      <c r="B270" s="9"/>
      <c r="C270" s="9"/>
      <c r="D270" s="9"/>
      <c r="E270" s="10"/>
      <c r="F270" s="11"/>
      <c r="G270" s="15"/>
      <c r="H270" s="88"/>
      <c r="I270" s="24"/>
      <c r="J270" s="24"/>
      <c r="K270" s="114" t="str">
        <f t="shared" si="48"/>
        <v/>
      </c>
      <c r="L270" s="24"/>
      <c r="M270" s="24"/>
      <c r="N270" s="24"/>
      <c r="O270" s="24"/>
      <c r="P270" s="97" t="str">
        <f t="shared" si="49"/>
        <v/>
      </c>
      <c r="Q270" s="113" t="str">
        <f t="shared" si="50"/>
        <v/>
      </c>
      <c r="R270" s="88"/>
      <c r="S270" s="24"/>
      <c r="T270" s="24"/>
      <c r="U270" s="78" t="str">
        <f t="shared" si="51"/>
        <v/>
      </c>
      <c r="V270" s="24"/>
      <c r="W270" s="24"/>
      <c r="X270" s="24"/>
      <c r="Y270" s="24"/>
      <c r="Z270" s="98" t="str">
        <f t="shared" si="52"/>
        <v/>
      </c>
      <c r="AA270" s="40" t="str">
        <f t="shared" si="58"/>
        <v/>
      </c>
      <c r="AB270" s="88"/>
      <c r="AC270" s="24"/>
      <c r="AD270" s="24"/>
      <c r="AE270" s="79" t="str">
        <f t="shared" si="53"/>
        <v/>
      </c>
      <c r="AF270" s="24"/>
      <c r="AG270" s="24"/>
      <c r="AH270" s="24"/>
      <c r="AI270" s="24"/>
      <c r="AJ270" s="99" t="str">
        <f t="shared" si="54"/>
        <v/>
      </c>
      <c r="AK270" s="31" t="str">
        <f t="shared" si="59"/>
        <v/>
      </c>
      <c r="AN270" s="139" t="str">
        <f>IF($K270="","",VLOOKUP($K270,'ORF Accuracy Value LookUp'!$G$4:$H$104,2,TRUE))</f>
        <v/>
      </c>
      <c r="AO270" s="94" t="str">
        <f t="shared" si="55"/>
        <v/>
      </c>
      <c r="AP270" s="47" t="str">
        <f>IF($U270="","",VLOOKUP($U270,'ORF Accuracy Value LookUp'!$G$4:$H$104,2,TRUE))</f>
        <v/>
      </c>
      <c r="AQ270" s="94" t="str">
        <f t="shared" si="56"/>
        <v/>
      </c>
      <c r="AR270" s="46" t="str">
        <f>IF($AE270="","",VLOOKUP($AE270,'ORF Accuracy Value LookUp'!$G$4:$H$104,2,TRUE))</f>
        <v/>
      </c>
      <c r="AS270" s="140" t="str">
        <f t="shared" si="57"/>
        <v/>
      </c>
    </row>
    <row r="271" spans="1:45">
      <c r="A271" s="10"/>
      <c r="B271" s="9"/>
      <c r="C271" s="9"/>
      <c r="D271" s="9"/>
      <c r="E271" s="10"/>
      <c r="F271" s="11"/>
      <c r="G271" s="15"/>
      <c r="H271" s="88"/>
      <c r="I271" s="24"/>
      <c r="J271" s="24"/>
      <c r="K271" s="114" t="str">
        <f t="shared" si="48"/>
        <v/>
      </c>
      <c r="L271" s="24"/>
      <c r="M271" s="24"/>
      <c r="N271" s="24"/>
      <c r="O271" s="24"/>
      <c r="P271" s="97" t="str">
        <f t="shared" si="49"/>
        <v/>
      </c>
      <c r="Q271" s="113" t="str">
        <f t="shared" si="50"/>
        <v/>
      </c>
      <c r="R271" s="88"/>
      <c r="S271" s="24"/>
      <c r="T271" s="24"/>
      <c r="U271" s="78" t="str">
        <f t="shared" si="51"/>
        <v/>
      </c>
      <c r="V271" s="24"/>
      <c r="W271" s="24"/>
      <c r="X271" s="24"/>
      <c r="Y271" s="24"/>
      <c r="Z271" s="98" t="str">
        <f t="shared" si="52"/>
        <v/>
      </c>
      <c r="AA271" s="40" t="str">
        <f t="shared" si="58"/>
        <v/>
      </c>
      <c r="AB271" s="88"/>
      <c r="AC271" s="24"/>
      <c r="AD271" s="24"/>
      <c r="AE271" s="79" t="str">
        <f t="shared" si="53"/>
        <v/>
      </c>
      <c r="AF271" s="24"/>
      <c r="AG271" s="24"/>
      <c r="AH271" s="24"/>
      <c r="AI271" s="24"/>
      <c r="AJ271" s="99" t="str">
        <f t="shared" si="54"/>
        <v/>
      </c>
      <c r="AK271" s="31" t="str">
        <f t="shared" si="59"/>
        <v/>
      </c>
      <c r="AN271" s="139" t="str">
        <f>IF($K271="","",VLOOKUP($K271,'ORF Accuracy Value LookUp'!$G$4:$H$104,2,TRUE))</f>
        <v/>
      </c>
      <c r="AO271" s="94" t="str">
        <f t="shared" si="55"/>
        <v/>
      </c>
      <c r="AP271" s="47" t="str">
        <f>IF($U271="","",VLOOKUP($U271,'ORF Accuracy Value LookUp'!$G$4:$H$104,2,TRUE))</f>
        <v/>
      </c>
      <c r="AQ271" s="94" t="str">
        <f t="shared" si="56"/>
        <v/>
      </c>
      <c r="AR271" s="46" t="str">
        <f>IF($AE271="","",VLOOKUP($AE271,'ORF Accuracy Value LookUp'!$G$4:$H$104,2,TRUE))</f>
        <v/>
      </c>
      <c r="AS271" s="140" t="str">
        <f t="shared" si="57"/>
        <v/>
      </c>
    </row>
    <row r="272" spans="1:45">
      <c r="A272" s="10"/>
      <c r="B272" s="9"/>
      <c r="C272" s="9"/>
      <c r="D272" s="9"/>
      <c r="E272" s="10"/>
      <c r="F272" s="11"/>
      <c r="G272" s="15"/>
      <c r="H272" s="88"/>
      <c r="I272" s="24"/>
      <c r="J272" s="24"/>
      <c r="K272" s="114" t="str">
        <f t="shared" si="48"/>
        <v/>
      </c>
      <c r="L272" s="24"/>
      <c r="M272" s="24"/>
      <c r="N272" s="24"/>
      <c r="O272" s="24"/>
      <c r="P272" s="97" t="str">
        <f t="shared" si="49"/>
        <v/>
      </c>
      <c r="Q272" s="113" t="str">
        <f t="shared" si="50"/>
        <v/>
      </c>
      <c r="R272" s="88"/>
      <c r="S272" s="24"/>
      <c r="T272" s="24"/>
      <c r="U272" s="78" t="str">
        <f t="shared" si="51"/>
        <v/>
      </c>
      <c r="V272" s="24"/>
      <c r="W272" s="24"/>
      <c r="X272" s="24"/>
      <c r="Y272" s="24"/>
      <c r="Z272" s="98" t="str">
        <f t="shared" si="52"/>
        <v/>
      </c>
      <c r="AA272" s="40" t="str">
        <f t="shared" si="58"/>
        <v/>
      </c>
      <c r="AB272" s="88"/>
      <c r="AC272" s="24"/>
      <c r="AD272" s="24"/>
      <c r="AE272" s="79" t="str">
        <f t="shared" si="53"/>
        <v/>
      </c>
      <c r="AF272" s="24"/>
      <c r="AG272" s="24"/>
      <c r="AH272" s="24"/>
      <c r="AI272" s="24"/>
      <c r="AJ272" s="99" t="str">
        <f t="shared" si="54"/>
        <v/>
      </c>
      <c r="AK272" s="31" t="str">
        <f t="shared" si="59"/>
        <v/>
      </c>
      <c r="AN272" s="139" t="str">
        <f>IF($K272="","",VLOOKUP($K272,'ORF Accuracy Value LookUp'!$G$4:$H$104,2,TRUE))</f>
        <v/>
      </c>
      <c r="AO272" s="94" t="str">
        <f t="shared" si="55"/>
        <v/>
      </c>
      <c r="AP272" s="47" t="str">
        <f>IF($U272="","",VLOOKUP($U272,'ORF Accuracy Value LookUp'!$G$4:$H$104,2,TRUE))</f>
        <v/>
      </c>
      <c r="AQ272" s="94" t="str">
        <f t="shared" si="56"/>
        <v/>
      </c>
      <c r="AR272" s="46" t="str">
        <f>IF($AE272="","",VLOOKUP($AE272,'ORF Accuracy Value LookUp'!$G$4:$H$104,2,TRUE))</f>
        <v/>
      </c>
      <c r="AS272" s="140" t="str">
        <f t="shared" si="57"/>
        <v/>
      </c>
    </row>
    <row r="273" spans="1:45">
      <c r="A273" s="10"/>
      <c r="B273" s="9"/>
      <c r="C273" s="9"/>
      <c r="D273" s="9"/>
      <c r="E273" s="10"/>
      <c r="F273" s="11"/>
      <c r="G273" s="15"/>
      <c r="H273" s="88"/>
      <c r="I273" s="24"/>
      <c r="J273" s="24"/>
      <c r="K273" s="114" t="str">
        <f t="shared" si="48"/>
        <v/>
      </c>
      <c r="L273" s="24"/>
      <c r="M273" s="24"/>
      <c r="N273" s="24"/>
      <c r="O273" s="24"/>
      <c r="P273" s="97" t="str">
        <f t="shared" si="49"/>
        <v/>
      </c>
      <c r="Q273" s="113" t="str">
        <f t="shared" si="50"/>
        <v/>
      </c>
      <c r="R273" s="88"/>
      <c r="S273" s="24"/>
      <c r="T273" s="24"/>
      <c r="U273" s="78" t="str">
        <f t="shared" si="51"/>
        <v/>
      </c>
      <c r="V273" s="24"/>
      <c r="W273" s="24"/>
      <c r="X273" s="24"/>
      <c r="Y273" s="24"/>
      <c r="Z273" s="98" t="str">
        <f t="shared" si="52"/>
        <v/>
      </c>
      <c r="AA273" s="40" t="str">
        <f t="shared" si="58"/>
        <v/>
      </c>
      <c r="AB273" s="88"/>
      <c r="AC273" s="24"/>
      <c r="AD273" s="24"/>
      <c r="AE273" s="79" t="str">
        <f t="shared" si="53"/>
        <v/>
      </c>
      <c r="AF273" s="24"/>
      <c r="AG273" s="24"/>
      <c r="AH273" s="24"/>
      <c r="AI273" s="24"/>
      <c r="AJ273" s="99" t="str">
        <f t="shared" si="54"/>
        <v/>
      </c>
      <c r="AK273" s="31" t="str">
        <f t="shared" si="59"/>
        <v/>
      </c>
      <c r="AN273" s="139" t="str">
        <f>IF($K273="","",VLOOKUP($K273,'ORF Accuracy Value LookUp'!$G$4:$H$104,2,TRUE))</f>
        <v/>
      </c>
      <c r="AO273" s="94" t="str">
        <f t="shared" si="55"/>
        <v/>
      </c>
      <c r="AP273" s="47" t="str">
        <f>IF($U273="","",VLOOKUP($U273,'ORF Accuracy Value LookUp'!$G$4:$H$104,2,TRUE))</f>
        <v/>
      </c>
      <c r="AQ273" s="94" t="str">
        <f t="shared" si="56"/>
        <v/>
      </c>
      <c r="AR273" s="46" t="str">
        <f>IF($AE273="","",VLOOKUP($AE273,'ORF Accuracy Value LookUp'!$G$4:$H$104,2,TRUE))</f>
        <v/>
      </c>
      <c r="AS273" s="140" t="str">
        <f t="shared" si="57"/>
        <v/>
      </c>
    </row>
    <row r="274" spans="1:45">
      <c r="A274" s="10"/>
      <c r="B274" s="9"/>
      <c r="C274" s="9"/>
      <c r="D274" s="9"/>
      <c r="E274" s="10"/>
      <c r="F274" s="11"/>
      <c r="G274" s="15"/>
      <c r="H274" s="88"/>
      <c r="I274" s="24"/>
      <c r="J274" s="24"/>
      <c r="K274" s="114" t="str">
        <f t="shared" si="48"/>
        <v/>
      </c>
      <c r="L274" s="24"/>
      <c r="M274" s="24"/>
      <c r="N274" s="24"/>
      <c r="O274" s="24"/>
      <c r="P274" s="97" t="str">
        <f t="shared" si="49"/>
        <v/>
      </c>
      <c r="Q274" s="113" t="str">
        <f t="shared" si="50"/>
        <v/>
      </c>
      <c r="R274" s="88"/>
      <c r="S274" s="24"/>
      <c r="T274" s="24"/>
      <c r="U274" s="78" t="str">
        <f t="shared" si="51"/>
        <v/>
      </c>
      <c r="V274" s="24"/>
      <c r="W274" s="24"/>
      <c r="X274" s="24"/>
      <c r="Y274" s="24"/>
      <c r="Z274" s="98" t="str">
        <f t="shared" si="52"/>
        <v/>
      </c>
      <c r="AA274" s="40" t="str">
        <f t="shared" si="58"/>
        <v/>
      </c>
      <c r="AB274" s="88"/>
      <c r="AC274" s="24"/>
      <c r="AD274" s="24"/>
      <c r="AE274" s="79" t="str">
        <f t="shared" si="53"/>
        <v/>
      </c>
      <c r="AF274" s="24"/>
      <c r="AG274" s="24"/>
      <c r="AH274" s="24"/>
      <c r="AI274" s="24"/>
      <c r="AJ274" s="99" t="str">
        <f t="shared" si="54"/>
        <v/>
      </c>
      <c r="AK274" s="31" t="str">
        <f t="shared" si="59"/>
        <v/>
      </c>
      <c r="AN274" s="139" t="str">
        <f>IF($K274="","",VLOOKUP($K274,'ORF Accuracy Value LookUp'!$G$4:$H$104,2,TRUE))</f>
        <v/>
      </c>
      <c r="AO274" s="94" t="str">
        <f t="shared" si="55"/>
        <v/>
      </c>
      <c r="AP274" s="47" t="str">
        <f>IF($U274="","",VLOOKUP($U274,'ORF Accuracy Value LookUp'!$G$4:$H$104,2,TRUE))</f>
        <v/>
      </c>
      <c r="AQ274" s="94" t="str">
        <f t="shared" si="56"/>
        <v/>
      </c>
      <c r="AR274" s="46" t="str">
        <f>IF($AE274="","",VLOOKUP($AE274,'ORF Accuracy Value LookUp'!$G$4:$H$104,2,TRUE))</f>
        <v/>
      </c>
      <c r="AS274" s="140" t="str">
        <f t="shared" si="57"/>
        <v/>
      </c>
    </row>
    <row r="275" spans="1:45">
      <c r="A275" s="10"/>
      <c r="B275" s="9"/>
      <c r="C275" s="9"/>
      <c r="D275" s="9"/>
      <c r="E275" s="10"/>
      <c r="F275" s="11"/>
      <c r="G275" s="15"/>
      <c r="H275" s="88"/>
      <c r="I275" s="24"/>
      <c r="J275" s="24"/>
      <c r="K275" s="114" t="str">
        <f t="shared" si="48"/>
        <v/>
      </c>
      <c r="L275" s="24"/>
      <c r="M275" s="24"/>
      <c r="N275" s="24"/>
      <c r="O275" s="24"/>
      <c r="P275" s="97" t="str">
        <f t="shared" si="49"/>
        <v/>
      </c>
      <c r="Q275" s="113" t="str">
        <f t="shared" si="50"/>
        <v/>
      </c>
      <c r="R275" s="88"/>
      <c r="S275" s="24"/>
      <c r="T275" s="24"/>
      <c r="U275" s="78" t="str">
        <f t="shared" si="51"/>
        <v/>
      </c>
      <c r="V275" s="24"/>
      <c r="W275" s="24"/>
      <c r="X275" s="24"/>
      <c r="Y275" s="24"/>
      <c r="Z275" s="98" t="str">
        <f t="shared" si="52"/>
        <v/>
      </c>
      <c r="AA275" s="40" t="str">
        <f t="shared" si="58"/>
        <v/>
      </c>
      <c r="AB275" s="88"/>
      <c r="AC275" s="24"/>
      <c r="AD275" s="24"/>
      <c r="AE275" s="79" t="str">
        <f t="shared" si="53"/>
        <v/>
      </c>
      <c r="AF275" s="24"/>
      <c r="AG275" s="24"/>
      <c r="AH275" s="24"/>
      <c r="AI275" s="24"/>
      <c r="AJ275" s="99" t="str">
        <f t="shared" si="54"/>
        <v/>
      </c>
      <c r="AK275" s="31" t="str">
        <f t="shared" si="59"/>
        <v/>
      </c>
      <c r="AN275" s="139" t="str">
        <f>IF($K275="","",VLOOKUP($K275,'ORF Accuracy Value LookUp'!$G$4:$H$104,2,TRUE))</f>
        <v/>
      </c>
      <c r="AO275" s="94" t="str">
        <f t="shared" si="55"/>
        <v/>
      </c>
      <c r="AP275" s="47" t="str">
        <f>IF($U275="","",VLOOKUP($U275,'ORF Accuracy Value LookUp'!$G$4:$H$104,2,TRUE))</f>
        <v/>
      </c>
      <c r="AQ275" s="94" t="str">
        <f t="shared" si="56"/>
        <v/>
      </c>
      <c r="AR275" s="46" t="str">
        <f>IF($AE275="","",VLOOKUP($AE275,'ORF Accuracy Value LookUp'!$G$4:$H$104,2,TRUE))</f>
        <v/>
      </c>
      <c r="AS275" s="140" t="str">
        <f t="shared" si="57"/>
        <v/>
      </c>
    </row>
    <row r="276" spans="1:45">
      <c r="A276" s="10"/>
      <c r="B276" s="9"/>
      <c r="C276" s="9"/>
      <c r="D276" s="9"/>
      <c r="E276" s="10"/>
      <c r="F276" s="11"/>
      <c r="G276" s="15"/>
      <c r="H276" s="88"/>
      <c r="I276" s="24"/>
      <c r="J276" s="24"/>
      <c r="K276" s="114" t="str">
        <f t="shared" si="48"/>
        <v/>
      </c>
      <c r="L276" s="24"/>
      <c r="M276" s="24"/>
      <c r="N276" s="24"/>
      <c r="O276" s="24"/>
      <c r="P276" s="97" t="str">
        <f t="shared" si="49"/>
        <v/>
      </c>
      <c r="Q276" s="113" t="str">
        <f t="shared" si="50"/>
        <v/>
      </c>
      <c r="R276" s="88"/>
      <c r="S276" s="24"/>
      <c r="T276" s="24"/>
      <c r="U276" s="78" t="str">
        <f t="shared" si="51"/>
        <v/>
      </c>
      <c r="V276" s="24"/>
      <c r="W276" s="24"/>
      <c r="X276" s="24"/>
      <c r="Y276" s="24"/>
      <c r="Z276" s="98" t="str">
        <f t="shared" si="52"/>
        <v/>
      </c>
      <c r="AA276" s="40" t="str">
        <f t="shared" si="58"/>
        <v/>
      </c>
      <c r="AB276" s="88"/>
      <c r="AC276" s="24"/>
      <c r="AD276" s="24"/>
      <c r="AE276" s="79" t="str">
        <f t="shared" si="53"/>
        <v/>
      </c>
      <c r="AF276" s="24"/>
      <c r="AG276" s="24"/>
      <c r="AH276" s="24"/>
      <c r="AI276" s="24"/>
      <c r="AJ276" s="99" t="str">
        <f t="shared" si="54"/>
        <v/>
      </c>
      <c r="AK276" s="31" t="str">
        <f t="shared" si="59"/>
        <v/>
      </c>
      <c r="AN276" s="139" t="str">
        <f>IF($K276="","",VLOOKUP($K276,'ORF Accuracy Value LookUp'!$G$4:$H$104,2,TRUE))</f>
        <v/>
      </c>
      <c r="AO276" s="94" t="str">
        <f t="shared" si="55"/>
        <v/>
      </c>
      <c r="AP276" s="47" t="str">
        <f>IF($U276="","",VLOOKUP($U276,'ORF Accuracy Value LookUp'!$G$4:$H$104,2,TRUE))</f>
        <v/>
      </c>
      <c r="AQ276" s="94" t="str">
        <f t="shared" si="56"/>
        <v/>
      </c>
      <c r="AR276" s="46" t="str">
        <f>IF($AE276="","",VLOOKUP($AE276,'ORF Accuracy Value LookUp'!$G$4:$H$104,2,TRUE))</f>
        <v/>
      </c>
      <c r="AS276" s="140" t="str">
        <f t="shared" si="57"/>
        <v/>
      </c>
    </row>
    <row r="277" spans="1:45">
      <c r="A277" s="10"/>
      <c r="B277" s="9"/>
      <c r="C277" s="9"/>
      <c r="D277" s="9"/>
      <c r="E277" s="10"/>
      <c r="F277" s="11"/>
      <c r="G277" s="15"/>
      <c r="H277" s="88"/>
      <c r="I277" s="24"/>
      <c r="J277" s="24"/>
      <c r="K277" s="114" t="str">
        <f t="shared" si="48"/>
        <v/>
      </c>
      <c r="L277" s="24"/>
      <c r="M277" s="24"/>
      <c r="N277" s="24"/>
      <c r="O277" s="24"/>
      <c r="P277" s="97" t="str">
        <f t="shared" si="49"/>
        <v/>
      </c>
      <c r="Q277" s="113" t="str">
        <f t="shared" si="50"/>
        <v/>
      </c>
      <c r="R277" s="88"/>
      <c r="S277" s="24"/>
      <c r="T277" s="24"/>
      <c r="U277" s="78" t="str">
        <f t="shared" si="51"/>
        <v/>
      </c>
      <c r="V277" s="24"/>
      <c r="W277" s="24"/>
      <c r="X277" s="24"/>
      <c r="Y277" s="24"/>
      <c r="Z277" s="98" t="str">
        <f t="shared" si="52"/>
        <v/>
      </c>
      <c r="AA277" s="40" t="str">
        <f t="shared" si="58"/>
        <v/>
      </c>
      <c r="AB277" s="88"/>
      <c r="AC277" s="24"/>
      <c r="AD277" s="24"/>
      <c r="AE277" s="79" t="str">
        <f t="shared" si="53"/>
        <v/>
      </c>
      <c r="AF277" s="24"/>
      <c r="AG277" s="24"/>
      <c r="AH277" s="24"/>
      <c r="AI277" s="24"/>
      <c r="AJ277" s="99" t="str">
        <f t="shared" si="54"/>
        <v/>
      </c>
      <c r="AK277" s="31" t="str">
        <f t="shared" si="59"/>
        <v/>
      </c>
      <c r="AN277" s="139" t="str">
        <f>IF($K277="","",VLOOKUP($K277,'ORF Accuracy Value LookUp'!$G$4:$H$104,2,TRUE))</f>
        <v/>
      </c>
      <c r="AO277" s="94" t="str">
        <f t="shared" si="55"/>
        <v/>
      </c>
      <c r="AP277" s="47" t="str">
        <f>IF($U277="","",VLOOKUP($U277,'ORF Accuracy Value LookUp'!$G$4:$H$104,2,TRUE))</f>
        <v/>
      </c>
      <c r="AQ277" s="94" t="str">
        <f t="shared" si="56"/>
        <v/>
      </c>
      <c r="AR277" s="46" t="str">
        <f>IF($AE277="","",VLOOKUP($AE277,'ORF Accuracy Value LookUp'!$G$4:$H$104,2,TRUE))</f>
        <v/>
      </c>
      <c r="AS277" s="140" t="str">
        <f t="shared" si="57"/>
        <v/>
      </c>
    </row>
    <row r="278" spans="1:45">
      <c r="A278" s="10"/>
      <c r="B278" s="9"/>
      <c r="C278" s="9"/>
      <c r="D278" s="9"/>
      <c r="E278" s="10"/>
      <c r="F278" s="11"/>
      <c r="G278" s="15"/>
      <c r="H278" s="88"/>
      <c r="I278" s="24"/>
      <c r="J278" s="24"/>
      <c r="K278" s="114" t="str">
        <f t="shared" si="48"/>
        <v/>
      </c>
      <c r="L278" s="24"/>
      <c r="M278" s="24"/>
      <c r="N278" s="24"/>
      <c r="O278" s="24"/>
      <c r="P278" s="97" t="str">
        <f t="shared" si="49"/>
        <v/>
      </c>
      <c r="Q278" s="113" t="str">
        <f t="shared" si="50"/>
        <v/>
      </c>
      <c r="R278" s="88"/>
      <c r="S278" s="24"/>
      <c r="T278" s="24"/>
      <c r="U278" s="78" t="str">
        <f t="shared" si="51"/>
        <v/>
      </c>
      <c r="V278" s="24"/>
      <c r="W278" s="24"/>
      <c r="X278" s="24"/>
      <c r="Y278" s="24"/>
      <c r="Z278" s="98" t="str">
        <f t="shared" si="52"/>
        <v/>
      </c>
      <c r="AA278" s="40" t="str">
        <f t="shared" si="58"/>
        <v/>
      </c>
      <c r="AB278" s="88"/>
      <c r="AC278" s="24"/>
      <c r="AD278" s="24"/>
      <c r="AE278" s="79" t="str">
        <f t="shared" si="53"/>
        <v/>
      </c>
      <c r="AF278" s="24"/>
      <c r="AG278" s="24"/>
      <c r="AH278" s="24"/>
      <c r="AI278" s="24"/>
      <c r="AJ278" s="99" t="str">
        <f t="shared" si="54"/>
        <v/>
      </c>
      <c r="AK278" s="31" t="str">
        <f t="shared" si="59"/>
        <v/>
      </c>
      <c r="AN278" s="139" t="str">
        <f>IF($K278="","",VLOOKUP($K278,'ORF Accuracy Value LookUp'!$G$4:$H$104,2,TRUE))</f>
        <v/>
      </c>
      <c r="AO278" s="94" t="str">
        <f t="shared" si="55"/>
        <v/>
      </c>
      <c r="AP278" s="47" t="str">
        <f>IF($U278="","",VLOOKUP($U278,'ORF Accuracy Value LookUp'!$G$4:$H$104,2,TRUE))</f>
        <v/>
      </c>
      <c r="AQ278" s="94" t="str">
        <f t="shared" si="56"/>
        <v/>
      </c>
      <c r="AR278" s="46" t="str">
        <f>IF($AE278="","",VLOOKUP($AE278,'ORF Accuracy Value LookUp'!$G$4:$H$104,2,TRUE))</f>
        <v/>
      </c>
      <c r="AS278" s="140" t="str">
        <f t="shared" si="57"/>
        <v/>
      </c>
    </row>
    <row r="279" spans="1:45">
      <c r="A279" s="10"/>
      <c r="B279" s="9"/>
      <c r="C279" s="9"/>
      <c r="D279" s="9"/>
      <c r="E279" s="10"/>
      <c r="F279" s="11"/>
      <c r="G279" s="15"/>
      <c r="H279" s="88"/>
      <c r="I279" s="24"/>
      <c r="J279" s="24"/>
      <c r="K279" s="114" t="str">
        <f t="shared" si="48"/>
        <v/>
      </c>
      <c r="L279" s="24"/>
      <c r="M279" s="24"/>
      <c r="N279" s="24"/>
      <c r="O279" s="24"/>
      <c r="P279" s="97" t="str">
        <f t="shared" si="49"/>
        <v/>
      </c>
      <c r="Q279" s="113" t="str">
        <f t="shared" si="50"/>
        <v/>
      </c>
      <c r="R279" s="88"/>
      <c r="S279" s="24"/>
      <c r="T279" s="24"/>
      <c r="U279" s="78" t="str">
        <f t="shared" si="51"/>
        <v/>
      </c>
      <c r="V279" s="24"/>
      <c r="W279" s="24"/>
      <c r="X279" s="24"/>
      <c r="Y279" s="24"/>
      <c r="Z279" s="98" t="str">
        <f t="shared" si="52"/>
        <v/>
      </c>
      <c r="AA279" s="40" t="str">
        <f t="shared" si="58"/>
        <v/>
      </c>
      <c r="AB279" s="88"/>
      <c r="AC279" s="24"/>
      <c r="AD279" s="24"/>
      <c r="AE279" s="79" t="str">
        <f t="shared" si="53"/>
        <v/>
      </c>
      <c r="AF279" s="24"/>
      <c r="AG279" s="24"/>
      <c r="AH279" s="24"/>
      <c r="AI279" s="24"/>
      <c r="AJ279" s="99" t="str">
        <f t="shared" si="54"/>
        <v/>
      </c>
      <c r="AK279" s="31" t="str">
        <f t="shared" si="59"/>
        <v/>
      </c>
      <c r="AN279" s="139" t="str">
        <f>IF($K279="","",VLOOKUP($K279,'ORF Accuracy Value LookUp'!$G$4:$H$104,2,TRUE))</f>
        <v/>
      </c>
      <c r="AO279" s="94" t="str">
        <f t="shared" si="55"/>
        <v/>
      </c>
      <c r="AP279" s="47" t="str">
        <f>IF($U279="","",VLOOKUP($U279,'ORF Accuracy Value LookUp'!$G$4:$H$104,2,TRUE))</f>
        <v/>
      </c>
      <c r="AQ279" s="94" t="str">
        <f t="shared" si="56"/>
        <v/>
      </c>
      <c r="AR279" s="46" t="str">
        <f>IF($AE279="","",VLOOKUP($AE279,'ORF Accuracy Value LookUp'!$G$4:$H$104,2,TRUE))</f>
        <v/>
      </c>
      <c r="AS279" s="140" t="str">
        <f t="shared" si="57"/>
        <v/>
      </c>
    </row>
    <row r="280" spans="1:45">
      <c r="A280" s="10"/>
      <c r="B280" s="9"/>
      <c r="C280" s="9"/>
      <c r="D280" s="9"/>
      <c r="E280" s="10"/>
      <c r="F280" s="11"/>
      <c r="G280" s="15"/>
      <c r="H280" s="88"/>
      <c r="I280" s="24"/>
      <c r="J280" s="24"/>
      <c r="K280" s="114" t="str">
        <f t="shared" si="48"/>
        <v/>
      </c>
      <c r="L280" s="24"/>
      <c r="M280" s="24"/>
      <c r="N280" s="24"/>
      <c r="O280" s="24"/>
      <c r="P280" s="97" t="str">
        <f t="shared" si="49"/>
        <v/>
      </c>
      <c r="Q280" s="113" t="str">
        <f t="shared" si="50"/>
        <v/>
      </c>
      <c r="R280" s="88"/>
      <c r="S280" s="24"/>
      <c r="T280" s="24"/>
      <c r="U280" s="78" t="str">
        <f t="shared" si="51"/>
        <v/>
      </c>
      <c r="V280" s="24"/>
      <c r="W280" s="24"/>
      <c r="X280" s="24"/>
      <c r="Y280" s="24"/>
      <c r="Z280" s="98" t="str">
        <f t="shared" si="52"/>
        <v/>
      </c>
      <c r="AA280" s="40" t="str">
        <f t="shared" si="58"/>
        <v/>
      </c>
      <c r="AB280" s="88"/>
      <c r="AC280" s="24"/>
      <c r="AD280" s="24"/>
      <c r="AE280" s="79" t="str">
        <f t="shared" si="53"/>
        <v/>
      </c>
      <c r="AF280" s="24"/>
      <c r="AG280" s="24"/>
      <c r="AH280" s="24"/>
      <c r="AI280" s="24"/>
      <c r="AJ280" s="99" t="str">
        <f t="shared" si="54"/>
        <v/>
      </c>
      <c r="AK280" s="31" t="str">
        <f t="shared" si="59"/>
        <v/>
      </c>
      <c r="AN280" s="139" t="str">
        <f>IF($K280="","",VLOOKUP($K280,'ORF Accuracy Value LookUp'!$G$4:$H$104,2,TRUE))</f>
        <v/>
      </c>
      <c r="AO280" s="94" t="str">
        <f t="shared" si="55"/>
        <v/>
      </c>
      <c r="AP280" s="47" t="str">
        <f>IF($U280="","",VLOOKUP($U280,'ORF Accuracy Value LookUp'!$G$4:$H$104,2,TRUE))</f>
        <v/>
      </c>
      <c r="AQ280" s="94" t="str">
        <f t="shared" si="56"/>
        <v/>
      </c>
      <c r="AR280" s="46" t="str">
        <f>IF($AE280="","",VLOOKUP($AE280,'ORF Accuracy Value LookUp'!$G$4:$H$104,2,TRUE))</f>
        <v/>
      </c>
      <c r="AS280" s="140" t="str">
        <f t="shared" si="57"/>
        <v/>
      </c>
    </row>
    <row r="281" spans="1:45">
      <c r="A281" s="10"/>
      <c r="B281" s="9"/>
      <c r="C281" s="9"/>
      <c r="D281" s="9"/>
      <c r="E281" s="10"/>
      <c r="F281" s="11"/>
      <c r="G281" s="15"/>
      <c r="H281" s="88"/>
      <c r="I281" s="24"/>
      <c r="J281" s="24"/>
      <c r="K281" s="114" t="str">
        <f t="shared" si="48"/>
        <v/>
      </c>
      <c r="L281" s="24"/>
      <c r="M281" s="24"/>
      <c r="N281" s="24"/>
      <c r="O281" s="24"/>
      <c r="P281" s="97" t="str">
        <f t="shared" si="49"/>
        <v/>
      </c>
      <c r="Q281" s="113" t="str">
        <f t="shared" si="50"/>
        <v/>
      </c>
      <c r="R281" s="88"/>
      <c r="S281" s="24"/>
      <c r="T281" s="24"/>
      <c r="U281" s="78" t="str">
        <f t="shared" si="51"/>
        <v/>
      </c>
      <c r="V281" s="24"/>
      <c r="W281" s="24"/>
      <c r="X281" s="24"/>
      <c r="Y281" s="24"/>
      <c r="Z281" s="98" t="str">
        <f t="shared" si="52"/>
        <v/>
      </c>
      <c r="AA281" s="40" t="str">
        <f t="shared" si="58"/>
        <v/>
      </c>
      <c r="AB281" s="88"/>
      <c r="AC281" s="24"/>
      <c r="AD281" s="24"/>
      <c r="AE281" s="79" t="str">
        <f t="shared" si="53"/>
        <v/>
      </c>
      <c r="AF281" s="24"/>
      <c r="AG281" s="24"/>
      <c r="AH281" s="24"/>
      <c r="AI281" s="24"/>
      <c r="AJ281" s="99" t="str">
        <f t="shared" si="54"/>
        <v/>
      </c>
      <c r="AK281" s="31" t="str">
        <f t="shared" si="59"/>
        <v/>
      </c>
      <c r="AN281" s="139" t="str">
        <f>IF($K281="","",VLOOKUP($K281,'ORF Accuracy Value LookUp'!$G$4:$H$104,2,TRUE))</f>
        <v/>
      </c>
      <c r="AO281" s="94" t="str">
        <f t="shared" si="55"/>
        <v/>
      </c>
      <c r="AP281" s="47" t="str">
        <f>IF($U281="","",VLOOKUP($U281,'ORF Accuracy Value LookUp'!$G$4:$H$104,2,TRUE))</f>
        <v/>
      </c>
      <c r="AQ281" s="94" t="str">
        <f t="shared" si="56"/>
        <v/>
      </c>
      <c r="AR281" s="46" t="str">
        <f>IF($AE281="","",VLOOKUP($AE281,'ORF Accuracy Value LookUp'!$G$4:$H$104,2,TRUE))</f>
        <v/>
      </c>
      <c r="AS281" s="140" t="str">
        <f t="shared" si="57"/>
        <v/>
      </c>
    </row>
    <row r="282" spans="1:45">
      <c r="A282" s="10"/>
      <c r="B282" s="9"/>
      <c r="C282" s="9"/>
      <c r="D282" s="9"/>
      <c r="E282" s="10"/>
      <c r="F282" s="11"/>
      <c r="G282" s="15"/>
      <c r="H282" s="88"/>
      <c r="I282" s="24"/>
      <c r="J282" s="24"/>
      <c r="K282" s="114" t="str">
        <f t="shared" si="48"/>
        <v/>
      </c>
      <c r="L282" s="24"/>
      <c r="M282" s="24"/>
      <c r="N282" s="24"/>
      <c r="O282" s="24"/>
      <c r="P282" s="97" t="str">
        <f t="shared" si="49"/>
        <v/>
      </c>
      <c r="Q282" s="113" t="str">
        <f t="shared" si="50"/>
        <v/>
      </c>
      <c r="R282" s="88"/>
      <c r="S282" s="24"/>
      <c r="T282" s="24"/>
      <c r="U282" s="78" t="str">
        <f t="shared" si="51"/>
        <v/>
      </c>
      <c r="V282" s="24"/>
      <c r="W282" s="24"/>
      <c r="X282" s="24"/>
      <c r="Y282" s="24"/>
      <c r="Z282" s="98" t="str">
        <f t="shared" si="52"/>
        <v/>
      </c>
      <c r="AA282" s="40" t="str">
        <f t="shared" si="58"/>
        <v/>
      </c>
      <c r="AB282" s="88"/>
      <c r="AC282" s="24"/>
      <c r="AD282" s="24"/>
      <c r="AE282" s="79" t="str">
        <f t="shared" si="53"/>
        <v/>
      </c>
      <c r="AF282" s="24"/>
      <c r="AG282" s="24"/>
      <c r="AH282" s="24"/>
      <c r="AI282" s="24"/>
      <c r="AJ282" s="99" t="str">
        <f t="shared" si="54"/>
        <v/>
      </c>
      <c r="AK282" s="31" t="str">
        <f t="shared" si="59"/>
        <v/>
      </c>
      <c r="AN282" s="139" t="str">
        <f>IF($K282="","",VLOOKUP($K282,'ORF Accuracy Value LookUp'!$G$4:$H$104,2,TRUE))</f>
        <v/>
      </c>
      <c r="AO282" s="94" t="str">
        <f t="shared" si="55"/>
        <v/>
      </c>
      <c r="AP282" s="47" t="str">
        <f>IF($U282="","",VLOOKUP($U282,'ORF Accuracy Value LookUp'!$G$4:$H$104,2,TRUE))</f>
        <v/>
      </c>
      <c r="AQ282" s="94" t="str">
        <f t="shared" si="56"/>
        <v/>
      </c>
      <c r="AR282" s="46" t="str">
        <f>IF($AE282="","",VLOOKUP($AE282,'ORF Accuracy Value LookUp'!$G$4:$H$104,2,TRUE))</f>
        <v/>
      </c>
      <c r="AS282" s="140" t="str">
        <f t="shared" si="57"/>
        <v/>
      </c>
    </row>
    <row r="283" spans="1:45">
      <c r="A283" s="10"/>
      <c r="B283" s="9"/>
      <c r="C283" s="9"/>
      <c r="D283" s="9"/>
      <c r="E283" s="10"/>
      <c r="F283" s="11"/>
      <c r="G283" s="15"/>
      <c r="H283" s="88"/>
      <c r="I283" s="24"/>
      <c r="J283" s="24"/>
      <c r="K283" s="114" t="str">
        <f t="shared" si="48"/>
        <v/>
      </c>
      <c r="L283" s="24"/>
      <c r="M283" s="24"/>
      <c r="N283" s="24"/>
      <c r="O283" s="24"/>
      <c r="P283" s="97" t="str">
        <f t="shared" si="49"/>
        <v/>
      </c>
      <c r="Q283" s="113" t="str">
        <f t="shared" si="50"/>
        <v/>
      </c>
      <c r="R283" s="88"/>
      <c r="S283" s="24"/>
      <c r="T283" s="24"/>
      <c r="U283" s="78" t="str">
        <f t="shared" si="51"/>
        <v/>
      </c>
      <c r="V283" s="24"/>
      <c r="W283" s="24"/>
      <c r="X283" s="24"/>
      <c r="Y283" s="24"/>
      <c r="Z283" s="98" t="str">
        <f t="shared" si="52"/>
        <v/>
      </c>
      <c r="AA283" s="40" t="str">
        <f t="shared" si="58"/>
        <v/>
      </c>
      <c r="AB283" s="88"/>
      <c r="AC283" s="24"/>
      <c r="AD283" s="24"/>
      <c r="AE283" s="79" t="str">
        <f t="shared" si="53"/>
        <v/>
      </c>
      <c r="AF283" s="24"/>
      <c r="AG283" s="24"/>
      <c r="AH283" s="24"/>
      <c r="AI283" s="24"/>
      <c r="AJ283" s="99" t="str">
        <f t="shared" si="54"/>
        <v/>
      </c>
      <c r="AK283" s="31" t="str">
        <f t="shared" si="59"/>
        <v/>
      </c>
      <c r="AN283" s="139" t="str">
        <f>IF($K283="","",VLOOKUP($K283,'ORF Accuracy Value LookUp'!$G$4:$H$104,2,TRUE))</f>
        <v/>
      </c>
      <c r="AO283" s="94" t="str">
        <f t="shared" si="55"/>
        <v/>
      </c>
      <c r="AP283" s="47" t="str">
        <f>IF($U283="","",VLOOKUP($U283,'ORF Accuracy Value LookUp'!$G$4:$H$104,2,TRUE))</f>
        <v/>
      </c>
      <c r="AQ283" s="94" t="str">
        <f t="shared" si="56"/>
        <v/>
      </c>
      <c r="AR283" s="46" t="str">
        <f>IF($AE283="","",VLOOKUP($AE283,'ORF Accuracy Value LookUp'!$G$4:$H$104,2,TRUE))</f>
        <v/>
      </c>
      <c r="AS283" s="140" t="str">
        <f t="shared" si="57"/>
        <v/>
      </c>
    </row>
    <row r="284" spans="1:45">
      <c r="A284" s="10"/>
      <c r="B284" s="9"/>
      <c r="C284" s="9"/>
      <c r="D284" s="9"/>
      <c r="E284" s="10"/>
      <c r="F284" s="11"/>
      <c r="G284" s="15"/>
      <c r="H284" s="88"/>
      <c r="I284" s="24"/>
      <c r="J284" s="24"/>
      <c r="K284" s="114" t="str">
        <f t="shared" si="48"/>
        <v/>
      </c>
      <c r="L284" s="24"/>
      <c r="M284" s="24"/>
      <c r="N284" s="24"/>
      <c r="O284" s="24"/>
      <c r="P284" s="97" t="str">
        <f t="shared" si="49"/>
        <v/>
      </c>
      <c r="Q284" s="113" t="str">
        <f t="shared" si="50"/>
        <v/>
      </c>
      <c r="R284" s="88"/>
      <c r="S284" s="24"/>
      <c r="T284" s="24"/>
      <c r="U284" s="78" t="str">
        <f t="shared" si="51"/>
        <v/>
      </c>
      <c r="V284" s="24"/>
      <c r="W284" s="24"/>
      <c r="X284" s="24"/>
      <c r="Y284" s="24"/>
      <c r="Z284" s="98" t="str">
        <f t="shared" si="52"/>
        <v/>
      </c>
      <c r="AA284" s="40" t="str">
        <f t="shared" si="58"/>
        <v/>
      </c>
      <c r="AB284" s="88"/>
      <c r="AC284" s="24"/>
      <c r="AD284" s="24"/>
      <c r="AE284" s="79" t="str">
        <f t="shared" si="53"/>
        <v/>
      </c>
      <c r="AF284" s="24"/>
      <c r="AG284" s="24"/>
      <c r="AH284" s="24"/>
      <c r="AI284" s="24"/>
      <c r="AJ284" s="99" t="str">
        <f t="shared" si="54"/>
        <v/>
      </c>
      <c r="AK284" s="31" t="str">
        <f t="shared" si="59"/>
        <v/>
      </c>
      <c r="AN284" s="139" t="str">
        <f>IF($K284="","",VLOOKUP($K284,'ORF Accuracy Value LookUp'!$G$4:$H$104,2,TRUE))</f>
        <v/>
      </c>
      <c r="AO284" s="94" t="str">
        <f t="shared" si="55"/>
        <v/>
      </c>
      <c r="AP284" s="47" t="str">
        <f>IF($U284="","",VLOOKUP($U284,'ORF Accuracy Value LookUp'!$G$4:$H$104,2,TRUE))</f>
        <v/>
      </c>
      <c r="AQ284" s="94" t="str">
        <f t="shared" si="56"/>
        <v/>
      </c>
      <c r="AR284" s="46" t="str">
        <f>IF($AE284="","",VLOOKUP($AE284,'ORF Accuracy Value LookUp'!$G$4:$H$104,2,TRUE))</f>
        <v/>
      </c>
      <c r="AS284" s="140" t="str">
        <f t="shared" si="57"/>
        <v/>
      </c>
    </row>
    <row r="285" spans="1:45">
      <c r="A285" s="10"/>
      <c r="B285" s="9"/>
      <c r="C285" s="9"/>
      <c r="D285" s="9"/>
      <c r="E285" s="10"/>
      <c r="F285" s="11"/>
      <c r="G285" s="15"/>
      <c r="H285" s="88"/>
      <c r="I285" s="24"/>
      <c r="J285" s="24"/>
      <c r="K285" s="114" t="str">
        <f t="shared" si="48"/>
        <v/>
      </c>
      <c r="L285" s="24"/>
      <c r="M285" s="24"/>
      <c r="N285" s="24"/>
      <c r="O285" s="24"/>
      <c r="P285" s="97" t="str">
        <f t="shared" si="49"/>
        <v/>
      </c>
      <c r="Q285" s="113" t="str">
        <f t="shared" si="50"/>
        <v/>
      </c>
      <c r="R285" s="88"/>
      <c r="S285" s="24"/>
      <c r="T285" s="24"/>
      <c r="U285" s="78" t="str">
        <f t="shared" si="51"/>
        <v/>
      </c>
      <c r="V285" s="24"/>
      <c r="W285" s="24"/>
      <c r="X285" s="24"/>
      <c r="Y285" s="24"/>
      <c r="Z285" s="98" t="str">
        <f t="shared" si="52"/>
        <v/>
      </c>
      <c r="AA285" s="40" t="str">
        <f t="shared" si="58"/>
        <v/>
      </c>
      <c r="AB285" s="88"/>
      <c r="AC285" s="24"/>
      <c r="AD285" s="24"/>
      <c r="AE285" s="79" t="str">
        <f t="shared" si="53"/>
        <v/>
      </c>
      <c r="AF285" s="24"/>
      <c r="AG285" s="24"/>
      <c r="AH285" s="24"/>
      <c r="AI285" s="24"/>
      <c r="AJ285" s="99" t="str">
        <f t="shared" si="54"/>
        <v/>
      </c>
      <c r="AK285" s="31" t="str">
        <f t="shared" si="59"/>
        <v/>
      </c>
      <c r="AN285" s="139" t="str">
        <f>IF($K285="","",VLOOKUP($K285,'ORF Accuracy Value LookUp'!$G$4:$H$104,2,TRUE))</f>
        <v/>
      </c>
      <c r="AO285" s="94" t="str">
        <f t="shared" si="55"/>
        <v/>
      </c>
      <c r="AP285" s="47" t="str">
        <f>IF($U285="","",VLOOKUP($U285,'ORF Accuracy Value LookUp'!$G$4:$H$104,2,TRUE))</f>
        <v/>
      </c>
      <c r="AQ285" s="94" t="str">
        <f t="shared" si="56"/>
        <v/>
      </c>
      <c r="AR285" s="46" t="str">
        <f>IF($AE285="","",VLOOKUP($AE285,'ORF Accuracy Value LookUp'!$G$4:$H$104,2,TRUE))</f>
        <v/>
      </c>
      <c r="AS285" s="140" t="str">
        <f t="shared" si="57"/>
        <v/>
      </c>
    </row>
    <row r="286" spans="1:45">
      <c r="A286" s="10"/>
      <c r="B286" s="9"/>
      <c r="C286" s="9"/>
      <c r="D286" s="9"/>
      <c r="E286" s="10"/>
      <c r="F286" s="11"/>
      <c r="G286" s="15"/>
      <c r="H286" s="88"/>
      <c r="I286" s="24"/>
      <c r="J286" s="24"/>
      <c r="K286" s="114" t="str">
        <f t="shared" si="48"/>
        <v/>
      </c>
      <c r="L286" s="24"/>
      <c r="M286" s="24"/>
      <c r="N286" s="24"/>
      <c r="O286" s="24"/>
      <c r="P286" s="97" t="str">
        <f t="shared" si="49"/>
        <v/>
      </c>
      <c r="Q286" s="113" t="str">
        <f t="shared" si="50"/>
        <v/>
      </c>
      <c r="R286" s="88"/>
      <c r="S286" s="24"/>
      <c r="T286" s="24"/>
      <c r="U286" s="78" t="str">
        <f t="shared" si="51"/>
        <v/>
      </c>
      <c r="V286" s="24"/>
      <c r="W286" s="24"/>
      <c r="X286" s="24"/>
      <c r="Y286" s="24"/>
      <c r="Z286" s="98" t="str">
        <f t="shared" si="52"/>
        <v/>
      </c>
      <c r="AA286" s="40" t="str">
        <f t="shared" si="58"/>
        <v/>
      </c>
      <c r="AB286" s="88"/>
      <c r="AC286" s="24"/>
      <c r="AD286" s="24"/>
      <c r="AE286" s="79" t="str">
        <f t="shared" si="53"/>
        <v/>
      </c>
      <c r="AF286" s="24"/>
      <c r="AG286" s="24"/>
      <c r="AH286" s="24"/>
      <c r="AI286" s="24"/>
      <c r="AJ286" s="99" t="str">
        <f t="shared" si="54"/>
        <v/>
      </c>
      <c r="AK286" s="31" t="str">
        <f t="shared" si="59"/>
        <v/>
      </c>
      <c r="AN286" s="139" t="str">
        <f>IF($K286="","",VLOOKUP($K286,'ORF Accuracy Value LookUp'!$G$4:$H$104,2,TRUE))</f>
        <v/>
      </c>
      <c r="AO286" s="94" t="str">
        <f t="shared" si="55"/>
        <v/>
      </c>
      <c r="AP286" s="47" t="str">
        <f>IF($U286="","",VLOOKUP($U286,'ORF Accuracy Value LookUp'!$G$4:$H$104,2,TRUE))</f>
        <v/>
      </c>
      <c r="AQ286" s="94" t="str">
        <f t="shared" si="56"/>
        <v/>
      </c>
      <c r="AR286" s="46" t="str">
        <f>IF($AE286="","",VLOOKUP($AE286,'ORF Accuracy Value LookUp'!$G$4:$H$104,2,TRUE))</f>
        <v/>
      </c>
      <c r="AS286" s="140" t="str">
        <f t="shared" si="57"/>
        <v/>
      </c>
    </row>
    <row r="287" spans="1:45">
      <c r="A287" s="10"/>
      <c r="B287" s="9"/>
      <c r="C287" s="9"/>
      <c r="D287" s="9"/>
      <c r="E287" s="10"/>
      <c r="F287" s="11"/>
      <c r="G287" s="15"/>
      <c r="H287" s="88"/>
      <c r="I287" s="24"/>
      <c r="J287" s="24"/>
      <c r="K287" s="114" t="str">
        <f t="shared" si="48"/>
        <v/>
      </c>
      <c r="L287" s="24"/>
      <c r="M287" s="24"/>
      <c r="N287" s="24"/>
      <c r="O287" s="24"/>
      <c r="P287" s="97" t="str">
        <f t="shared" si="49"/>
        <v/>
      </c>
      <c r="Q287" s="113" t="str">
        <f t="shared" si="50"/>
        <v/>
      </c>
      <c r="R287" s="88"/>
      <c r="S287" s="24"/>
      <c r="T287" s="24"/>
      <c r="U287" s="78" t="str">
        <f t="shared" si="51"/>
        <v/>
      </c>
      <c r="V287" s="24"/>
      <c r="W287" s="24"/>
      <c r="X287" s="24"/>
      <c r="Y287" s="24"/>
      <c r="Z287" s="98" t="str">
        <f t="shared" si="52"/>
        <v/>
      </c>
      <c r="AA287" s="40" t="str">
        <f t="shared" si="58"/>
        <v/>
      </c>
      <c r="AB287" s="88"/>
      <c r="AC287" s="24"/>
      <c r="AD287" s="24"/>
      <c r="AE287" s="79" t="str">
        <f t="shared" si="53"/>
        <v/>
      </c>
      <c r="AF287" s="24"/>
      <c r="AG287" s="24"/>
      <c r="AH287" s="24"/>
      <c r="AI287" s="24"/>
      <c r="AJ287" s="99" t="str">
        <f t="shared" si="54"/>
        <v/>
      </c>
      <c r="AK287" s="31" t="str">
        <f t="shared" si="59"/>
        <v/>
      </c>
      <c r="AN287" s="139" t="str">
        <f>IF($K287="","",VLOOKUP($K287,'ORF Accuracy Value LookUp'!$G$4:$H$104,2,TRUE))</f>
        <v/>
      </c>
      <c r="AO287" s="94" t="str">
        <f t="shared" si="55"/>
        <v/>
      </c>
      <c r="AP287" s="47" t="str">
        <f>IF($U287="","",VLOOKUP($U287,'ORF Accuracy Value LookUp'!$G$4:$H$104,2,TRUE))</f>
        <v/>
      </c>
      <c r="AQ287" s="94" t="str">
        <f t="shared" si="56"/>
        <v/>
      </c>
      <c r="AR287" s="46" t="str">
        <f>IF($AE287="","",VLOOKUP($AE287,'ORF Accuracy Value LookUp'!$G$4:$H$104,2,TRUE))</f>
        <v/>
      </c>
      <c r="AS287" s="140" t="str">
        <f t="shared" si="57"/>
        <v/>
      </c>
    </row>
    <row r="288" spans="1:45">
      <c r="A288" s="10"/>
      <c r="B288" s="9"/>
      <c r="C288" s="9"/>
      <c r="D288" s="9"/>
      <c r="E288" s="10"/>
      <c r="F288" s="11"/>
      <c r="G288" s="15"/>
      <c r="H288" s="88"/>
      <c r="I288" s="24"/>
      <c r="J288" s="24"/>
      <c r="K288" s="114" t="str">
        <f t="shared" si="48"/>
        <v/>
      </c>
      <c r="L288" s="24"/>
      <c r="M288" s="24"/>
      <c r="N288" s="24"/>
      <c r="O288" s="24"/>
      <c r="P288" s="97" t="str">
        <f t="shared" si="49"/>
        <v/>
      </c>
      <c r="Q288" s="113" t="str">
        <f t="shared" si="50"/>
        <v/>
      </c>
      <c r="R288" s="88"/>
      <c r="S288" s="24"/>
      <c r="T288" s="24"/>
      <c r="U288" s="78" t="str">
        <f t="shared" si="51"/>
        <v/>
      </c>
      <c r="V288" s="24"/>
      <c r="W288" s="24"/>
      <c r="X288" s="24"/>
      <c r="Y288" s="24"/>
      <c r="Z288" s="98" t="str">
        <f t="shared" si="52"/>
        <v/>
      </c>
      <c r="AA288" s="40" t="str">
        <f t="shared" si="58"/>
        <v/>
      </c>
      <c r="AB288" s="88"/>
      <c r="AC288" s="24"/>
      <c r="AD288" s="24"/>
      <c r="AE288" s="79" t="str">
        <f t="shared" si="53"/>
        <v/>
      </c>
      <c r="AF288" s="24"/>
      <c r="AG288" s="24"/>
      <c r="AH288" s="24"/>
      <c r="AI288" s="24"/>
      <c r="AJ288" s="99" t="str">
        <f t="shared" si="54"/>
        <v/>
      </c>
      <c r="AK288" s="31" t="str">
        <f t="shared" si="59"/>
        <v/>
      </c>
      <c r="AN288" s="139" t="str">
        <f>IF($K288="","",VLOOKUP($K288,'ORF Accuracy Value LookUp'!$G$4:$H$104,2,TRUE))</f>
        <v/>
      </c>
      <c r="AO288" s="94" t="str">
        <f t="shared" si="55"/>
        <v/>
      </c>
      <c r="AP288" s="47" t="str">
        <f>IF($U288="","",VLOOKUP($U288,'ORF Accuracy Value LookUp'!$G$4:$H$104,2,TRUE))</f>
        <v/>
      </c>
      <c r="AQ288" s="94" t="str">
        <f t="shared" si="56"/>
        <v/>
      </c>
      <c r="AR288" s="46" t="str">
        <f>IF($AE288="","",VLOOKUP($AE288,'ORF Accuracy Value LookUp'!$G$4:$H$104,2,TRUE))</f>
        <v/>
      </c>
      <c r="AS288" s="140" t="str">
        <f t="shared" si="57"/>
        <v/>
      </c>
    </row>
    <row r="289" spans="1:45">
      <c r="A289" s="10"/>
      <c r="B289" s="9"/>
      <c r="C289" s="9"/>
      <c r="D289" s="9"/>
      <c r="E289" s="10"/>
      <c r="F289" s="11"/>
      <c r="G289" s="15"/>
      <c r="H289" s="88"/>
      <c r="I289" s="24"/>
      <c r="J289" s="24"/>
      <c r="K289" s="114" t="str">
        <f t="shared" si="48"/>
        <v/>
      </c>
      <c r="L289" s="24"/>
      <c r="M289" s="24"/>
      <c r="N289" s="24"/>
      <c r="O289" s="24"/>
      <c r="P289" s="97" t="str">
        <f t="shared" si="49"/>
        <v/>
      </c>
      <c r="Q289" s="113" t="str">
        <f t="shared" si="50"/>
        <v/>
      </c>
      <c r="R289" s="88"/>
      <c r="S289" s="24"/>
      <c r="T289" s="24"/>
      <c r="U289" s="78" t="str">
        <f t="shared" si="51"/>
        <v/>
      </c>
      <c r="V289" s="24"/>
      <c r="W289" s="24"/>
      <c r="X289" s="24"/>
      <c r="Y289" s="24"/>
      <c r="Z289" s="98" t="str">
        <f t="shared" si="52"/>
        <v/>
      </c>
      <c r="AA289" s="40" t="str">
        <f t="shared" si="58"/>
        <v/>
      </c>
      <c r="AB289" s="88"/>
      <c r="AC289" s="24"/>
      <c r="AD289" s="24"/>
      <c r="AE289" s="79" t="str">
        <f t="shared" si="53"/>
        <v/>
      </c>
      <c r="AF289" s="24"/>
      <c r="AG289" s="24"/>
      <c r="AH289" s="24"/>
      <c r="AI289" s="24"/>
      <c r="AJ289" s="99" t="str">
        <f t="shared" si="54"/>
        <v/>
      </c>
      <c r="AK289" s="31" t="str">
        <f t="shared" si="59"/>
        <v/>
      </c>
      <c r="AN289" s="139" t="str">
        <f>IF($K289="","",VLOOKUP($K289,'ORF Accuracy Value LookUp'!$G$4:$H$104,2,TRUE))</f>
        <v/>
      </c>
      <c r="AO289" s="94" t="str">
        <f t="shared" si="55"/>
        <v/>
      </c>
      <c r="AP289" s="47" t="str">
        <f>IF($U289="","",VLOOKUP($U289,'ORF Accuracy Value LookUp'!$G$4:$H$104,2,TRUE))</f>
        <v/>
      </c>
      <c r="AQ289" s="94" t="str">
        <f t="shared" si="56"/>
        <v/>
      </c>
      <c r="AR289" s="46" t="str">
        <f>IF($AE289="","",VLOOKUP($AE289,'ORF Accuracy Value LookUp'!$G$4:$H$104,2,TRUE))</f>
        <v/>
      </c>
      <c r="AS289" s="140" t="str">
        <f t="shared" si="57"/>
        <v/>
      </c>
    </row>
    <row r="290" spans="1:45">
      <c r="A290" s="10"/>
      <c r="B290" s="9"/>
      <c r="C290" s="9"/>
      <c r="D290" s="9"/>
      <c r="E290" s="10"/>
      <c r="F290" s="11"/>
      <c r="G290" s="15"/>
      <c r="H290" s="88"/>
      <c r="I290" s="24"/>
      <c r="J290" s="24"/>
      <c r="K290" s="114" t="str">
        <f t="shared" si="48"/>
        <v/>
      </c>
      <c r="L290" s="24"/>
      <c r="M290" s="24"/>
      <c r="N290" s="24"/>
      <c r="O290" s="24"/>
      <c r="P290" s="97" t="str">
        <f t="shared" si="49"/>
        <v/>
      </c>
      <c r="Q290" s="113" t="str">
        <f t="shared" si="50"/>
        <v/>
      </c>
      <c r="R290" s="88"/>
      <c r="S290" s="24"/>
      <c r="T290" s="24"/>
      <c r="U290" s="78" t="str">
        <f t="shared" si="51"/>
        <v/>
      </c>
      <c r="V290" s="24"/>
      <c r="W290" s="24"/>
      <c r="X290" s="24"/>
      <c r="Y290" s="24"/>
      <c r="Z290" s="98" t="str">
        <f t="shared" si="52"/>
        <v/>
      </c>
      <c r="AA290" s="40" t="str">
        <f t="shared" si="58"/>
        <v/>
      </c>
      <c r="AB290" s="88"/>
      <c r="AC290" s="24"/>
      <c r="AD290" s="24"/>
      <c r="AE290" s="79" t="str">
        <f t="shared" si="53"/>
        <v/>
      </c>
      <c r="AF290" s="24"/>
      <c r="AG290" s="24"/>
      <c r="AH290" s="24"/>
      <c r="AI290" s="24"/>
      <c r="AJ290" s="99" t="str">
        <f t="shared" si="54"/>
        <v/>
      </c>
      <c r="AK290" s="31" t="str">
        <f t="shared" si="59"/>
        <v/>
      </c>
      <c r="AN290" s="139" t="str">
        <f>IF($K290="","",VLOOKUP($K290,'ORF Accuracy Value LookUp'!$G$4:$H$104,2,TRUE))</f>
        <v/>
      </c>
      <c r="AO290" s="94" t="str">
        <f t="shared" si="55"/>
        <v/>
      </c>
      <c r="AP290" s="47" t="str">
        <f>IF($U290="","",VLOOKUP($U290,'ORF Accuracy Value LookUp'!$G$4:$H$104,2,TRUE))</f>
        <v/>
      </c>
      <c r="AQ290" s="94" t="str">
        <f t="shared" si="56"/>
        <v/>
      </c>
      <c r="AR290" s="46" t="str">
        <f>IF($AE290="","",VLOOKUP($AE290,'ORF Accuracy Value LookUp'!$G$4:$H$104,2,TRUE))</f>
        <v/>
      </c>
      <c r="AS290" s="140" t="str">
        <f t="shared" si="57"/>
        <v/>
      </c>
    </row>
    <row r="291" spans="1:45">
      <c r="A291" s="10"/>
      <c r="B291" s="9"/>
      <c r="C291" s="9"/>
      <c r="D291" s="9"/>
      <c r="E291" s="10"/>
      <c r="F291" s="11"/>
      <c r="G291" s="15"/>
      <c r="H291" s="88"/>
      <c r="I291" s="24"/>
      <c r="J291" s="24"/>
      <c r="K291" s="114" t="str">
        <f t="shared" si="48"/>
        <v/>
      </c>
      <c r="L291" s="24"/>
      <c r="M291" s="24"/>
      <c r="N291" s="24"/>
      <c r="O291" s="24"/>
      <c r="P291" s="97" t="str">
        <f t="shared" si="49"/>
        <v/>
      </c>
      <c r="Q291" s="113" t="str">
        <f t="shared" si="50"/>
        <v/>
      </c>
      <c r="R291" s="88"/>
      <c r="S291" s="24"/>
      <c r="T291" s="24"/>
      <c r="U291" s="78" t="str">
        <f t="shared" si="51"/>
        <v/>
      </c>
      <c r="V291" s="24"/>
      <c r="W291" s="24"/>
      <c r="X291" s="24"/>
      <c r="Y291" s="24"/>
      <c r="Z291" s="98" t="str">
        <f t="shared" si="52"/>
        <v/>
      </c>
      <c r="AA291" s="40" t="str">
        <f t="shared" si="58"/>
        <v/>
      </c>
      <c r="AB291" s="88"/>
      <c r="AC291" s="24"/>
      <c r="AD291" s="24"/>
      <c r="AE291" s="79" t="str">
        <f t="shared" si="53"/>
        <v/>
      </c>
      <c r="AF291" s="24"/>
      <c r="AG291" s="24"/>
      <c r="AH291" s="24"/>
      <c r="AI291" s="24"/>
      <c r="AJ291" s="99" t="str">
        <f t="shared" si="54"/>
        <v/>
      </c>
      <c r="AK291" s="31" t="str">
        <f t="shared" si="59"/>
        <v/>
      </c>
      <c r="AN291" s="139" t="str">
        <f>IF($K291="","",VLOOKUP($K291,'ORF Accuracy Value LookUp'!$G$4:$H$104,2,TRUE))</f>
        <v/>
      </c>
      <c r="AO291" s="94" t="str">
        <f t="shared" si="55"/>
        <v/>
      </c>
      <c r="AP291" s="47" t="str">
        <f>IF($U291="","",VLOOKUP($U291,'ORF Accuracy Value LookUp'!$G$4:$H$104,2,TRUE))</f>
        <v/>
      </c>
      <c r="AQ291" s="94" t="str">
        <f t="shared" si="56"/>
        <v/>
      </c>
      <c r="AR291" s="46" t="str">
        <f>IF($AE291="","",VLOOKUP($AE291,'ORF Accuracy Value LookUp'!$G$4:$H$104,2,TRUE))</f>
        <v/>
      </c>
      <c r="AS291" s="140" t="str">
        <f t="shared" si="57"/>
        <v/>
      </c>
    </row>
    <row r="292" spans="1:45">
      <c r="A292" s="10"/>
      <c r="B292" s="9"/>
      <c r="C292" s="9"/>
      <c r="D292" s="9"/>
      <c r="E292" s="10"/>
      <c r="F292" s="11"/>
      <c r="G292" s="15"/>
      <c r="H292" s="88"/>
      <c r="I292" s="24"/>
      <c r="J292" s="24"/>
      <c r="K292" s="114" t="str">
        <f t="shared" si="48"/>
        <v/>
      </c>
      <c r="L292" s="24"/>
      <c r="M292" s="24"/>
      <c r="N292" s="24"/>
      <c r="O292" s="24"/>
      <c r="P292" s="97" t="str">
        <f t="shared" si="49"/>
        <v/>
      </c>
      <c r="Q292" s="113" t="str">
        <f t="shared" si="50"/>
        <v/>
      </c>
      <c r="R292" s="88"/>
      <c r="S292" s="24"/>
      <c r="T292" s="24"/>
      <c r="U292" s="78" t="str">
        <f t="shared" si="51"/>
        <v/>
      </c>
      <c r="V292" s="24"/>
      <c r="W292" s="24"/>
      <c r="X292" s="24"/>
      <c r="Y292" s="24"/>
      <c r="Z292" s="98" t="str">
        <f t="shared" si="52"/>
        <v/>
      </c>
      <c r="AA292" s="40" t="str">
        <f t="shared" si="58"/>
        <v/>
      </c>
      <c r="AB292" s="88"/>
      <c r="AC292" s="24"/>
      <c r="AD292" s="24"/>
      <c r="AE292" s="79" t="str">
        <f t="shared" si="53"/>
        <v/>
      </c>
      <c r="AF292" s="24"/>
      <c r="AG292" s="24"/>
      <c r="AH292" s="24"/>
      <c r="AI292" s="24"/>
      <c r="AJ292" s="99" t="str">
        <f t="shared" si="54"/>
        <v/>
      </c>
      <c r="AK292" s="31" t="str">
        <f t="shared" si="59"/>
        <v/>
      </c>
      <c r="AN292" s="139" t="str">
        <f>IF($K292="","",VLOOKUP($K292,'ORF Accuracy Value LookUp'!$G$4:$H$104,2,TRUE))</f>
        <v/>
      </c>
      <c r="AO292" s="94" t="str">
        <f t="shared" si="55"/>
        <v/>
      </c>
      <c r="AP292" s="47" t="str">
        <f>IF($U292="","",VLOOKUP($U292,'ORF Accuracy Value LookUp'!$G$4:$H$104,2,TRUE))</f>
        <v/>
      </c>
      <c r="AQ292" s="94" t="str">
        <f t="shared" si="56"/>
        <v/>
      </c>
      <c r="AR292" s="46" t="str">
        <f>IF($AE292="","",VLOOKUP($AE292,'ORF Accuracy Value LookUp'!$G$4:$H$104,2,TRUE))</f>
        <v/>
      </c>
      <c r="AS292" s="140" t="str">
        <f t="shared" si="57"/>
        <v/>
      </c>
    </row>
    <row r="293" spans="1:45">
      <c r="A293" s="10"/>
      <c r="B293" s="9"/>
      <c r="C293" s="9"/>
      <c r="D293" s="9"/>
      <c r="E293" s="10"/>
      <c r="F293" s="11"/>
      <c r="G293" s="15"/>
      <c r="H293" s="88"/>
      <c r="I293" s="24"/>
      <c r="J293" s="24"/>
      <c r="K293" s="114" t="str">
        <f t="shared" si="48"/>
        <v/>
      </c>
      <c r="L293" s="24"/>
      <c r="M293" s="24"/>
      <c r="N293" s="24"/>
      <c r="O293" s="24"/>
      <c r="P293" s="97" t="str">
        <f t="shared" si="49"/>
        <v/>
      </c>
      <c r="Q293" s="113" t="str">
        <f t="shared" si="50"/>
        <v/>
      </c>
      <c r="R293" s="88"/>
      <c r="S293" s="24"/>
      <c r="T293" s="24"/>
      <c r="U293" s="78" t="str">
        <f t="shared" si="51"/>
        <v/>
      </c>
      <c r="V293" s="24"/>
      <c r="W293" s="24"/>
      <c r="X293" s="24"/>
      <c r="Y293" s="24"/>
      <c r="Z293" s="98" t="str">
        <f t="shared" si="52"/>
        <v/>
      </c>
      <c r="AA293" s="40" t="str">
        <f t="shared" si="58"/>
        <v/>
      </c>
      <c r="AB293" s="88"/>
      <c r="AC293" s="24"/>
      <c r="AD293" s="24"/>
      <c r="AE293" s="79" t="str">
        <f t="shared" si="53"/>
        <v/>
      </c>
      <c r="AF293" s="24"/>
      <c r="AG293" s="24"/>
      <c r="AH293" s="24"/>
      <c r="AI293" s="24"/>
      <c r="AJ293" s="99" t="str">
        <f t="shared" si="54"/>
        <v/>
      </c>
      <c r="AK293" s="31" t="str">
        <f t="shared" si="59"/>
        <v/>
      </c>
      <c r="AN293" s="139" t="str">
        <f>IF($K293="","",VLOOKUP($K293,'ORF Accuracy Value LookUp'!$G$4:$H$104,2,TRUE))</f>
        <v/>
      </c>
      <c r="AO293" s="94" t="str">
        <f t="shared" si="55"/>
        <v/>
      </c>
      <c r="AP293" s="47" t="str">
        <f>IF($U293="","",VLOOKUP($U293,'ORF Accuracy Value LookUp'!$G$4:$H$104,2,TRUE))</f>
        <v/>
      </c>
      <c r="AQ293" s="94" t="str">
        <f t="shared" si="56"/>
        <v/>
      </c>
      <c r="AR293" s="46" t="str">
        <f>IF($AE293="","",VLOOKUP($AE293,'ORF Accuracy Value LookUp'!$G$4:$H$104,2,TRUE))</f>
        <v/>
      </c>
      <c r="AS293" s="140" t="str">
        <f t="shared" si="57"/>
        <v/>
      </c>
    </row>
    <row r="294" spans="1:45">
      <c r="A294" s="10"/>
      <c r="B294" s="9"/>
      <c r="C294" s="9"/>
      <c r="D294" s="9"/>
      <c r="E294" s="10"/>
      <c r="F294" s="11"/>
      <c r="G294" s="15"/>
      <c r="H294" s="88"/>
      <c r="I294" s="24"/>
      <c r="J294" s="24"/>
      <c r="K294" s="114" t="str">
        <f t="shared" si="48"/>
        <v/>
      </c>
      <c r="L294" s="24"/>
      <c r="M294" s="24"/>
      <c r="N294" s="24"/>
      <c r="O294" s="24"/>
      <c r="P294" s="97" t="str">
        <f t="shared" si="49"/>
        <v/>
      </c>
      <c r="Q294" s="113" t="str">
        <f t="shared" si="50"/>
        <v/>
      </c>
      <c r="R294" s="88"/>
      <c r="S294" s="24"/>
      <c r="T294" s="24"/>
      <c r="U294" s="78" t="str">
        <f t="shared" si="51"/>
        <v/>
      </c>
      <c r="V294" s="24"/>
      <c r="W294" s="24"/>
      <c r="X294" s="24"/>
      <c r="Y294" s="24"/>
      <c r="Z294" s="98" t="str">
        <f t="shared" si="52"/>
        <v/>
      </c>
      <c r="AA294" s="40" t="str">
        <f t="shared" si="58"/>
        <v/>
      </c>
      <c r="AB294" s="88"/>
      <c r="AC294" s="24"/>
      <c r="AD294" s="24"/>
      <c r="AE294" s="79" t="str">
        <f t="shared" si="53"/>
        <v/>
      </c>
      <c r="AF294" s="24"/>
      <c r="AG294" s="24"/>
      <c r="AH294" s="24"/>
      <c r="AI294" s="24"/>
      <c r="AJ294" s="99" t="str">
        <f t="shared" si="54"/>
        <v/>
      </c>
      <c r="AK294" s="31" t="str">
        <f t="shared" si="59"/>
        <v/>
      </c>
      <c r="AN294" s="139" t="str">
        <f>IF($K294="","",VLOOKUP($K294,'ORF Accuracy Value LookUp'!$G$4:$H$104,2,TRUE))</f>
        <v/>
      </c>
      <c r="AO294" s="94" t="str">
        <f t="shared" si="55"/>
        <v/>
      </c>
      <c r="AP294" s="47" t="str">
        <f>IF($U294="","",VLOOKUP($U294,'ORF Accuracy Value LookUp'!$G$4:$H$104,2,TRUE))</f>
        <v/>
      </c>
      <c r="AQ294" s="94" t="str">
        <f t="shared" si="56"/>
        <v/>
      </c>
      <c r="AR294" s="46" t="str">
        <f>IF($AE294="","",VLOOKUP($AE294,'ORF Accuracy Value LookUp'!$G$4:$H$104,2,TRUE))</f>
        <v/>
      </c>
      <c r="AS294" s="140" t="str">
        <f t="shared" si="57"/>
        <v/>
      </c>
    </row>
    <row r="295" spans="1:45">
      <c r="A295" s="10"/>
      <c r="B295" s="9"/>
      <c r="C295" s="9"/>
      <c r="D295" s="9"/>
      <c r="E295" s="10"/>
      <c r="F295" s="11"/>
      <c r="G295" s="15"/>
      <c r="H295" s="88"/>
      <c r="I295" s="24"/>
      <c r="J295" s="24"/>
      <c r="K295" s="114" t="str">
        <f t="shared" si="48"/>
        <v/>
      </c>
      <c r="L295" s="24"/>
      <c r="M295" s="24"/>
      <c r="N295" s="24"/>
      <c r="O295" s="24"/>
      <c r="P295" s="97" t="str">
        <f t="shared" si="49"/>
        <v/>
      </c>
      <c r="Q295" s="113" t="str">
        <f t="shared" si="50"/>
        <v/>
      </c>
      <c r="R295" s="88"/>
      <c r="S295" s="24"/>
      <c r="T295" s="24"/>
      <c r="U295" s="78" t="str">
        <f t="shared" si="51"/>
        <v/>
      </c>
      <c r="V295" s="24"/>
      <c r="W295" s="24"/>
      <c r="X295" s="24"/>
      <c r="Y295" s="24"/>
      <c r="Z295" s="98" t="str">
        <f t="shared" si="52"/>
        <v/>
      </c>
      <c r="AA295" s="40" t="str">
        <f t="shared" si="58"/>
        <v/>
      </c>
      <c r="AB295" s="88"/>
      <c r="AC295" s="24"/>
      <c r="AD295" s="24"/>
      <c r="AE295" s="79" t="str">
        <f t="shared" si="53"/>
        <v/>
      </c>
      <c r="AF295" s="24"/>
      <c r="AG295" s="24"/>
      <c r="AH295" s="24"/>
      <c r="AI295" s="24"/>
      <c r="AJ295" s="99" t="str">
        <f t="shared" si="54"/>
        <v/>
      </c>
      <c r="AK295" s="31" t="str">
        <f t="shared" si="59"/>
        <v/>
      </c>
      <c r="AN295" s="139" t="str">
        <f>IF($K295="","",VLOOKUP($K295,'ORF Accuracy Value LookUp'!$G$4:$H$104,2,TRUE))</f>
        <v/>
      </c>
      <c r="AO295" s="94" t="str">
        <f t="shared" si="55"/>
        <v/>
      </c>
      <c r="AP295" s="47" t="str">
        <f>IF($U295="","",VLOOKUP($U295,'ORF Accuracy Value LookUp'!$G$4:$H$104,2,TRUE))</f>
        <v/>
      </c>
      <c r="AQ295" s="94" t="str">
        <f t="shared" si="56"/>
        <v/>
      </c>
      <c r="AR295" s="46" t="str">
        <f>IF($AE295="","",VLOOKUP($AE295,'ORF Accuracy Value LookUp'!$G$4:$H$104,2,TRUE))</f>
        <v/>
      </c>
      <c r="AS295" s="140" t="str">
        <f t="shared" si="57"/>
        <v/>
      </c>
    </row>
    <row r="296" spans="1:45">
      <c r="A296" s="10"/>
      <c r="B296" s="9"/>
      <c r="C296" s="9"/>
      <c r="D296" s="9"/>
      <c r="E296" s="10"/>
      <c r="F296" s="11"/>
      <c r="G296" s="15"/>
      <c r="H296" s="88"/>
      <c r="I296" s="24"/>
      <c r="J296" s="24"/>
      <c r="K296" s="114" t="str">
        <f t="shared" si="48"/>
        <v/>
      </c>
      <c r="L296" s="24"/>
      <c r="M296" s="24"/>
      <c r="N296" s="24"/>
      <c r="O296" s="24"/>
      <c r="P296" s="97" t="str">
        <f t="shared" si="49"/>
        <v/>
      </c>
      <c r="Q296" s="113" t="str">
        <f t="shared" si="50"/>
        <v/>
      </c>
      <c r="R296" s="88"/>
      <c r="S296" s="24"/>
      <c r="T296" s="24"/>
      <c r="U296" s="78" t="str">
        <f t="shared" si="51"/>
        <v/>
      </c>
      <c r="V296" s="24"/>
      <c r="W296" s="24"/>
      <c r="X296" s="24"/>
      <c r="Y296" s="24"/>
      <c r="Z296" s="98" t="str">
        <f t="shared" si="52"/>
        <v/>
      </c>
      <c r="AA296" s="40" t="str">
        <f t="shared" si="58"/>
        <v/>
      </c>
      <c r="AB296" s="88"/>
      <c r="AC296" s="24"/>
      <c r="AD296" s="24"/>
      <c r="AE296" s="79" t="str">
        <f t="shared" si="53"/>
        <v/>
      </c>
      <c r="AF296" s="24"/>
      <c r="AG296" s="24"/>
      <c r="AH296" s="24"/>
      <c r="AI296" s="24"/>
      <c r="AJ296" s="99" t="str">
        <f t="shared" si="54"/>
        <v/>
      </c>
      <c r="AK296" s="31" t="str">
        <f t="shared" si="59"/>
        <v/>
      </c>
      <c r="AN296" s="139" t="str">
        <f>IF($K296="","",VLOOKUP($K296,'ORF Accuracy Value LookUp'!$G$4:$H$104,2,TRUE))</f>
        <v/>
      </c>
      <c r="AO296" s="94" t="str">
        <f t="shared" si="55"/>
        <v/>
      </c>
      <c r="AP296" s="47" t="str">
        <f>IF($U296="","",VLOOKUP($U296,'ORF Accuracy Value LookUp'!$G$4:$H$104,2,TRUE))</f>
        <v/>
      </c>
      <c r="AQ296" s="94" t="str">
        <f t="shared" si="56"/>
        <v/>
      </c>
      <c r="AR296" s="46" t="str">
        <f>IF($AE296="","",VLOOKUP($AE296,'ORF Accuracy Value LookUp'!$G$4:$H$104,2,TRUE))</f>
        <v/>
      </c>
      <c r="AS296" s="140" t="str">
        <f t="shared" si="57"/>
        <v/>
      </c>
    </row>
    <row r="297" spans="1:45">
      <c r="A297" s="10"/>
      <c r="B297" s="9"/>
      <c r="C297" s="9"/>
      <c r="D297" s="9"/>
      <c r="E297" s="10"/>
      <c r="F297" s="11"/>
      <c r="G297" s="15"/>
      <c r="H297" s="88"/>
      <c r="I297" s="24"/>
      <c r="J297" s="24"/>
      <c r="K297" s="114" t="str">
        <f t="shared" si="48"/>
        <v/>
      </c>
      <c r="L297" s="24"/>
      <c r="M297" s="24"/>
      <c r="N297" s="24"/>
      <c r="O297" s="24"/>
      <c r="P297" s="97" t="str">
        <f t="shared" si="49"/>
        <v/>
      </c>
      <c r="Q297" s="113" t="str">
        <f t="shared" si="50"/>
        <v/>
      </c>
      <c r="R297" s="88"/>
      <c r="S297" s="24"/>
      <c r="T297" s="24"/>
      <c r="U297" s="78" t="str">
        <f t="shared" si="51"/>
        <v/>
      </c>
      <c r="V297" s="24"/>
      <c r="W297" s="24"/>
      <c r="X297" s="24"/>
      <c r="Y297" s="24"/>
      <c r="Z297" s="98" t="str">
        <f t="shared" si="52"/>
        <v/>
      </c>
      <c r="AA297" s="40" t="str">
        <f t="shared" si="58"/>
        <v/>
      </c>
      <c r="AB297" s="88"/>
      <c r="AC297" s="24"/>
      <c r="AD297" s="24"/>
      <c r="AE297" s="79" t="str">
        <f t="shared" si="53"/>
        <v/>
      </c>
      <c r="AF297" s="24"/>
      <c r="AG297" s="24"/>
      <c r="AH297" s="24"/>
      <c r="AI297" s="24"/>
      <c r="AJ297" s="99" t="str">
        <f t="shared" si="54"/>
        <v/>
      </c>
      <c r="AK297" s="31" t="str">
        <f t="shared" si="59"/>
        <v/>
      </c>
      <c r="AN297" s="139" t="str">
        <f>IF($K297="","",VLOOKUP($K297,'ORF Accuracy Value LookUp'!$G$4:$H$104,2,TRUE))</f>
        <v/>
      </c>
      <c r="AO297" s="94" t="str">
        <f t="shared" si="55"/>
        <v/>
      </c>
      <c r="AP297" s="47" t="str">
        <f>IF($U297="","",VLOOKUP($U297,'ORF Accuracy Value LookUp'!$G$4:$H$104,2,TRUE))</f>
        <v/>
      </c>
      <c r="AQ297" s="94" t="str">
        <f t="shared" si="56"/>
        <v/>
      </c>
      <c r="AR297" s="46" t="str">
        <f>IF($AE297="","",VLOOKUP($AE297,'ORF Accuracy Value LookUp'!$G$4:$H$104,2,TRUE))</f>
        <v/>
      </c>
      <c r="AS297" s="140" t="str">
        <f t="shared" si="57"/>
        <v/>
      </c>
    </row>
    <row r="298" spans="1:45">
      <c r="A298" s="10"/>
      <c r="B298" s="9"/>
      <c r="C298" s="9"/>
      <c r="D298" s="9"/>
      <c r="E298" s="10"/>
      <c r="F298" s="11"/>
      <c r="G298" s="15"/>
      <c r="H298" s="88"/>
      <c r="I298" s="24"/>
      <c r="J298" s="24"/>
      <c r="K298" s="114" t="str">
        <f t="shared" si="48"/>
        <v/>
      </c>
      <c r="L298" s="24"/>
      <c r="M298" s="24"/>
      <c r="N298" s="24"/>
      <c r="O298" s="24"/>
      <c r="P298" s="97" t="str">
        <f t="shared" si="49"/>
        <v/>
      </c>
      <c r="Q298" s="113" t="str">
        <f t="shared" si="50"/>
        <v/>
      </c>
      <c r="R298" s="88"/>
      <c r="S298" s="24"/>
      <c r="T298" s="24"/>
      <c r="U298" s="78" t="str">
        <f t="shared" si="51"/>
        <v/>
      </c>
      <c r="V298" s="24"/>
      <c r="W298" s="24"/>
      <c r="X298" s="24"/>
      <c r="Y298" s="24"/>
      <c r="Z298" s="98" t="str">
        <f t="shared" si="52"/>
        <v/>
      </c>
      <c r="AA298" s="40" t="str">
        <f t="shared" si="58"/>
        <v/>
      </c>
      <c r="AB298" s="88"/>
      <c r="AC298" s="24"/>
      <c r="AD298" s="24"/>
      <c r="AE298" s="79" t="str">
        <f t="shared" si="53"/>
        <v/>
      </c>
      <c r="AF298" s="24"/>
      <c r="AG298" s="24"/>
      <c r="AH298" s="24"/>
      <c r="AI298" s="24"/>
      <c r="AJ298" s="99" t="str">
        <f t="shared" si="54"/>
        <v/>
      </c>
      <c r="AK298" s="31" t="str">
        <f t="shared" si="59"/>
        <v/>
      </c>
      <c r="AN298" s="139" t="str">
        <f>IF($K298="","",VLOOKUP($K298,'ORF Accuracy Value LookUp'!$G$4:$H$104,2,TRUE))</f>
        <v/>
      </c>
      <c r="AO298" s="94" t="str">
        <f t="shared" si="55"/>
        <v/>
      </c>
      <c r="AP298" s="47" t="str">
        <f>IF($U298="","",VLOOKUP($U298,'ORF Accuracy Value LookUp'!$G$4:$H$104,2,TRUE))</f>
        <v/>
      </c>
      <c r="AQ298" s="94" t="str">
        <f t="shared" si="56"/>
        <v/>
      </c>
      <c r="AR298" s="46" t="str">
        <f>IF($AE298="","",VLOOKUP($AE298,'ORF Accuracy Value LookUp'!$G$4:$H$104,2,TRUE))</f>
        <v/>
      </c>
      <c r="AS298" s="140" t="str">
        <f t="shared" si="57"/>
        <v/>
      </c>
    </row>
    <row r="299" spans="1:45">
      <c r="A299" s="10"/>
      <c r="B299" s="9"/>
      <c r="C299" s="9"/>
      <c r="D299" s="9"/>
      <c r="E299" s="10"/>
      <c r="F299" s="11"/>
      <c r="G299" s="15"/>
      <c r="H299" s="88"/>
      <c r="I299" s="24"/>
      <c r="J299" s="24"/>
      <c r="K299" s="114" t="str">
        <f t="shared" si="48"/>
        <v/>
      </c>
      <c r="L299" s="24"/>
      <c r="M299" s="24"/>
      <c r="N299" s="24"/>
      <c r="O299" s="24"/>
      <c r="P299" s="97" t="str">
        <f t="shared" si="49"/>
        <v/>
      </c>
      <c r="Q299" s="113" t="str">
        <f t="shared" si="50"/>
        <v/>
      </c>
      <c r="R299" s="88"/>
      <c r="S299" s="24"/>
      <c r="T299" s="24"/>
      <c r="U299" s="78" t="str">
        <f t="shared" si="51"/>
        <v/>
      </c>
      <c r="V299" s="24"/>
      <c r="W299" s="24"/>
      <c r="X299" s="24"/>
      <c r="Y299" s="24"/>
      <c r="Z299" s="98" t="str">
        <f t="shared" si="52"/>
        <v/>
      </c>
      <c r="AA299" s="40" t="str">
        <f t="shared" si="58"/>
        <v/>
      </c>
      <c r="AB299" s="88"/>
      <c r="AC299" s="24"/>
      <c r="AD299" s="24"/>
      <c r="AE299" s="79" t="str">
        <f t="shared" si="53"/>
        <v/>
      </c>
      <c r="AF299" s="24"/>
      <c r="AG299" s="24"/>
      <c r="AH299" s="24"/>
      <c r="AI299" s="24"/>
      <c r="AJ299" s="99" t="str">
        <f t="shared" si="54"/>
        <v/>
      </c>
      <c r="AK299" s="31" t="str">
        <f t="shared" si="59"/>
        <v/>
      </c>
      <c r="AN299" s="139" t="str">
        <f>IF($K299="","",VLOOKUP($K299,'ORF Accuracy Value LookUp'!$G$4:$H$104,2,TRUE))</f>
        <v/>
      </c>
      <c r="AO299" s="94" t="str">
        <f t="shared" si="55"/>
        <v/>
      </c>
      <c r="AP299" s="47" t="str">
        <f>IF($U299="","",VLOOKUP($U299,'ORF Accuracy Value LookUp'!$G$4:$H$104,2,TRUE))</f>
        <v/>
      </c>
      <c r="AQ299" s="94" t="str">
        <f t="shared" si="56"/>
        <v/>
      </c>
      <c r="AR299" s="46" t="str">
        <f>IF($AE299="","",VLOOKUP($AE299,'ORF Accuracy Value LookUp'!$G$4:$H$104,2,TRUE))</f>
        <v/>
      </c>
      <c r="AS299" s="140" t="str">
        <f t="shared" si="57"/>
        <v/>
      </c>
    </row>
    <row r="300" spans="1:45">
      <c r="A300" s="10"/>
      <c r="B300" s="9"/>
      <c r="C300" s="9"/>
      <c r="D300" s="9"/>
      <c r="E300" s="10"/>
      <c r="F300" s="11"/>
      <c r="G300" s="15"/>
      <c r="H300" s="88"/>
      <c r="I300" s="24"/>
      <c r="J300" s="24"/>
      <c r="K300" s="114" t="str">
        <f t="shared" si="48"/>
        <v/>
      </c>
      <c r="L300" s="24"/>
      <c r="M300" s="24"/>
      <c r="N300" s="24"/>
      <c r="O300" s="24"/>
      <c r="P300" s="97" t="str">
        <f t="shared" si="49"/>
        <v/>
      </c>
      <c r="Q300" s="113" t="str">
        <f t="shared" si="50"/>
        <v/>
      </c>
      <c r="R300" s="88"/>
      <c r="S300" s="24"/>
      <c r="T300" s="24"/>
      <c r="U300" s="78" t="str">
        <f t="shared" si="51"/>
        <v/>
      </c>
      <c r="V300" s="24"/>
      <c r="W300" s="24"/>
      <c r="X300" s="24"/>
      <c r="Y300" s="24"/>
      <c r="Z300" s="98" t="str">
        <f t="shared" si="52"/>
        <v/>
      </c>
      <c r="AA300" s="40" t="str">
        <f t="shared" si="58"/>
        <v/>
      </c>
      <c r="AB300" s="88"/>
      <c r="AC300" s="24"/>
      <c r="AD300" s="24"/>
      <c r="AE300" s="79" t="str">
        <f t="shared" si="53"/>
        <v/>
      </c>
      <c r="AF300" s="24"/>
      <c r="AG300" s="24"/>
      <c r="AH300" s="24"/>
      <c r="AI300" s="24"/>
      <c r="AJ300" s="99" t="str">
        <f t="shared" si="54"/>
        <v/>
      </c>
      <c r="AK300" s="31" t="str">
        <f t="shared" si="59"/>
        <v/>
      </c>
      <c r="AN300" s="139" t="str">
        <f>IF($K300="","",VLOOKUP($K300,'ORF Accuracy Value LookUp'!$G$4:$H$104,2,TRUE))</f>
        <v/>
      </c>
      <c r="AO300" s="94" t="str">
        <f t="shared" si="55"/>
        <v/>
      </c>
      <c r="AP300" s="47" t="str">
        <f>IF($U300="","",VLOOKUP($U300,'ORF Accuracy Value LookUp'!$G$4:$H$104,2,TRUE))</f>
        <v/>
      </c>
      <c r="AQ300" s="94" t="str">
        <f t="shared" si="56"/>
        <v/>
      </c>
      <c r="AR300" s="46" t="str">
        <f>IF($AE300="","",VLOOKUP($AE300,'ORF Accuracy Value LookUp'!$G$4:$H$104,2,TRUE))</f>
        <v/>
      </c>
      <c r="AS300" s="140" t="str">
        <f t="shared" si="57"/>
        <v/>
      </c>
    </row>
    <row r="301" spans="1:45">
      <c r="A301" s="10"/>
      <c r="B301" s="9"/>
      <c r="C301" s="9"/>
      <c r="D301" s="9"/>
      <c r="E301" s="10"/>
      <c r="F301" s="11"/>
      <c r="G301" s="15"/>
      <c r="H301" s="88"/>
      <c r="I301" s="24"/>
      <c r="J301" s="24"/>
      <c r="K301" s="114" t="str">
        <f t="shared" si="48"/>
        <v/>
      </c>
      <c r="L301" s="24"/>
      <c r="M301" s="24"/>
      <c r="N301" s="24"/>
      <c r="O301" s="24"/>
      <c r="P301" s="97" t="str">
        <f t="shared" si="49"/>
        <v/>
      </c>
      <c r="Q301" s="113" t="str">
        <f t="shared" si="50"/>
        <v/>
      </c>
      <c r="R301" s="88"/>
      <c r="S301" s="24"/>
      <c r="T301" s="24"/>
      <c r="U301" s="78" t="str">
        <f t="shared" si="51"/>
        <v/>
      </c>
      <c r="V301" s="24"/>
      <c r="W301" s="24"/>
      <c r="X301" s="24"/>
      <c r="Y301" s="24"/>
      <c r="Z301" s="98" t="str">
        <f t="shared" si="52"/>
        <v/>
      </c>
      <c r="AA301" s="40" t="str">
        <f t="shared" si="58"/>
        <v/>
      </c>
      <c r="AB301" s="88"/>
      <c r="AC301" s="24"/>
      <c r="AD301" s="24"/>
      <c r="AE301" s="79" t="str">
        <f t="shared" si="53"/>
        <v/>
      </c>
      <c r="AF301" s="24"/>
      <c r="AG301" s="24"/>
      <c r="AH301" s="24"/>
      <c r="AI301" s="24"/>
      <c r="AJ301" s="99" t="str">
        <f t="shared" si="54"/>
        <v/>
      </c>
      <c r="AK301" s="31" t="str">
        <f t="shared" si="59"/>
        <v/>
      </c>
      <c r="AN301" s="139" t="str">
        <f>IF($K301="","",VLOOKUP($K301,'ORF Accuracy Value LookUp'!$G$4:$H$104,2,TRUE))</f>
        <v/>
      </c>
      <c r="AO301" s="94" t="str">
        <f t="shared" si="55"/>
        <v/>
      </c>
      <c r="AP301" s="47" t="str">
        <f>IF($U301="","",VLOOKUP($U301,'ORF Accuracy Value LookUp'!$G$4:$H$104,2,TRUE))</f>
        <v/>
      </c>
      <c r="AQ301" s="94" t="str">
        <f t="shared" si="56"/>
        <v/>
      </c>
      <c r="AR301" s="46" t="str">
        <f>IF($AE301="","",VLOOKUP($AE301,'ORF Accuracy Value LookUp'!$G$4:$H$104,2,TRUE))</f>
        <v/>
      </c>
      <c r="AS301" s="140" t="str">
        <f t="shared" si="57"/>
        <v/>
      </c>
    </row>
    <row r="302" spans="1:45">
      <c r="A302" s="10"/>
      <c r="B302" s="9"/>
      <c r="C302" s="9"/>
      <c r="D302" s="9"/>
      <c r="E302" s="10"/>
      <c r="F302" s="11"/>
      <c r="G302" s="15"/>
      <c r="H302" s="88"/>
      <c r="I302" s="24"/>
      <c r="J302" s="24"/>
      <c r="K302" s="114" t="str">
        <f t="shared" si="48"/>
        <v/>
      </c>
      <c r="L302" s="24"/>
      <c r="M302" s="24"/>
      <c r="N302" s="24"/>
      <c r="O302" s="24"/>
      <c r="P302" s="97" t="str">
        <f t="shared" si="49"/>
        <v/>
      </c>
      <c r="Q302" s="113" t="str">
        <f t="shared" si="50"/>
        <v/>
      </c>
      <c r="R302" s="88"/>
      <c r="S302" s="24"/>
      <c r="T302" s="24"/>
      <c r="U302" s="78" t="str">
        <f t="shared" si="51"/>
        <v/>
      </c>
      <c r="V302" s="24"/>
      <c r="W302" s="24"/>
      <c r="X302" s="24"/>
      <c r="Y302" s="24"/>
      <c r="Z302" s="98" t="str">
        <f t="shared" si="52"/>
        <v/>
      </c>
      <c r="AA302" s="40" t="str">
        <f t="shared" si="58"/>
        <v/>
      </c>
      <c r="AB302" s="88"/>
      <c r="AC302" s="24"/>
      <c r="AD302" s="24"/>
      <c r="AE302" s="79" t="str">
        <f t="shared" si="53"/>
        <v/>
      </c>
      <c r="AF302" s="24"/>
      <c r="AG302" s="24"/>
      <c r="AH302" s="24"/>
      <c r="AI302" s="24"/>
      <c r="AJ302" s="99" t="str">
        <f t="shared" si="54"/>
        <v/>
      </c>
      <c r="AK302" s="31" t="str">
        <f t="shared" si="59"/>
        <v/>
      </c>
      <c r="AN302" s="139" t="str">
        <f>IF($K302="","",VLOOKUP($K302,'ORF Accuracy Value LookUp'!$G$4:$H$104,2,TRUE))</f>
        <v/>
      </c>
      <c r="AO302" s="94" t="str">
        <f t="shared" si="55"/>
        <v/>
      </c>
      <c r="AP302" s="47" t="str">
        <f>IF($U302="","",VLOOKUP($U302,'ORF Accuracy Value LookUp'!$G$4:$H$104,2,TRUE))</f>
        <v/>
      </c>
      <c r="AQ302" s="94" t="str">
        <f t="shared" si="56"/>
        <v/>
      </c>
      <c r="AR302" s="46" t="str">
        <f>IF($AE302="","",VLOOKUP($AE302,'ORF Accuracy Value LookUp'!$G$4:$H$104,2,TRUE))</f>
        <v/>
      </c>
      <c r="AS302" s="140" t="str">
        <f t="shared" si="57"/>
        <v/>
      </c>
    </row>
    <row r="303" spans="1:45">
      <c r="A303" s="10"/>
      <c r="B303" s="9"/>
      <c r="C303" s="9"/>
      <c r="D303" s="9"/>
      <c r="E303" s="10"/>
      <c r="F303" s="11"/>
      <c r="G303" s="15"/>
      <c r="H303" s="88"/>
      <c r="I303" s="24"/>
      <c r="J303" s="24"/>
      <c r="K303" s="114" t="str">
        <f t="shared" si="48"/>
        <v/>
      </c>
      <c r="L303" s="24"/>
      <c r="M303" s="24"/>
      <c r="N303" s="24"/>
      <c r="O303" s="24"/>
      <c r="P303" s="97" t="str">
        <f t="shared" si="49"/>
        <v/>
      </c>
      <c r="Q303" s="113" t="str">
        <f t="shared" si="50"/>
        <v/>
      </c>
      <c r="R303" s="88"/>
      <c r="S303" s="24"/>
      <c r="T303" s="24"/>
      <c r="U303" s="78" t="str">
        <f t="shared" si="51"/>
        <v/>
      </c>
      <c r="V303" s="24"/>
      <c r="W303" s="24"/>
      <c r="X303" s="24"/>
      <c r="Y303" s="24"/>
      <c r="Z303" s="98" t="str">
        <f t="shared" si="52"/>
        <v/>
      </c>
      <c r="AA303" s="40" t="str">
        <f t="shared" si="58"/>
        <v/>
      </c>
      <c r="AB303" s="88"/>
      <c r="AC303" s="24"/>
      <c r="AD303" s="24"/>
      <c r="AE303" s="79" t="str">
        <f t="shared" si="53"/>
        <v/>
      </c>
      <c r="AF303" s="24"/>
      <c r="AG303" s="24"/>
      <c r="AH303" s="24"/>
      <c r="AI303" s="24"/>
      <c r="AJ303" s="99" t="str">
        <f t="shared" si="54"/>
        <v/>
      </c>
      <c r="AK303" s="31" t="str">
        <f t="shared" si="59"/>
        <v/>
      </c>
      <c r="AN303" s="139" t="str">
        <f>IF($K303="","",VLOOKUP($K303,'ORF Accuracy Value LookUp'!$G$4:$H$104,2,TRUE))</f>
        <v/>
      </c>
      <c r="AO303" s="94" t="str">
        <f t="shared" si="55"/>
        <v/>
      </c>
      <c r="AP303" s="47" t="str">
        <f>IF($U303="","",VLOOKUP($U303,'ORF Accuracy Value LookUp'!$G$4:$H$104,2,TRUE))</f>
        <v/>
      </c>
      <c r="AQ303" s="94" t="str">
        <f t="shared" si="56"/>
        <v/>
      </c>
      <c r="AR303" s="46" t="str">
        <f>IF($AE303="","",VLOOKUP($AE303,'ORF Accuracy Value LookUp'!$G$4:$H$104,2,TRUE))</f>
        <v/>
      </c>
      <c r="AS303" s="140" t="str">
        <f t="shared" si="57"/>
        <v/>
      </c>
    </row>
    <row r="304" spans="1:45">
      <c r="A304" s="10"/>
      <c r="B304" s="9"/>
      <c r="C304" s="9"/>
      <c r="D304" s="9"/>
      <c r="E304" s="10"/>
      <c r="F304" s="11"/>
      <c r="G304" s="15"/>
      <c r="H304" s="88"/>
      <c r="I304" s="24"/>
      <c r="J304" s="24"/>
      <c r="K304" s="114" t="str">
        <f t="shared" si="48"/>
        <v/>
      </c>
      <c r="L304" s="24"/>
      <c r="M304" s="24"/>
      <c r="N304" s="24"/>
      <c r="O304" s="24"/>
      <c r="P304" s="97" t="str">
        <f t="shared" si="49"/>
        <v/>
      </c>
      <c r="Q304" s="113" t="str">
        <f t="shared" si="50"/>
        <v/>
      </c>
      <c r="R304" s="88"/>
      <c r="S304" s="24"/>
      <c r="T304" s="24"/>
      <c r="U304" s="78" t="str">
        <f t="shared" si="51"/>
        <v/>
      </c>
      <c r="V304" s="24"/>
      <c r="W304" s="24"/>
      <c r="X304" s="24"/>
      <c r="Y304" s="24"/>
      <c r="Z304" s="98" t="str">
        <f t="shared" si="52"/>
        <v/>
      </c>
      <c r="AA304" s="40" t="str">
        <f t="shared" si="58"/>
        <v/>
      </c>
      <c r="AB304" s="88"/>
      <c r="AC304" s="24"/>
      <c r="AD304" s="24"/>
      <c r="AE304" s="79" t="str">
        <f t="shared" si="53"/>
        <v/>
      </c>
      <c r="AF304" s="24"/>
      <c r="AG304" s="24"/>
      <c r="AH304" s="24"/>
      <c r="AI304" s="24"/>
      <c r="AJ304" s="99" t="str">
        <f t="shared" si="54"/>
        <v/>
      </c>
      <c r="AK304" s="31" t="str">
        <f t="shared" si="59"/>
        <v/>
      </c>
      <c r="AN304" s="139" t="str">
        <f>IF($K304="","",VLOOKUP($K304,'ORF Accuracy Value LookUp'!$G$4:$H$104,2,TRUE))</f>
        <v/>
      </c>
      <c r="AO304" s="94" t="str">
        <f t="shared" si="55"/>
        <v/>
      </c>
      <c r="AP304" s="47" t="str">
        <f>IF($U304="","",VLOOKUP($U304,'ORF Accuracy Value LookUp'!$G$4:$H$104,2,TRUE))</f>
        <v/>
      </c>
      <c r="AQ304" s="94" t="str">
        <f t="shared" si="56"/>
        <v/>
      </c>
      <c r="AR304" s="46" t="str">
        <f>IF($AE304="","",VLOOKUP($AE304,'ORF Accuracy Value LookUp'!$G$4:$H$104,2,TRUE))</f>
        <v/>
      </c>
      <c r="AS304" s="140" t="str">
        <f t="shared" si="57"/>
        <v/>
      </c>
    </row>
    <row r="305" spans="1:45">
      <c r="A305" s="10"/>
      <c r="B305" s="9"/>
      <c r="C305" s="9"/>
      <c r="D305" s="9"/>
      <c r="E305" s="10"/>
      <c r="F305" s="11"/>
      <c r="G305" s="15"/>
      <c r="H305" s="88"/>
      <c r="I305" s="24"/>
      <c r="J305" s="24"/>
      <c r="K305" s="114" t="str">
        <f t="shared" si="48"/>
        <v/>
      </c>
      <c r="L305" s="24"/>
      <c r="M305" s="24"/>
      <c r="N305" s="24"/>
      <c r="O305" s="24"/>
      <c r="P305" s="97" t="str">
        <f t="shared" si="49"/>
        <v/>
      </c>
      <c r="Q305" s="113" t="str">
        <f t="shared" si="50"/>
        <v/>
      </c>
      <c r="R305" s="88"/>
      <c r="S305" s="24"/>
      <c r="T305" s="24"/>
      <c r="U305" s="78" t="str">
        <f t="shared" si="51"/>
        <v/>
      </c>
      <c r="V305" s="24"/>
      <c r="W305" s="24"/>
      <c r="X305" s="24"/>
      <c r="Y305" s="24"/>
      <c r="Z305" s="98" t="str">
        <f t="shared" si="52"/>
        <v/>
      </c>
      <c r="AA305" s="40" t="str">
        <f t="shared" si="58"/>
        <v/>
      </c>
      <c r="AB305" s="88"/>
      <c r="AC305" s="24"/>
      <c r="AD305" s="24"/>
      <c r="AE305" s="79" t="str">
        <f t="shared" si="53"/>
        <v/>
      </c>
      <c r="AF305" s="24"/>
      <c r="AG305" s="24"/>
      <c r="AH305" s="24"/>
      <c r="AI305" s="24"/>
      <c r="AJ305" s="99" t="str">
        <f t="shared" si="54"/>
        <v/>
      </c>
      <c r="AK305" s="31" t="str">
        <f t="shared" si="59"/>
        <v/>
      </c>
      <c r="AN305" s="139" t="str">
        <f>IF($K305="","",VLOOKUP($K305,'ORF Accuracy Value LookUp'!$G$4:$H$104,2,TRUE))</f>
        <v/>
      </c>
      <c r="AO305" s="94" t="str">
        <f t="shared" si="55"/>
        <v/>
      </c>
      <c r="AP305" s="47" t="str">
        <f>IF($U305="","",VLOOKUP($U305,'ORF Accuracy Value LookUp'!$G$4:$H$104,2,TRUE))</f>
        <v/>
      </c>
      <c r="AQ305" s="94" t="str">
        <f t="shared" si="56"/>
        <v/>
      </c>
      <c r="AR305" s="46" t="str">
        <f>IF($AE305="","",VLOOKUP($AE305,'ORF Accuracy Value LookUp'!$G$4:$H$104,2,TRUE))</f>
        <v/>
      </c>
      <c r="AS305" s="140" t="str">
        <f t="shared" si="57"/>
        <v/>
      </c>
    </row>
    <row r="306" spans="1:45">
      <c r="A306" s="10"/>
      <c r="B306" s="9"/>
      <c r="C306" s="9"/>
      <c r="D306" s="9"/>
      <c r="E306" s="10"/>
      <c r="F306" s="11"/>
      <c r="G306" s="15"/>
      <c r="H306" s="88"/>
      <c r="I306" s="24"/>
      <c r="J306" s="24"/>
      <c r="K306" s="114" t="str">
        <f t="shared" si="48"/>
        <v/>
      </c>
      <c r="L306" s="24"/>
      <c r="M306" s="24"/>
      <c r="N306" s="24"/>
      <c r="O306" s="24"/>
      <c r="P306" s="97" t="str">
        <f t="shared" si="49"/>
        <v/>
      </c>
      <c r="Q306" s="113" t="str">
        <f t="shared" si="50"/>
        <v/>
      </c>
      <c r="R306" s="88"/>
      <c r="S306" s="24"/>
      <c r="T306" s="24"/>
      <c r="U306" s="78" t="str">
        <f t="shared" si="51"/>
        <v/>
      </c>
      <c r="V306" s="24"/>
      <c r="W306" s="24"/>
      <c r="X306" s="24"/>
      <c r="Y306" s="24"/>
      <c r="Z306" s="98" t="str">
        <f t="shared" si="52"/>
        <v/>
      </c>
      <c r="AA306" s="40" t="str">
        <f t="shared" si="58"/>
        <v/>
      </c>
      <c r="AB306" s="88"/>
      <c r="AC306" s="24"/>
      <c r="AD306" s="24"/>
      <c r="AE306" s="79" t="str">
        <f t="shared" si="53"/>
        <v/>
      </c>
      <c r="AF306" s="24"/>
      <c r="AG306" s="24"/>
      <c r="AH306" s="24"/>
      <c r="AI306" s="24"/>
      <c r="AJ306" s="99" t="str">
        <f t="shared" si="54"/>
        <v/>
      </c>
      <c r="AK306" s="31" t="str">
        <f t="shared" si="59"/>
        <v/>
      </c>
      <c r="AN306" s="139" t="str">
        <f>IF($K306="","",VLOOKUP($K306,'ORF Accuracy Value LookUp'!$G$4:$H$104,2,TRUE))</f>
        <v/>
      </c>
      <c r="AO306" s="94" t="str">
        <f t="shared" si="55"/>
        <v/>
      </c>
      <c r="AP306" s="47" t="str">
        <f>IF($U306="","",VLOOKUP($U306,'ORF Accuracy Value LookUp'!$G$4:$H$104,2,TRUE))</f>
        <v/>
      </c>
      <c r="AQ306" s="94" t="str">
        <f t="shared" si="56"/>
        <v/>
      </c>
      <c r="AR306" s="46" t="str">
        <f>IF($AE306="","",VLOOKUP($AE306,'ORF Accuracy Value LookUp'!$G$4:$H$104,2,TRUE))</f>
        <v/>
      </c>
      <c r="AS306" s="140" t="str">
        <f t="shared" si="57"/>
        <v/>
      </c>
    </row>
    <row r="307" spans="1:45">
      <c r="A307" s="10"/>
      <c r="B307" s="9"/>
      <c r="C307" s="9"/>
      <c r="D307" s="9"/>
      <c r="E307" s="10"/>
      <c r="F307" s="11"/>
      <c r="G307" s="15"/>
      <c r="H307" s="88"/>
      <c r="I307" s="24"/>
      <c r="J307" s="24"/>
      <c r="K307" s="114" t="str">
        <f t="shared" si="48"/>
        <v/>
      </c>
      <c r="L307" s="24"/>
      <c r="M307" s="24"/>
      <c r="N307" s="24"/>
      <c r="O307" s="24"/>
      <c r="P307" s="97" t="str">
        <f t="shared" si="49"/>
        <v/>
      </c>
      <c r="Q307" s="113" t="str">
        <f t="shared" si="50"/>
        <v/>
      </c>
      <c r="R307" s="88"/>
      <c r="S307" s="24"/>
      <c r="T307" s="24"/>
      <c r="U307" s="78" t="str">
        <f t="shared" si="51"/>
        <v/>
      </c>
      <c r="V307" s="24"/>
      <c r="W307" s="24"/>
      <c r="X307" s="24"/>
      <c r="Y307" s="24"/>
      <c r="Z307" s="98" t="str">
        <f t="shared" si="52"/>
        <v/>
      </c>
      <c r="AA307" s="40" t="str">
        <f t="shared" si="58"/>
        <v/>
      </c>
      <c r="AB307" s="88"/>
      <c r="AC307" s="24"/>
      <c r="AD307" s="24"/>
      <c r="AE307" s="79" t="str">
        <f t="shared" si="53"/>
        <v/>
      </c>
      <c r="AF307" s="24"/>
      <c r="AG307" s="24"/>
      <c r="AH307" s="24"/>
      <c r="AI307" s="24"/>
      <c r="AJ307" s="99" t="str">
        <f t="shared" si="54"/>
        <v/>
      </c>
      <c r="AK307" s="31" t="str">
        <f t="shared" si="59"/>
        <v/>
      </c>
      <c r="AN307" s="139" t="str">
        <f>IF($K307="","",VLOOKUP($K307,'ORF Accuracy Value LookUp'!$G$4:$H$104,2,TRUE))</f>
        <v/>
      </c>
      <c r="AO307" s="94" t="str">
        <f t="shared" si="55"/>
        <v/>
      </c>
      <c r="AP307" s="47" t="str">
        <f>IF($U307="","",VLOOKUP($U307,'ORF Accuracy Value LookUp'!$G$4:$H$104,2,TRUE))</f>
        <v/>
      </c>
      <c r="AQ307" s="94" t="str">
        <f t="shared" si="56"/>
        <v/>
      </c>
      <c r="AR307" s="46" t="str">
        <f>IF($AE307="","",VLOOKUP($AE307,'ORF Accuracy Value LookUp'!$G$4:$H$104,2,TRUE))</f>
        <v/>
      </c>
      <c r="AS307" s="140" t="str">
        <f t="shared" si="57"/>
        <v/>
      </c>
    </row>
    <row r="308" spans="1:45">
      <c r="A308" s="10"/>
      <c r="B308" s="9"/>
      <c r="C308" s="9"/>
      <c r="D308" s="9"/>
      <c r="E308" s="10"/>
      <c r="F308" s="11"/>
      <c r="G308" s="15"/>
      <c r="H308" s="88"/>
      <c r="I308" s="24"/>
      <c r="J308" s="24"/>
      <c r="K308" s="114" t="str">
        <f t="shared" si="48"/>
        <v/>
      </c>
      <c r="L308" s="24"/>
      <c r="M308" s="24"/>
      <c r="N308" s="24"/>
      <c r="O308" s="24"/>
      <c r="P308" s="97" t="str">
        <f t="shared" si="49"/>
        <v/>
      </c>
      <c r="Q308" s="113" t="str">
        <f t="shared" si="50"/>
        <v/>
      </c>
      <c r="R308" s="88"/>
      <c r="S308" s="24"/>
      <c r="T308" s="24"/>
      <c r="U308" s="78" t="str">
        <f t="shared" si="51"/>
        <v/>
      </c>
      <c r="V308" s="24"/>
      <c r="W308" s="24"/>
      <c r="X308" s="24"/>
      <c r="Y308" s="24"/>
      <c r="Z308" s="98" t="str">
        <f t="shared" si="52"/>
        <v/>
      </c>
      <c r="AA308" s="40" t="str">
        <f t="shared" si="58"/>
        <v/>
      </c>
      <c r="AB308" s="88"/>
      <c r="AC308" s="24"/>
      <c r="AD308" s="24"/>
      <c r="AE308" s="79" t="str">
        <f t="shared" si="53"/>
        <v/>
      </c>
      <c r="AF308" s="24"/>
      <c r="AG308" s="24"/>
      <c r="AH308" s="24"/>
      <c r="AI308" s="24"/>
      <c r="AJ308" s="99" t="str">
        <f t="shared" si="54"/>
        <v/>
      </c>
      <c r="AK308" s="31" t="str">
        <f t="shared" si="59"/>
        <v/>
      </c>
      <c r="AN308" s="139" t="str">
        <f>IF($K308="","",VLOOKUP($K308,'ORF Accuracy Value LookUp'!$G$4:$H$104,2,TRUE))</f>
        <v/>
      </c>
      <c r="AO308" s="94" t="str">
        <f t="shared" si="55"/>
        <v/>
      </c>
      <c r="AP308" s="47" t="str">
        <f>IF($U308="","",VLOOKUP($U308,'ORF Accuracy Value LookUp'!$G$4:$H$104,2,TRUE))</f>
        <v/>
      </c>
      <c r="AQ308" s="94" t="str">
        <f t="shared" si="56"/>
        <v/>
      </c>
      <c r="AR308" s="46" t="str">
        <f>IF($AE308="","",VLOOKUP($AE308,'ORF Accuracy Value LookUp'!$G$4:$H$104,2,TRUE))</f>
        <v/>
      </c>
      <c r="AS308" s="140" t="str">
        <f t="shared" si="57"/>
        <v/>
      </c>
    </row>
    <row r="309" spans="1:45">
      <c r="A309" s="10"/>
      <c r="B309" s="9"/>
      <c r="C309" s="9"/>
      <c r="D309" s="9"/>
      <c r="E309" s="10"/>
      <c r="F309" s="11"/>
      <c r="G309" s="15"/>
      <c r="H309" s="88"/>
      <c r="I309" s="24"/>
      <c r="J309" s="24"/>
      <c r="K309" s="114" t="str">
        <f t="shared" si="48"/>
        <v/>
      </c>
      <c r="L309" s="24"/>
      <c r="M309" s="24"/>
      <c r="N309" s="24"/>
      <c r="O309" s="24"/>
      <c r="P309" s="97" t="str">
        <f t="shared" si="49"/>
        <v/>
      </c>
      <c r="Q309" s="113" t="str">
        <f t="shared" si="50"/>
        <v/>
      </c>
      <c r="R309" s="88"/>
      <c r="S309" s="24"/>
      <c r="T309" s="24"/>
      <c r="U309" s="78" t="str">
        <f t="shared" si="51"/>
        <v/>
      </c>
      <c r="V309" s="24"/>
      <c r="W309" s="24"/>
      <c r="X309" s="24"/>
      <c r="Y309" s="24"/>
      <c r="Z309" s="98" t="str">
        <f t="shared" si="52"/>
        <v/>
      </c>
      <c r="AA309" s="40" t="str">
        <f t="shared" si="58"/>
        <v/>
      </c>
      <c r="AB309" s="88"/>
      <c r="AC309" s="24"/>
      <c r="AD309" s="24"/>
      <c r="AE309" s="79" t="str">
        <f t="shared" si="53"/>
        <v/>
      </c>
      <c r="AF309" s="24"/>
      <c r="AG309" s="24"/>
      <c r="AH309" s="24"/>
      <c r="AI309" s="24"/>
      <c r="AJ309" s="99" t="str">
        <f t="shared" si="54"/>
        <v/>
      </c>
      <c r="AK309" s="31" t="str">
        <f t="shared" si="59"/>
        <v/>
      </c>
      <c r="AN309" s="139" t="str">
        <f>IF($K309="","",VLOOKUP($K309,'ORF Accuracy Value LookUp'!$G$4:$H$104,2,TRUE))</f>
        <v/>
      </c>
      <c r="AO309" s="94" t="str">
        <f t="shared" si="55"/>
        <v/>
      </c>
      <c r="AP309" s="47" t="str">
        <f>IF($U309="","",VLOOKUP($U309,'ORF Accuracy Value LookUp'!$G$4:$H$104,2,TRUE))</f>
        <v/>
      </c>
      <c r="AQ309" s="94" t="str">
        <f t="shared" si="56"/>
        <v/>
      </c>
      <c r="AR309" s="46" t="str">
        <f>IF($AE309="","",VLOOKUP($AE309,'ORF Accuracy Value LookUp'!$G$4:$H$104,2,TRUE))</f>
        <v/>
      </c>
      <c r="AS309" s="140" t="str">
        <f t="shared" si="57"/>
        <v/>
      </c>
    </row>
    <row r="310" spans="1:45">
      <c r="A310" s="10"/>
      <c r="B310" s="9"/>
      <c r="C310" s="9"/>
      <c r="D310" s="9"/>
      <c r="E310" s="10"/>
      <c r="F310" s="11"/>
      <c r="G310" s="15"/>
      <c r="H310" s="88"/>
      <c r="I310" s="24"/>
      <c r="J310" s="24"/>
      <c r="K310" s="114" t="str">
        <f t="shared" si="48"/>
        <v/>
      </c>
      <c r="L310" s="24"/>
      <c r="M310" s="24"/>
      <c r="N310" s="24"/>
      <c r="O310" s="24"/>
      <c r="P310" s="97" t="str">
        <f t="shared" si="49"/>
        <v/>
      </c>
      <c r="Q310" s="113" t="str">
        <f t="shared" si="50"/>
        <v/>
      </c>
      <c r="R310" s="88"/>
      <c r="S310" s="24"/>
      <c r="T310" s="24"/>
      <c r="U310" s="78" t="str">
        <f t="shared" si="51"/>
        <v/>
      </c>
      <c r="V310" s="24"/>
      <c r="W310" s="24"/>
      <c r="X310" s="24"/>
      <c r="Y310" s="24"/>
      <c r="Z310" s="98" t="str">
        <f t="shared" si="52"/>
        <v/>
      </c>
      <c r="AA310" s="40" t="str">
        <f t="shared" si="58"/>
        <v/>
      </c>
      <c r="AB310" s="88"/>
      <c r="AC310" s="24"/>
      <c r="AD310" s="24"/>
      <c r="AE310" s="79" t="str">
        <f t="shared" si="53"/>
        <v/>
      </c>
      <c r="AF310" s="24"/>
      <c r="AG310" s="24"/>
      <c r="AH310" s="24"/>
      <c r="AI310" s="24"/>
      <c r="AJ310" s="99" t="str">
        <f t="shared" si="54"/>
        <v/>
      </c>
      <c r="AK310" s="31" t="str">
        <f t="shared" si="59"/>
        <v/>
      </c>
      <c r="AN310" s="139" t="str">
        <f>IF($K310="","",VLOOKUP($K310,'ORF Accuracy Value LookUp'!$G$4:$H$104,2,TRUE))</f>
        <v/>
      </c>
      <c r="AO310" s="94" t="str">
        <f t="shared" si="55"/>
        <v/>
      </c>
      <c r="AP310" s="47" t="str">
        <f>IF($U310="","",VLOOKUP($U310,'ORF Accuracy Value LookUp'!$G$4:$H$104,2,TRUE))</f>
        <v/>
      </c>
      <c r="AQ310" s="94" t="str">
        <f t="shared" si="56"/>
        <v/>
      </c>
      <c r="AR310" s="46" t="str">
        <f>IF($AE310="","",VLOOKUP($AE310,'ORF Accuracy Value LookUp'!$G$4:$H$104,2,TRUE))</f>
        <v/>
      </c>
      <c r="AS310" s="140" t="str">
        <f t="shared" si="57"/>
        <v/>
      </c>
    </row>
    <row r="311" spans="1:45">
      <c r="A311" s="10"/>
      <c r="B311" s="9"/>
      <c r="C311" s="9"/>
      <c r="D311" s="9"/>
      <c r="E311" s="10"/>
      <c r="F311" s="11"/>
      <c r="G311" s="15"/>
      <c r="H311" s="88"/>
      <c r="I311" s="24"/>
      <c r="J311" s="24"/>
      <c r="K311" s="114" t="str">
        <f t="shared" si="48"/>
        <v/>
      </c>
      <c r="L311" s="24"/>
      <c r="M311" s="24"/>
      <c r="N311" s="24"/>
      <c r="O311" s="24"/>
      <c r="P311" s="97" t="str">
        <f t="shared" si="49"/>
        <v/>
      </c>
      <c r="Q311" s="113" t="str">
        <f t="shared" si="50"/>
        <v/>
      </c>
      <c r="R311" s="88"/>
      <c r="S311" s="24"/>
      <c r="T311" s="24"/>
      <c r="U311" s="78" t="str">
        <f t="shared" si="51"/>
        <v/>
      </c>
      <c r="V311" s="24"/>
      <c r="W311" s="24"/>
      <c r="X311" s="24"/>
      <c r="Y311" s="24"/>
      <c r="Z311" s="98" t="str">
        <f t="shared" si="52"/>
        <v/>
      </c>
      <c r="AA311" s="40" t="str">
        <f t="shared" si="58"/>
        <v/>
      </c>
      <c r="AB311" s="88"/>
      <c r="AC311" s="24"/>
      <c r="AD311" s="24"/>
      <c r="AE311" s="79" t="str">
        <f t="shared" si="53"/>
        <v/>
      </c>
      <c r="AF311" s="24"/>
      <c r="AG311" s="24"/>
      <c r="AH311" s="24"/>
      <c r="AI311" s="24"/>
      <c r="AJ311" s="99" t="str">
        <f t="shared" si="54"/>
        <v/>
      </c>
      <c r="AK311" s="31" t="str">
        <f t="shared" si="59"/>
        <v/>
      </c>
      <c r="AN311" s="139" t="str">
        <f>IF($K311="","",VLOOKUP($K311,'ORF Accuracy Value LookUp'!$G$4:$H$104,2,TRUE))</f>
        <v/>
      </c>
      <c r="AO311" s="94" t="str">
        <f t="shared" si="55"/>
        <v/>
      </c>
      <c r="AP311" s="47" t="str">
        <f>IF($U311="","",VLOOKUP($U311,'ORF Accuracy Value LookUp'!$G$4:$H$104,2,TRUE))</f>
        <v/>
      </c>
      <c r="AQ311" s="94" t="str">
        <f t="shared" si="56"/>
        <v/>
      </c>
      <c r="AR311" s="46" t="str">
        <f>IF($AE311="","",VLOOKUP($AE311,'ORF Accuracy Value LookUp'!$G$4:$H$104,2,TRUE))</f>
        <v/>
      </c>
      <c r="AS311" s="140" t="str">
        <f t="shared" si="57"/>
        <v/>
      </c>
    </row>
    <row r="312" spans="1:45">
      <c r="A312" s="10"/>
      <c r="B312" s="9"/>
      <c r="C312" s="9"/>
      <c r="D312" s="9"/>
      <c r="E312" s="10"/>
      <c r="F312" s="11"/>
      <c r="G312" s="15"/>
      <c r="H312" s="88"/>
      <c r="I312" s="24"/>
      <c r="J312" s="24"/>
      <c r="K312" s="114" t="str">
        <f t="shared" si="48"/>
        <v/>
      </c>
      <c r="L312" s="24"/>
      <c r="M312" s="24"/>
      <c r="N312" s="24"/>
      <c r="O312" s="24"/>
      <c r="P312" s="97" t="str">
        <f t="shared" si="49"/>
        <v/>
      </c>
      <c r="Q312" s="113" t="str">
        <f t="shared" si="50"/>
        <v/>
      </c>
      <c r="R312" s="88"/>
      <c r="S312" s="24"/>
      <c r="T312" s="24"/>
      <c r="U312" s="78" t="str">
        <f t="shared" si="51"/>
        <v/>
      </c>
      <c r="V312" s="24"/>
      <c r="W312" s="24"/>
      <c r="X312" s="24"/>
      <c r="Y312" s="24"/>
      <c r="Z312" s="98" t="str">
        <f t="shared" si="52"/>
        <v/>
      </c>
      <c r="AA312" s="40" t="str">
        <f t="shared" si="58"/>
        <v/>
      </c>
      <c r="AB312" s="88"/>
      <c r="AC312" s="24"/>
      <c r="AD312" s="24"/>
      <c r="AE312" s="79" t="str">
        <f t="shared" si="53"/>
        <v/>
      </c>
      <c r="AF312" s="24"/>
      <c r="AG312" s="24"/>
      <c r="AH312" s="24"/>
      <c r="AI312" s="24"/>
      <c r="AJ312" s="99" t="str">
        <f t="shared" si="54"/>
        <v/>
      </c>
      <c r="AK312" s="31" t="str">
        <f t="shared" si="59"/>
        <v/>
      </c>
      <c r="AN312" s="139" t="str">
        <f>IF($K312="","",VLOOKUP($K312,'ORF Accuracy Value LookUp'!$G$4:$H$104,2,TRUE))</f>
        <v/>
      </c>
      <c r="AO312" s="94" t="str">
        <f t="shared" si="55"/>
        <v/>
      </c>
      <c r="AP312" s="47" t="str">
        <f>IF($U312="","",VLOOKUP($U312,'ORF Accuracy Value LookUp'!$G$4:$H$104,2,TRUE))</f>
        <v/>
      </c>
      <c r="AQ312" s="94" t="str">
        <f t="shared" si="56"/>
        <v/>
      </c>
      <c r="AR312" s="46" t="str">
        <f>IF($AE312="","",VLOOKUP($AE312,'ORF Accuracy Value LookUp'!$G$4:$H$104,2,TRUE))</f>
        <v/>
      </c>
      <c r="AS312" s="140" t="str">
        <f t="shared" si="57"/>
        <v/>
      </c>
    </row>
    <row r="313" spans="1:45">
      <c r="A313" s="10"/>
      <c r="B313" s="9"/>
      <c r="C313" s="9"/>
      <c r="D313" s="9"/>
      <c r="E313" s="10"/>
      <c r="F313" s="11"/>
      <c r="G313" s="15"/>
      <c r="H313" s="88"/>
      <c r="I313" s="24"/>
      <c r="J313" s="24"/>
      <c r="K313" s="114" t="str">
        <f t="shared" si="48"/>
        <v/>
      </c>
      <c r="L313" s="24"/>
      <c r="M313" s="24"/>
      <c r="N313" s="24"/>
      <c r="O313" s="24"/>
      <c r="P313" s="97" t="str">
        <f t="shared" si="49"/>
        <v/>
      </c>
      <c r="Q313" s="113" t="str">
        <f t="shared" si="50"/>
        <v/>
      </c>
      <c r="R313" s="88"/>
      <c r="S313" s="24"/>
      <c r="T313" s="24"/>
      <c r="U313" s="78" t="str">
        <f t="shared" si="51"/>
        <v/>
      </c>
      <c r="V313" s="24"/>
      <c r="W313" s="24"/>
      <c r="X313" s="24"/>
      <c r="Y313" s="24"/>
      <c r="Z313" s="98" t="str">
        <f t="shared" si="52"/>
        <v/>
      </c>
      <c r="AA313" s="40" t="str">
        <f t="shared" si="58"/>
        <v/>
      </c>
      <c r="AB313" s="88"/>
      <c r="AC313" s="24"/>
      <c r="AD313" s="24"/>
      <c r="AE313" s="79" t="str">
        <f t="shared" si="53"/>
        <v/>
      </c>
      <c r="AF313" s="24"/>
      <c r="AG313" s="24"/>
      <c r="AH313" s="24"/>
      <c r="AI313" s="24"/>
      <c r="AJ313" s="99" t="str">
        <f t="shared" si="54"/>
        <v/>
      </c>
      <c r="AK313" s="31" t="str">
        <f t="shared" si="59"/>
        <v/>
      </c>
      <c r="AN313" s="139" t="str">
        <f>IF($K313="","",VLOOKUP($K313,'ORF Accuracy Value LookUp'!$G$4:$H$104,2,TRUE))</f>
        <v/>
      </c>
      <c r="AO313" s="94" t="str">
        <f t="shared" si="55"/>
        <v/>
      </c>
      <c r="AP313" s="47" t="str">
        <f>IF($U313="","",VLOOKUP($U313,'ORF Accuracy Value LookUp'!$G$4:$H$104,2,TRUE))</f>
        <v/>
      </c>
      <c r="AQ313" s="94" t="str">
        <f t="shared" si="56"/>
        <v/>
      </c>
      <c r="AR313" s="46" t="str">
        <f>IF($AE313="","",VLOOKUP($AE313,'ORF Accuracy Value LookUp'!$G$4:$H$104,2,TRUE))</f>
        <v/>
      </c>
      <c r="AS313" s="140" t="str">
        <f t="shared" si="57"/>
        <v/>
      </c>
    </row>
    <row r="314" spans="1:45">
      <c r="A314" s="10"/>
      <c r="B314" s="9"/>
      <c r="C314" s="9"/>
      <c r="D314" s="9"/>
      <c r="E314" s="10"/>
      <c r="F314" s="11"/>
      <c r="G314" s="15"/>
      <c r="H314" s="88"/>
      <c r="I314" s="24"/>
      <c r="J314" s="24"/>
      <c r="K314" s="114" t="str">
        <f t="shared" si="48"/>
        <v/>
      </c>
      <c r="L314" s="24"/>
      <c r="M314" s="24"/>
      <c r="N314" s="24"/>
      <c r="O314" s="24"/>
      <c r="P314" s="97" t="str">
        <f t="shared" si="49"/>
        <v/>
      </c>
      <c r="Q314" s="113" t="str">
        <f t="shared" si="50"/>
        <v/>
      </c>
      <c r="R314" s="88"/>
      <c r="S314" s="24"/>
      <c r="T314" s="24"/>
      <c r="U314" s="78" t="str">
        <f t="shared" si="51"/>
        <v/>
      </c>
      <c r="V314" s="24"/>
      <c r="W314" s="24"/>
      <c r="X314" s="24"/>
      <c r="Y314" s="24"/>
      <c r="Z314" s="98" t="str">
        <f t="shared" si="52"/>
        <v/>
      </c>
      <c r="AA314" s="40" t="str">
        <f t="shared" si="58"/>
        <v/>
      </c>
      <c r="AB314" s="88"/>
      <c r="AC314" s="24"/>
      <c r="AD314" s="24"/>
      <c r="AE314" s="79" t="str">
        <f t="shared" si="53"/>
        <v/>
      </c>
      <c r="AF314" s="24"/>
      <c r="AG314" s="24"/>
      <c r="AH314" s="24"/>
      <c r="AI314" s="24"/>
      <c r="AJ314" s="99" t="str">
        <f t="shared" si="54"/>
        <v/>
      </c>
      <c r="AK314" s="31" t="str">
        <f t="shared" si="59"/>
        <v/>
      </c>
      <c r="AN314" s="139" t="str">
        <f>IF($K314="","",VLOOKUP($K314,'ORF Accuracy Value LookUp'!$G$4:$H$104,2,TRUE))</f>
        <v/>
      </c>
      <c r="AO314" s="94" t="str">
        <f t="shared" si="55"/>
        <v/>
      </c>
      <c r="AP314" s="47" t="str">
        <f>IF($U314="","",VLOOKUP($U314,'ORF Accuracy Value LookUp'!$G$4:$H$104,2,TRUE))</f>
        <v/>
      </c>
      <c r="AQ314" s="94" t="str">
        <f t="shared" si="56"/>
        <v/>
      </c>
      <c r="AR314" s="46" t="str">
        <f>IF($AE314="","",VLOOKUP($AE314,'ORF Accuracy Value LookUp'!$G$4:$H$104,2,TRUE))</f>
        <v/>
      </c>
      <c r="AS314" s="140" t="str">
        <f t="shared" si="57"/>
        <v/>
      </c>
    </row>
    <row r="315" spans="1:45">
      <c r="A315" s="10"/>
      <c r="B315" s="9"/>
      <c r="C315" s="9"/>
      <c r="D315" s="9"/>
      <c r="E315" s="10"/>
      <c r="F315" s="11"/>
      <c r="G315" s="15"/>
      <c r="H315" s="88"/>
      <c r="I315" s="24"/>
      <c r="J315" s="24"/>
      <c r="K315" s="114" t="str">
        <f t="shared" si="48"/>
        <v/>
      </c>
      <c r="L315" s="24"/>
      <c r="M315" s="24"/>
      <c r="N315" s="24"/>
      <c r="O315" s="24"/>
      <c r="P315" s="97" t="str">
        <f t="shared" si="49"/>
        <v/>
      </c>
      <c r="Q315" s="113" t="str">
        <f t="shared" si="50"/>
        <v/>
      </c>
      <c r="R315" s="88"/>
      <c r="S315" s="24"/>
      <c r="T315" s="24"/>
      <c r="U315" s="78" t="str">
        <f t="shared" si="51"/>
        <v/>
      </c>
      <c r="V315" s="24"/>
      <c r="W315" s="24"/>
      <c r="X315" s="24"/>
      <c r="Y315" s="24"/>
      <c r="Z315" s="98" t="str">
        <f t="shared" si="52"/>
        <v/>
      </c>
      <c r="AA315" s="40" t="str">
        <f t="shared" si="58"/>
        <v/>
      </c>
      <c r="AB315" s="88"/>
      <c r="AC315" s="24"/>
      <c r="AD315" s="24"/>
      <c r="AE315" s="79" t="str">
        <f t="shared" si="53"/>
        <v/>
      </c>
      <c r="AF315" s="24"/>
      <c r="AG315" s="24"/>
      <c r="AH315" s="24"/>
      <c r="AI315" s="24"/>
      <c r="AJ315" s="99" t="str">
        <f t="shared" si="54"/>
        <v/>
      </c>
      <c r="AK315" s="31" t="str">
        <f t="shared" si="59"/>
        <v/>
      </c>
      <c r="AN315" s="139" t="str">
        <f>IF($K315="","",VLOOKUP($K315,'ORF Accuracy Value LookUp'!$G$4:$H$104,2,TRUE))</f>
        <v/>
      </c>
      <c r="AO315" s="94" t="str">
        <f t="shared" si="55"/>
        <v/>
      </c>
      <c r="AP315" s="47" t="str">
        <f>IF($U315="","",VLOOKUP($U315,'ORF Accuracy Value LookUp'!$G$4:$H$104,2,TRUE))</f>
        <v/>
      </c>
      <c r="AQ315" s="94" t="str">
        <f t="shared" si="56"/>
        <v/>
      </c>
      <c r="AR315" s="46" t="str">
        <f>IF($AE315="","",VLOOKUP($AE315,'ORF Accuracy Value LookUp'!$G$4:$H$104,2,TRUE))</f>
        <v/>
      </c>
      <c r="AS315" s="140" t="str">
        <f t="shared" si="57"/>
        <v/>
      </c>
    </row>
    <row r="316" spans="1:45">
      <c r="A316" s="10"/>
      <c r="B316" s="9"/>
      <c r="C316" s="9"/>
      <c r="D316" s="9"/>
      <c r="E316" s="10"/>
      <c r="F316" s="11"/>
      <c r="G316" s="15"/>
      <c r="H316" s="88"/>
      <c r="I316" s="24"/>
      <c r="J316" s="24"/>
      <c r="K316" s="114" t="str">
        <f t="shared" si="48"/>
        <v/>
      </c>
      <c r="L316" s="24"/>
      <c r="M316" s="24"/>
      <c r="N316" s="24"/>
      <c r="O316" s="24"/>
      <c r="P316" s="97" t="str">
        <f t="shared" si="49"/>
        <v/>
      </c>
      <c r="Q316" s="113" t="str">
        <f t="shared" si="50"/>
        <v/>
      </c>
      <c r="R316" s="88"/>
      <c r="S316" s="24"/>
      <c r="T316" s="24"/>
      <c r="U316" s="78" t="str">
        <f t="shared" si="51"/>
        <v/>
      </c>
      <c r="V316" s="24"/>
      <c r="W316" s="24"/>
      <c r="X316" s="24"/>
      <c r="Y316" s="24"/>
      <c r="Z316" s="98" t="str">
        <f t="shared" si="52"/>
        <v/>
      </c>
      <c r="AA316" s="40" t="str">
        <f t="shared" si="58"/>
        <v/>
      </c>
      <c r="AB316" s="88"/>
      <c r="AC316" s="24"/>
      <c r="AD316" s="24"/>
      <c r="AE316" s="79" t="str">
        <f t="shared" si="53"/>
        <v/>
      </c>
      <c r="AF316" s="24"/>
      <c r="AG316" s="24"/>
      <c r="AH316" s="24"/>
      <c r="AI316" s="24"/>
      <c r="AJ316" s="99" t="str">
        <f t="shared" si="54"/>
        <v/>
      </c>
      <c r="AK316" s="31" t="str">
        <f t="shared" si="59"/>
        <v/>
      </c>
      <c r="AN316" s="139" t="str">
        <f>IF($K316="","",VLOOKUP($K316,'ORF Accuracy Value LookUp'!$G$4:$H$104,2,TRUE))</f>
        <v/>
      </c>
      <c r="AO316" s="94" t="str">
        <f t="shared" si="55"/>
        <v/>
      </c>
      <c r="AP316" s="47" t="str">
        <f>IF($U316="","",VLOOKUP($U316,'ORF Accuracy Value LookUp'!$G$4:$H$104,2,TRUE))</f>
        <v/>
      </c>
      <c r="AQ316" s="94" t="str">
        <f t="shared" si="56"/>
        <v/>
      </c>
      <c r="AR316" s="46" t="str">
        <f>IF($AE316="","",VLOOKUP($AE316,'ORF Accuracy Value LookUp'!$G$4:$H$104,2,TRUE))</f>
        <v/>
      </c>
      <c r="AS316" s="140" t="str">
        <f t="shared" si="57"/>
        <v/>
      </c>
    </row>
    <row r="317" spans="1:45">
      <c r="A317" s="10"/>
      <c r="B317" s="9"/>
      <c r="C317" s="9"/>
      <c r="D317" s="9"/>
      <c r="E317" s="10"/>
      <c r="F317" s="11"/>
      <c r="G317" s="15"/>
      <c r="H317" s="88"/>
      <c r="I317" s="24"/>
      <c r="J317" s="24"/>
      <c r="K317" s="114" t="str">
        <f t="shared" si="48"/>
        <v/>
      </c>
      <c r="L317" s="24"/>
      <c r="M317" s="24"/>
      <c r="N317" s="24"/>
      <c r="O317" s="24"/>
      <c r="P317" s="97" t="str">
        <f t="shared" si="49"/>
        <v/>
      </c>
      <c r="Q317" s="113" t="str">
        <f t="shared" si="50"/>
        <v/>
      </c>
      <c r="R317" s="88"/>
      <c r="S317" s="24"/>
      <c r="T317" s="24"/>
      <c r="U317" s="78" t="str">
        <f t="shared" si="51"/>
        <v/>
      </c>
      <c r="V317" s="24"/>
      <c r="W317" s="24"/>
      <c r="X317" s="24"/>
      <c r="Y317" s="24"/>
      <c r="Z317" s="98" t="str">
        <f t="shared" si="52"/>
        <v/>
      </c>
      <c r="AA317" s="40" t="str">
        <f t="shared" si="58"/>
        <v/>
      </c>
      <c r="AB317" s="88"/>
      <c r="AC317" s="24"/>
      <c r="AD317" s="24"/>
      <c r="AE317" s="79" t="str">
        <f t="shared" si="53"/>
        <v/>
      </c>
      <c r="AF317" s="24"/>
      <c r="AG317" s="24"/>
      <c r="AH317" s="24"/>
      <c r="AI317" s="24"/>
      <c r="AJ317" s="99" t="str">
        <f t="shared" si="54"/>
        <v/>
      </c>
      <c r="AK317" s="31" t="str">
        <f t="shared" si="59"/>
        <v/>
      </c>
      <c r="AN317" s="139" t="str">
        <f>IF($K317="","",VLOOKUP($K317,'ORF Accuracy Value LookUp'!$G$4:$H$104,2,TRUE))</f>
        <v/>
      </c>
      <c r="AO317" s="94" t="str">
        <f t="shared" si="55"/>
        <v/>
      </c>
      <c r="AP317" s="47" t="str">
        <f>IF($U317="","",VLOOKUP($U317,'ORF Accuracy Value LookUp'!$G$4:$H$104,2,TRUE))</f>
        <v/>
      </c>
      <c r="AQ317" s="94" t="str">
        <f t="shared" si="56"/>
        <v/>
      </c>
      <c r="AR317" s="46" t="str">
        <f>IF($AE317="","",VLOOKUP($AE317,'ORF Accuracy Value LookUp'!$G$4:$H$104,2,TRUE))</f>
        <v/>
      </c>
      <c r="AS317" s="140" t="str">
        <f t="shared" si="57"/>
        <v/>
      </c>
    </row>
    <row r="318" spans="1:45">
      <c r="A318" s="10"/>
      <c r="B318" s="9"/>
      <c r="C318" s="9"/>
      <c r="D318" s="9"/>
      <c r="E318" s="10"/>
      <c r="F318" s="11"/>
      <c r="G318" s="15"/>
      <c r="H318" s="88"/>
      <c r="I318" s="24"/>
      <c r="J318" s="24"/>
      <c r="K318" s="114" t="str">
        <f t="shared" si="48"/>
        <v/>
      </c>
      <c r="L318" s="24"/>
      <c r="M318" s="24"/>
      <c r="N318" s="24"/>
      <c r="O318" s="24"/>
      <c r="P318" s="97" t="str">
        <f t="shared" si="49"/>
        <v/>
      </c>
      <c r="Q318" s="113" t="str">
        <f t="shared" si="50"/>
        <v/>
      </c>
      <c r="R318" s="88"/>
      <c r="S318" s="24"/>
      <c r="T318" s="24"/>
      <c r="U318" s="78" t="str">
        <f t="shared" si="51"/>
        <v/>
      </c>
      <c r="V318" s="24"/>
      <c r="W318" s="24"/>
      <c r="X318" s="24"/>
      <c r="Y318" s="24"/>
      <c r="Z318" s="98" t="str">
        <f t="shared" si="52"/>
        <v/>
      </c>
      <c r="AA318" s="40" t="str">
        <f t="shared" si="58"/>
        <v/>
      </c>
      <c r="AB318" s="88"/>
      <c r="AC318" s="24"/>
      <c r="AD318" s="24"/>
      <c r="AE318" s="79" t="str">
        <f t="shared" si="53"/>
        <v/>
      </c>
      <c r="AF318" s="24"/>
      <c r="AG318" s="24"/>
      <c r="AH318" s="24"/>
      <c r="AI318" s="24"/>
      <c r="AJ318" s="99" t="str">
        <f t="shared" si="54"/>
        <v/>
      </c>
      <c r="AK318" s="31" t="str">
        <f t="shared" si="59"/>
        <v/>
      </c>
      <c r="AN318" s="139" t="str">
        <f>IF($K318="","",VLOOKUP($K318,'ORF Accuracy Value LookUp'!$G$4:$H$104,2,TRUE))</f>
        <v/>
      </c>
      <c r="AO318" s="94" t="str">
        <f t="shared" si="55"/>
        <v/>
      </c>
      <c r="AP318" s="47" t="str">
        <f>IF($U318="","",VLOOKUP($U318,'ORF Accuracy Value LookUp'!$G$4:$H$104,2,TRUE))</f>
        <v/>
      </c>
      <c r="AQ318" s="94" t="str">
        <f t="shared" si="56"/>
        <v/>
      </c>
      <c r="AR318" s="46" t="str">
        <f>IF($AE318="","",VLOOKUP($AE318,'ORF Accuracy Value LookUp'!$G$4:$H$104,2,TRUE))</f>
        <v/>
      </c>
      <c r="AS318" s="140" t="str">
        <f t="shared" si="57"/>
        <v/>
      </c>
    </row>
    <row r="319" spans="1:45">
      <c r="A319" s="10"/>
      <c r="B319" s="9"/>
      <c r="C319" s="9"/>
      <c r="D319" s="9"/>
      <c r="E319" s="10"/>
      <c r="F319" s="11"/>
      <c r="G319" s="15"/>
      <c r="H319" s="88"/>
      <c r="I319" s="24"/>
      <c r="J319" s="24"/>
      <c r="K319" s="114" t="str">
        <f t="shared" si="48"/>
        <v/>
      </c>
      <c r="L319" s="24"/>
      <c r="M319" s="24"/>
      <c r="N319" s="24"/>
      <c r="O319" s="24"/>
      <c r="P319" s="97" t="str">
        <f t="shared" si="49"/>
        <v/>
      </c>
      <c r="Q319" s="113" t="str">
        <f t="shared" si="50"/>
        <v/>
      </c>
      <c r="R319" s="88"/>
      <c r="S319" s="24"/>
      <c r="T319" s="24"/>
      <c r="U319" s="78" t="str">
        <f t="shared" si="51"/>
        <v/>
      </c>
      <c r="V319" s="24"/>
      <c r="W319" s="24"/>
      <c r="X319" s="24"/>
      <c r="Y319" s="24"/>
      <c r="Z319" s="98" t="str">
        <f t="shared" si="52"/>
        <v/>
      </c>
      <c r="AA319" s="40" t="str">
        <f t="shared" si="58"/>
        <v/>
      </c>
      <c r="AB319" s="88"/>
      <c r="AC319" s="24"/>
      <c r="AD319" s="24"/>
      <c r="AE319" s="79" t="str">
        <f t="shared" si="53"/>
        <v/>
      </c>
      <c r="AF319" s="24"/>
      <c r="AG319" s="24"/>
      <c r="AH319" s="24"/>
      <c r="AI319" s="24"/>
      <c r="AJ319" s="99" t="str">
        <f t="shared" si="54"/>
        <v/>
      </c>
      <c r="AK319" s="31" t="str">
        <f t="shared" si="59"/>
        <v/>
      </c>
      <c r="AN319" s="139" t="str">
        <f>IF($K319="","",VLOOKUP($K319,'ORF Accuracy Value LookUp'!$G$4:$H$104,2,TRUE))</f>
        <v/>
      </c>
      <c r="AO319" s="94" t="str">
        <f t="shared" si="55"/>
        <v/>
      </c>
      <c r="AP319" s="47" t="str">
        <f>IF($U319="","",VLOOKUP($U319,'ORF Accuracy Value LookUp'!$G$4:$H$104,2,TRUE))</f>
        <v/>
      </c>
      <c r="AQ319" s="94" t="str">
        <f t="shared" si="56"/>
        <v/>
      </c>
      <c r="AR319" s="46" t="str">
        <f>IF($AE319="","",VLOOKUP($AE319,'ORF Accuracy Value LookUp'!$G$4:$H$104,2,TRUE))</f>
        <v/>
      </c>
      <c r="AS319" s="140" t="str">
        <f t="shared" si="57"/>
        <v/>
      </c>
    </row>
    <row r="320" spans="1:45">
      <c r="A320" s="10"/>
      <c r="B320" s="9"/>
      <c r="C320" s="9"/>
      <c r="D320" s="9"/>
      <c r="E320" s="10"/>
      <c r="F320" s="11"/>
      <c r="G320" s="15"/>
      <c r="H320" s="88"/>
      <c r="I320" s="24"/>
      <c r="J320" s="24"/>
      <c r="K320" s="114" t="str">
        <f t="shared" si="48"/>
        <v/>
      </c>
      <c r="L320" s="24"/>
      <c r="M320" s="24"/>
      <c r="N320" s="24"/>
      <c r="O320" s="24"/>
      <c r="P320" s="97" t="str">
        <f t="shared" si="49"/>
        <v/>
      </c>
      <c r="Q320" s="113" t="str">
        <f t="shared" si="50"/>
        <v/>
      </c>
      <c r="R320" s="88"/>
      <c r="S320" s="24"/>
      <c r="T320" s="24"/>
      <c r="U320" s="78" t="str">
        <f t="shared" si="51"/>
        <v/>
      </c>
      <c r="V320" s="24"/>
      <c r="W320" s="24"/>
      <c r="X320" s="24"/>
      <c r="Y320" s="24"/>
      <c r="Z320" s="98" t="str">
        <f t="shared" si="52"/>
        <v/>
      </c>
      <c r="AA320" s="40" t="str">
        <f t="shared" si="58"/>
        <v/>
      </c>
      <c r="AB320" s="88"/>
      <c r="AC320" s="24"/>
      <c r="AD320" s="24"/>
      <c r="AE320" s="79" t="str">
        <f t="shared" si="53"/>
        <v/>
      </c>
      <c r="AF320" s="24"/>
      <c r="AG320" s="24"/>
      <c r="AH320" s="24"/>
      <c r="AI320" s="24"/>
      <c r="AJ320" s="99" t="str">
        <f t="shared" si="54"/>
        <v/>
      </c>
      <c r="AK320" s="31" t="str">
        <f t="shared" si="59"/>
        <v/>
      </c>
      <c r="AN320" s="139" t="str">
        <f>IF($K320="","",VLOOKUP($K320,'ORF Accuracy Value LookUp'!$G$4:$H$104,2,TRUE))</f>
        <v/>
      </c>
      <c r="AO320" s="94" t="str">
        <f t="shared" si="55"/>
        <v/>
      </c>
      <c r="AP320" s="47" t="str">
        <f>IF($U320="","",VLOOKUP($U320,'ORF Accuracy Value LookUp'!$G$4:$H$104,2,TRUE))</f>
        <v/>
      </c>
      <c r="AQ320" s="94" t="str">
        <f t="shared" si="56"/>
        <v/>
      </c>
      <c r="AR320" s="46" t="str">
        <f>IF($AE320="","",VLOOKUP($AE320,'ORF Accuracy Value LookUp'!$G$4:$H$104,2,TRUE))</f>
        <v/>
      </c>
      <c r="AS320" s="140" t="str">
        <f t="shared" si="57"/>
        <v/>
      </c>
    </row>
    <row r="321" spans="1:45">
      <c r="A321" s="10"/>
      <c r="B321" s="9"/>
      <c r="C321" s="9"/>
      <c r="D321" s="9"/>
      <c r="E321" s="10"/>
      <c r="F321" s="11"/>
      <c r="G321" s="15"/>
      <c r="H321" s="88"/>
      <c r="I321" s="24"/>
      <c r="J321" s="24"/>
      <c r="K321" s="114" t="str">
        <f t="shared" si="48"/>
        <v/>
      </c>
      <c r="L321" s="24"/>
      <c r="M321" s="24"/>
      <c r="N321" s="24"/>
      <c r="O321" s="24"/>
      <c r="P321" s="97" t="str">
        <f t="shared" si="49"/>
        <v/>
      </c>
      <c r="Q321" s="113" t="str">
        <f t="shared" si="50"/>
        <v/>
      </c>
      <c r="R321" s="88"/>
      <c r="S321" s="24"/>
      <c r="T321" s="24"/>
      <c r="U321" s="78" t="str">
        <f t="shared" si="51"/>
        <v/>
      </c>
      <c r="V321" s="24"/>
      <c r="W321" s="24"/>
      <c r="X321" s="24"/>
      <c r="Y321" s="24"/>
      <c r="Z321" s="98" t="str">
        <f t="shared" si="52"/>
        <v/>
      </c>
      <c r="AA321" s="40" t="str">
        <f t="shared" si="58"/>
        <v/>
      </c>
      <c r="AB321" s="88"/>
      <c r="AC321" s="24"/>
      <c r="AD321" s="24"/>
      <c r="AE321" s="79" t="str">
        <f t="shared" si="53"/>
        <v/>
      </c>
      <c r="AF321" s="24"/>
      <c r="AG321" s="24"/>
      <c r="AH321" s="24"/>
      <c r="AI321" s="24"/>
      <c r="AJ321" s="99" t="str">
        <f t="shared" si="54"/>
        <v/>
      </c>
      <c r="AK321" s="31" t="str">
        <f t="shared" si="59"/>
        <v/>
      </c>
      <c r="AN321" s="139" t="str">
        <f>IF($K321="","",VLOOKUP($K321,'ORF Accuracy Value LookUp'!$G$4:$H$104,2,TRUE))</f>
        <v/>
      </c>
      <c r="AO321" s="94" t="str">
        <f t="shared" si="55"/>
        <v/>
      </c>
      <c r="AP321" s="47" t="str">
        <f>IF($U321="","",VLOOKUP($U321,'ORF Accuracy Value LookUp'!$G$4:$H$104,2,TRUE))</f>
        <v/>
      </c>
      <c r="AQ321" s="94" t="str">
        <f t="shared" si="56"/>
        <v/>
      </c>
      <c r="AR321" s="46" t="str">
        <f>IF($AE321="","",VLOOKUP($AE321,'ORF Accuracy Value LookUp'!$G$4:$H$104,2,TRUE))</f>
        <v/>
      </c>
      <c r="AS321" s="140" t="str">
        <f t="shared" si="57"/>
        <v/>
      </c>
    </row>
    <row r="322" spans="1:45">
      <c r="A322" s="10"/>
      <c r="B322" s="9"/>
      <c r="C322" s="9"/>
      <c r="D322" s="9"/>
      <c r="E322" s="10"/>
      <c r="F322" s="11"/>
      <c r="G322" s="15"/>
      <c r="H322" s="88"/>
      <c r="I322" s="24"/>
      <c r="J322" s="24"/>
      <c r="K322" s="114" t="str">
        <f t="shared" si="48"/>
        <v/>
      </c>
      <c r="L322" s="24"/>
      <c r="M322" s="24"/>
      <c r="N322" s="24"/>
      <c r="O322" s="24"/>
      <c r="P322" s="97" t="str">
        <f t="shared" si="49"/>
        <v/>
      </c>
      <c r="Q322" s="113" t="str">
        <f t="shared" si="50"/>
        <v/>
      </c>
      <c r="R322" s="88"/>
      <c r="S322" s="24"/>
      <c r="T322" s="24"/>
      <c r="U322" s="78" t="str">
        <f t="shared" si="51"/>
        <v/>
      </c>
      <c r="V322" s="24"/>
      <c r="W322" s="24"/>
      <c r="X322" s="24"/>
      <c r="Y322" s="24"/>
      <c r="Z322" s="98" t="str">
        <f t="shared" si="52"/>
        <v/>
      </c>
      <c r="AA322" s="40" t="str">
        <f t="shared" si="58"/>
        <v/>
      </c>
      <c r="AB322" s="88"/>
      <c r="AC322" s="24"/>
      <c r="AD322" s="24"/>
      <c r="AE322" s="79" t="str">
        <f t="shared" si="53"/>
        <v/>
      </c>
      <c r="AF322" s="24"/>
      <c r="AG322" s="24"/>
      <c r="AH322" s="24"/>
      <c r="AI322" s="24"/>
      <c r="AJ322" s="99" t="str">
        <f t="shared" si="54"/>
        <v/>
      </c>
      <c r="AK322" s="31" t="str">
        <f t="shared" si="59"/>
        <v/>
      </c>
      <c r="AN322" s="139" t="str">
        <f>IF($K322="","",VLOOKUP($K322,'ORF Accuracy Value LookUp'!$G$4:$H$104,2,TRUE))</f>
        <v/>
      </c>
      <c r="AO322" s="94" t="str">
        <f t="shared" si="55"/>
        <v/>
      </c>
      <c r="AP322" s="47" t="str">
        <f>IF($U322="","",VLOOKUP($U322,'ORF Accuracy Value LookUp'!$G$4:$H$104,2,TRUE))</f>
        <v/>
      </c>
      <c r="AQ322" s="94" t="str">
        <f t="shared" si="56"/>
        <v/>
      </c>
      <c r="AR322" s="46" t="str">
        <f>IF($AE322="","",VLOOKUP($AE322,'ORF Accuracy Value LookUp'!$G$4:$H$104,2,TRUE))</f>
        <v/>
      </c>
      <c r="AS322" s="140" t="str">
        <f t="shared" si="57"/>
        <v/>
      </c>
    </row>
    <row r="323" spans="1:45">
      <c r="A323" s="10"/>
      <c r="B323" s="9"/>
      <c r="C323" s="9"/>
      <c r="D323" s="9"/>
      <c r="E323" s="10"/>
      <c r="F323" s="11"/>
      <c r="G323" s="15"/>
      <c r="H323" s="88"/>
      <c r="I323" s="24"/>
      <c r="J323" s="24"/>
      <c r="K323" s="114" t="str">
        <f t="shared" si="48"/>
        <v/>
      </c>
      <c r="L323" s="24"/>
      <c r="M323" s="24"/>
      <c r="N323" s="24"/>
      <c r="O323" s="24"/>
      <c r="P323" s="97" t="str">
        <f t="shared" si="49"/>
        <v/>
      </c>
      <c r="Q323" s="113" t="str">
        <f t="shared" si="50"/>
        <v/>
      </c>
      <c r="R323" s="88"/>
      <c r="S323" s="24"/>
      <c r="T323" s="24"/>
      <c r="U323" s="78" t="str">
        <f t="shared" si="51"/>
        <v/>
      </c>
      <c r="V323" s="24"/>
      <c r="W323" s="24"/>
      <c r="X323" s="24"/>
      <c r="Y323" s="24"/>
      <c r="Z323" s="98" t="str">
        <f t="shared" si="52"/>
        <v/>
      </c>
      <c r="AA323" s="40" t="str">
        <f t="shared" si="58"/>
        <v/>
      </c>
      <c r="AB323" s="88"/>
      <c r="AC323" s="24"/>
      <c r="AD323" s="24"/>
      <c r="AE323" s="79" t="str">
        <f t="shared" si="53"/>
        <v/>
      </c>
      <c r="AF323" s="24"/>
      <c r="AG323" s="24"/>
      <c r="AH323" s="24"/>
      <c r="AI323" s="24"/>
      <c r="AJ323" s="99" t="str">
        <f t="shared" si="54"/>
        <v/>
      </c>
      <c r="AK323" s="31" t="str">
        <f t="shared" si="59"/>
        <v/>
      </c>
      <c r="AN323" s="139" t="str">
        <f>IF($K323="","",VLOOKUP($K323,'ORF Accuracy Value LookUp'!$G$4:$H$104,2,TRUE))</f>
        <v/>
      </c>
      <c r="AO323" s="94" t="str">
        <f t="shared" si="55"/>
        <v/>
      </c>
      <c r="AP323" s="47" t="str">
        <f>IF($U323="","",VLOOKUP($U323,'ORF Accuracy Value LookUp'!$G$4:$H$104,2,TRUE))</f>
        <v/>
      </c>
      <c r="AQ323" s="94" t="str">
        <f t="shared" si="56"/>
        <v/>
      </c>
      <c r="AR323" s="46" t="str">
        <f>IF($AE323="","",VLOOKUP($AE323,'ORF Accuracy Value LookUp'!$G$4:$H$104,2,TRUE))</f>
        <v/>
      </c>
      <c r="AS323" s="140" t="str">
        <f t="shared" si="57"/>
        <v/>
      </c>
    </row>
    <row r="324" spans="1:45">
      <c r="A324" s="10"/>
      <c r="B324" s="9"/>
      <c r="C324" s="9"/>
      <c r="D324" s="9"/>
      <c r="E324" s="10"/>
      <c r="F324" s="11"/>
      <c r="G324" s="15"/>
      <c r="H324" s="88"/>
      <c r="I324" s="24"/>
      <c r="J324" s="24"/>
      <c r="K324" s="114" t="str">
        <f t="shared" si="48"/>
        <v/>
      </c>
      <c r="L324" s="24"/>
      <c r="M324" s="24"/>
      <c r="N324" s="24"/>
      <c r="O324" s="24"/>
      <c r="P324" s="97" t="str">
        <f t="shared" si="49"/>
        <v/>
      </c>
      <c r="Q324" s="113" t="str">
        <f t="shared" si="50"/>
        <v/>
      </c>
      <c r="R324" s="88"/>
      <c r="S324" s="24"/>
      <c r="T324" s="24"/>
      <c r="U324" s="78" t="str">
        <f t="shared" si="51"/>
        <v/>
      </c>
      <c r="V324" s="24"/>
      <c r="W324" s="24"/>
      <c r="X324" s="24"/>
      <c r="Y324" s="24"/>
      <c r="Z324" s="98" t="str">
        <f t="shared" si="52"/>
        <v/>
      </c>
      <c r="AA324" s="40" t="str">
        <f t="shared" si="58"/>
        <v/>
      </c>
      <c r="AB324" s="88"/>
      <c r="AC324" s="24"/>
      <c r="AD324" s="24"/>
      <c r="AE324" s="79" t="str">
        <f t="shared" si="53"/>
        <v/>
      </c>
      <c r="AF324" s="24"/>
      <c r="AG324" s="24"/>
      <c r="AH324" s="24"/>
      <c r="AI324" s="24"/>
      <c r="AJ324" s="99" t="str">
        <f t="shared" si="54"/>
        <v/>
      </c>
      <c r="AK324" s="31" t="str">
        <f t="shared" si="59"/>
        <v/>
      </c>
      <c r="AN324" s="139" t="str">
        <f>IF($K324="","",VLOOKUP($K324,'ORF Accuracy Value LookUp'!$G$4:$H$104,2,TRUE))</f>
        <v/>
      </c>
      <c r="AO324" s="94" t="str">
        <f t="shared" si="55"/>
        <v/>
      </c>
      <c r="AP324" s="47" t="str">
        <f>IF($U324="","",VLOOKUP($U324,'ORF Accuracy Value LookUp'!$G$4:$H$104,2,TRUE))</f>
        <v/>
      </c>
      <c r="AQ324" s="94" t="str">
        <f t="shared" si="56"/>
        <v/>
      </c>
      <c r="AR324" s="46" t="str">
        <f>IF($AE324="","",VLOOKUP($AE324,'ORF Accuracy Value LookUp'!$G$4:$H$104,2,TRUE))</f>
        <v/>
      </c>
      <c r="AS324" s="140" t="str">
        <f t="shared" si="57"/>
        <v/>
      </c>
    </row>
    <row r="325" spans="1:45">
      <c r="A325" s="10"/>
      <c r="B325" s="9"/>
      <c r="C325" s="9"/>
      <c r="D325" s="9"/>
      <c r="E325" s="10"/>
      <c r="F325" s="11"/>
      <c r="G325" s="15"/>
      <c r="H325" s="88"/>
      <c r="I325" s="24"/>
      <c r="J325" s="24"/>
      <c r="K325" s="114" t="str">
        <f t="shared" ref="K325:K388" si="60">IF($I325="","",SUM($I325/($I325+$J325)))</f>
        <v/>
      </c>
      <c r="L325" s="24"/>
      <c r="M325" s="24"/>
      <c r="N325" s="24"/>
      <c r="O325" s="24"/>
      <c r="P325" s="97" t="str">
        <f t="shared" ref="P325:P388" si="61">IF($AO325&gt;0,$AO325,0)</f>
        <v/>
      </c>
      <c r="Q325" s="113" t="str">
        <f t="shared" ref="Q325:Q388" si="62">IF($B325="","",SUM($I325+$AN325+($L325*2)+($P325*2)))</f>
        <v/>
      </c>
      <c r="R325" s="88"/>
      <c r="S325" s="24"/>
      <c r="T325" s="24"/>
      <c r="U325" s="78" t="str">
        <f t="shared" ref="U325:U388" si="63">IF($S325="","",SUM($S325/($S325+$T325)))</f>
        <v/>
      </c>
      <c r="V325" s="24"/>
      <c r="W325" s="24"/>
      <c r="X325" s="24"/>
      <c r="Y325" s="24"/>
      <c r="Z325" s="98" t="str">
        <f t="shared" ref="Z325:Z388" si="64">IF($AQ325&gt;0,$AQ325,0)</f>
        <v/>
      </c>
      <c r="AA325" s="40" t="str">
        <f t="shared" si="58"/>
        <v/>
      </c>
      <c r="AB325" s="88"/>
      <c r="AC325" s="24"/>
      <c r="AD325" s="24"/>
      <c r="AE325" s="79" t="str">
        <f t="shared" ref="AE325:AE388" si="65">IF($AC325="","",SUM($AC325/($AC325+$AD325)))</f>
        <v/>
      </c>
      <c r="AF325" s="24"/>
      <c r="AG325" s="24"/>
      <c r="AH325" s="24"/>
      <c r="AI325" s="24"/>
      <c r="AJ325" s="99" t="str">
        <f t="shared" ref="AJ325:AJ388" si="66">IF($AS325&gt;0,$AS325,0)</f>
        <v/>
      </c>
      <c r="AK325" s="31" t="str">
        <f t="shared" si="59"/>
        <v/>
      </c>
      <c r="AN325" s="139" t="str">
        <f>IF($K325="","",VLOOKUP($K325,'ORF Accuracy Value LookUp'!$G$4:$H$104,2,TRUE))</f>
        <v/>
      </c>
      <c r="AO325" s="94" t="str">
        <f t="shared" ref="AO325:AO388" si="67">IF($N325="","",($N325-($O325/2)))</f>
        <v/>
      </c>
      <c r="AP325" s="47" t="str">
        <f>IF($U325="","",VLOOKUP($U325,'ORF Accuracy Value LookUp'!$G$4:$H$104,2,TRUE))</f>
        <v/>
      </c>
      <c r="AQ325" s="94" t="str">
        <f t="shared" ref="AQ325:AQ388" si="68">IF($X325="","",$X325-($Y325/2))</f>
        <v/>
      </c>
      <c r="AR325" s="46" t="str">
        <f>IF($AE325="","",VLOOKUP($AE325,'ORF Accuracy Value LookUp'!$G$4:$H$104,2,TRUE))</f>
        <v/>
      </c>
      <c r="AS325" s="140" t="str">
        <f t="shared" ref="AS325:AS388" si="69">IF($AH325="","",$AH325-($AI325/2))</f>
        <v/>
      </c>
    </row>
    <row r="326" spans="1:45">
      <c r="A326" s="10"/>
      <c r="B326" s="9"/>
      <c r="C326" s="9"/>
      <c r="D326" s="9"/>
      <c r="E326" s="10"/>
      <c r="F326" s="11"/>
      <c r="G326" s="15"/>
      <c r="H326" s="88"/>
      <c r="I326" s="24"/>
      <c r="J326" s="24"/>
      <c r="K326" s="114" t="str">
        <f t="shared" si="60"/>
        <v/>
      </c>
      <c r="L326" s="24"/>
      <c r="M326" s="24"/>
      <c r="N326" s="24"/>
      <c r="O326" s="24"/>
      <c r="P326" s="97" t="str">
        <f t="shared" si="61"/>
        <v/>
      </c>
      <c r="Q326" s="113" t="str">
        <f t="shared" si="62"/>
        <v/>
      </c>
      <c r="R326" s="88"/>
      <c r="S326" s="24"/>
      <c r="T326" s="24"/>
      <c r="U326" s="78" t="str">
        <f t="shared" si="63"/>
        <v/>
      </c>
      <c r="V326" s="24"/>
      <c r="W326" s="24"/>
      <c r="X326" s="24"/>
      <c r="Y326" s="24"/>
      <c r="Z326" s="98" t="str">
        <f t="shared" si="64"/>
        <v/>
      </c>
      <c r="AA326" s="40" t="str">
        <f t="shared" ref="AA326:AA389" si="70">IF($R326="","",SUM($S326+$AP326+($V326*2)+($Z326*4)))</f>
        <v/>
      </c>
      <c r="AB326" s="88"/>
      <c r="AC326" s="24"/>
      <c r="AD326" s="24"/>
      <c r="AE326" s="79" t="str">
        <f t="shared" si="65"/>
        <v/>
      </c>
      <c r="AF326" s="24"/>
      <c r="AG326" s="24"/>
      <c r="AH326" s="24"/>
      <c r="AI326" s="24"/>
      <c r="AJ326" s="99" t="str">
        <f t="shared" si="66"/>
        <v/>
      </c>
      <c r="AK326" s="31" t="str">
        <f t="shared" ref="AK326:AK389" si="71">IF($AB326="","",SUM($AC326+$AR326+($AF326*2)+($AJ326*4)))</f>
        <v/>
      </c>
      <c r="AN326" s="139" t="str">
        <f>IF($K326="","",VLOOKUP($K326,'ORF Accuracy Value LookUp'!$G$4:$H$104,2,TRUE))</f>
        <v/>
      </c>
      <c r="AO326" s="94" t="str">
        <f t="shared" si="67"/>
        <v/>
      </c>
      <c r="AP326" s="47" t="str">
        <f>IF($U326="","",VLOOKUP($U326,'ORF Accuracy Value LookUp'!$G$4:$H$104,2,TRUE))</f>
        <v/>
      </c>
      <c r="AQ326" s="94" t="str">
        <f t="shared" si="68"/>
        <v/>
      </c>
      <c r="AR326" s="46" t="str">
        <f>IF($AE326="","",VLOOKUP($AE326,'ORF Accuracy Value LookUp'!$G$4:$H$104,2,TRUE))</f>
        <v/>
      </c>
      <c r="AS326" s="140" t="str">
        <f t="shared" si="69"/>
        <v/>
      </c>
    </row>
    <row r="327" spans="1:45">
      <c r="A327" s="10"/>
      <c r="B327" s="9"/>
      <c r="C327" s="9"/>
      <c r="D327" s="9"/>
      <c r="E327" s="10"/>
      <c r="F327" s="11"/>
      <c r="G327" s="15"/>
      <c r="H327" s="88"/>
      <c r="I327" s="24"/>
      <c r="J327" s="24"/>
      <c r="K327" s="114" t="str">
        <f t="shared" si="60"/>
        <v/>
      </c>
      <c r="L327" s="24"/>
      <c r="M327" s="24"/>
      <c r="N327" s="24"/>
      <c r="O327" s="24"/>
      <c r="P327" s="97" t="str">
        <f t="shared" si="61"/>
        <v/>
      </c>
      <c r="Q327" s="113" t="str">
        <f t="shared" si="62"/>
        <v/>
      </c>
      <c r="R327" s="88"/>
      <c r="S327" s="24"/>
      <c r="T327" s="24"/>
      <c r="U327" s="78" t="str">
        <f t="shared" si="63"/>
        <v/>
      </c>
      <c r="V327" s="24"/>
      <c r="W327" s="24"/>
      <c r="X327" s="24"/>
      <c r="Y327" s="24"/>
      <c r="Z327" s="98" t="str">
        <f t="shared" si="64"/>
        <v/>
      </c>
      <c r="AA327" s="40" t="str">
        <f t="shared" si="70"/>
        <v/>
      </c>
      <c r="AB327" s="88"/>
      <c r="AC327" s="24"/>
      <c r="AD327" s="24"/>
      <c r="AE327" s="79" t="str">
        <f t="shared" si="65"/>
        <v/>
      </c>
      <c r="AF327" s="24"/>
      <c r="AG327" s="24"/>
      <c r="AH327" s="24"/>
      <c r="AI327" s="24"/>
      <c r="AJ327" s="99" t="str">
        <f t="shared" si="66"/>
        <v/>
      </c>
      <c r="AK327" s="31" t="str">
        <f t="shared" si="71"/>
        <v/>
      </c>
      <c r="AN327" s="139" t="str">
        <f>IF($K327="","",VLOOKUP($K327,'ORF Accuracy Value LookUp'!$G$4:$H$104,2,TRUE))</f>
        <v/>
      </c>
      <c r="AO327" s="94" t="str">
        <f t="shared" si="67"/>
        <v/>
      </c>
      <c r="AP327" s="47" t="str">
        <f>IF($U327="","",VLOOKUP($U327,'ORF Accuracy Value LookUp'!$G$4:$H$104,2,TRUE))</f>
        <v/>
      </c>
      <c r="AQ327" s="94" t="str">
        <f t="shared" si="68"/>
        <v/>
      </c>
      <c r="AR327" s="46" t="str">
        <f>IF($AE327="","",VLOOKUP($AE327,'ORF Accuracy Value LookUp'!$G$4:$H$104,2,TRUE))</f>
        <v/>
      </c>
      <c r="AS327" s="140" t="str">
        <f t="shared" si="69"/>
        <v/>
      </c>
    </row>
    <row r="328" spans="1:45">
      <c r="A328" s="10"/>
      <c r="B328" s="9"/>
      <c r="C328" s="9"/>
      <c r="D328" s="9"/>
      <c r="E328" s="10"/>
      <c r="F328" s="11"/>
      <c r="G328" s="15"/>
      <c r="H328" s="88"/>
      <c r="I328" s="24"/>
      <c r="J328" s="24"/>
      <c r="K328" s="114" t="str">
        <f t="shared" si="60"/>
        <v/>
      </c>
      <c r="L328" s="24"/>
      <c r="M328" s="24"/>
      <c r="N328" s="24"/>
      <c r="O328" s="24"/>
      <c r="P328" s="97" t="str">
        <f t="shared" si="61"/>
        <v/>
      </c>
      <c r="Q328" s="113" t="str">
        <f t="shared" si="62"/>
        <v/>
      </c>
      <c r="R328" s="88"/>
      <c r="S328" s="24"/>
      <c r="T328" s="24"/>
      <c r="U328" s="78" t="str">
        <f t="shared" si="63"/>
        <v/>
      </c>
      <c r="V328" s="24"/>
      <c r="W328" s="24"/>
      <c r="X328" s="24"/>
      <c r="Y328" s="24"/>
      <c r="Z328" s="98" t="str">
        <f t="shared" si="64"/>
        <v/>
      </c>
      <c r="AA328" s="40" t="str">
        <f t="shared" si="70"/>
        <v/>
      </c>
      <c r="AB328" s="88"/>
      <c r="AC328" s="24"/>
      <c r="AD328" s="24"/>
      <c r="AE328" s="79" t="str">
        <f t="shared" si="65"/>
        <v/>
      </c>
      <c r="AF328" s="24"/>
      <c r="AG328" s="24"/>
      <c r="AH328" s="24"/>
      <c r="AI328" s="24"/>
      <c r="AJ328" s="99" t="str">
        <f t="shared" si="66"/>
        <v/>
      </c>
      <c r="AK328" s="31" t="str">
        <f t="shared" si="71"/>
        <v/>
      </c>
      <c r="AN328" s="139" t="str">
        <f>IF($K328="","",VLOOKUP($K328,'ORF Accuracy Value LookUp'!$G$4:$H$104,2,TRUE))</f>
        <v/>
      </c>
      <c r="AO328" s="94" t="str">
        <f t="shared" si="67"/>
        <v/>
      </c>
      <c r="AP328" s="47" t="str">
        <f>IF($U328="","",VLOOKUP($U328,'ORF Accuracy Value LookUp'!$G$4:$H$104,2,TRUE))</f>
        <v/>
      </c>
      <c r="AQ328" s="94" t="str">
        <f t="shared" si="68"/>
        <v/>
      </c>
      <c r="AR328" s="46" t="str">
        <f>IF($AE328="","",VLOOKUP($AE328,'ORF Accuracy Value LookUp'!$G$4:$H$104,2,TRUE))</f>
        <v/>
      </c>
      <c r="AS328" s="140" t="str">
        <f t="shared" si="69"/>
        <v/>
      </c>
    </row>
    <row r="329" spans="1:45">
      <c r="A329" s="10"/>
      <c r="B329" s="9"/>
      <c r="C329" s="9"/>
      <c r="D329" s="9"/>
      <c r="E329" s="10"/>
      <c r="F329" s="11"/>
      <c r="G329" s="15"/>
      <c r="H329" s="88"/>
      <c r="I329" s="24"/>
      <c r="J329" s="24"/>
      <c r="K329" s="114" t="str">
        <f t="shared" si="60"/>
        <v/>
      </c>
      <c r="L329" s="24"/>
      <c r="M329" s="24"/>
      <c r="N329" s="24"/>
      <c r="O329" s="24"/>
      <c r="P329" s="97" t="str">
        <f t="shared" si="61"/>
        <v/>
      </c>
      <c r="Q329" s="113" t="str">
        <f t="shared" si="62"/>
        <v/>
      </c>
      <c r="R329" s="88"/>
      <c r="S329" s="24"/>
      <c r="T329" s="24"/>
      <c r="U329" s="78" t="str">
        <f t="shared" si="63"/>
        <v/>
      </c>
      <c r="V329" s="24"/>
      <c r="W329" s="24"/>
      <c r="X329" s="24"/>
      <c r="Y329" s="24"/>
      <c r="Z329" s="98" t="str">
        <f t="shared" si="64"/>
        <v/>
      </c>
      <c r="AA329" s="40" t="str">
        <f t="shared" si="70"/>
        <v/>
      </c>
      <c r="AB329" s="88"/>
      <c r="AC329" s="24"/>
      <c r="AD329" s="24"/>
      <c r="AE329" s="79" t="str">
        <f t="shared" si="65"/>
        <v/>
      </c>
      <c r="AF329" s="24"/>
      <c r="AG329" s="24"/>
      <c r="AH329" s="24"/>
      <c r="AI329" s="24"/>
      <c r="AJ329" s="99" t="str">
        <f t="shared" si="66"/>
        <v/>
      </c>
      <c r="AK329" s="31" t="str">
        <f t="shared" si="71"/>
        <v/>
      </c>
      <c r="AN329" s="139" t="str">
        <f>IF($K329="","",VLOOKUP($K329,'ORF Accuracy Value LookUp'!$G$4:$H$104,2,TRUE))</f>
        <v/>
      </c>
      <c r="AO329" s="94" t="str">
        <f t="shared" si="67"/>
        <v/>
      </c>
      <c r="AP329" s="47" t="str">
        <f>IF($U329="","",VLOOKUP($U329,'ORF Accuracy Value LookUp'!$G$4:$H$104,2,TRUE))</f>
        <v/>
      </c>
      <c r="AQ329" s="94" t="str">
        <f t="shared" si="68"/>
        <v/>
      </c>
      <c r="AR329" s="46" t="str">
        <f>IF($AE329="","",VLOOKUP($AE329,'ORF Accuracy Value LookUp'!$G$4:$H$104,2,TRUE))</f>
        <v/>
      </c>
      <c r="AS329" s="140" t="str">
        <f t="shared" si="69"/>
        <v/>
      </c>
    </row>
    <row r="330" spans="1:45">
      <c r="A330" s="10"/>
      <c r="B330" s="9"/>
      <c r="C330" s="9"/>
      <c r="D330" s="9"/>
      <c r="E330" s="10"/>
      <c r="F330" s="11"/>
      <c r="G330" s="15"/>
      <c r="H330" s="88"/>
      <c r="I330" s="24"/>
      <c r="J330" s="24"/>
      <c r="K330" s="114" t="str">
        <f t="shared" si="60"/>
        <v/>
      </c>
      <c r="L330" s="24"/>
      <c r="M330" s="24"/>
      <c r="N330" s="24"/>
      <c r="O330" s="24"/>
      <c r="P330" s="97" t="str">
        <f t="shared" si="61"/>
        <v/>
      </c>
      <c r="Q330" s="113" t="str">
        <f t="shared" si="62"/>
        <v/>
      </c>
      <c r="R330" s="88"/>
      <c r="S330" s="24"/>
      <c r="T330" s="24"/>
      <c r="U330" s="78" t="str">
        <f t="shared" si="63"/>
        <v/>
      </c>
      <c r="V330" s="24"/>
      <c r="W330" s="24"/>
      <c r="X330" s="24"/>
      <c r="Y330" s="24"/>
      <c r="Z330" s="98" t="str">
        <f t="shared" si="64"/>
        <v/>
      </c>
      <c r="AA330" s="40" t="str">
        <f t="shared" si="70"/>
        <v/>
      </c>
      <c r="AB330" s="88"/>
      <c r="AC330" s="24"/>
      <c r="AD330" s="24"/>
      <c r="AE330" s="79" t="str">
        <f t="shared" si="65"/>
        <v/>
      </c>
      <c r="AF330" s="24"/>
      <c r="AG330" s="24"/>
      <c r="AH330" s="24"/>
      <c r="AI330" s="24"/>
      <c r="AJ330" s="99" t="str">
        <f t="shared" si="66"/>
        <v/>
      </c>
      <c r="AK330" s="31" t="str">
        <f t="shared" si="71"/>
        <v/>
      </c>
      <c r="AN330" s="139" t="str">
        <f>IF($K330="","",VLOOKUP($K330,'ORF Accuracy Value LookUp'!$G$4:$H$104,2,TRUE))</f>
        <v/>
      </c>
      <c r="AO330" s="94" t="str">
        <f t="shared" si="67"/>
        <v/>
      </c>
      <c r="AP330" s="47" t="str">
        <f>IF($U330="","",VLOOKUP($U330,'ORF Accuracy Value LookUp'!$G$4:$H$104,2,TRUE))</f>
        <v/>
      </c>
      <c r="AQ330" s="94" t="str">
        <f t="shared" si="68"/>
        <v/>
      </c>
      <c r="AR330" s="46" t="str">
        <f>IF($AE330="","",VLOOKUP($AE330,'ORF Accuracy Value LookUp'!$G$4:$H$104,2,TRUE))</f>
        <v/>
      </c>
      <c r="AS330" s="140" t="str">
        <f t="shared" si="69"/>
        <v/>
      </c>
    </row>
    <row r="331" spans="1:45">
      <c r="A331" s="10"/>
      <c r="B331" s="9"/>
      <c r="C331" s="9"/>
      <c r="D331" s="9"/>
      <c r="E331" s="10"/>
      <c r="F331" s="11"/>
      <c r="G331" s="15"/>
      <c r="H331" s="88"/>
      <c r="I331" s="24"/>
      <c r="J331" s="24"/>
      <c r="K331" s="114" t="str">
        <f t="shared" si="60"/>
        <v/>
      </c>
      <c r="L331" s="24"/>
      <c r="M331" s="24"/>
      <c r="N331" s="24"/>
      <c r="O331" s="24"/>
      <c r="P331" s="97" t="str">
        <f t="shared" si="61"/>
        <v/>
      </c>
      <c r="Q331" s="113" t="str">
        <f t="shared" si="62"/>
        <v/>
      </c>
      <c r="R331" s="88"/>
      <c r="S331" s="24"/>
      <c r="T331" s="24"/>
      <c r="U331" s="78" t="str">
        <f t="shared" si="63"/>
        <v/>
      </c>
      <c r="V331" s="24"/>
      <c r="W331" s="24"/>
      <c r="X331" s="24"/>
      <c r="Y331" s="24"/>
      <c r="Z331" s="98" t="str">
        <f t="shared" si="64"/>
        <v/>
      </c>
      <c r="AA331" s="40" t="str">
        <f t="shared" si="70"/>
        <v/>
      </c>
      <c r="AB331" s="88"/>
      <c r="AC331" s="24"/>
      <c r="AD331" s="24"/>
      <c r="AE331" s="79" t="str">
        <f t="shared" si="65"/>
        <v/>
      </c>
      <c r="AF331" s="24"/>
      <c r="AG331" s="24"/>
      <c r="AH331" s="24"/>
      <c r="AI331" s="24"/>
      <c r="AJ331" s="99" t="str">
        <f t="shared" si="66"/>
        <v/>
      </c>
      <c r="AK331" s="31" t="str">
        <f t="shared" si="71"/>
        <v/>
      </c>
      <c r="AN331" s="139" t="str">
        <f>IF($K331="","",VLOOKUP($K331,'ORF Accuracy Value LookUp'!$G$4:$H$104,2,TRUE))</f>
        <v/>
      </c>
      <c r="AO331" s="94" t="str">
        <f t="shared" si="67"/>
        <v/>
      </c>
      <c r="AP331" s="47" t="str">
        <f>IF($U331="","",VLOOKUP($U331,'ORF Accuracy Value LookUp'!$G$4:$H$104,2,TRUE))</f>
        <v/>
      </c>
      <c r="AQ331" s="94" t="str">
        <f t="shared" si="68"/>
        <v/>
      </c>
      <c r="AR331" s="46" t="str">
        <f>IF($AE331="","",VLOOKUP($AE331,'ORF Accuracy Value LookUp'!$G$4:$H$104,2,TRUE))</f>
        <v/>
      </c>
      <c r="AS331" s="140" t="str">
        <f t="shared" si="69"/>
        <v/>
      </c>
    </row>
    <row r="332" spans="1:45">
      <c r="A332" s="10"/>
      <c r="B332" s="9"/>
      <c r="C332" s="9"/>
      <c r="D332" s="9"/>
      <c r="E332" s="10"/>
      <c r="F332" s="11"/>
      <c r="G332" s="15"/>
      <c r="H332" s="88"/>
      <c r="I332" s="24"/>
      <c r="J332" s="24"/>
      <c r="K332" s="114" t="str">
        <f t="shared" si="60"/>
        <v/>
      </c>
      <c r="L332" s="24"/>
      <c r="M332" s="24"/>
      <c r="N332" s="24"/>
      <c r="O332" s="24"/>
      <c r="P332" s="97" t="str">
        <f t="shared" si="61"/>
        <v/>
      </c>
      <c r="Q332" s="113" t="str">
        <f t="shared" si="62"/>
        <v/>
      </c>
      <c r="R332" s="88"/>
      <c r="S332" s="24"/>
      <c r="T332" s="24"/>
      <c r="U332" s="78" t="str">
        <f t="shared" si="63"/>
        <v/>
      </c>
      <c r="V332" s="24"/>
      <c r="W332" s="24"/>
      <c r="X332" s="24"/>
      <c r="Y332" s="24"/>
      <c r="Z332" s="98" t="str">
        <f t="shared" si="64"/>
        <v/>
      </c>
      <c r="AA332" s="40" t="str">
        <f t="shared" si="70"/>
        <v/>
      </c>
      <c r="AB332" s="88"/>
      <c r="AC332" s="24"/>
      <c r="AD332" s="24"/>
      <c r="AE332" s="79" t="str">
        <f t="shared" si="65"/>
        <v/>
      </c>
      <c r="AF332" s="24"/>
      <c r="AG332" s="24"/>
      <c r="AH332" s="24"/>
      <c r="AI332" s="24"/>
      <c r="AJ332" s="99" t="str">
        <f t="shared" si="66"/>
        <v/>
      </c>
      <c r="AK332" s="31" t="str">
        <f t="shared" si="71"/>
        <v/>
      </c>
      <c r="AN332" s="139" t="str">
        <f>IF($K332="","",VLOOKUP($K332,'ORF Accuracy Value LookUp'!$G$4:$H$104,2,TRUE))</f>
        <v/>
      </c>
      <c r="AO332" s="94" t="str">
        <f t="shared" si="67"/>
        <v/>
      </c>
      <c r="AP332" s="47" t="str">
        <f>IF($U332="","",VLOOKUP($U332,'ORF Accuracy Value LookUp'!$G$4:$H$104,2,TRUE))</f>
        <v/>
      </c>
      <c r="AQ332" s="94" t="str">
        <f t="shared" si="68"/>
        <v/>
      </c>
      <c r="AR332" s="46" t="str">
        <f>IF($AE332="","",VLOOKUP($AE332,'ORF Accuracy Value LookUp'!$G$4:$H$104,2,TRUE))</f>
        <v/>
      </c>
      <c r="AS332" s="140" t="str">
        <f t="shared" si="69"/>
        <v/>
      </c>
    </row>
    <row r="333" spans="1:45">
      <c r="A333" s="10"/>
      <c r="B333" s="9"/>
      <c r="C333" s="9"/>
      <c r="D333" s="9"/>
      <c r="E333" s="10"/>
      <c r="F333" s="11"/>
      <c r="G333" s="15"/>
      <c r="H333" s="88"/>
      <c r="I333" s="24"/>
      <c r="J333" s="24"/>
      <c r="K333" s="114" t="str">
        <f t="shared" si="60"/>
        <v/>
      </c>
      <c r="L333" s="24"/>
      <c r="M333" s="24"/>
      <c r="N333" s="24"/>
      <c r="O333" s="24"/>
      <c r="P333" s="97" t="str">
        <f t="shared" si="61"/>
        <v/>
      </c>
      <c r="Q333" s="113" t="str">
        <f t="shared" si="62"/>
        <v/>
      </c>
      <c r="R333" s="88"/>
      <c r="S333" s="24"/>
      <c r="T333" s="24"/>
      <c r="U333" s="78" t="str">
        <f t="shared" si="63"/>
        <v/>
      </c>
      <c r="V333" s="24"/>
      <c r="W333" s="24"/>
      <c r="X333" s="24"/>
      <c r="Y333" s="24"/>
      <c r="Z333" s="98" t="str">
        <f t="shared" si="64"/>
        <v/>
      </c>
      <c r="AA333" s="40" t="str">
        <f t="shared" si="70"/>
        <v/>
      </c>
      <c r="AB333" s="88"/>
      <c r="AC333" s="24"/>
      <c r="AD333" s="24"/>
      <c r="AE333" s="79" t="str">
        <f t="shared" si="65"/>
        <v/>
      </c>
      <c r="AF333" s="24"/>
      <c r="AG333" s="24"/>
      <c r="AH333" s="24"/>
      <c r="AI333" s="24"/>
      <c r="AJ333" s="99" t="str">
        <f t="shared" si="66"/>
        <v/>
      </c>
      <c r="AK333" s="31" t="str">
        <f t="shared" si="71"/>
        <v/>
      </c>
      <c r="AN333" s="139" t="str">
        <f>IF($K333="","",VLOOKUP($K333,'ORF Accuracy Value LookUp'!$G$4:$H$104,2,TRUE))</f>
        <v/>
      </c>
      <c r="AO333" s="94" t="str">
        <f t="shared" si="67"/>
        <v/>
      </c>
      <c r="AP333" s="47" t="str">
        <f>IF($U333="","",VLOOKUP($U333,'ORF Accuracy Value LookUp'!$G$4:$H$104,2,TRUE))</f>
        <v/>
      </c>
      <c r="AQ333" s="94" t="str">
        <f t="shared" si="68"/>
        <v/>
      </c>
      <c r="AR333" s="46" t="str">
        <f>IF($AE333="","",VLOOKUP($AE333,'ORF Accuracy Value LookUp'!$G$4:$H$104,2,TRUE))</f>
        <v/>
      </c>
      <c r="AS333" s="140" t="str">
        <f t="shared" si="69"/>
        <v/>
      </c>
    </row>
    <row r="334" spans="1:45">
      <c r="A334" s="10"/>
      <c r="B334" s="9"/>
      <c r="C334" s="9"/>
      <c r="D334" s="9"/>
      <c r="E334" s="10"/>
      <c r="F334" s="11"/>
      <c r="G334" s="15"/>
      <c r="H334" s="88"/>
      <c r="I334" s="24"/>
      <c r="J334" s="24"/>
      <c r="K334" s="114" t="str">
        <f t="shared" si="60"/>
        <v/>
      </c>
      <c r="L334" s="24"/>
      <c r="M334" s="24"/>
      <c r="N334" s="24"/>
      <c r="O334" s="24"/>
      <c r="P334" s="97" t="str">
        <f t="shared" si="61"/>
        <v/>
      </c>
      <c r="Q334" s="113" t="str">
        <f t="shared" si="62"/>
        <v/>
      </c>
      <c r="R334" s="88"/>
      <c r="S334" s="24"/>
      <c r="T334" s="24"/>
      <c r="U334" s="78" t="str">
        <f t="shared" si="63"/>
        <v/>
      </c>
      <c r="V334" s="24"/>
      <c r="W334" s="24"/>
      <c r="X334" s="24"/>
      <c r="Y334" s="24"/>
      <c r="Z334" s="98" t="str">
        <f t="shared" si="64"/>
        <v/>
      </c>
      <c r="AA334" s="40" t="str">
        <f t="shared" si="70"/>
        <v/>
      </c>
      <c r="AB334" s="88"/>
      <c r="AC334" s="24"/>
      <c r="AD334" s="24"/>
      <c r="AE334" s="79" t="str">
        <f t="shared" si="65"/>
        <v/>
      </c>
      <c r="AF334" s="24"/>
      <c r="AG334" s="24"/>
      <c r="AH334" s="24"/>
      <c r="AI334" s="24"/>
      <c r="AJ334" s="99" t="str">
        <f t="shared" si="66"/>
        <v/>
      </c>
      <c r="AK334" s="31" t="str">
        <f t="shared" si="71"/>
        <v/>
      </c>
      <c r="AN334" s="139" t="str">
        <f>IF($K334="","",VLOOKUP($K334,'ORF Accuracy Value LookUp'!$G$4:$H$104,2,TRUE))</f>
        <v/>
      </c>
      <c r="AO334" s="94" t="str">
        <f t="shared" si="67"/>
        <v/>
      </c>
      <c r="AP334" s="47" t="str">
        <f>IF($U334="","",VLOOKUP($U334,'ORF Accuracy Value LookUp'!$G$4:$H$104,2,TRUE))</f>
        <v/>
      </c>
      <c r="AQ334" s="94" t="str">
        <f t="shared" si="68"/>
        <v/>
      </c>
      <c r="AR334" s="46" t="str">
        <f>IF($AE334="","",VLOOKUP($AE334,'ORF Accuracy Value LookUp'!$G$4:$H$104,2,TRUE))</f>
        <v/>
      </c>
      <c r="AS334" s="140" t="str">
        <f t="shared" si="69"/>
        <v/>
      </c>
    </row>
    <row r="335" spans="1:45">
      <c r="A335" s="10"/>
      <c r="B335" s="9"/>
      <c r="C335" s="9"/>
      <c r="D335" s="9"/>
      <c r="E335" s="10"/>
      <c r="F335" s="11"/>
      <c r="G335" s="15"/>
      <c r="H335" s="88"/>
      <c r="I335" s="24"/>
      <c r="J335" s="24"/>
      <c r="K335" s="114" t="str">
        <f t="shared" si="60"/>
        <v/>
      </c>
      <c r="L335" s="24"/>
      <c r="M335" s="24"/>
      <c r="N335" s="24"/>
      <c r="O335" s="24"/>
      <c r="P335" s="97" t="str">
        <f t="shared" si="61"/>
        <v/>
      </c>
      <c r="Q335" s="113" t="str">
        <f t="shared" si="62"/>
        <v/>
      </c>
      <c r="R335" s="88"/>
      <c r="S335" s="24"/>
      <c r="T335" s="24"/>
      <c r="U335" s="78" t="str">
        <f t="shared" si="63"/>
        <v/>
      </c>
      <c r="V335" s="24"/>
      <c r="W335" s="24"/>
      <c r="X335" s="24"/>
      <c r="Y335" s="24"/>
      <c r="Z335" s="98" t="str">
        <f t="shared" si="64"/>
        <v/>
      </c>
      <c r="AA335" s="40" t="str">
        <f t="shared" si="70"/>
        <v/>
      </c>
      <c r="AB335" s="88"/>
      <c r="AC335" s="24"/>
      <c r="AD335" s="24"/>
      <c r="AE335" s="79" t="str">
        <f t="shared" si="65"/>
        <v/>
      </c>
      <c r="AF335" s="24"/>
      <c r="AG335" s="24"/>
      <c r="AH335" s="24"/>
      <c r="AI335" s="24"/>
      <c r="AJ335" s="99" t="str">
        <f t="shared" si="66"/>
        <v/>
      </c>
      <c r="AK335" s="31" t="str">
        <f t="shared" si="71"/>
        <v/>
      </c>
      <c r="AN335" s="139" t="str">
        <f>IF($K335="","",VLOOKUP($K335,'ORF Accuracy Value LookUp'!$G$4:$H$104,2,TRUE))</f>
        <v/>
      </c>
      <c r="AO335" s="94" t="str">
        <f t="shared" si="67"/>
        <v/>
      </c>
      <c r="AP335" s="47" t="str">
        <f>IF($U335="","",VLOOKUP($U335,'ORF Accuracy Value LookUp'!$G$4:$H$104,2,TRUE))</f>
        <v/>
      </c>
      <c r="AQ335" s="94" t="str">
        <f t="shared" si="68"/>
        <v/>
      </c>
      <c r="AR335" s="46" t="str">
        <f>IF($AE335="","",VLOOKUP($AE335,'ORF Accuracy Value LookUp'!$G$4:$H$104,2,TRUE))</f>
        <v/>
      </c>
      <c r="AS335" s="140" t="str">
        <f t="shared" si="69"/>
        <v/>
      </c>
    </row>
    <row r="336" spans="1:45">
      <c r="A336" s="10"/>
      <c r="B336" s="9"/>
      <c r="C336" s="9"/>
      <c r="D336" s="9"/>
      <c r="E336" s="10"/>
      <c r="F336" s="11"/>
      <c r="G336" s="15"/>
      <c r="H336" s="88"/>
      <c r="I336" s="24"/>
      <c r="J336" s="24"/>
      <c r="K336" s="114" t="str">
        <f t="shared" si="60"/>
        <v/>
      </c>
      <c r="L336" s="24"/>
      <c r="M336" s="24"/>
      <c r="N336" s="24"/>
      <c r="O336" s="24"/>
      <c r="P336" s="97" t="str">
        <f t="shared" si="61"/>
        <v/>
      </c>
      <c r="Q336" s="113" t="str">
        <f t="shared" si="62"/>
        <v/>
      </c>
      <c r="R336" s="88"/>
      <c r="S336" s="24"/>
      <c r="T336" s="24"/>
      <c r="U336" s="78" t="str">
        <f t="shared" si="63"/>
        <v/>
      </c>
      <c r="V336" s="24"/>
      <c r="W336" s="24"/>
      <c r="X336" s="24"/>
      <c r="Y336" s="24"/>
      <c r="Z336" s="98" t="str">
        <f t="shared" si="64"/>
        <v/>
      </c>
      <c r="AA336" s="40" t="str">
        <f t="shared" si="70"/>
        <v/>
      </c>
      <c r="AB336" s="88"/>
      <c r="AC336" s="24"/>
      <c r="AD336" s="24"/>
      <c r="AE336" s="79" t="str">
        <f t="shared" si="65"/>
        <v/>
      </c>
      <c r="AF336" s="24"/>
      <c r="AG336" s="24"/>
      <c r="AH336" s="24"/>
      <c r="AI336" s="24"/>
      <c r="AJ336" s="99" t="str">
        <f t="shared" si="66"/>
        <v/>
      </c>
      <c r="AK336" s="31" t="str">
        <f t="shared" si="71"/>
        <v/>
      </c>
      <c r="AN336" s="139" t="str">
        <f>IF($K336="","",VLOOKUP($K336,'ORF Accuracy Value LookUp'!$G$4:$H$104,2,TRUE))</f>
        <v/>
      </c>
      <c r="AO336" s="94" t="str">
        <f t="shared" si="67"/>
        <v/>
      </c>
      <c r="AP336" s="47" t="str">
        <f>IF($U336="","",VLOOKUP($U336,'ORF Accuracy Value LookUp'!$G$4:$H$104,2,TRUE))</f>
        <v/>
      </c>
      <c r="AQ336" s="94" t="str">
        <f t="shared" si="68"/>
        <v/>
      </c>
      <c r="AR336" s="46" t="str">
        <f>IF($AE336="","",VLOOKUP($AE336,'ORF Accuracy Value LookUp'!$G$4:$H$104,2,TRUE))</f>
        <v/>
      </c>
      <c r="AS336" s="140" t="str">
        <f t="shared" si="69"/>
        <v/>
      </c>
    </row>
    <row r="337" spans="1:45">
      <c r="A337" s="10"/>
      <c r="B337" s="9"/>
      <c r="C337" s="9"/>
      <c r="D337" s="9"/>
      <c r="E337" s="10"/>
      <c r="F337" s="11"/>
      <c r="G337" s="15"/>
      <c r="H337" s="88"/>
      <c r="I337" s="24"/>
      <c r="J337" s="24"/>
      <c r="K337" s="114" t="str">
        <f t="shared" si="60"/>
        <v/>
      </c>
      <c r="L337" s="24"/>
      <c r="M337" s="24"/>
      <c r="N337" s="24"/>
      <c r="O337" s="24"/>
      <c r="P337" s="97" t="str">
        <f t="shared" si="61"/>
        <v/>
      </c>
      <c r="Q337" s="113" t="str">
        <f t="shared" si="62"/>
        <v/>
      </c>
      <c r="R337" s="88"/>
      <c r="S337" s="24"/>
      <c r="T337" s="24"/>
      <c r="U337" s="78" t="str">
        <f t="shared" si="63"/>
        <v/>
      </c>
      <c r="V337" s="24"/>
      <c r="W337" s="24"/>
      <c r="X337" s="24"/>
      <c r="Y337" s="24"/>
      <c r="Z337" s="98" t="str">
        <f t="shared" si="64"/>
        <v/>
      </c>
      <c r="AA337" s="40" t="str">
        <f t="shared" si="70"/>
        <v/>
      </c>
      <c r="AB337" s="88"/>
      <c r="AC337" s="24"/>
      <c r="AD337" s="24"/>
      <c r="AE337" s="79" t="str">
        <f t="shared" si="65"/>
        <v/>
      </c>
      <c r="AF337" s="24"/>
      <c r="AG337" s="24"/>
      <c r="AH337" s="24"/>
      <c r="AI337" s="24"/>
      <c r="AJ337" s="99" t="str">
        <f t="shared" si="66"/>
        <v/>
      </c>
      <c r="AK337" s="31" t="str">
        <f t="shared" si="71"/>
        <v/>
      </c>
      <c r="AN337" s="139" t="str">
        <f>IF($K337="","",VLOOKUP($K337,'ORF Accuracy Value LookUp'!$G$4:$H$104,2,TRUE))</f>
        <v/>
      </c>
      <c r="AO337" s="94" t="str">
        <f t="shared" si="67"/>
        <v/>
      </c>
      <c r="AP337" s="47" t="str">
        <f>IF($U337="","",VLOOKUP($U337,'ORF Accuracy Value LookUp'!$G$4:$H$104,2,TRUE))</f>
        <v/>
      </c>
      <c r="AQ337" s="94" t="str">
        <f t="shared" si="68"/>
        <v/>
      </c>
      <c r="AR337" s="46" t="str">
        <f>IF($AE337="","",VLOOKUP($AE337,'ORF Accuracy Value LookUp'!$G$4:$H$104,2,TRUE))</f>
        <v/>
      </c>
      <c r="AS337" s="140" t="str">
        <f t="shared" si="69"/>
        <v/>
      </c>
    </row>
    <row r="338" spans="1:45">
      <c r="A338" s="10"/>
      <c r="B338" s="9"/>
      <c r="C338" s="9"/>
      <c r="D338" s="9"/>
      <c r="E338" s="10"/>
      <c r="F338" s="11"/>
      <c r="G338" s="15"/>
      <c r="H338" s="88"/>
      <c r="I338" s="24"/>
      <c r="J338" s="24"/>
      <c r="K338" s="114" t="str">
        <f t="shared" si="60"/>
        <v/>
      </c>
      <c r="L338" s="24"/>
      <c r="M338" s="24"/>
      <c r="N338" s="24"/>
      <c r="O338" s="24"/>
      <c r="P338" s="97" t="str">
        <f t="shared" si="61"/>
        <v/>
      </c>
      <c r="Q338" s="113" t="str">
        <f t="shared" si="62"/>
        <v/>
      </c>
      <c r="R338" s="88"/>
      <c r="S338" s="24"/>
      <c r="T338" s="24"/>
      <c r="U338" s="78" t="str">
        <f t="shared" si="63"/>
        <v/>
      </c>
      <c r="V338" s="24"/>
      <c r="W338" s="24"/>
      <c r="X338" s="24"/>
      <c r="Y338" s="24"/>
      <c r="Z338" s="98" t="str">
        <f t="shared" si="64"/>
        <v/>
      </c>
      <c r="AA338" s="40" t="str">
        <f t="shared" si="70"/>
        <v/>
      </c>
      <c r="AB338" s="88"/>
      <c r="AC338" s="24"/>
      <c r="AD338" s="24"/>
      <c r="AE338" s="79" t="str">
        <f t="shared" si="65"/>
        <v/>
      </c>
      <c r="AF338" s="24"/>
      <c r="AG338" s="24"/>
      <c r="AH338" s="24"/>
      <c r="AI338" s="24"/>
      <c r="AJ338" s="99" t="str">
        <f t="shared" si="66"/>
        <v/>
      </c>
      <c r="AK338" s="31" t="str">
        <f t="shared" si="71"/>
        <v/>
      </c>
      <c r="AN338" s="139" t="str">
        <f>IF($K338="","",VLOOKUP($K338,'ORF Accuracy Value LookUp'!$G$4:$H$104,2,TRUE))</f>
        <v/>
      </c>
      <c r="AO338" s="94" t="str">
        <f t="shared" si="67"/>
        <v/>
      </c>
      <c r="AP338" s="47" t="str">
        <f>IF($U338="","",VLOOKUP($U338,'ORF Accuracy Value LookUp'!$G$4:$H$104,2,TRUE))</f>
        <v/>
      </c>
      <c r="AQ338" s="94" t="str">
        <f t="shared" si="68"/>
        <v/>
      </c>
      <c r="AR338" s="46" t="str">
        <f>IF($AE338="","",VLOOKUP($AE338,'ORF Accuracy Value LookUp'!$G$4:$H$104,2,TRUE))</f>
        <v/>
      </c>
      <c r="AS338" s="140" t="str">
        <f t="shared" si="69"/>
        <v/>
      </c>
    </row>
    <row r="339" spans="1:45">
      <c r="A339" s="10"/>
      <c r="B339" s="9"/>
      <c r="C339" s="9"/>
      <c r="D339" s="9"/>
      <c r="E339" s="10"/>
      <c r="F339" s="11"/>
      <c r="G339" s="15"/>
      <c r="H339" s="88"/>
      <c r="I339" s="24"/>
      <c r="J339" s="24"/>
      <c r="K339" s="114" t="str">
        <f t="shared" si="60"/>
        <v/>
      </c>
      <c r="L339" s="24"/>
      <c r="M339" s="24"/>
      <c r="N339" s="24"/>
      <c r="O339" s="24"/>
      <c r="P339" s="97" t="str">
        <f t="shared" si="61"/>
        <v/>
      </c>
      <c r="Q339" s="113" t="str">
        <f t="shared" si="62"/>
        <v/>
      </c>
      <c r="R339" s="88"/>
      <c r="S339" s="24"/>
      <c r="T339" s="24"/>
      <c r="U339" s="78" t="str">
        <f t="shared" si="63"/>
        <v/>
      </c>
      <c r="V339" s="24"/>
      <c r="W339" s="24"/>
      <c r="X339" s="24"/>
      <c r="Y339" s="24"/>
      <c r="Z339" s="98" t="str">
        <f t="shared" si="64"/>
        <v/>
      </c>
      <c r="AA339" s="40" t="str">
        <f t="shared" si="70"/>
        <v/>
      </c>
      <c r="AB339" s="88"/>
      <c r="AC339" s="24"/>
      <c r="AD339" s="24"/>
      <c r="AE339" s="79" t="str">
        <f t="shared" si="65"/>
        <v/>
      </c>
      <c r="AF339" s="24"/>
      <c r="AG339" s="24"/>
      <c r="AH339" s="24"/>
      <c r="AI339" s="24"/>
      <c r="AJ339" s="99" t="str">
        <f t="shared" si="66"/>
        <v/>
      </c>
      <c r="AK339" s="31" t="str">
        <f t="shared" si="71"/>
        <v/>
      </c>
      <c r="AN339" s="139" t="str">
        <f>IF($K339="","",VLOOKUP($K339,'ORF Accuracy Value LookUp'!$G$4:$H$104,2,TRUE))</f>
        <v/>
      </c>
      <c r="AO339" s="94" t="str">
        <f t="shared" si="67"/>
        <v/>
      </c>
      <c r="AP339" s="47" t="str">
        <f>IF($U339="","",VLOOKUP($U339,'ORF Accuracy Value LookUp'!$G$4:$H$104,2,TRUE))</f>
        <v/>
      </c>
      <c r="AQ339" s="94" t="str">
        <f t="shared" si="68"/>
        <v/>
      </c>
      <c r="AR339" s="46" t="str">
        <f>IF($AE339="","",VLOOKUP($AE339,'ORF Accuracy Value LookUp'!$G$4:$H$104,2,TRUE))</f>
        <v/>
      </c>
      <c r="AS339" s="140" t="str">
        <f t="shared" si="69"/>
        <v/>
      </c>
    </row>
    <row r="340" spans="1:45">
      <c r="A340" s="10"/>
      <c r="B340" s="9"/>
      <c r="C340" s="9"/>
      <c r="D340" s="9"/>
      <c r="E340" s="10"/>
      <c r="F340" s="11"/>
      <c r="G340" s="15"/>
      <c r="H340" s="88"/>
      <c r="I340" s="24"/>
      <c r="J340" s="24"/>
      <c r="K340" s="114" t="str">
        <f t="shared" si="60"/>
        <v/>
      </c>
      <c r="L340" s="24"/>
      <c r="M340" s="24"/>
      <c r="N340" s="24"/>
      <c r="O340" s="24"/>
      <c r="P340" s="97" t="str">
        <f t="shared" si="61"/>
        <v/>
      </c>
      <c r="Q340" s="113" t="str">
        <f t="shared" si="62"/>
        <v/>
      </c>
      <c r="R340" s="88"/>
      <c r="S340" s="24"/>
      <c r="T340" s="24"/>
      <c r="U340" s="78" t="str">
        <f t="shared" si="63"/>
        <v/>
      </c>
      <c r="V340" s="24"/>
      <c r="W340" s="24"/>
      <c r="X340" s="24"/>
      <c r="Y340" s="24"/>
      <c r="Z340" s="98" t="str">
        <f t="shared" si="64"/>
        <v/>
      </c>
      <c r="AA340" s="40" t="str">
        <f t="shared" si="70"/>
        <v/>
      </c>
      <c r="AB340" s="88"/>
      <c r="AC340" s="24"/>
      <c r="AD340" s="24"/>
      <c r="AE340" s="79" t="str">
        <f t="shared" si="65"/>
        <v/>
      </c>
      <c r="AF340" s="24"/>
      <c r="AG340" s="24"/>
      <c r="AH340" s="24"/>
      <c r="AI340" s="24"/>
      <c r="AJ340" s="99" t="str">
        <f t="shared" si="66"/>
        <v/>
      </c>
      <c r="AK340" s="31" t="str">
        <f t="shared" si="71"/>
        <v/>
      </c>
      <c r="AN340" s="139" t="str">
        <f>IF($K340="","",VLOOKUP($K340,'ORF Accuracy Value LookUp'!$G$4:$H$104,2,TRUE))</f>
        <v/>
      </c>
      <c r="AO340" s="94" t="str">
        <f t="shared" si="67"/>
        <v/>
      </c>
      <c r="AP340" s="47" t="str">
        <f>IF($U340="","",VLOOKUP($U340,'ORF Accuracy Value LookUp'!$G$4:$H$104,2,TRUE))</f>
        <v/>
      </c>
      <c r="AQ340" s="94" t="str">
        <f t="shared" si="68"/>
        <v/>
      </c>
      <c r="AR340" s="46" t="str">
        <f>IF($AE340="","",VLOOKUP($AE340,'ORF Accuracy Value LookUp'!$G$4:$H$104,2,TRUE))</f>
        <v/>
      </c>
      <c r="AS340" s="140" t="str">
        <f t="shared" si="69"/>
        <v/>
      </c>
    </row>
    <row r="341" spans="1:45">
      <c r="A341" s="10"/>
      <c r="B341" s="9"/>
      <c r="C341" s="9"/>
      <c r="D341" s="9"/>
      <c r="E341" s="10"/>
      <c r="F341" s="11"/>
      <c r="G341" s="15"/>
      <c r="H341" s="88"/>
      <c r="I341" s="24"/>
      <c r="J341" s="24"/>
      <c r="K341" s="114" t="str">
        <f t="shared" si="60"/>
        <v/>
      </c>
      <c r="L341" s="24"/>
      <c r="M341" s="24"/>
      <c r="N341" s="24"/>
      <c r="O341" s="24"/>
      <c r="P341" s="97" t="str">
        <f t="shared" si="61"/>
        <v/>
      </c>
      <c r="Q341" s="113" t="str">
        <f t="shared" si="62"/>
        <v/>
      </c>
      <c r="R341" s="88"/>
      <c r="S341" s="24"/>
      <c r="T341" s="24"/>
      <c r="U341" s="78" t="str">
        <f t="shared" si="63"/>
        <v/>
      </c>
      <c r="V341" s="24"/>
      <c r="W341" s="24"/>
      <c r="X341" s="24"/>
      <c r="Y341" s="24"/>
      <c r="Z341" s="98" t="str">
        <f t="shared" si="64"/>
        <v/>
      </c>
      <c r="AA341" s="40" t="str">
        <f t="shared" si="70"/>
        <v/>
      </c>
      <c r="AB341" s="88"/>
      <c r="AC341" s="24"/>
      <c r="AD341" s="24"/>
      <c r="AE341" s="79" t="str">
        <f t="shared" si="65"/>
        <v/>
      </c>
      <c r="AF341" s="24"/>
      <c r="AG341" s="24"/>
      <c r="AH341" s="24"/>
      <c r="AI341" s="24"/>
      <c r="AJ341" s="99" t="str">
        <f t="shared" si="66"/>
        <v/>
      </c>
      <c r="AK341" s="31" t="str">
        <f t="shared" si="71"/>
        <v/>
      </c>
      <c r="AN341" s="139" t="str">
        <f>IF($K341="","",VLOOKUP($K341,'ORF Accuracy Value LookUp'!$G$4:$H$104,2,TRUE))</f>
        <v/>
      </c>
      <c r="AO341" s="94" t="str">
        <f t="shared" si="67"/>
        <v/>
      </c>
      <c r="AP341" s="47" t="str">
        <f>IF($U341="","",VLOOKUP($U341,'ORF Accuracy Value LookUp'!$G$4:$H$104,2,TRUE))</f>
        <v/>
      </c>
      <c r="AQ341" s="94" t="str">
        <f t="shared" si="68"/>
        <v/>
      </c>
      <c r="AR341" s="46" t="str">
        <f>IF($AE341="","",VLOOKUP($AE341,'ORF Accuracy Value LookUp'!$G$4:$H$104,2,TRUE))</f>
        <v/>
      </c>
      <c r="AS341" s="140" t="str">
        <f t="shared" si="69"/>
        <v/>
      </c>
    </row>
    <row r="342" spans="1:45">
      <c r="A342" s="10"/>
      <c r="B342" s="9"/>
      <c r="C342" s="9"/>
      <c r="D342" s="9"/>
      <c r="E342" s="10"/>
      <c r="F342" s="11"/>
      <c r="G342" s="15"/>
      <c r="H342" s="88"/>
      <c r="I342" s="24"/>
      <c r="J342" s="24"/>
      <c r="K342" s="114" t="str">
        <f t="shared" si="60"/>
        <v/>
      </c>
      <c r="L342" s="24"/>
      <c r="M342" s="24"/>
      <c r="N342" s="24"/>
      <c r="O342" s="24"/>
      <c r="P342" s="97" t="str">
        <f t="shared" si="61"/>
        <v/>
      </c>
      <c r="Q342" s="113" t="str">
        <f t="shared" si="62"/>
        <v/>
      </c>
      <c r="R342" s="88"/>
      <c r="S342" s="24"/>
      <c r="T342" s="24"/>
      <c r="U342" s="78" t="str">
        <f t="shared" si="63"/>
        <v/>
      </c>
      <c r="V342" s="24"/>
      <c r="W342" s="24"/>
      <c r="X342" s="24"/>
      <c r="Y342" s="24"/>
      <c r="Z342" s="98" t="str">
        <f t="shared" si="64"/>
        <v/>
      </c>
      <c r="AA342" s="40" t="str">
        <f t="shared" si="70"/>
        <v/>
      </c>
      <c r="AB342" s="88"/>
      <c r="AC342" s="24"/>
      <c r="AD342" s="24"/>
      <c r="AE342" s="79" t="str">
        <f t="shared" si="65"/>
        <v/>
      </c>
      <c r="AF342" s="24"/>
      <c r="AG342" s="24"/>
      <c r="AH342" s="24"/>
      <c r="AI342" s="24"/>
      <c r="AJ342" s="99" t="str">
        <f t="shared" si="66"/>
        <v/>
      </c>
      <c r="AK342" s="31" t="str">
        <f t="shared" si="71"/>
        <v/>
      </c>
      <c r="AN342" s="139" t="str">
        <f>IF($K342="","",VLOOKUP($K342,'ORF Accuracy Value LookUp'!$G$4:$H$104,2,TRUE))</f>
        <v/>
      </c>
      <c r="AO342" s="94" t="str">
        <f t="shared" si="67"/>
        <v/>
      </c>
      <c r="AP342" s="47" t="str">
        <f>IF($U342="","",VLOOKUP($U342,'ORF Accuracy Value LookUp'!$G$4:$H$104,2,TRUE))</f>
        <v/>
      </c>
      <c r="AQ342" s="94" t="str">
        <f t="shared" si="68"/>
        <v/>
      </c>
      <c r="AR342" s="46" t="str">
        <f>IF($AE342="","",VLOOKUP($AE342,'ORF Accuracy Value LookUp'!$G$4:$H$104,2,TRUE))</f>
        <v/>
      </c>
      <c r="AS342" s="140" t="str">
        <f t="shared" si="69"/>
        <v/>
      </c>
    </row>
    <row r="343" spans="1:45">
      <c r="A343" s="10"/>
      <c r="B343" s="9"/>
      <c r="C343" s="9"/>
      <c r="D343" s="9"/>
      <c r="E343" s="10"/>
      <c r="F343" s="11"/>
      <c r="G343" s="15"/>
      <c r="H343" s="88"/>
      <c r="I343" s="24"/>
      <c r="J343" s="24"/>
      <c r="K343" s="114" t="str">
        <f t="shared" si="60"/>
        <v/>
      </c>
      <c r="L343" s="24"/>
      <c r="M343" s="24"/>
      <c r="N343" s="24"/>
      <c r="O343" s="24"/>
      <c r="P343" s="97" t="str">
        <f t="shared" si="61"/>
        <v/>
      </c>
      <c r="Q343" s="113" t="str">
        <f t="shared" si="62"/>
        <v/>
      </c>
      <c r="R343" s="88"/>
      <c r="S343" s="24"/>
      <c r="T343" s="24"/>
      <c r="U343" s="78" t="str">
        <f t="shared" si="63"/>
        <v/>
      </c>
      <c r="V343" s="24"/>
      <c r="W343" s="24"/>
      <c r="X343" s="24"/>
      <c r="Y343" s="24"/>
      <c r="Z343" s="98" t="str">
        <f t="shared" si="64"/>
        <v/>
      </c>
      <c r="AA343" s="40" t="str">
        <f t="shared" si="70"/>
        <v/>
      </c>
      <c r="AB343" s="88"/>
      <c r="AC343" s="24"/>
      <c r="AD343" s="24"/>
      <c r="AE343" s="79" t="str">
        <f t="shared" si="65"/>
        <v/>
      </c>
      <c r="AF343" s="24"/>
      <c r="AG343" s="24"/>
      <c r="AH343" s="24"/>
      <c r="AI343" s="24"/>
      <c r="AJ343" s="99" t="str">
        <f t="shared" si="66"/>
        <v/>
      </c>
      <c r="AK343" s="31" t="str">
        <f t="shared" si="71"/>
        <v/>
      </c>
      <c r="AN343" s="139" t="str">
        <f>IF($K343="","",VLOOKUP($K343,'ORF Accuracy Value LookUp'!$G$4:$H$104,2,TRUE))</f>
        <v/>
      </c>
      <c r="AO343" s="94" t="str">
        <f t="shared" si="67"/>
        <v/>
      </c>
      <c r="AP343" s="47" t="str">
        <f>IF($U343="","",VLOOKUP($U343,'ORF Accuracy Value LookUp'!$G$4:$H$104,2,TRUE))</f>
        <v/>
      </c>
      <c r="AQ343" s="94" t="str">
        <f t="shared" si="68"/>
        <v/>
      </c>
      <c r="AR343" s="46" t="str">
        <f>IF($AE343="","",VLOOKUP($AE343,'ORF Accuracy Value LookUp'!$G$4:$H$104,2,TRUE))</f>
        <v/>
      </c>
      <c r="AS343" s="140" t="str">
        <f t="shared" si="69"/>
        <v/>
      </c>
    </row>
    <row r="344" spans="1:45">
      <c r="A344" s="10"/>
      <c r="B344" s="9"/>
      <c r="C344" s="9"/>
      <c r="D344" s="9"/>
      <c r="E344" s="10"/>
      <c r="F344" s="11"/>
      <c r="G344" s="15"/>
      <c r="H344" s="88"/>
      <c r="I344" s="24"/>
      <c r="J344" s="24"/>
      <c r="K344" s="114" t="str">
        <f t="shared" si="60"/>
        <v/>
      </c>
      <c r="L344" s="24"/>
      <c r="M344" s="24"/>
      <c r="N344" s="24"/>
      <c r="O344" s="24"/>
      <c r="P344" s="97" t="str">
        <f t="shared" si="61"/>
        <v/>
      </c>
      <c r="Q344" s="113" t="str">
        <f t="shared" si="62"/>
        <v/>
      </c>
      <c r="R344" s="88"/>
      <c r="S344" s="24"/>
      <c r="T344" s="24"/>
      <c r="U344" s="78" t="str">
        <f t="shared" si="63"/>
        <v/>
      </c>
      <c r="V344" s="24"/>
      <c r="W344" s="24"/>
      <c r="X344" s="24"/>
      <c r="Y344" s="24"/>
      <c r="Z344" s="98" t="str">
        <f t="shared" si="64"/>
        <v/>
      </c>
      <c r="AA344" s="40" t="str">
        <f t="shared" si="70"/>
        <v/>
      </c>
      <c r="AB344" s="88"/>
      <c r="AC344" s="24"/>
      <c r="AD344" s="24"/>
      <c r="AE344" s="79" t="str">
        <f t="shared" si="65"/>
        <v/>
      </c>
      <c r="AF344" s="24"/>
      <c r="AG344" s="24"/>
      <c r="AH344" s="24"/>
      <c r="AI344" s="24"/>
      <c r="AJ344" s="99" t="str">
        <f t="shared" si="66"/>
        <v/>
      </c>
      <c r="AK344" s="31" t="str">
        <f t="shared" si="71"/>
        <v/>
      </c>
      <c r="AN344" s="139" t="str">
        <f>IF($K344="","",VLOOKUP($K344,'ORF Accuracy Value LookUp'!$G$4:$H$104,2,TRUE))</f>
        <v/>
      </c>
      <c r="AO344" s="94" t="str">
        <f t="shared" si="67"/>
        <v/>
      </c>
      <c r="AP344" s="47" t="str">
        <f>IF($U344="","",VLOOKUP($U344,'ORF Accuracy Value LookUp'!$G$4:$H$104,2,TRUE))</f>
        <v/>
      </c>
      <c r="AQ344" s="94" t="str">
        <f t="shared" si="68"/>
        <v/>
      </c>
      <c r="AR344" s="46" t="str">
        <f>IF($AE344="","",VLOOKUP($AE344,'ORF Accuracy Value LookUp'!$G$4:$H$104,2,TRUE))</f>
        <v/>
      </c>
      <c r="AS344" s="140" t="str">
        <f t="shared" si="69"/>
        <v/>
      </c>
    </row>
    <row r="345" spans="1:45">
      <c r="A345" s="10"/>
      <c r="B345" s="9"/>
      <c r="C345" s="9"/>
      <c r="D345" s="9"/>
      <c r="E345" s="10"/>
      <c r="F345" s="11"/>
      <c r="G345" s="15"/>
      <c r="H345" s="88"/>
      <c r="I345" s="24"/>
      <c r="J345" s="24"/>
      <c r="K345" s="114" t="str">
        <f t="shared" si="60"/>
        <v/>
      </c>
      <c r="L345" s="24"/>
      <c r="M345" s="24"/>
      <c r="N345" s="24"/>
      <c r="O345" s="24"/>
      <c r="P345" s="97" t="str">
        <f t="shared" si="61"/>
        <v/>
      </c>
      <c r="Q345" s="113" t="str">
        <f t="shared" si="62"/>
        <v/>
      </c>
      <c r="R345" s="88"/>
      <c r="S345" s="24"/>
      <c r="T345" s="24"/>
      <c r="U345" s="78" t="str">
        <f t="shared" si="63"/>
        <v/>
      </c>
      <c r="V345" s="24"/>
      <c r="W345" s="24"/>
      <c r="X345" s="24"/>
      <c r="Y345" s="24"/>
      <c r="Z345" s="98" t="str">
        <f t="shared" si="64"/>
        <v/>
      </c>
      <c r="AA345" s="40" t="str">
        <f t="shared" si="70"/>
        <v/>
      </c>
      <c r="AB345" s="88"/>
      <c r="AC345" s="24"/>
      <c r="AD345" s="24"/>
      <c r="AE345" s="79" t="str">
        <f t="shared" si="65"/>
        <v/>
      </c>
      <c r="AF345" s="24"/>
      <c r="AG345" s="24"/>
      <c r="AH345" s="24"/>
      <c r="AI345" s="24"/>
      <c r="AJ345" s="99" t="str">
        <f t="shared" si="66"/>
        <v/>
      </c>
      <c r="AK345" s="31" t="str">
        <f t="shared" si="71"/>
        <v/>
      </c>
      <c r="AN345" s="139" t="str">
        <f>IF($K345="","",VLOOKUP($K345,'ORF Accuracy Value LookUp'!$G$4:$H$104,2,TRUE))</f>
        <v/>
      </c>
      <c r="AO345" s="94" t="str">
        <f t="shared" si="67"/>
        <v/>
      </c>
      <c r="AP345" s="47" t="str">
        <f>IF($U345="","",VLOOKUP($U345,'ORF Accuracy Value LookUp'!$G$4:$H$104,2,TRUE))</f>
        <v/>
      </c>
      <c r="AQ345" s="94" t="str">
        <f t="shared" si="68"/>
        <v/>
      </c>
      <c r="AR345" s="46" t="str">
        <f>IF($AE345="","",VLOOKUP($AE345,'ORF Accuracy Value LookUp'!$G$4:$H$104,2,TRUE))</f>
        <v/>
      </c>
      <c r="AS345" s="140" t="str">
        <f t="shared" si="69"/>
        <v/>
      </c>
    </row>
    <row r="346" spans="1:45">
      <c r="A346" s="10"/>
      <c r="B346" s="9"/>
      <c r="C346" s="9"/>
      <c r="D346" s="9"/>
      <c r="E346" s="10"/>
      <c r="F346" s="11"/>
      <c r="G346" s="15"/>
      <c r="H346" s="88"/>
      <c r="I346" s="24"/>
      <c r="J346" s="24"/>
      <c r="K346" s="114" t="str">
        <f t="shared" si="60"/>
        <v/>
      </c>
      <c r="L346" s="24"/>
      <c r="M346" s="24"/>
      <c r="N346" s="24"/>
      <c r="O346" s="24"/>
      <c r="P346" s="97" t="str">
        <f t="shared" si="61"/>
        <v/>
      </c>
      <c r="Q346" s="113" t="str">
        <f t="shared" si="62"/>
        <v/>
      </c>
      <c r="R346" s="88"/>
      <c r="S346" s="24"/>
      <c r="T346" s="24"/>
      <c r="U346" s="78" t="str">
        <f t="shared" si="63"/>
        <v/>
      </c>
      <c r="V346" s="24"/>
      <c r="W346" s="24"/>
      <c r="X346" s="24"/>
      <c r="Y346" s="24"/>
      <c r="Z346" s="98" t="str">
        <f t="shared" si="64"/>
        <v/>
      </c>
      <c r="AA346" s="40" t="str">
        <f t="shared" si="70"/>
        <v/>
      </c>
      <c r="AB346" s="88"/>
      <c r="AC346" s="24"/>
      <c r="AD346" s="24"/>
      <c r="AE346" s="79" t="str">
        <f t="shared" si="65"/>
        <v/>
      </c>
      <c r="AF346" s="24"/>
      <c r="AG346" s="24"/>
      <c r="AH346" s="24"/>
      <c r="AI346" s="24"/>
      <c r="AJ346" s="99" t="str">
        <f t="shared" si="66"/>
        <v/>
      </c>
      <c r="AK346" s="31" t="str">
        <f t="shared" si="71"/>
        <v/>
      </c>
      <c r="AN346" s="139" t="str">
        <f>IF($K346="","",VLOOKUP($K346,'ORF Accuracy Value LookUp'!$G$4:$H$104,2,TRUE))</f>
        <v/>
      </c>
      <c r="AO346" s="94" t="str">
        <f t="shared" si="67"/>
        <v/>
      </c>
      <c r="AP346" s="47" t="str">
        <f>IF($U346="","",VLOOKUP($U346,'ORF Accuracy Value LookUp'!$G$4:$H$104,2,TRUE))</f>
        <v/>
      </c>
      <c r="AQ346" s="94" t="str">
        <f t="shared" si="68"/>
        <v/>
      </c>
      <c r="AR346" s="46" t="str">
        <f>IF($AE346="","",VLOOKUP($AE346,'ORF Accuracy Value LookUp'!$G$4:$H$104,2,TRUE))</f>
        <v/>
      </c>
      <c r="AS346" s="140" t="str">
        <f t="shared" si="69"/>
        <v/>
      </c>
    </row>
    <row r="347" spans="1:45">
      <c r="A347" s="10"/>
      <c r="B347" s="9"/>
      <c r="C347" s="9"/>
      <c r="D347" s="9"/>
      <c r="E347" s="10"/>
      <c r="F347" s="11"/>
      <c r="G347" s="15"/>
      <c r="H347" s="88"/>
      <c r="I347" s="24"/>
      <c r="J347" s="24"/>
      <c r="K347" s="114" t="str">
        <f t="shared" si="60"/>
        <v/>
      </c>
      <c r="L347" s="24"/>
      <c r="M347" s="24"/>
      <c r="N347" s="24"/>
      <c r="O347" s="24"/>
      <c r="P347" s="97" t="str">
        <f t="shared" si="61"/>
        <v/>
      </c>
      <c r="Q347" s="113" t="str">
        <f t="shared" si="62"/>
        <v/>
      </c>
      <c r="R347" s="88"/>
      <c r="S347" s="24"/>
      <c r="T347" s="24"/>
      <c r="U347" s="78" t="str">
        <f t="shared" si="63"/>
        <v/>
      </c>
      <c r="V347" s="24"/>
      <c r="W347" s="24"/>
      <c r="X347" s="24"/>
      <c r="Y347" s="24"/>
      <c r="Z347" s="98" t="str">
        <f t="shared" si="64"/>
        <v/>
      </c>
      <c r="AA347" s="40" t="str">
        <f t="shared" si="70"/>
        <v/>
      </c>
      <c r="AB347" s="88"/>
      <c r="AC347" s="24"/>
      <c r="AD347" s="24"/>
      <c r="AE347" s="79" t="str">
        <f t="shared" si="65"/>
        <v/>
      </c>
      <c r="AF347" s="24"/>
      <c r="AG347" s="24"/>
      <c r="AH347" s="24"/>
      <c r="AI347" s="24"/>
      <c r="AJ347" s="99" t="str">
        <f t="shared" si="66"/>
        <v/>
      </c>
      <c r="AK347" s="31" t="str">
        <f t="shared" si="71"/>
        <v/>
      </c>
      <c r="AN347" s="139" t="str">
        <f>IF($K347="","",VLOOKUP($K347,'ORF Accuracy Value LookUp'!$G$4:$H$104,2,TRUE))</f>
        <v/>
      </c>
      <c r="AO347" s="94" t="str">
        <f t="shared" si="67"/>
        <v/>
      </c>
      <c r="AP347" s="47" t="str">
        <f>IF($U347="","",VLOOKUP($U347,'ORF Accuracy Value LookUp'!$G$4:$H$104,2,TRUE))</f>
        <v/>
      </c>
      <c r="AQ347" s="94" t="str">
        <f t="shared" si="68"/>
        <v/>
      </c>
      <c r="AR347" s="46" t="str">
        <f>IF($AE347="","",VLOOKUP($AE347,'ORF Accuracy Value LookUp'!$G$4:$H$104,2,TRUE))</f>
        <v/>
      </c>
      <c r="AS347" s="140" t="str">
        <f t="shared" si="69"/>
        <v/>
      </c>
    </row>
    <row r="348" spans="1:45">
      <c r="A348" s="10"/>
      <c r="B348" s="9"/>
      <c r="C348" s="9"/>
      <c r="D348" s="9"/>
      <c r="E348" s="10"/>
      <c r="F348" s="11"/>
      <c r="G348" s="15"/>
      <c r="H348" s="88"/>
      <c r="I348" s="24"/>
      <c r="J348" s="24"/>
      <c r="K348" s="114" t="str">
        <f t="shared" si="60"/>
        <v/>
      </c>
      <c r="L348" s="24"/>
      <c r="M348" s="24"/>
      <c r="N348" s="24"/>
      <c r="O348" s="24"/>
      <c r="P348" s="97" t="str">
        <f t="shared" si="61"/>
        <v/>
      </c>
      <c r="Q348" s="113" t="str">
        <f t="shared" si="62"/>
        <v/>
      </c>
      <c r="R348" s="88"/>
      <c r="S348" s="24"/>
      <c r="T348" s="24"/>
      <c r="U348" s="78" t="str">
        <f t="shared" si="63"/>
        <v/>
      </c>
      <c r="V348" s="24"/>
      <c r="W348" s="24"/>
      <c r="X348" s="24"/>
      <c r="Y348" s="24"/>
      <c r="Z348" s="98" t="str">
        <f t="shared" si="64"/>
        <v/>
      </c>
      <c r="AA348" s="40" t="str">
        <f t="shared" si="70"/>
        <v/>
      </c>
      <c r="AB348" s="88"/>
      <c r="AC348" s="24"/>
      <c r="AD348" s="24"/>
      <c r="AE348" s="79" t="str">
        <f t="shared" si="65"/>
        <v/>
      </c>
      <c r="AF348" s="24"/>
      <c r="AG348" s="24"/>
      <c r="AH348" s="24"/>
      <c r="AI348" s="24"/>
      <c r="AJ348" s="99" t="str">
        <f t="shared" si="66"/>
        <v/>
      </c>
      <c r="AK348" s="31" t="str">
        <f t="shared" si="71"/>
        <v/>
      </c>
      <c r="AN348" s="139" t="str">
        <f>IF($K348="","",VLOOKUP($K348,'ORF Accuracy Value LookUp'!$G$4:$H$104,2,TRUE))</f>
        <v/>
      </c>
      <c r="AO348" s="94" t="str">
        <f t="shared" si="67"/>
        <v/>
      </c>
      <c r="AP348" s="47" t="str">
        <f>IF($U348="","",VLOOKUP($U348,'ORF Accuracy Value LookUp'!$G$4:$H$104,2,TRUE))</f>
        <v/>
      </c>
      <c r="AQ348" s="94" t="str">
        <f t="shared" si="68"/>
        <v/>
      </c>
      <c r="AR348" s="46" t="str">
        <f>IF($AE348="","",VLOOKUP($AE348,'ORF Accuracy Value LookUp'!$G$4:$H$104,2,TRUE))</f>
        <v/>
      </c>
      <c r="AS348" s="140" t="str">
        <f t="shared" si="69"/>
        <v/>
      </c>
    </row>
    <row r="349" spans="1:45">
      <c r="A349" s="10"/>
      <c r="B349" s="9"/>
      <c r="C349" s="9"/>
      <c r="D349" s="9"/>
      <c r="E349" s="10"/>
      <c r="F349" s="11"/>
      <c r="G349" s="15"/>
      <c r="H349" s="88"/>
      <c r="I349" s="24"/>
      <c r="J349" s="24"/>
      <c r="K349" s="114" t="str">
        <f t="shared" si="60"/>
        <v/>
      </c>
      <c r="L349" s="24"/>
      <c r="M349" s="24"/>
      <c r="N349" s="24"/>
      <c r="O349" s="24"/>
      <c r="P349" s="97" t="str">
        <f t="shared" si="61"/>
        <v/>
      </c>
      <c r="Q349" s="113" t="str">
        <f t="shared" si="62"/>
        <v/>
      </c>
      <c r="R349" s="88"/>
      <c r="S349" s="24"/>
      <c r="T349" s="24"/>
      <c r="U349" s="78" t="str">
        <f t="shared" si="63"/>
        <v/>
      </c>
      <c r="V349" s="24"/>
      <c r="W349" s="24"/>
      <c r="X349" s="24"/>
      <c r="Y349" s="24"/>
      <c r="Z349" s="98" t="str">
        <f t="shared" si="64"/>
        <v/>
      </c>
      <c r="AA349" s="40" t="str">
        <f t="shared" si="70"/>
        <v/>
      </c>
      <c r="AB349" s="88"/>
      <c r="AC349" s="24"/>
      <c r="AD349" s="24"/>
      <c r="AE349" s="79" t="str">
        <f t="shared" si="65"/>
        <v/>
      </c>
      <c r="AF349" s="24"/>
      <c r="AG349" s="24"/>
      <c r="AH349" s="24"/>
      <c r="AI349" s="24"/>
      <c r="AJ349" s="99" t="str">
        <f t="shared" si="66"/>
        <v/>
      </c>
      <c r="AK349" s="31" t="str">
        <f t="shared" si="71"/>
        <v/>
      </c>
      <c r="AN349" s="139" t="str">
        <f>IF($K349="","",VLOOKUP($K349,'ORF Accuracy Value LookUp'!$G$4:$H$104,2,TRUE))</f>
        <v/>
      </c>
      <c r="AO349" s="94" t="str">
        <f t="shared" si="67"/>
        <v/>
      </c>
      <c r="AP349" s="47" t="str">
        <f>IF($U349="","",VLOOKUP($U349,'ORF Accuracy Value LookUp'!$G$4:$H$104,2,TRUE))</f>
        <v/>
      </c>
      <c r="AQ349" s="94" t="str">
        <f t="shared" si="68"/>
        <v/>
      </c>
      <c r="AR349" s="46" t="str">
        <f>IF($AE349="","",VLOOKUP($AE349,'ORF Accuracy Value LookUp'!$G$4:$H$104,2,TRUE))</f>
        <v/>
      </c>
      <c r="AS349" s="140" t="str">
        <f t="shared" si="69"/>
        <v/>
      </c>
    </row>
    <row r="350" spans="1:45">
      <c r="A350" s="10"/>
      <c r="B350" s="9"/>
      <c r="C350" s="9"/>
      <c r="D350" s="9"/>
      <c r="E350" s="10"/>
      <c r="F350" s="11"/>
      <c r="G350" s="15"/>
      <c r="H350" s="88"/>
      <c r="I350" s="24"/>
      <c r="J350" s="24"/>
      <c r="K350" s="114" t="str">
        <f t="shared" si="60"/>
        <v/>
      </c>
      <c r="L350" s="24"/>
      <c r="M350" s="24"/>
      <c r="N350" s="24"/>
      <c r="O350" s="24"/>
      <c r="P350" s="97" t="str">
        <f t="shared" si="61"/>
        <v/>
      </c>
      <c r="Q350" s="113" t="str">
        <f t="shared" si="62"/>
        <v/>
      </c>
      <c r="R350" s="88"/>
      <c r="S350" s="24"/>
      <c r="T350" s="24"/>
      <c r="U350" s="78" t="str">
        <f t="shared" si="63"/>
        <v/>
      </c>
      <c r="V350" s="24"/>
      <c r="W350" s="24"/>
      <c r="X350" s="24"/>
      <c r="Y350" s="24"/>
      <c r="Z350" s="98" t="str">
        <f t="shared" si="64"/>
        <v/>
      </c>
      <c r="AA350" s="40" t="str">
        <f t="shared" si="70"/>
        <v/>
      </c>
      <c r="AB350" s="88"/>
      <c r="AC350" s="24"/>
      <c r="AD350" s="24"/>
      <c r="AE350" s="79" t="str">
        <f t="shared" si="65"/>
        <v/>
      </c>
      <c r="AF350" s="24"/>
      <c r="AG350" s="24"/>
      <c r="AH350" s="24"/>
      <c r="AI350" s="24"/>
      <c r="AJ350" s="99" t="str">
        <f t="shared" si="66"/>
        <v/>
      </c>
      <c r="AK350" s="31" t="str">
        <f t="shared" si="71"/>
        <v/>
      </c>
      <c r="AN350" s="139" t="str">
        <f>IF($K350="","",VLOOKUP($K350,'ORF Accuracy Value LookUp'!$G$4:$H$104,2,TRUE))</f>
        <v/>
      </c>
      <c r="AO350" s="94" t="str">
        <f t="shared" si="67"/>
        <v/>
      </c>
      <c r="AP350" s="47" t="str">
        <f>IF($U350="","",VLOOKUP($U350,'ORF Accuracy Value LookUp'!$G$4:$H$104,2,TRUE))</f>
        <v/>
      </c>
      <c r="AQ350" s="94" t="str">
        <f t="shared" si="68"/>
        <v/>
      </c>
      <c r="AR350" s="46" t="str">
        <f>IF($AE350="","",VLOOKUP($AE350,'ORF Accuracy Value LookUp'!$G$4:$H$104,2,TRUE))</f>
        <v/>
      </c>
      <c r="AS350" s="140" t="str">
        <f t="shared" si="69"/>
        <v/>
      </c>
    </row>
    <row r="351" spans="1:45">
      <c r="A351" s="10"/>
      <c r="B351" s="9"/>
      <c r="C351" s="9"/>
      <c r="D351" s="9"/>
      <c r="E351" s="10"/>
      <c r="F351" s="11"/>
      <c r="G351" s="15"/>
      <c r="H351" s="88"/>
      <c r="I351" s="24"/>
      <c r="J351" s="24"/>
      <c r="K351" s="114" t="str">
        <f t="shared" si="60"/>
        <v/>
      </c>
      <c r="L351" s="24"/>
      <c r="M351" s="24"/>
      <c r="N351" s="24"/>
      <c r="O351" s="24"/>
      <c r="P351" s="97" t="str">
        <f t="shared" si="61"/>
        <v/>
      </c>
      <c r="Q351" s="113" t="str">
        <f t="shared" si="62"/>
        <v/>
      </c>
      <c r="R351" s="88"/>
      <c r="S351" s="24"/>
      <c r="T351" s="24"/>
      <c r="U351" s="78" t="str">
        <f t="shared" si="63"/>
        <v/>
      </c>
      <c r="V351" s="24"/>
      <c r="W351" s="24"/>
      <c r="X351" s="24"/>
      <c r="Y351" s="24"/>
      <c r="Z351" s="98" t="str">
        <f t="shared" si="64"/>
        <v/>
      </c>
      <c r="AA351" s="40" t="str">
        <f t="shared" si="70"/>
        <v/>
      </c>
      <c r="AB351" s="88"/>
      <c r="AC351" s="24"/>
      <c r="AD351" s="24"/>
      <c r="AE351" s="79" t="str">
        <f t="shared" si="65"/>
        <v/>
      </c>
      <c r="AF351" s="24"/>
      <c r="AG351" s="24"/>
      <c r="AH351" s="24"/>
      <c r="AI351" s="24"/>
      <c r="AJ351" s="99" t="str">
        <f t="shared" si="66"/>
        <v/>
      </c>
      <c r="AK351" s="31" t="str">
        <f t="shared" si="71"/>
        <v/>
      </c>
      <c r="AN351" s="139" t="str">
        <f>IF($K351="","",VLOOKUP($K351,'ORF Accuracy Value LookUp'!$G$4:$H$104,2,TRUE))</f>
        <v/>
      </c>
      <c r="AO351" s="94" t="str">
        <f t="shared" si="67"/>
        <v/>
      </c>
      <c r="AP351" s="47" t="str">
        <f>IF($U351="","",VLOOKUP($U351,'ORF Accuracy Value LookUp'!$G$4:$H$104,2,TRUE))</f>
        <v/>
      </c>
      <c r="AQ351" s="94" t="str">
        <f t="shared" si="68"/>
        <v/>
      </c>
      <c r="AR351" s="46" t="str">
        <f>IF($AE351="","",VLOOKUP($AE351,'ORF Accuracy Value LookUp'!$G$4:$H$104,2,TRUE))</f>
        <v/>
      </c>
      <c r="AS351" s="140" t="str">
        <f t="shared" si="69"/>
        <v/>
      </c>
    </row>
    <row r="352" spans="1:45">
      <c r="A352" s="10"/>
      <c r="B352" s="9"/>
      <c r="C352" s="9"/>
      <c r="D352" s="9"/>
      <c r="E352" s="10"/>
      <c r="F352" s="11"/>
      <c r="G352" s="15"/>
      <c r="H352" s="88"/>
      <c r="I352" s="24"/>
      <c r="J352" s="24"/>
      <c r="K352" s="114" t="str">
        <f t="shared" si="60"/>
        <v/>
      </c>
      <c r="L352" s="24"/>
      <c r="M352" s="24"/>
      <c r="N352" s="24"/>
      <c r="O352" s="24"/>
      <c r="P352" s="97" t="str">
        <f t="shared" si="61"/>
        <v/>
      </c>
      <c r="Q352" s="113" t="str">
        <f t="shared" si="62"/>
        <v/>
      </c>
      <c r="R352" s="88"/>
      <c r="S352" s="24"/>
      <c r="T352" s="24"/>
      <c r="U352" s="78" t="str">
        <f t="shared" si="63"/>
        <v/>
      </c>
      <c r="V352" s="24"/>
      <c r="W352" s="24"/>
      <c r="X352" s="24"/>
      <c r="Y352" s="24"/>
      <c r="Z352" s="98" t="str">
        <f t="shared" si="64"/>
        <v/>
      </c>
      <c r="AA352" s="40" t="str">
        <f t="shared" si="70"/>
        <v/>
      </c>
      <c r="AB352" s="88"/>
      <c r="AC352" s="24"/>
      <c r="AD352" s="24"/>
      <c r="AE352" s="79" t="str">
        <f t="shared" si="65"/>
        <v/>
      </c>
      <c r="AF352" s="24"/>
      <c r="AG352" s="24"/>
      <c r="AH352" s="24"/>
      <c r="AI352" s="24"/>
      <c r="AJ352" s="99" t="str">
        <f t="shared" si="66"/>
        <v/>
      </c>
      <c r="AK352" s="31" t="str">
        <f t="shared" si="71"/>
        <v/>
      </c>
      <c r="AN352" s="139" t="str">
        <f>IF($K352="","",VLOOKUP($K352,'ORF Accuracy Value LookUp'!$G$4:$H$104,2,TRUE))</f>
        <v/>
      </c>
      <c r="AO352" s="94" t="str">
        <f t="shared" si="67"/>
        <v/>
      </c>
      <c r="AP352" s="47" t="str">
        <f>IF($U352="","",VLOOKUP($U352,'ORF Accuracy Value LookUp'!$G$4:$H$104,2,TRUE))</f>
        <v/>
      </c>
      <c r="AQ352" s="94" t="str">
        <f t="shared" si="68"/>
        <v/>
      </c>
      <c r="AR352" s="46" t="str">
        <f>IF($AE352="","",VLOOKUP($AE352,'ORF Accuracy Value LookUp'!$G$4:$H$104,2,TRUE))</f>
        <v/>
      </c>
      <c r="AS352" s="140" t="str">
        <f t="shared" si="69"/>
        <v/>
      </c>
    </row>
    <row r="353" spans="1:45">
      <c r="A353" s="10"/>
      <c r="B353" s="9"/>
      <c r="C353" s="9"/>
      <c r="D353" s="9"/>
      <c r="E353" s="10"/>
      <c r="F353" s="11"/>
      <c r="G353" s="15"/>
      <c r="H353" s="88"/>
      <c r="I353" s="24"/>
      <c r="J353" s="24"/>
      <c r="K353" s="114" t="str">
        <f t="shared" si="60"/>
        <v/>
      </c>
      <c r="L353" s="24"/>
      <c r="M353" s="24"/>
      <c r="N353" s="24"/>
      <c r="O353" s="24"/>
      <c r="P353" s="97" t="str">
        <f t="shared" si="61"/>
        <v/>
      </c>
      <c r="Q353" s="113" t="str">
        <f t="shared" si="62"/>
        <v/>
      </c>
      <c r="R353" s="88"/>
      <c r="S353" s="24"/>
      <c r="T353" s="24"/>
      <c r="U353" s="78" t="str">
        <f t="shared" si="63"/>
        <v/>
      </c>
      <c r="V353" s="24"/>
      <c r="W353" s="24"/>
      <c r="X353" s="24"/>
      <c r="Y353" s="24"/>
      <c r="Z353" s="98" t="str">
        <f t="shared" si="64"/>
        <v/>
      </c>
      <c r="AA353" s="40" t="str">
        <f t="shared" si="70"/>
        <v/>
      </c>
      <c r="AB353" s="88"/>
      <c r="AC353" s="24"/>
      <c r="AD353" s="24"/>
      <c r="AE353" s="79" t="str">
        <f t="shared" si="65"/>
        <v/>
      </c>
      <c r="AF353" s="24"/>
      <c r="AG353" s="24"/>
      <c r="AH353" s="24"/>
      <c r="AI353" s="24"/>
      <c r="AJ353" s="99" t="str">
        <f t="shared" si="66"/>
        <v/>
      </c>
      <c r="AK353" s="31" t="str">
        <f t="shared" si="71"/>
        <v/>
      </c>
      <c r="AN353" s="139" t="str">
        <f>IF($K353="","",VLOOKUP($K353,'ORF Accuracy Value LookUp'!$G$4:$H$104,2,TRUE))</f>
        <v/>
      </c>
      <c r="AO353" s="94" t="str">
        <f t="shared" si="67"/>
        <v/>
      </c>
      <c r="AP353" s="47" t="str">
        <f>IF($U353="","",VLOOKUP($U353,'ORF Accuracy Value LookUp'!$G$4:$H$104,2,TRUE))</f>
        <v/>
      </c>
      <c r="AQ353" s="94" t="str">
        <f t="shared" si="68"/>
        <v/>
      </c>
      <c r="AR353" s="46" t="str">
        <f>IF($AE353="","",VLOOKUP($AE353,'ORF Accuracy Value LookUp'!$G$4:$H$104,2,TRUE))</f>
        <v/>
      </c>
      <c r="AS353" s="140" t="str">
        <f t="shared" si="69"/>
        <v/>
      </c>
    </row>
    <row r="354" spans="1:45">
      <c r="A354" s="10"/>
      <c r="B354" s="9"/>
      <c r="C354" s="9"/>
      <c r="D354" s="9"/>
      <c r="E354" s="10"/>
      <c r="F354" s="11"/>
      <c r="G354" s="15"/>
      <c r="H354" s="88"/>
      <c r="I354" s="24"/>
      <c r="J354" s="24"/>
      <c r="K354" s="114" t="str">
        <f t="shared" si="60"/>
        <v/>
      </c>
      <c r="L354" s="24"/>
      <c r="M354" s="24"/>
      <c r="N354" s="24"/>
      <c r="O354" s="24"/>
      <c r="P354" s="97" t="str">
        <f t="shared" si="61"/>
        <v/>
      </c>
      <c r="Q354" s="113" t="str">
        <f t="shared" si="62"/>
        <v/>
      </c>
      <c r="R354" s="88"/>
      <c r="S354" s="24"/>
      <c r="T354" s="24"/>
      <c r="U354" s="78" t="str">
        <f t="shared" si="63"/>
        <v/>
      </c>
      <c r="V354" s="24"/>
      <c r="W354" s="24"/>
      <c r="X354" s="24"/>
      <c r="Y354" s="24"/>
      <c r="Z354" s="98" t="str">
        <f t="shared" si="64"/>
        <v/>
      </c>
      <c r="AA354" s="40" t="str">
        <f t="shared" si="70"/>
        <v/>
      </c>
      <c r="AB354" s="88"/>
      <c r="AC354" s="24"/>
      <c r="AD354" s="24"/>
      <c r="AE354" s="79" t="str">
        <f t="shared" si="65"/>
        <v/>
      </c>
      <c r="AF354" s="24"/>
      <c r="AG354" s="24"/>
      <c r="AH354" s="24"/>
      <c r="AI354" s="24"/>
      <c r="AJ354" s="99" t="str">
        <f t="shared" si="66"/>
        <v/>
      </c>
      <c r="AK354" s="31" t="str">
        <f t="shared" si="71"/>
        <v/>
      </c>
      <c r="AN354" s="139" t="str">
        <f>IF($K354="","",VLOOKUP($K354,'ORF Accuracy Value LookUp'!$G$4:$H$104,2,TRUE))</f>
        <v/>
      </c>
      <c r="AO354" s="94" t="str">
        <f t="shared" si="67"/>
        <v/>
      </c>
      <c r="AP354" s="47" t="str">
        <f>IF($U354="","",VLOOKUP($U354,'ORF Accuracy Value LookUp'!$G$4:$H$104,2,TRUE))</f>
        <v/>
      </c>
      <c r="AQ354" s="94" t="str">
        <f t="shared" si="68"/>
        <v/>
      </c>
      <c r="AR354" s="46" t="str">
        <f>IF($AE354="","",VLOOKUP($AE354,'ORF Accuracy Value LookUp'!$G$4:$H$104,2,TRUE))</f>
        <v/>
      </c>
      <c r="AS354" s="140" t="str">
        <f t="shared" si="69"/>
        <v/>
      </c>
    </row>
    <row r="355" spans="1:45">
      <c r="A355" s="10"/>
      <c r="B355" s="9"/>
      <c r="C355" s="9"/>
      <c r="D355" s="9"/>
      <c r="E355" s="10"/>
      <c r="F355" s="11"/>
      <c r="G355" s="15"/>
      <c r="H355" s="88"/>
      <c r="I355" s="24"/>
      <c r="J355" s="24"/>
      <c r="K355" s="114" t="str">
        <f t="shared" si="60"/>
        <v/>
      </c>
      <c r="L355" s="24"/>
      <c r="M355" s="24"/>
      <c r="N355" s="24"/>
      <c r="O355" s="24"/>
      <c r="P355" s="97" t="str">
        <f t="shared" si="61"/>
        <v/>
      </c>
      <c r="Q355" s="113" t="str">
        <f t="shared" si="62"/>
        <v/>
      </c>
      <c r="R355" s="88"/>
      <c r="S355" s="24"/>
      <c r="T355" s="24"/>
      <c r="U355" s="78" t="str">
        <f t="shared" si="63"/>
        <v/>
      </c>
      <c r="V355" s="24"/>
      <c r="W355" s="24"/>
      <c r="X355" s="24"/>
      <c r="Y355" s="24"/>
      <c r="Z355" s="98" t="str">
        <f t="shared" si="64"/>
        <v/>
      </c>
      <c r="AA355" s="40" t="str">
        <f t="shared" si="70"/>
        <v/>
      </c>
      <c r="AB355" s="88"/>
      <c r="AC355" s="24"/>
      <c r="AD355" s="24"/>
      <c r="AE355" s="79" t="str">
        <f t="shared" si="65"/>
        <v/>
      </c>
      <c r="AF355" s="24"/>
      <c r="AG355" s="24"/>
      <c r="AH355" s="24"/>
      <c r="AI355" s="24"/>
      <c r="AJ355" s="99" t="str">
        <f t="shared" si="66"/>
        <v/>
      </c>
      <c r="AK355" s="31" t="str">
        <f t="shared" si="71"/>
        <v/>
      </c>
      <c r="AN355" s="139" t="str">
        <f>IF($K355="","",VLOOKUP($K355,'ORF Accuracy Value LookUp'!$G$4:$H$104,2,TRUE))</f>
        <v/>
      </c>
      <c r="AO355" s="94" t="str">
        <f t="shared" si="67"/>
        <v/>
      </c>
      <c r="AP355" s="47" t="str">
        <f>IF($U355="","",VLOOKUP($U355,'ORF Accuracy Value LookUp'!$G$4:$H$104,2,TRUE))</f>
        <v/>
      </c>
      <c r="AQ355" s="94" t="str">
        <f t="shared" si="68"/>
        <v/>
      </c>
      <c r="AR355" s="46" t="str">
        <f>IF($AE355="","",VLOOKUP($AE355,'ORF Accuracy Value LookUp'!$G$4:$H$104,2,TRUE))</f>
        <v/>
      </c>
      <c r="AS355" s="140" t="str">
        <f t="shared" si="69"/>
        <v/>
      </c>
    </row>
    <row r="356" spans="1:45">
      <c r="A356" s="10"/>
      <c r="B356" s="9"/>
      <c r="C356" s="9"/>
      <c r="D356" s="9"/>
      <c r="E356" s="10"/>
      <c r="F356" s="11"/>
      <c r="G356" s="15"/>
      <c r="H356" s="88"/>
      <c r="I356" s="24"/>
      <c r="J356" s="24"/>
      <c r="K356" s="114" t="str">
        <f t="shared" si="60"/>
        <v/>
      </c>
      <c r="L356" s="24"/>
      <c r="M356" s="24"/>
      <c r="N356" s="24"/>
      <c r="O356" s="24"/>
      <c r="P356" s="97" t="str">
        <f t="shared" si="61"/>
        <v/>
      </c>
      <c r="Q356" s="113" t="str">
        <f t="shared" si="62"/>
        <v/>
      </c>
      <c r="R356" s="88"/>
      <c r="S356" s="24"/>
      <c r="T356" s="24"/>
      <c r="U356" s="78" t="str">
        <f t="shared" si="63"/>
        <v/>
      </c>
      <c r="V356" s="24"/>
      <c r="W356" s="24"/>
      <c r="X356" s="24"/>
      <c r="Y356" s="24"/>
      <c r="Z356" s="98" t="str">
        <f t="shared" si="64"/>
        <v/>
      </c>
      <c r="AA356" s="40" t="str">
        <f t="shared" si="70"/>
        <v/>
      </c>
      <c r="AB356" s="88"/>
      <c r="AC356" s="24"/>
      <c r="AD356" s="24"/>
      <c r="AE356" s="79" t="str">
        <f t="shared" si="65"/>
        <v/>
      </c>
      <c r="AF356" s="24"/>
      <c r="AG356" s="24"/>
      <c r="AH356" s="24"/>
      <c r="AI356" s="24"/>
      <c r="AJ356" s="99" t="str">
        <f t="shared" si="66"/>
        <v/>
      </c>
      <c r="AK356" s="31" t="str">
        <f t="shared" si="71"/>
        <v/>
      </c>
      <c r="AN356" s="139" t="str">
        <f>IF($K356="","",VLOOKUP($K356,'ORF Accuracy Value LookUp'!$G$4:$H$104,2,TRUE))</f>
        <v/>
      </c>
      <c r="AO356" s="94" t="str">
        <f t="shared" si="67"/>
        <v/>
      </c>
      <c r="AP356" s="47" t="str">
        <f>IF($U356="","",VLOOKUP($U356,'ORF Accuracy Value LookUp'!$G$4:$H$104,2,TRUE))</f>
        <v/>
      </c>
      <c r="AQ356" s="94" t="str">
        <f t="shared" si="68"/>
        <v/>
      </c>
      <c r="AR356" s="46" t="str">
        <f>IF($AE356="","",VLOOKUP($AE356,'ORF Accuracy Value LookUp'!$G$4:$H$104,2,TRUE))</f>
        <v/>
      </c>
      <c r="AS356" s="140" t="str">
        <f t="shared" si="69"/>
        <v/>
      </c>
    </row>
    <row r="357" spans="1:45">
      <c r="A357" s="10"/>
      <c r="B357" s="9"/>
      <c r="C357" s="9"/>
      <c r="D357" s="9"/>
      <c r="E357" s="10"/>
      <c r="F357" s="11"/>
      <c r="G357" s="15"/>
      <c r="H357" s="88"/>
      <c r="I357" s="24"/>
      <c r="J357" s="24"/>
      <c r="K357" s="114" t="str">
        <f t="shared" si="60"/>
        <v/>
      </c>
      <c r="L357" s="24"/>
      <c r="M357" s="24"/>
      <c r="N357" s="24"/>
      <c r="O357" s="24"/>
      <c r="P357" s="97" t="str">
        <f t="shared" si="61"/>
        <v/>
      </c>
      <c r="Q357" s="113" t="str">
        <f t="shared" si="62"/>
        <v/>
      </c>
      <c r="R357" s="88"/>
      <c r="S357" s="24"/>
      <c r="T357" s="24"/>
      <c r="U357" s="78" t="str">
        <f t="shared" si="63"/>
        <v/>
      </c>
      <c r="V357" s="24"/>
      <c r="W357" s="24"/>
      <c r="X357" s="24"/>
      <c r="Y357" s="24"/>
      <c r="Z357" s="98" t="str">
        <f t="shared" si="64"/>
        <v/>
      </c>
      <c r="AA357" s="40" t="str">
        <f t="shared" si="70"/>
        <v/>
      </c>
      <c r="AB357" s="88"/>
      <c r="AC357" s="24"/>
      <c r="AD357" s="24"/>
      <c r="AE357" s="79" t="str">
        <f t="shared" si="65"/>
        <v/>
      </c>
      <c r="AF357" s="24"/>
      <c r="AG357" s="24"/>
      <c r="AH357" s="24"/>
      <c r="AI357" s="24"/>
      <c r="AJ357" s="99" t="str">
        <f t="shared" si="66"/>
        <v/>
      </c>
      <c r="AK357" s="31" t="str">
        <f t="shared" si="71"/>
        <v/>
      </c>
      <c r="AN357" s="139" t="str">
        <f>IF($K357="","",VLOOKUP($K357,'ORF Accuracy Value LookUp'!$G$4:$H$104,2,TRUE))</f>
        <v/>
      </c>
      <c r="AO357" s="94" t="str">
        <f t="shared" si="67"/>
        <v/>
      </c>
      <c r="AP357" s="47" t="str">
        <f>IF($U357="","",VLOOKUP($U357,'ORF Accuracy Value LookUp'!$G$4:$H$104,2,TRUE))</f>
        <v/>
      </c>
      <c r="AQ357" s="94" t="str">
        <f t="shared" si="68"/>
        <v/>
      </c>
      <c r="AR357" s="46" t="str">
        <f>IF($AE357="","",VLOOKUP($AE357,'ORF Accuracy Value LookUp'!$G$4:$H$104,2,TRUE))</f>
        <v/>
      </c>
      <c r="AS357" s="140" t="str">
        <f t="shared" si="69"/>
        <v/>
      </c>
    </row>
    <row r="358" spans="1:45">
      <c r="A358" s="10"/>
      <c r="B358" s="9"/>
      <c r="C358" s="9"/>
      <c r="D358" s="9"/>
      <c r="E358" s="10"/>
      <c r="F358" s="11"/>
      <c r="G358" s="15"/>
      <c r="H358" s="88"/>
      <c r="I358" s="24"/>
      <c r="J358" s="24"/>
      <c r="K358" s="114" t="str">
        <f t="shared" si="60"/>
        <v/>
      </c>
      <c r="L358" s="24"/>
      <c r="M358" s="24"/>
      <c r="N358" s="24"/>
      <c r="O358" s="24"/>
      <c r="P358" s="97" t="str">
        <f t="shared" si="61"/>
        <v/>
      </c>
      <c r="Q358" s="113" t="str">
        <f t="shared" si="62"/>
        <v/>
      </c>
      <c r="R358" s="88"/>
      <c r="S358" s="24"/>
      <c r="T358" s="24"/>
      <c r="U358" s="78" t="str">
        <f t="shared" si="63"/>
        <v/>
      </c>
      <c r="V358" s="24"/>
      <c r="W358" s="24"/>
      <c r="X358" s="24"/>
      <c r="Y358" s="24"/>
      <c r="Z358" s="98" t="str">
        <f t="shared" si="64"/>
        <v/>
      </c>
      <c r="AA358" s="40" t="str">
        <f t="shared" si="70"/>
        <v/>
      </c>
      <c r="AB358" s="88"/>
      <c r="AC358" s="24"/>
      <c r="AD358" s="24"/>
      <c r="AE358" s="79" t="str">
        <f t="shared" si="65"/>
        <v/>
      </c>
      <c r="AF358" s="24"/>
      <c r="AG358" s="24"/>
      <c r="AH358" s="24"/>
      <c r="AI358" s="24"/>
      <c r="AJ358" s="99" t="str">
        <f t="shared" si="66"/>
        <v/>
      </c>
      <c r="AK358" s="31" t="str">
        <f t="shared" si="71"/>
        <v/>
      </c>
      <c r="AN358" s="139" t="str">
        <f>IF($K358="","",VLOOKUP($K358,'ORF Accuracy Value LookUp'!$G$4:$H$104,2,TRUE))</f>
        <v/>
      </c>
      <c r="AO358" s="94" t="str">
        <f t="shared" si="67"/>
        <v/>
      </c>
      <c r="AP358" s="47" t="str">
        <f>IF($U358="","",VLOOKUP($U358,'ORF Accuracy Value LookUp'!$G$4:$H$104,2,TRUE))</f>
        <v/>
      </c>
      <c r="AQ358" s="94" t="str">
        <f t="shared" si="68"/>
        <v/>
      </c>
      <c r="AR358" s="46" t="str">
        <f>IF($AE358="","",VLOOKUP($AE358,'ORF Accuracy Value LookUp'!$G$4:$H$104,2,TRUE))</f>
        <v/>
      </c>
      <c r="AS358" s="140" t="str">
        <f t="shared" si="69"/>
        <v/>
      </c>
    </row>
    <row r="359" spans="1:45">
      <c r="A359" s="10"/>
      <c r="B359" s="9"/>
      <c r="C359" s="9"/>
      <c r="D359" s="9"/>
      <c r="E359" s="10"/>
      <c r="F359" s="11"/>
      <c r="G359" s="15"/>
      <c r="H359" s="88"/>
      <c r="I359" s="24"/>
      <c r="J359" s="24"/>
      <c r="K359" s="114" t="str">
        <f t="shared" si="60"/>
        <v/>
      </c>
      <c r="L359" s="24"/>
      <c r="M359" s="24"/>
      <c r="N359" s="24"/>
      <c r="O359" s="24"/>
      <c r="P359" s="97" t="str">
        <f t="shared" si="61"/>
        <v/>
      </c>
      <c r="Q359" s="113" t="str">
        <f t="shared" si="62"/>
        <v/>
      </c>
      <c r="R359" s="88"/>
      <c r="S359" s="24"/>
      <c r="T359" s="24"/>
      <c r="U359" s="78" t="str">
        <f t="shared" si="63"/>
        <v/>
      </c>
      <c r="V359" s="24"/>
      <c r="W359" s="24"/>
      <c r="X359" s="24"/>
      <c r="Y359" s="24"/>
      <c r="Z359" s="98" t="str">
        <f t="shared" si="64"/>
        <v/>
      </c>
      <c r="AA359" s="40" t="str">
        <f t="shared" si="70"/>
        <v/>
      </c>
      <c r="AB359" s="88"/>
      <c r="AC359" s="24"/>
      <c r="AD359" s="24"/>
      <c r="AE359" s="79" t="str">
        <f t="shared" si="65"/>
        <v/>
      </c>
      <c r="AF359" s="24"/>
      <c r="AG359" s="24"/>
      <c r="AH359" s="24"/>
      <c r="AI359" s="24"/>
      <c r="AJ359" s="99" t="str">
        <f t="shared" si="66"/>
        <v/>
      </c>
      <c r="AK359" s="31" t="str">
        <f t="shared" si="71"/>
        <v/>
      </c>
      <c r="AN359" s="139" t="str">
        <f>IF($K359="","",VLOOKUP($K359,'ORF Accuracy Value LookUp'!$G$4:$H$104,2,TRUE))</f>
        <v/>
      </c>
      <c r="AO359" s="94" t="str">
        <f t="shared" si="67"/>
        <v/>
      </c>
      <c r="AP359" s="47" t="str">
        <f>IF($U359="","",VLOOKUP($U359,'ORF Accuracy Value LookUp'!$G$4:$H$104,2,TRUE))</f>
        <v/>
      </c>
      <c r="AQ359" s="94" t="str">
        <f t="shared" si="68"/>
        <v/>
      </c>
      <c r="AR359" s="46" t="str">
        <f>IF($AE359="","",VLOOKUP($AE359,'ORF Accuracy Value LookUp'!$G$4:$H$104,2,TRUE))</f>
        <v/>
      </c>
      <c r="AS359" s="140" t="str">
        <f t="shared" si="69"/>
        <v/>
      </c>
    </row>
    <row r="360" spans="1:45">
      <c r="A360" s="10"/>
      <c r="B360" s="9"/>
      <c r="C360" s="9"/>
      <c r="D360" s="9"/>
      <c r="E360" s="10"/>
      <c r="F360" s="11"/>
      <c r="G360" s="15"/>
      <c r="H360" s="88"/>
      <c r="I360" s="24"/>
      <c r="J360" s="24"/>
      <c r="K360" s="114" t="str">
        <f t="shared" si="60"/>
        <v/>
      </c>
      <c r="L360" s="24"/>
      <c r="M360" s="24"/>
      <c r="N360" s="24"/>
      <c r="O360" s="24"/>
      <c r="P360" s="97" t="str">
        <f t="shared" si="61"/>
        <v/>
      </c>
      <c r="Q360" s="113" t="str">
        <f t="shared" si="62"/>
        <v/>
      </c>
      <c r="R360" s="88"/>
      <c r="S360" s="24"/>
      <c r="T360" s="24"/>
      <c r="U360" s="78" t="str">
        <f t="shared" si="63"/>
        <v/>
      </c>
      <c r="V360" s="24"/>
      <c r="W360" s="24"/>
      <c r="X360" s="24"/>
      <c r="Y360" s="24"/>
      <c r="Z360" s="98" t="str">
        <f t="shared" si="64"/>
        <v/>
      </c>
      <c r="AA360" s="40" t="str">
        <f t="shared" si="70"/>
        <v/>
      </c>
      <c r="AB360" s="88"/>
      <c r="AC360" s="24"/>
      <c r="AD360" s="24"/>
      <c r="AE360" s="79" t="str">
        <f t="shared" si="65"/>
        <v/>
      </c>
      <c r="AF360" s="24"/>
      <c r="AG360" s="24"/>
      <c r="AH360" s="24"/>
      <c r="AI360" s="24"/>
      <c r="AJ360" s="99" t="str">
        <f t="shared" si="66"/>
        <v/>
      </c>
      <c r="AK360" s="31" t="str">
        <f t="shared" si="71"/>
        <v/>
      </c>
      <c r="AN360" s="139" t="str">
        <f>IF($K360="","",VLOOKUP($K360,'ORF Accuracy Value LookUp'!$G$4:$H$104,2,TRUE))</f>
        <v/>
      </c>
      <c r="AO360" s="94" t="str">
        <f t="shared" si="67"/>
        <v/>
      </c>
      <c r="AP360" s="47" t="str">
        <f>IF($U360="","",VLOOKUP($U360,'ORF Accuracy Value LookUp'!$G$4:$H$104,2,TRUE))</f>
        <v/>
      </c>
      <c r="AQ360" s="94" t="str">
        <f t="shared" si="68"/>
        <v/>
      </c>
      <c r="AR360" s="46" t="str">
        <f>IF($AE360="","",VLOOKUP($AE360,'ORF Accuracy Value LookUp'!$G$4:$H$104,2,TRUE))</f>
        <v/>
      </c>
      <c r="AS360" s="140" t="str">
        <f t="shared" si="69"/>
        <v/>
      </c>
    </row>
    <row r="361" spans="1:45">
      <c r="A361" s="10"/>
      <c r="B361" s="9"/>
      <c r="C361" s="9"/>
      <c r="D361" s="9"/>
      <c r="E361" s="10"/>
      <c r="F361" s="11"/>
      <c r="G361" s="15"/>
      <c r="H361" s="88"/>
      <c r="I361" s="24"/>
      <c r="J361" s="24"/>
      <c r="K361" s="114" t="str">
        <f t="shared" si="60"/>
        <v/>
      </c>
      <c r="L361" s="24"/>
      <c r="M361" s="24"/>
      <c r="N361" s="24"/>
      <c r="O361" s="24"/>
      <c r="P361" s="97" t="str">
        <f t="shared" si="61"/>
        <v/>
      </c>
      <c r="Q361" s="113" t="str">
        <f t="shared" si="62"/>
        <v/>
      </c>
      <c r="R361" s="88"/>
      <c r="S361" s="24"/>
      <c r="T361" s="24"/>
      <c r="U361" s="78" t="str">
        <f t="shared" si="63"/>
        <v/>
      </c>
      <c r="V361" s="24"/>
      <c r="W361" s="24"/>
      <c r="X361" s="24"/>
      <c r="Y361" s="24"/>
      <c r="Z361" s="98" t="str">
        <f t="shared" si="64"/>
        <v/>
      </c>
      <c r="AA361" s="40" t="str">
        <f t="shared" si="70"/>
        <v/>
      </c>
      <c r="AB361" s="88"/>
      <c r="AC361" s="24"/>
      <c r="AD361" s="24"/>
      <c r="AE361" s="79" t="str">
        <f t="shared" si="65"/>
        <v/>
      </c>
      <c r="AF361" s="24"/>
      <c r="AG361" s="24"/>
      <c r="AH361" s="24"/>
      <c r="AI361" s="24"/>
      <c r="AJ361" s="99" t="str">
        <f t="shared" si="66"/>
        <v/>
      </c>
      <c r="AK361" s="31" t="str">
        <f t="shared" si="71"/>
        <v/>
      </c>
      <c r="AN361" s="139" t="str">
        <f>IF($K361="","",VLOOKUP($K361,'ORF Accuracy Value LookUp'!$G$4:$H$104,2,TRUE))</f>
        <v/>
      </c>
      <c r="AO361" s="94" t="str">
        <f t="shared" si="67"/>
        <v/>
      </c>
      <c r="AP361" s="47" t="str">
        <f>IF($U361="","",VLOOKUP($U361,'ORF Accuracy Value LookUp'!$G$4:$H$104,2,TRUE))</f>
        <v/>
      </c>
      <c r="AQ361" s="94" t="str">
        <f t="shared" si="68"/>
        <v/>
      </c>
      <c r="AR361" s="46" t="str">
        <f>IF($AE361="","",VLOOKUP($AE361,'ORF Accuracy Value LookUp'!$G$4:$H$104,2,TRUE))</f>
        <v/>
      </c>
      <c r="AS361" s="140" t="str">
        <f t="shared" si="69"/>
        <v/>
      </c>
    </row>
    <row r="362" spans="1:45">
      <c r="A362" s="10"/>
      <c r="B362" s="9"/>
      <c r="C362" s="9"/>
      <c r="D362" s="9"/>
      <c r="E362" s="10"/>
      <c r="F362" s="11"/>
      <c r="G362" s="15"/>
      <c r="H362" s="88"/>
      <c r="I362" s="24"/>
      <c r="J362" s="24"/>
      <c r="K362" s="114" t="str">
        <f t="shared" si="60"/>
        <v/>
      </c>
      <c r="L362" s="24"/>
      <c r="M362" s="24"/>
      <c r="N362" s="24"/>
      <c r="O362" s="24"/>
      <c r="P362" s="97" t="str">
        <f t="shared" si="61"/>
        <v/>
      </c>
      <c r="Q362" s="113" t="str">
        <f t="shared" si="62"/>
        <v/>
      </c>
      <c r="R362" s="88"/>
      <c r="S362" s="24"/>
      <c r="T362" s="24"/>
      <c r="U362" s="78" t="str">
        <f t="shared" si="63"/>
        <v/>
      </c>
      <c r="V362" s="24"/>
      <c r="W362" s="24"/>
      <c r="X362" s="24"/>
      <c r="Y362" s="24"/>
      <c r="Z362" s="98" t="str">
        <f t="shared" si="64"/>
        <v/>
      </c>
      <c r="AA362" s="40" t="str">
        <f t="shared" si="70"/>
        <v/>
      </c>
      <c r="AB362" s="88"/>
      <c r="AC362" s="24"/>
      <c r="AD362" s="24"/>
      <c r="AE362" s="79" t="str">
        <f t="shared" si="65"/>
        <v/>
      </c>
      <c r="AF362" s="24"/>
      <c r="AG362" s="24"/>
      <c r="AH362" s="24"/>
      <c r="AI362" s="24"/>
      <c r="AJ362" s="99" t="str">
        <f t="shared" si="66"/>
        <v/>
      </c>
      <c r="AK362" s="31" t="str">
        <f t="shared" si="71"/>
        <v/>
      </c>
      <c r="AN362" s="139" t="str">
        <f>IF($K362="","",VLOOKUP($K362,'ORF Accuracy Value LookUp'!$G$4:$H$104,2,TRUE))</f>
        <v/>
      </c>
      <c r="AO362" s="94" t="str">
        <f t="shared" si="67"/>
        <v/>
      </c>
      <c r="AP362" s="47" t="str">
        <f>IF($U362="","",VLOOKUP($U362,'ORF Accuracy Value LookUp'!$G$4:$H$104,2,TRUE))</f>
        <v/>
      </c>
      <c r="AQ362" s="94" t="str">
        <f t="shared" si="68"/>
        <v/>
      </c>
      <c r="AR362" s="46" t="str">
        <f>IF($AE362="","",VLOOKUP($AE362,'ORF Accuracy Value LookUp'!$G$4:$H$104,2,TRUE))</f>
        <v/>
      </c>
      <c r="AS362" s="140" t="str">
        <f t="shared" si="69"/>
        <v/>
      </c>
    </row>
    <row r="363" spans="1:45">
      <c r="A363" s="10"/>
      <c r="B363" s="9"/>
      <c r="C363" s="9"/>
      <c r="D363" s="9"/>
      <c r="E363" s="10"/>
      <c r="F363" s="11"/>
      <c r="G363" s="15"/>
      <c r="H363" s="88"/>
      <c r="I363" s="24"/>
      <c r="J363" s="24"/>
      <c r="K363" s="114" t="str">
        <f t="shared" si="60"/>
        <v/>
      </c>
      <c r="L363" s="24"/>
      <c r="M363" s="24"/>
      <c r="N363" s="24"/>
      <c r="O363" s="24"/>
      <c r="P363" s="97" t="str">
        <f t="shared" si="61"/>
        <v/>
      </c>
      <c r="Q363" s="113" t="str">
        <f t="shared" si="62"/>
        <v/>
      </c>
      <c r="R363" s="88"/>
      <c r="S363" s="24"/>
      <c r="T363" s="24"/>
      <c r="U363" s="78" t="str">
        <f t="shared" si="63"/>
        <v/>
      </c>
      <c r="V363" s="24"/>
      <c r="W363" s="24"/>
      <c r="X363" s="24"/>
      <c r="Y363" s="24"/>
      <c r="Z363" s="98" t="str">
        <f t="shared" si="64"/>
        <v/>
      </c>
      <c r="AA363" s="40" t="str">
        <f t="shared" si="70"/>
        <v/>
      </c>
      <c r="AB363" s="88"/>
      <c r="AC363" s="24"/>
      <c r="AD363" s="24"/>
      <c r="AE363" s="79" t="str">
        <f t="shared" si="65"/>
        <v/>
      </c>
      <c r="AF363" s="24"/>
      <c r="AG363" s="24"/>
      <c r="AH363" s="24"/>
      <c r="AI363" s="24"/>
      <c r="AJ363" s="99" t="str">
        <f t="shared" si="66"/>
        <v/>
      </c>
      <c r="AK363" s="31" t="str">
        <f t="shared" si="71"/>
        <v/>
      </c>
      <c r="AN363" s="139" t="str">
        <f>IF($K363="","",VLOOKUP($K363,'ORF Accuracy Value LookUp'!$G$4:$H$104,2,TRUE))</f>
        <v/>
      </c>
      <c r="AO363" s="94" t="str">
        <f t="shared" si="67"/>
        <v/>
      </c>
      <c r="AP363" s="47" t="str">
        <f>IF($U363="","",VLOOKUP($U363,'ORF Accuracy Value LookUp'!$G$4:$H$104,2,TRUE))</f>
        <v/>
      </c>
      <c r="AQ363" s="94" t="str">
        <f t="shared" si="68"/>
        <v/>
      </c>
      <c r="AR363" s="46" t="str">
        <f>IF($AE363="","",VLOOKUP($AE363,'ORF Accuracy Value LookUp'!$G$4:$H$104,2,TRUE))</f>
        <v/>
      </c>
      <c r="AS363" s="140" t="str">
        <f t="shared" si="69"/>
        <v/>
      </c>
    </row>
    <row r="364" spans="1:45">
      <c r="A364" s="10"/>
      <c r="B364" s="9"/>
      <c r="C364" s="9"/>
      <c r="D364" s="9"/>
      <c r="E364" s="10"/>
      <c r="F364" s="11"/>
      <c r="G364" s="15"/>
      <c r="H364" s="88"/>
      <c r="I364" s="24"/>
      <c r="J364" s="24"/>
      <c r="K364" s="114" t="str">
        <f t="shared" si="60"/>
        <v/>
      </c>
      <c r="L364" s="24"/>
      <c r="M364" s="24"/>
      <c r="N364" s="24"/>
      <c r="O364" s="24"/>
      <c r="P364" s="97" t="str">
        <f t="shared" si="61"/>
        <v/>
      </c>
      <c r="Q364" s="113" t="str">
        <f t="shared" si="62"/>
        <v/>
      </c>
      <c r="R364" s="88"/>
      <c r="S364" s="24"/>
      <c r="T364" s="24"/>
      <c r="U364" s="78" t="str">
        <f t="shared" si="63"/>
        <v/>
      </c>
      <c r="V364" s="24"/>
      <c r="W364" s="24"/>
      <c r="X364" s="24"/>
      <c r="Y364" s="24"/>
      <c r="Z364" s="98" t="str">
        <f t="shared" si="64"/>
        <v/>
      </c>
      <c r="AA364" s="40" t="str">
        <f t="shared" si="70"/>
        <v/>
      </c>
      <c r="AB364" s="88"/>
      <c r="AC364" s="24"/>
      <c r="AD364" s="24"/>
      <c r="AE364" s="79" t="str">
        <f t="shared" si="65"/>
        <v/>
      </c>
      <c r="AF364" s="24"/>
      <c r="AG364" s="24"/>
      <c r="AH364" s="24"/>
      <c r="AI364" s="24"/>
      <c r="AJ364" s="99" t="str">
        <f t="shared" si="66"/>
        <v/>
      </c>
      <c r="AK364" s="31" t="str">
        <f t="shared" si="71"/>
        <v/>
      </c>
      <c r="AN364" s="139" t="str">
        <f>IF($K364="","",VLOOKUP($K364,'ORF Accuracy Value LookUp'!$G$4:$H$104,2,TRUE))</f>
        <v/>
      </c>
      <c r="AO364" s="94" t="str">
        <f t="shared" si="67"/>
        <v/>
      </c>
      <c r="AP364" s="47" t="str">
        <f>IF($U364="","",VLOOKUP($U364,'ORF Accuracy Value LookUp'!$G$4:$H$104,2,TRUE))</f>
        <v/>
      </c>
      <c r="AQ364" s="94" t="str">
        <f t="shared" si="68"/>
        <v/>
      </c>
      <c r="AR364" s="46" t="str">
        <f>IF($AE364="","",VLOOKUP($AE364,'ORF Accuracy Value LookUp'!$G$4:$H$104,2,TRUE))</f>
        <v/>
      </c>
      <c r="AS364" s="140" t="str">
        <f t="shared" si="69"/>
        <v/>
      </c>
    </row>
    <row r="365" spans="1:45">
      <c r="A365" s="10"/>
      <c r="B365" s="9"/>
      <c r="C365" s="9"/>
      <c r="D365" s="9"/>
      <c r="E365" s="10"/>
      <c r="F365" s="11"/>
      <c r="G365" s="15"/>
      <c r="H365" s="88"/>
      <c r="I365" s="24"/>
      <c r="J365" s="24"/>
      <c r="K365" s="114" t="str">
        <f t="shared" si="60"/>
        <v/>
      </c>
      <c r="L365" s="24"/>
      <c r="M365" s="24"/>
      <c r="N365" s="24"/>
      <c r="O365" s="24"/>
      <c r="P365" s="97" t="str">
        <f t="shared" si="61"/>
        <v/>
      </c>
      <c r="Q365" s="113" t="str">
        <f t="shared" si="62"/>
        <v/>
      </c>
      <c r="R365" s="88"/>
      <c r="S365" s="24"/>
      <c r="T365" s="24"/>
      <c r="U365" s="78" t="str">
        <f t="shared" si="63"/>
        <v/>
      </c>
      <c r="V365" s="24"/>
      <c r="W365" s="24"/>
      <c r="X365" s="24"/>
      <c r="Y365" s="24"/>
      <c r="Z365" s="98" t="str">
        <f t="shared" si="64"/>
        <v/>
      </c>
      <c r="AA365" s="40" t="str">
        <f t="shared" si="70"/>
        <v/>
      </c>
      <c r="AB365" s="88"/>
      <c r="AC365" s="24"/>
      <c r="AD365" s="24"/>
      <c r="AE365" s="79" t="str">
        <f t="shared" si="65"/>
        <v/>
      </c>
      <c r="AF365" s="24"/>
      <c r="AG365" s="24"/>
      <c r="AH365" s="24"/>
      <c r="AI365" s="24"/>
      <c r="AJ365" s="99" t="str">
        <f t="shared" si="66"/>
        <v/>
      </c>
      <c r="AK365" s="31" t="str">
        <f t="shared" si="71"/>
        <v/>
      </c>
      <c r="AN365" s="139" t="str">
        <f>IF($K365="","",VLOOKUP($K365,'ORF Accuracy Value LookUp'!$G$4:$H$104,2,TRUE))</f>
        <v/>
      </c>
      <c r="AO365" s="94" t="str">
        <f t="shared" si="67"/>
        <v/>
      </c>
      <c r="AP365" s="47" t="str">
        <f>IF($U365="","",VLOOKUP($U365,'ORF Accuracy Value LookUp'!$G$4:$H$104,2,TRUE))</f>
        <v/>
      </c>
      <c r="AQ365" s="94" t="str">
        <f t="shared" si="68"/>
        <v/>
      </c>
      <c r="AR365" s="46" t="str">
        <f>IF($AE365="","",VLOOKUP($AE365,'ORF Accuracy Value LookUp'!$G$4:$H$104,2,TRUE))</f>
        <v/>
      </c>
      <c r="AS365" s="140" t="str">
        <f t="shared" si="69"/>
        <v/>
      </c>
    </row>
    <row r="366" spans="1:45">
      <c r="A366" s="10"/>
      <c r="B366" s="9"/>
      <c r="C366" s="9"/>
      <c r="D366" s="9"/>
      <c r="E366" s="10"/>
      <c r="F366" s="11"/>
      <c r="G366" s="15"/>
      <c r="H366" s="88"/>
      <c r="I366" s="24"/>
      <c r="J366" s="24"/>
      <c r="K366" s="114" t="str">
        <f t="shared" si="60"/>
        <v/>
      </c>
      <c r="L366" s="24"/>
      <c r="M366" s="24"/>
      <c r="N366" s="24"/>
      <c r="O366" s="24"/>
      <c r="P366" s="97" t="str">
        <f t="shared" si="61"/>
        <v/>
      </c>
      <c r="Q366" s="113" t="str">
        <f t="shared" si="62"/>
        <v/>
      </c>
      <c r="R366" s="88"/>
      <c r="S366" s="24"/>
      <c r="T366" s="24"/>
      <c r="U366" s="78" t="str">
        <f t="shared" si="63"/>
        <v/>
      </c>
      <c r="V366" s="24"/>
      <c r="W366" s="24"/>
      <c r="X366" s="24"/>
      <c r="Y366" s="24"/>
      <c r="Z366" s="98" t="str">
        <f t="shared" si="64"/>
        <v/>
      </c>
      <c r="AA366" s="40" t="str">
        <f t="shared" si="70"/>
        <v/>
      </c>
      <c r="AB366" s="88"/>
      <c r="AC366" s="24"/>
      <c r="AD366" s="24"/>
      <c r="AE366" s="79" t="str">
        <f t="shared" si="65"/>
        <v/>
      </c>
      <c r="AF366" s="24"/>
      <c r="AG366" s="24"/>
      <c r="AH366" s="24"/>
      <c r="AI366" s="24"/>
      <c r="AJ366" s="99" t="str">
        <f t="shared" si="66"/>
        <v/>
      </c>
      <c r="AK366" s="31" t="str">
        <f t="shared" si="71"/>
        <v/>
      </c>
      <c r="AN366" s="139" t="str">
        <f>IF($K366="","",VLOOKUP($K366,'ORF Accuracy Value LookUp'!$G$4:$H$104,2,TRUE))</f>
        <v/>
      </c>
      <c r="AO366" s="94" t="str">
        <f t="shared" si="67"/>
        <v/>
      </c>
      <c r="AP366" s="47" t="str">
        <f>IF($U366="","",VLOOKUP($U366,'ORF Accuracy Value LookUp'!$G$4:$H$104,2,TRUE))</f>
        <v/>
      </c>
      <c r="AQ366" s="94" t="str">
        <f t="shared" si="68"/>
        <v/>
      </c>
      <c r="AR366" s="46" t="str">
        <f>IF($AE366="","",VLOOKUP($AE366,'ORF Accuracy Value LookUp'!$G$4:$H$104,2,TRUE))</f>
        <v/>
      </c>
      <c r="AS366" s="140" t="str">
        <f t="shared" si="69"/>
        <v/>
      </c>
    </row>
    <row r="367" spans="1:45">
      <c r="A367" s="10"/>
      <c r="B367" s="9"/>
      <c r="C367" s="9"/>
      <c r="D367" s="9"/>
      <c r="E367" s="10"/>
      <c r="F367" s="11"/>
      <c r="G367" s="15"/>
      <c r="H367" s="88"/>
      <c r="I367" s="24"/>
      <c r="J367" s="24"/>
      <c r="K367" s="114" t="str">
        <f t="shared" si="60"/>
        <v/>
      </c>
      <c r="L367" s="24"/>
      <c r="M367" s="24"/>
      <c r="N367" s="24"/>
      <c r="O367" s="24"/>
      <c r="P367" s="97" t="str">
        <f t="shared" si="61"/>
        <v/>
      </c>
      <c r="Q367" s="113" t="str">
        <f t="shared" si="62"/>
        <v/>
      </c>
      <c r="R367" s="88"/>
      <c r="S367" s="24"/>
      <c r="T367" s="24"/>
      <c r="U367" s="78" t="str">
        <f t="shared" si="63"/>
        <v/>
      </c>
      <c r="V367" s="24"/>
      <c r="W367" s="24"/>
      <c r="X367" s="24"/>
      <c r="Y367" s="24"/>
      <c r="Z367" s="98" t="str">
        <f t="shared" si="64"/>
        <v/>
      </c>
      <c r="AA367" s="40" t="str">
        <f t="shared" si="70"/>
        <v/>
      </c>
      <c r="AB367" s="88"/>
      <c r="AC367" s="24"/>
      <c r="AD367" s="24"/>
      <c r="AE367" s="79" t="str">
        <f t="shared" si="65"/>
        <v/>
      </c>
      <c r="AF367" s="24"/>
      <c r="AG367" s="24"/>
      <c r="AH367" s="24"/>
      <c r="AI367" s="24"/>
      <c r="AJ367" s="99" t="str">
        <f t="shared" si="66"/>
        <v/>
      </c>
      <c r="AK367" s="31" t="str">
        <f t="shared" si="71"/>
        <v/>
      </c>
      <c r="AN367" s="139" t="str">
        <f>IF($K367="","",VLOOKUP($K367,'ORF Accuracy Value LookUp'!$G$4:$H$104,2,TRUE))</f>
        <v/>
      </c>
      <c r="AO367" s="94" t="str">
        <f t="shared" si="67"/>
        <v/>
      </c>
      <c r="AP367" s="47" t="str">
        <f>IF($U367="","",VLOOKUP($U367,'ORF Accuracy Value LookUp'!$G$4:$H$104,2,TRUE))</f>
        <v/>
      </c>
      <c r="AQ367" s="94" t="str">
        <f t="shared" si="68"/>
        <v/>
      </c>
      <c r="AR367" s="46" t="str">
        <f>IF($AE367="","",VLOOKUP($AE367,'ORF Accuracy Value LookUp'!$G$4:$H$104,2,TRUE))</f>
        <v/>
      </c>
      <c r="AS367" s="140" t="str">
        <f t="shared" si="69"/>
        <v/>
      </c>
    </row>
    <row r="368" spans="1:45">
      <c r="A368" s="10"/>
      <c r="B368" s="9"/>
      <c r="C368" s="9"/>
      <c r="D368" s="9"/>
      <c r="E368" s="10"/>
      <c r="F368" s="11"/>
      <c r="G368" s="15"/>
      <c r="H368" s="88"/>
      <c r="I368" s="24"/>
      <c r="J368" s="24"/>
      <c r="K368" s="114" t="str">
        <f t="shared" si="60"/>
        <v/>
      </c>
      <c r="L368" s="24"/>
      <c r="M368" s="24"/>
      <c r="N368" s="24"/>
      <c r="O368" s="24"/>
      <c r="P368" s="97" t="str">
        <f t="shared" si="61"/>
        <v/>
      </c>
      <c r="Q368" s="113" t="str">
        <f t="shared" si="62"/>
        <v/>
      </c>
      <c r="R368" s="88"/>
      <c r="S368" s="24"/>
      <c r="T368" s="24"/>
      <c r="U368" s="78" t="str">
        <f t="shared" si="63"/>
        <v/>
      </c>
      <c r="V368" s="24"/>
      <c r="W368" s="24"/>
      <c r="X368" s="24"/>
      <c r="Y368" s="24"/>
      <c r="Z368" s="98" t="str">
        <f t="shared" si="64"/>
        <v/>
      </c>
      <c r="AA368" s="40" t="str">
        <f t="shared" si="70"/>
        <v/>
      </c>
      <c r="AB368" s="88"/>
      <c r="AC368" s="24"/>
      <c r="AD368" s="24"/>
      <c r="AE368" s="79" t="str">
        <f t="shared" si="65"/>
        <v/>
      </c>
      <c r="AF368" s="24"/>
      <c r="AG368" s="24"/>
      <c r="AH368" s="24"/>
      <c r="AI368" s="24"/>
      <c r="AJ368" s="99" t="str">
        <f t="shared" si="66"/>
        <v/>
      </c>
      <c r="AK368" s="31" t="str">
        <f t="shared" si="71"/>
        <v/>
      </c>
      <c r="AN368" s="139" t="str">
        <f>IF($K368="","",VLOOKUP($K368,'ORF Accuracy Value LookUp'!$G$4:$H$104,2,TRUE))</f>
        <v/>
      </c>
      <c r="AO368" s="94" t="str">
        <f t="shared" si="67"/>
        <v/>
      </c>
      <c r="AP368" s="47" t="str">
        <f>IF($U368="","",VLOOKUP($U368,'ORF Accuracy Value LookUp'!$G$4:$H$104,2,TRUE))</f>
        <v/>
      </c>
      <c r="AQ368" s="94" t="str">
        <f t="shared" si="68"/>
        <v/>
      </c>
      <c r="AR368" s="46" t="str">
        <f>IF($AE368="","",VLOOKUP($AE368,'ORF Accuracy Value LookUp'!$G$4:$H$104,2,TRUE))</f>
        <v/>
      </c>
      <c r="AS368" s="140" t="str">
        <f t="shared" si="69"/>
        <v/>
      </c>
    </row>
    <row r="369" spans="1:45">
      <c r="A369" s="10"/>
      <c r="B369" s="9"/>
      <c r="C369" s="9"/>
      <c r="D369" s="9"/>
      <c r="E369" s="10"/>
      <c r="F369" s="11"/>
      <c r="G369" s="15"/>
      <c r="H369" s="88"/>
      <c r="I369" s="24"/>
      <c r="J369" s="24"/>
      <c r="K369" s="114" t="str">
        <f t="shared" si="60"/>
        <v/>
      </c>
      <c r="L369" s="24"/>
      <c r="M369" s="24"/>
      <c r="N369" s="24"/>
      <c r="O369" s="24"/>
      <c r="P369" s="97" t="str">
        <f t="shared" si="61"/>
        <v/>
      </c>
      <c r="Q369" s="113" t="str">
        <f t="shared" si="62"/>
        <v/>
      </c>
      <c r="R369" s="88"/>
      <c r="S369" s="24"/>
      <c r="T369" s="24"/>
      <c r="U369" s="78" t="str">
        <f t="shared" si="63"/>
        <v/>
      </c>
      <c r="V369" s="24"/>
      <c r="W369" s="24"/>
      <c r="X369" s="24"/>
      <c r="Y369" s="24"/>
      <c r="Z369" s="98" t="str">
        <f t="shared" si="64"/>
        <v/>
      </c>
      <c r="AA369" s="40" t="str">
        <f t="shared" si="70"/>
        <v/>
      </c>
      <c r="AB369" s="88"/>
      <c r="AC369" s="24"/>
      <c r="AD369" s="24"/>
      <c r="AE369" s="79" t="str">
        <f t="shared" si="65"/>
        <v/>
      </c>
      <c r="AF369" s="24"/>
      <c r="AG369" s="24"/>
      <c r="AH369" s="24"/>
      <c r="AI369" s="24"/>
      <c r="AJ369" s="99" t="str">
        <f t="shared" si="66"/>
        <v/>
      </c>
      <c r="AK369" s="31" t="str">
        <f t="shared" si="71"/>
        <v/>
      </c>
      <c r="AN369" s="139" t="str">
        <f>IF($K369="","",VLOOKUP($K369,'ORF Accuracy Value LookUp'!$G$4:$H$104,2,TRUE))</f>
        <v/>
      </c>
      <c r="AO369" s="94" t="str">
        <f t="shared" si="67"/>
        <v/>
      </c>
      <c r="AP369" s="47" t="str">
        <f>IF($U369="","",VLOOKUP($U369,'ORF Accuracy Value LookUp'!$G$4:$H$104,2,TRUE))</f>
        <v/>
      </c>
      <c r="AQ369" s="94" t="str">
        <f t="shared" si="68"/>
        <v/>
      </c>
      <c r="AR369" s="46" t="str">
        <f>IF($AE369="","",VLOOKUP($AE369,'ORF Accuracy Value LookUp'!$G$4:$H$104,2,TRUE))</f>
        <v/>
      </c>
      <c r="AS369" s="140" t="str">
        <f t="shared" si="69"/>
        <v/>
      </c>
    </row>
    <row r="370" spans="1:45">
      <c r="A370" s="10"/>
      <c r="B370" s="9"/>
      <c r="C370" s="9"/>
      <c r="D370" s="9"/>
      <c r="E370" s="10"/>
      <c r="F370" s="11"/>
      <c r="G370" s="15"/>
      <c r="H370" s="88"/>
      <c r="I370" s="24"/>
      <c r="J370" s="24"/>
      <c r="K370" s="114" t="str">
        <f t="shared" si="60"/>
        <v/>
      </c>
      <c r="L370" s="24"/>
      <c r="M370" s="24"/>
      <c r="N370" s="24"/>
      <c r="O370" s="24"/>
      <c r="P370" s="97" t="str">
        <f t="shared" si="61"/>
        <v/>
      </c>
      <c r="Q370" s="113" t="str">
        <f t="shared" si="62"/>
        <v/>
      </c>
      <c r="R370" s="88"/>
      <c r="S370" s="24"/>
      <c r="T370" s="24"/>
      <c r="U370" s="78" t="str">
        <f t="shared" si="63"/>
        <v/>
      </c>
      <c r="V370" s="24"/>
      <c r="W370" s="24"/>
      <c r="X370" s="24"/>
      <c r="Y370" s="24"/>
      <c r="Z370" s="98" t="str">
        <f t="shared" si="64"/>
        <v/>
      </c>
      <c r="AA370" s="40" t="str">
        <f t="shared" si="70"/>
        <v/>
      </c>
      <c r="AB370" s="88"/>
      <c r="AC370" s="24"/>
      <c r="AD370" s="24"/>
      <c r="AE370" s="79" t="str">
        <f t="shared" si="65"/>
        <v/>
      </c>
      <c r="AF370" s="24"/>
      <c r="AG370" s="24"/>
      <c r="AH370" s="24"/>
      <c r="AI370" s="24"/>
      <c r="AJ370" s="99" t="str">
        <f t="shared" si="66"/>
        <v/>
      </c>
      <c r="AK370" s="31" t="str">
        <f t="shared" si="71"/>
        <v/>
      </c>
      <c r="AN370" s="139" t="str">
        <f>IF($K370="","",VLOOKUP($K370,'ORF Accuracy Value LookUp'!$G$4:$H$104,2,TRUE))</f>
        <v/>
      </c>
      <c r="AO370" s="94" t="str">
        <f t="shared" si="67"/>
        <v/>
      </c>
      <c r="AP370" s="47" t="str">
        <f>IF($U370="","",VLOOKUP($U370,'ORF Accuracy Value LookUp'!$G$4:$H$104,2,TRUE))</f>
        <v/>
      </c>
      <c r="AQ370" s="94" t="str">
        <f t="shared" si="68"/>
        <v/>
      </c>
      <c r="AR370" s="46" t="str">
        <f>IF($AE370="","",VLOOKUP($AE370,'ORF Accuracy Value LookUp'!$G$4:$H$104,2,TRUE))</f>
        <v/>
      </c>
      <c r="AS370" s="140" t="str">
        <f t="shared" si="69"/>
        <v/>
      </c>
    </row>
    <row r="371" spans="1:45">
      <c r="A371" s="10"/>
      <c r="B371" s="9"/>
      <c r="C371" s="9"/>
      <c r="D371" s="9"/>
      <c r="E371" s="10"/>
      <c r="F371" s="11"/>
      <c r="G371" s="15"/>
      <c r="H371" s="88"/>
      <c r="I371" s="24"/>
      <c r="J371" s="24"/>
      <c r="K371" s="114" t="str">
        <f t="shared" si="60"/>
        <v/>
      </c>
      <c r="L371" s="24"/>
      <c r="M371" s="24"/>
      <c r="N371" s="24"/>
      <c r="O371" s="24"/>
      <c r="P371" s="97" t="str">
        <f t="shared" si="61"/>
        <v/>
      </c>
      <c r="Q371" s="113" t="str">
        <f t="shared" si="62"/>
        <v/>
      </c>
      <c r="R371" s="88"/>
      <c r="S371" s="24"/>
      <c r="T371" s="24"/>
      <c r="U371" s="78" t="str">
        <f t="shared" si="63"/>
        <v/>
      </c>
      <c r="V371" s="24"/>
      <c r="W371" s="24"/>
      <c r="X371" s="24"/>
      <c r="Y371" s="24"/>
      <c r="Z371" s="98" t="str">
        <f t="shared" si="64"/>
        <v/>
      </c>
      <c r="AA371" s="40" t="str">
        <f t="shared" si="70"/>
        <v/>
      </c>
      <c r="AB371" s="88"/>
      <c r="AC371" s="24"/>
      <c r="AD371" s="24"/>
      <c r="AE371" s="79" t="str">
        <f t="shared" si="65"/>
        <v/>
      </c>
      <c r="AF371" s="24"/>
      <c r="AG371" s="24"/>
      <c r="AH371" s="24"/>
      <c r="AI371" s="24"/>
      <c r="AJ371" s="99" t="str">
        <f t="shared" si="66"/>
        <v/>
      </c>
      <c r="AK371" s="31" t="str">
        <f t="shared" si="71"/>
        <v/>
      </c>
      <c r="AN371" s="139" t="str">
        <f>IF($K371="","",VLOOKUP($K371,'ORF Accuracy Value LookUp'!$G$4:$H$104,2,TRUE))</f>
        <v/>
      </c>
      <c r="AO371" s="94" t="str">
        <f t="shared" si="67"/>
        <v/>
      </c>
      <c r="AP371" s="47" t="str">
        <f>IF($U371="","",VLOOKUP($U371,'ORF Accuracy Value LookUp'!$G$4:$H$104,2,TRUE))</f>
        <v/>
      </c>
      <c r="AQ371" s="94" t="str">
        <f t="shared" si="68"/>
        <v/>
      </c>
      <c r="AR371" s="46" t="str">
        <f>IF($AE371="","",VLOOKUP($AE371,'ORF Accuracy Value LookUp'!$G$4:$H$104,2,TRUE))</f>
        <v/>
      </c>
      <c r="AS371" s="140" t="str">
        <f t="shared" si="69"/>
        <v/>
      </c>
    </row>
    <row r="372" spans="1:45">
      <c r="A372" s="10"/>
      <c r="B372" s="9"/>
      <c r="C372" s="9"/>
      <c r="D372" s="9"/>
      <c r="E372" s="10"/>
      <c r="F372" s="11"/>
      <c r="G372" s="15"/>
      <c r="H372" s="88"/>
      <c r="I372" s="24"/>
      <c r="J372" s="24"/>
      <c r="K372" s="114" t="str">
        <f t="shared" si="60"/>
        <v/>
      </c>
      <c r="L372" s="24"/>
      <c r="M372" s="24"/>
      <c r="N372" s="24"/>
      <c r="O372" s="24"/>
      <c r="P372" s="97" t="str">
        <f t="shared" si="61"/>
        <v/>
      </c>
      <c r="Q372" s="113" t="str">
        <f t="shared" si="62"/>
        <v/>
      </c>
      <c r="R372" s="88"/>
      <c r="S372" s="24"/>
      <c r="T372" s="24"/>
      <c r="U372" s="78" t="str">
        <f t="shared" si="63"/>
        <v/>
      </c>
      <c r="V372" s="24"/>
      <c r="W372" s="24"/>
      <c r="X372" s="24"/>
      <c r="Y372" s="24"/>
      <c r="Z372" s="98" t="str">
        <f t="shared" si="64"/>
        <v/>
      </c>
      <c r="AA372" s="40" t="str">
        <f t="shared" si="70"/>
        <v/>
      </c>
      <c r="AB372" s="88"/>
      <c r="AC372" s="24"/>
      <c r="AD372" s="24"/>
      <c r="AE372" s="79" t="str">
        <f t="shared" si="65"/>
        <v/>
      </c>
      <c r="AF372" s="24"/>
      <c r="AG372" s="24"/>
      <c r="AH372" s="24"/>
      <c r="AI372" s="24"/>
      <c r="AJ372" s="99" t="str">
        <f t="shared" si="66"/>
        <v/>
      </c>
      <c r="AK372" s="31" t="str">
        <f t="shared" si="71"/>
        <v/>
      </c>
      <c r="AN372" s="139" t="str">
        <f>IF($K372="","",VLOOKUP($K372,'ORF Accuracy Value LookUp'!$G$4:$H$104,2,TRUE))</f>
        <v/>
      </c>
      <c r="AO372" s="94" t="str">
        <f t="shared" si="67"/>
        <v/>
      </c>
      <c r="AP372" s="47" t="str">
        <f>IF($U372="","",VLOOKUP($U372,'ORF Accuracy Value LookUp'!$G$4:$H$104,2,TRUE))</f>
        <v/>
      </c>
      <c r="AQ372" s="94" t="str">
        <f t="shared" si="68"/>
        <v/>
      </c>
      <c r="AR372" s="46" t="str">
        <f>IF($AE372="","",VLOOKUP($AE372,'ORF Accuracy Value LookUp'!$G$4:$H$104,2,TRUE))</f>
        <v/>
      </c>
      <c r="AS372" s="140" t="str">
        <f t="shared" si="69"/>
        <v/>
      </c>
    </row>
    <row r="373" spans="1:45">
      <c r="A373" s="10"/>
      <c r="B373" s="9"/>
      <c r="C373" s="9"/>
      <c r="D373" s="9"/>
      <c r="E373" s="10"/>
      <c r="F373" s="11"/>
      <c r="G373" s="15"/>
      <c r="H373" s="88"/>
      <c r="I373" s="24"/>
      <c r="J373" s="24"/>
      <c r="K373" s="114" t="str">
        <f t="shared" si="60"/>
        <v/>
      </c>
      <c r="L373" s="24"/>
      <c r="M373" s="24"/>
      <c r="N373" s="24"/>
      <c r="O373" s="24"/>
      <c r="P373" s="97" t="str">
        <f t="shared" si="61"/>
        <v/>
      </c>
      <c r="Q373" s="113" t="str">
        <f t="shared" si="62"/>
        <v/>
      </c>
      <c r="R373" s="88"/>
      <c r="S373" s="24"/>
      <c r="T373" s="24"/>
      <c r="U373" s="78" t="str">
        <f t="shared" si="63"/>
        <v/>
      </c>
      <c r="V373" s="24"/>
      <c r="W373" s="24"/>
      <c r="X373" s="24"/>
      <c r="Y373" s="24"/>
      <c r="Z373" s="98" t="str">
        <f t="shared" si="64"/>
        <v/>
      </c>
      <c r="AA373" s="40" t="str">
        <f t="shared" si="70"/>
        <v/>
      </c>
      <c r="AB373" s="88"/>
      <c r="AC373" s="24"/>
      <c r="AD373" s="24"/>
      <c r="AE373" s="79" t="str">
        <f t="shared" si="65"/>
        <v/>
      </c>
      <c r="AF373" s="24"/>
      <c r="AG373" s="24"/>
      <c r="AH373" s="24"/>
      <c r="AI373" s="24"/>
      <c r="AJ373" s="99" t="str">
        <f t="shared" si="66"/>
        <v/>
      </c>
      <c r="AK373" s="31" t="str">
        <f t="shared" si="71"/>
        <v/>
      </c>
      <c r="AN373" s="139" t="str">
        <f>IF($K373="","",VLOOKUP($K373,'ORF Accuracy Value LookUp'!$G$4:$H$104,2,TRUE))</f>
        <v/>
      </c>
      <c r="AO373" s="94" t="str">
        <f t="shared" si="67"/>
        <v/>
      </c>
      <c r="AP373" s="47" t="str">
        <f>IF($U373="","",VLOOKUP($U373,'ORF Accuracy Value LookUp'!$G$4:$H$104,2,TRUE))</f>
        <v/>
      </c>
      <c r="AQ373" s="94" t="str">
        <f t="shared" si="68"/>
        <v/>
      </c>
      <c r="AR373" s="46" t="str">
        <f>IF($AE373="","",VLOOKUP($AE373,'ORF Accuracy Value LookUp'!$G$4:$H$104,2,TRUE))</f>
        <v/>
      </c>
      <c r="AS373" s="140" t="str">
        <f t="shared" si="69"/>
        <v/>
      </c>
    </row>
    <row r="374" spans="1:45">
      <c r="A374" s="10"/>
      <c r="B374" s="9"/>
      <c r="C374" s="9"/>
      <c r="D374" s="9"/>
      <c r="E374" s="10"/>
      <c r="F374" s="11"/>
      <c r="G374" s="15"/>
      <c r="H374" s="88"/>
      <c r="I374" s="24"/>
      <c r="J374" s="24"/>
      <c r="K374" s="114" t="str">
        <f t="shared" si="60"/>
        <v/>
      </c>
      <c r="L374" s="24"/>
      <c r="M374" s="24"/>
      <c r="N374" s="24"/>
      <c r="O374" s="24"/>
      <c r="P374" s="97" t="str">
        <f t="shared" si="61"/>
        <v/>
      </c>
      <c r="Q374" s="113" t="str">
        <f t="shared" si="62"/>
        <v/>
      </c>
      <c r="R374" s="88"/>
      <c r="S374" s="24"/>
      <c r="T374" s="24"/>
      <c r="U374" s="78" t="str">
        <f t="shared" si="63"/>
        <v/>
      </c>
      <c r="V374" s="24"/>
      <c r="W374" s="24"/>
      <c r="X374" s="24"/>
      <c r="Y374" s="24"/>
      <c r="Z374" s="98" t="str">
        <f t="shared" si="64"/>
        <v/>
      </c>
      <c r="AA374" s="40" t="str">
        <f t="shared" si="70"/>
        <v/>
      </c>
      <c r="AB374" s="88"/>
      <c r="AC374" s="24"/>
      <c r="AD374" s="24"/>
      <c r="AE374" s="79" t="str">
        <f t="shared" si="65"/>
        <v/>
      </c>
      <c r="AF374" s="24"/>
      <c r="AG374" s="24"/>
      <c r="AH374" s="24"/>
      <c r="AI374" s="24"/>
      <c r="AJ374" s="99" t="str">
        <f t="shared" si="66"/>
        <v/>
      </c>
      <c r="AK374" s="31" t="str">
        <f t="shared" si="71"/>
        <v/>
      </c>
      <c r="AN374" s="139" t="str">
        <f>IF($K374="","",VLOOKUP($K374,'ORF Accuracy Value LookUp'!$G$4:$H$104,2,TRUE))</f>
        <v/>
      </c>
      <c r="AO374" s="94" t="str">
        <f t="shared" si="67"/>
        <v/>
      </c>
      <c r="AP374" s="47" t="str">
        <f>IF($U374="","",VLOOKUP($U374,'ORF Accuracy Value LookUp'!$G$4:$H$104,2,TRUE))</f>
        <v/>
      </c>
      <c r="AQ374" s="94" t="str">
        <f t="shared" si="68"/>
        <v/>
      </c>
      <c r="AR374" s="46" t="str">
        <f>IF($AE374="","",VLOOKUP($AE374,'ORF Accuracy Value LookUp'!$G$4:$H$104,2,TRUE))</f>
        <v/>
      </c>
      <c r="AS374" s="140" t="str">
        <f t="shared" si="69"/>
        <v/>
      </c>
    </row>
    <row r="375" spans="1:45">
      <c r="A375" s="10"/>
      <c r="B375" s="9"/>
      <c r="C375" s="9"/>
      <c r="D375" s="9"/>
      <c r="E375" s="10"/>
      <c r="F375" s="11"/>
      <c r="G375" s="15"/>
      <c r="H375" s="88"/>
      <c r="I375" s="24"/>
      <c r="J375" s="24"/>
      <c r="K375" s="114" t="str">
        <f t="shared" si="60"/>
        <v/>
      </c>
      <c r="L375" s="24"/>
      <c r="M375" s="24"/>
      <c r="N375" s="24"/>
      <c r="O375" s="24"/>
      <c r="P375" s="97" t="str">
        <f t="shared" si="61"/>
        <v/>
      </c>
      <c r="Q375" s="113" t="str">
        <f t="shared" si="62"/>
        <v/>
      </c>
      <c r="R375" s="88"/>
      <c r="S375" s="24"/>
      <c r="T375" s="24"/>
      <c r="U375" s="78" t="str">
        <f t="shared" si="63"/>
        <v/>
      </c>
      <c r="V375" s="24"/>
      <c r="W375" s="24"/>
      <c r="X375" s="24"/>
      <c r="Y375" s="24"/>
      <c r="Z375" s="98" t="str">
        <f t="shared" si="64"/>
        <v/>
      </c>
      <c r="AA375" s="40" t="str">
        <f t="shared" si="70"/>
        <v/>
      </c>
      <c r="AB375" s="88"/>
      <c r="AC375" s="24"/>
      <c r="AD375" s="24"/>
      <c r="AE375" s="79" t="str">
        <f t="shared" si="65"/>
        <v/>
      </c>
      <c r="AF375" s="24"/>
      <c r="AG375" s="24"/>
      <c r="AH375" s="24"/>
      <c r="AI375" s="24"/>
      <c r="AJ375" s="99" t="str">
        <f t="shared" si="66"/>
        <v/>
      </c>
      <c r="AK375" s="31" t="str">
        <f t="shared" si="71"/>
        <v/>
      </c>
      <c r="AN375" s="139" t="str">
        <f>IF($K375="","",VLOOKUP($K375,'ORF Accuracy Value LookUp'!$G$4:$H$104,2,TRUE))</f>
        <v/>
      </c>
      <c r="AO375" s="94" t="str">
        <f t="shared" si="67"/>
        <v/>
      </c>
      <c r="AP375" s="47" t="str">
        <f>IF($U375="","",VLOOKUP($U375,'ORF Accuracy Value LookUp'!$G$4:$H$104,2,TRUE))</f>
        <v/>
      </c>
      <c r="AQ375" s="94" t="str">
        <f t="shared" si="68"/>
        <v/>
      </c>
      <c r="AR375" s="46" t="str">
        <f>IF($AE375="","",VLOOKUP($AE375,'ORF Accuracy Value LookUp'!$G$4:$H$104,2,TRUE))</f>
        <v/>
      </c>
      <c r="AS375" s="140" t="str">
        <f t="shared" si="69"/>
        <v/>
      </c>
    </row>
    <row r="376" spans="1:45">
      <c r="A376" s="10"/>
      <c r="B376" s="9"/>
      <c r="C376" s="9"/>
      <c r="D376" s="9"/>
      <c r="E376" s="10"/>
      <c r="F376" s="11"/>
      <c r="G376" s="15"/>
      <c r="H376" s="88"/>
      <c r="I376" s="24"/>
      <c r="J376" s="24"/>
      <c r="K376" s="114" t="str">
        <f t="shared" si="60"/>
        <v/>
      </c>
      <c r="L376" s="24"/>
      <c r="M376" s="24"/>
      <c r="N376" s="24"/>
      <c r="O376" s="24"/>
      <c r="P376" s="97" t="str">
        <f t="shared" si="61"/>
        <v/>
      </c>
      <c r="Q376" s="113" t="str">
        <f t="shared" si="62"/>
        <v/>
      </c>
      <c r="R376" s="88"/>
      <c r="S376" s="24"/>
      <c r="T376" s="24"/>
      <c r="U376" s="78" t="str">
        <f t="shared" si="63"/>
        <v/>
      </c>
      <c r="V376" s="24"/>
      <c r="W376" s="24"/>
      <c r="X376" s="24"/>
      <c r="Y376" s="24"/>
      <c r="Z376" s="98" t="str">
        <f t="shared" si="64"/>
        <v/>
      </c>
      <c r="AA376" s="40" t="str">
        <f t="shared" si="70"/>
        <v/>
      </c>
      <c r="AB376" s="88"/>
      <c r="AC376" s="24"/>
      <c r="AD376" s="24"/>
      <c r="AE376" s="79" t="str">
        <f t="shared" si="65"/>
        <v/>
      </c>
      <c r="AF376" s="24"/>
      <c r="AG376" s="24"/>
      <c r="AH376" s="24"/>
      <c r="AI376" s="24"/>
      <c r="AJ376" s="99" t="str">
        <f t="shared" si="66"/>
        <v/>
      </c>
      <c r="AK376" s="31" t="str">
        <f t="shared" si="71"/>
        <v/>
      </c>
      <c r="AN376" s="139" t="str">
        <f>IF($K376="","",VLOOKUP($K376,'ORF Accuracy Value LookUp'!$G$4:$H$104,2,TRUE))</f>
        <v/>
      </c>
      <c r="AO376" s="94" t="str">
        <f t="shared" si="67"/>
        <v/>
      </c>
      <c r="AP376" s="47" t="str">
        <f>IF($U376="","",VLOOKUP($U376,'ORF Accuracy Value LookUp'!$G$4:$H$104,2,TRUE))</f>
        <v/>
      </c>
      <c r="AQ376" s="94" t="str">
        <f t="shared" si="68"/>
        <v/>
      </c>
      <c r="AR376" s="46" t="str">
        <f>IF($AE376="","",VLOOKUP($AE376,'ORF Accuracy Value LookUp'!$G$4:$H$104,2,TRUE))</f>
        <v/>
      </c>
      <c r="AS376" s="140" t="str">
        <f t="shared" si="69"/>
        <v/>
      </c>
    </row>
    <row r="377" spans="1:45">
      <c r="A377" s="10"/>
      <c r="B377" s="9"/>
      <c r="C377" s="9"/>
      <c r="D377" s="9"/>
      <c r="E377" s="10"/>
      <c r="F377" s="11"/>
      <c r="G377" s="15"/>
      <c r="H377" s="88"/>
      <c r="I377" s="24"/>
      <c r="J377" s="24"/>
      <c r="K377" s="114" t="str">
        <f t="shared" si="60"/>
        <v/>
      </c>
      <c r="L377" s="24"/>
      <c r="M377" s="24"/>
      <c r="N377" s="24"/>
      <c r="O377" s="24"/>
      <c r="P377" s="97" t="str">
        <f t="shared" si="61"/>
        <v/>
      </c>
      <c r="Q377" s="113" t="str">
        <f t="shared" si="62"/>
        <v/>
      </c>
      <c r="R377" s="88"/>
      <c r="S377" s="24"/>
      <c r="T377" s="24"/>
      <c r="U377" s="78" t="str">
        <f t="shared" si="63"/>
        <v/>
      </c>
      <c r="V377" s="24"/>
      <c r="W377" s="24"/>
      <c r="X377" s="24"/>
      <c r="Y377" s="24"/>
      <c r="Z377" s="98" t="str">
        <f t="shared" si="64"/>
        <v/>
      </c>
      <c r="AA377" s="40" t="str">
        <f t="shared" si="70"/>
        <v/>
      </c>
      <c r="AB377" s="88"/>
      <c r="AC377" s="24"/>
      <c r="AD377" s="24"/>
      <c r="AE377" s="79" t="str">
        <f t="shared" si="65"/>
        <v/>
      </c>
      <c r="AF377" s="24"/>
      <c r="AG377" s="24"/>
      <c r="AH377" s="24"/>
      <c r="AI377" s="24"/>
      <c r="AJ377" s="99" t="str">
        <f t="shared" si="66"/>
        <v/>
      </c>
      <c r="AK377" s="31" t="str">
        <f t="shared" si="71"/>
        <v/>
      </c>
      <c r="AN377" s="139" t="str">
        <f>IF($K377="","",VLOOKUP($K377,'ORF Accuracy Value LookUp'!$G$4:$H$104,2,TRUE))</f>
        <v/>
      </c>
      <c r="AO377" s="94" t="str">
        <f t="shared" si="67"/>
        <v/>
      </c>
      <c r="AP377" s="47" t="str">
        <f>IF($U377="","",VLOOKUP($U377,'ORF Accuracy Value LookUp'!$G$4:$H$104,2,TRUE))</f>
        <v/>
      </c>
      <c r="AQ377" s="94" t="str">
        <f t="shared" si="68"/>
        <v/>
      </c>
      <c r="AR377" s="46" t="str">
        <f>IF($AE377="","",VLOOKUP($AE377,'ORF Accuracy Value LookUp'!$G$4:$H$104,2,TRUE))</f>
        <v/>
      </c>
      <c r="AS377" s="140" t="str">
        <f t="shared" si="69"/>
        <v/>
      </c>
    </row>
    <row r="378" spans="1:45">
      <c r="A378" s="10"/>
      <c r="B378" s="9"/>
      <c r="C378" s="9"/>
      <c r="D378" s="9"/>
      <c r="E378" s="10"/>
      <c r="F378" s="11"/>
      <c r="G378" s="15"/>
      <c r="H378" s="88"/>
      <c r="I378" s="24"/>
      <c r="J378" s="24"/>
      <c r="K378" s="114" t="str">
        <f t="shared" si="60"/>
        <v/>
      </c>
      <c r="L378" s="24"/>
      <c r="M378" s="24"/>
      <c r="N378" s="24"/>
      <c r="O378" s="24"/>
      <c r="P378" s="97" t="str">
        <f t="shared" si="61"/>
        <v/>
      </c>
      <c r="Q378" s="113" t="str">
        <f t="shared" si="62"/>
        <v/>
      </c>
      <c r="R378" s="88"/>
      <c r="S378" s="24"/>
      <c r="T378" s="24"/>
      <c r="U378" s="78" t="str">
        <f t="shared" si="63"/>
        <v/>
      </c>
      <c r="V378" s="24"/>
      <c r="W378" s="24"/>
      <c r="X378" s="24"/>
      <c r="Y378" s="24"/>
      <c r="Z378" s="98" t="str">
        <f t="shared" si="64"/>
        <v/>
      </c>
      <c r="AA378" s="40" t="str">
        <f t="shared" si="70"/>
        <v/>
      </c>
      <c r="AB378" s="88"/>
      <c r="AC378" s="24"/>
      <c r="AD378" s="24"/>
      <c r="AE378" s="79" t="str">
        <f t="shared" si="65"/>
        <v/>
      </c>
      <c r="AF378" s="24"/>
      <c r="AG378" s="24"/>
      <c r="AH378" s="24"/>
      <c r="AI378" s="24"/>
      <c r="AJ378" s="99" t="str">
        <f t="shared" si="66"/>
        <v/>
      </c>
      <c r="AK378" s="31" t="str">
        <f t="shared" si="71"/>
        <v/>
      </c>
      <c r="AN378" s="139" t="str">
        <f>IF($K378="","",VLOOKUP($K378,'ORF Accuracy Value LookUp'!$G$4:$H$104,2,TRUE))</f>
        <v/>
      </c>
      <c r="AO378" s="94" t="str">
        <f t="shared" si="67"/>
        <v/>
      </c>
      <c r="AP378" s="47" t="str">
        <f>IF($U378="","",VLOOKUP($U378,'ORF Accuracy Value LookUp'!$G$4:$H$104,2,TRUE))</f>
        <v/>
      </c>
      <c r="AQ378" s="94" t="str">
        <f t="shared" si="68"/>
        <v/>
      </c>
      <c r="AR378" s="46" t="str">
        <f>IF($AE378="","",VLOOKUP($AE378,'ORF Accuracy Value LookUp'!$G$4:$H$104,2,TRUE))</f>
        <v/>
      </c>
      <c r="AS378" s="140" t="str">
        <f t="shared" si="69"/>
        <v/>
      </c>
    </row>
    <row r="379" spans="1:45">
      <c r="A379" s="10"/>
      <c r="B379" s="9"/>
      <c r="C379" s="9"/>
      <c r="D379" s="9"/>
      <c r="E379" s="10"/>
      <c r="F379" s="11"/>
      <c r="G379" s="15"/>
      <c r="H379" s="88"/>
      <c r="I379" s="24"/>
      <c r="J379" s="24"/>
      <c r="K379" s="114" t="str">
        <f t="shared" si="60"/>
        <v/>
      </c>
      <c r="L379" s="24"/>
      <c r="M379" s="24"/>
      <c r="N379" s="24"/>
      <c r="O379" s="24"/>
      <c r="P379" s="97" t="str">
        <f t="shared" si="61"/>
        <v/>
      </c>
      <c r="Q379" s="113" t="str">
        <f t="shared" si="62"/>
        <v/>
      </c>
      <c r="R379" s="88"/>
      <c r="S379" s="24"/>
      <c r="T379" s="24"/>
      <c r="U379" s="78" t="str">
        <f t="shared" si="63"/>
        <v/>
      </c>
      <c r="V379" s="24"/>
      <c r="W379" s="24"/>
      <c r="X379" s="24"/>
      <c r="Y379" s="24"/>
      <c r="Z379" s="98" t="str">
        <f t="shared" si="64"/>
        <v/>
      </c>
      <c r="AA379" s="40" t="str">
        <f t="shared" si="70"/>
        <v/>
      </c>
      <c r="AB379" s="88"/>
      <c r="AC379" s="24"/>
      <c r="AD379" s="24"/>
      <c r="AE379" s="79" t="str">
        <f t="shared" si="65"/>
        <v/>
      </c>
      <c r="AF379" s="24"/>
      <c r="AG379" s="24"/>
      <c r="AH379" s="24"/>
      <c r="AI379" s="24"/>
      <c r="AJ379" s="99" t="str">
        <f t="shared" si="66"/>
        <v/>
      </c>
      <c r="AK379" s="31" t="str">
        <f t="shared" si="71"/>
        <v/>
      </c>
      <c r="AN379" s="139" t="str">
        <f>IF($K379="","",VLOOKUP($K379,'ORF Accuracy Value LookUp'!$G$4:$H$104,2,TRUE))</f>
        <v/>
      </c>
      <c r="AO379" s="94" t="str">
        <f t="shared" si="67"/>
        <v/>
      </c>
      <c r="AP379" s="47" t="str">
        <f>IF($U379="","",VLOOKUP($U379,'ORF Accuracy Value LookUp'!$G$4:$H$104,2,TRUE))</f>
        <v/>
      </c>
      <c r="AQ379" s="94" t="str">
        <f t="shared" si="68"/>
        <v/>
      </c>
      <c r="AR379" s="46" t="str">
        <f>IF($AE379="","",VLOOKUP($AE379,'ORF Accuracy Value LookUp'!$G$4:$H$104,2,TRUE))</f>
        <v/>
      </c>
      <c r="AS379" s="140" t="str">
        <f t="shared" si="69"/>
        <v/>
      </c>
    </row>
    <row r="380" spans="1:45">
      <c r="A380" s="10"/>
      <c r="B380" s="9"/>
      <c r="C380" s="9"/>
      <c r="D380" s="9"/>
      <c r="E380" s="10"/>
      <c r="F380" s="11"/>
      <c r="G380" s="15"/>
      <c r="H380" s="88"/>
      <c r="I380" s="24"/>
      <c r="J380" s="24"/>
      <c r="K380" s="114" t="str">
        <f t="shared" si="60"/>
        <v/>
      </c>
      <c r="L380" s="24"/>
      <c r="M380" s="24"/>
      <c r="N380" s="24"/>
      <c r="O380" s="24"/>
      <c r="P380" s="97" t="str">
        <f t="shared" si="61"/>
        <v/>
      </c>
      <c r="Q380" s="113" t="str">
        <f t="shared" si="62"/>
        <v/>
      </c>
      <c r="R380" s="88"/>
      <c r="S380" s="24"/>
      <c r="T380" s="24"/>
      <c r="U380" s="78" t="str">
        <f t="shared" si="63"/>
        <v/>
      </c>
      <c r="V380" s="24"/>
      <c r="W380" s="24"/>
      <c r="X380" s="24"/>
      <c r="Y380" s="24"/>
      <c r="Z380" s="98" t="str">
        <f t="shared" si="64"/>
        <v/>
      </c>
      <c r="AA380" s="40" t="str">
        <f t="shared" si="70"/>
        <v/>
      </c>
      <c r="AB380" s="88"/>
      <c r="AC380" s="24"/>
      <c r="AD380" s="24"/>
      <c r="AE380" s="79" t="str">
        <f t="shared" si="65"/>
        <v/>
      </c>
      <c r="AF380" s="24"/>
      <c r="AG380" s="24"/>
      <c r="AH380" s="24"/>
      <c r="AI380" s="24"/>
      <c r="AJ380" s="99" t="str">
        <f t="shared" si="66"/>
        <v/>
      </c>
      <c r="AK380" s="31" t="str">
        <f t="shared" si="71"/>
        <v/>
      </c>
      <c r="AN380" s="139" t="str">
        <f>IF($K380="","",VLOOKUP($K380,'ORF Accuracy Value LookUp'!$G$4:$H$104,2,TRUE))</f>
        <v/>
      </c>
      <c r="AO380" s="94" t="str">
        <f t="shared" si="67"/>
        <v/>
      </c>
      <c r="AP380" s="47" t="str">
        <f>IF($U380="","",VLOOKUP($U380,'ORF Accuracy Value LookUp'!$G$4:$H$104,2,TRUE))</f>
        <v/>
      </c>
      <c r="AQ380" s="94" t="str">
        <f t="shared" si="68"/>
        <v/>
      </c>
      <c r="AR380" s="46" t="str">
        <f>IF($AE380="","",VLOOKUP($AE380,'ORF Accuracy Value LookUp'!$G$4:$H$104,2,TRUE))</f>
        <v/>
      </c>
      <c r="AS380" s="140" t="str">
        <f t="shared" si="69"/>
        <v/>
      </c>
    </row>
    <row r="381" spans="1:45">
      <c r="A381" s="10"/>
      <c r="B381" s="9"/>
      <c r="C381" s="9"/>
      <c r="D381" s="9"/>
      <c r="E381" s="10"/>
      <c r="F381" s="11"/>
      <c r="G381" s="15"/>
      <c r="H381" s="88"/>
      <c r="I381" s="24"/>
      <c r="J381" s="24"/>
      <c r="K381" s="114" t="str">
        <f t="shared" si="60"/>
        <v/>
      </c>
      <c r="L381" s="24"/>
      <c r="M381" s="24"/>
      <c r="N381" s="24"/>
      <c r="O381" s="24"/>
      <c r="P381" s="97" t="str">
        <f t="shared" si="61"/>
        <v/>
      </c>
      <c r="Q381" s="113" t="str">
        <f t="shared" si="62"/>
        <v/>
      </c>
      <c r="R381" s="88"/>
      <c r="S381" s="24"/>
      <c r="T381" s="24"/>
      <c r="U381" s="78" t="str">
        <f t="shared" si="63"/>
        <v/>
      </c>
      <c r="V381" s="24"/>
      <c r="W381" s="24"/>
      <c r="X381" s="24"/>
      <c r="Y381" s="24"/>
      <c r="Z381" s="98" t="str">
        <f t="shared" si="64"/>
        <v/>
      </c>
      <c r="AA381" s="40" t="str">
        <f t="shared" si="70"/>
        <v/>
      </c>
      <c r="AB381" s="88"/>
      <c r="AC381" s="24"/>
      <c r="AD381" s="24"/>
      <c r="AE381" s="79" t="str">
        <f t="shared" si="65"/>
        <v/>
      </c>
      <c r="AF381" s="24"/>
      <c r="AG381" s="24"/>
      <c r="AH381" s="24"/>
      <c r="AI381" s="24"/>
      <c r="AJ381" s="99" t="str">
        <f t="shared" si="66"/>
        <v/>
      </c>
      <c r="AK381" s="31" t="str">
        <f t="shared" si="71"/>
        <v/>
      </c>
      <c r="AN381" s="139" t="str">
        <f>IF($K381="","",VLOOKUP($K381,'ORF Accuracy Value LookUp'!$G$4:$H$104,2,TRUE))</f>
        <v/>
      </c>
      <c r="AO381" s="94" t="str">
        <f t="shared" si="67"/>
        <v/>
      </c>
      <c r="AP381" s="47" t="str">
        <f>IF($U381="","",VLOOKUP($U381,'ORF Accuracy Value LookUp'!$G$4:$H$104,2,TRUE))</f>
        <v/>
      </c>
      <c r="AQ381" s="94" t="str">
        <f t="shared" si="68"/>
        <v/>
      </c>
      <c r="AR381" s="46" t="str">
        <f>IF($AE381="","",VLOOKUP($AE381,'ORF Accuracy Value LookUp'!$G$4:$H$104,2,TRUE))</f>
        <v/>
      </c>
      <c r="AS381" s="140" t="str">
        <f t="shared" si="69"/>
        <v/>
      </c>
    </row>
    <row r="382" spans="1:45">
      <c r="A382" s="10"/>
      <c r="B382" s="9"/>
      <c r="C382" s="9"/>
      <c r="D382" s="9"/>
      <c r="E382" s="10"/>
      <c r="F382" s="11"/>
      <c r="G382" s="15"/>
      <c r="H382" s="88"/>
      <c r="I382" s="24"/>
      <c r="J382" s="24"/>
      <c r="K382" s="114" t="str">
        <f t="shared" si="60"/>
        <v/>
      </c>
      <c r="L382" s="24"/>
      <c r="M382" s="24"/>
      <c r="N382" s="24"/>
      <c r="O382" s="24"/>
      <c r="P382" s="97" t="str">
        <f t="shared" si="61"/>
        <v/>
      </c>
      <c r="Q382" s="113" t="str">
        <f t="shared" si="62"/>
        <v/>
      </c>
      <c r="R382" s="88"/>
      <c r="S382" s="24"/>
      <c r="T382" s="24"/>
      <c r="U382" s="78" t="str">
        <f t="shared" si="63"/>
        <v/>
      </c>
      <c r="V382" s="24"/>
      <c r="W382" s="24"/>
      <c r="X382" s="24"/>
      <c r="Y382" s="24"/>
      <c r="Z382" s="98" t="str">
        <f t="shared" si="64"/>
        <v/>
      </c>
      <c r="AA382" s="40" t="str">
        <f t="shared" si="70"/>
        <v/>
      </c>
      <c r="AB382" s="88"/>
      <c r="AC382" s="24"/>
      <c r="AD382" s="24"/>
      <c r="AE382" s="79" t="str">
        <f t="shared" si="65"/>
        <v/>
      </c>
      <c r="AF382" s="24"/>
      <c r="AG382" s="24"/>
      <c r="AH382" s="24"/>
      <c r="AI382" s="24"/>
      <c r="AJ382" s="99" t="str">
        <f t="shared" si="66"/>
        <v/>
      </c>
      <c r="AK382" s="31" t="str">
        <f t="shared" si="71"/>
        <v/>
      </c>
      <c r="AN382" s="139" t="str">
        <f>IF($K382="","",VLOOKUP($K382,'ORF Accuracy Value LookUp'!$G$4:$H$104,2,TRUE))</f>
        <v/>
      </c>
      <c r="AO382" s="94" t="str">
        <f t="shared" si="67"/>
        <v/>
      </c>
      <c r="AP382" s="47" t="str">
        <f>IF($U382="","",VLOOKUP($U382,'ORF Accuracy Value LookUp'!$G$4:$H$104,2,TRUE))</f>
        <v/>
      </c>
      <c r="AQ382" s="94" t="str">
        <f t="shared" si="68"/>
        <v/>
      </c>
      <c r="AR382" s="46" t="str">
        <f>IF($AE382="","",VLOOKUP($AE382,'ORF Accuracy Value LookUp'!$G$4:$H$104,2,TRUE))</f>
        <v/>
      </c>
      <c r="AS382" s="140" t="str">
        <f t="shared" si="69"/>
        <v/>
      </c>
    </row>
    <row r="383" spans="1:45">
      <c r="A383" s="10"/>
      <c r="B383" s="9"/>
      <c r="C383" s="9"/>
      <c r="D383" s="9"/>
      <c r="E383" s="10"/>
      <c r="F383" s="11"/>
      <c r="G383" s="15"/>
      <c r="H383" s="88"/>
      <c r="I383" s="24"/>
      <c r="J383" s="24"/>
      <c r="K383" s="114" t="str">
        <f t="shared" si="60"/>
        <v/>
      </c>
      <c r="L383" s="24"/>
      <c r="M383" s="24"/>
      <c r="N383" s="24"/>
      <c r="O383" s="24"/>
      <c r="P383" s="97" t="str">
        <f t="shared" si="61"/>
        <v/>
      </c>
      <c r="Q383" s="113" t="str">
        <f t="shared" si="62"/>
        <v/>
      </c>
      <c r="R383" s="88"/>
      <c r="S383" s="24"/>
      <c r="T383" s="24"/>
      <c r="U383" s="78" t="str">
        <f t="shared" si="63"/>
        <v/>
      </c>
      <c r="V383" s="24"/>
      <c r="W383" s="24"/>
      <c r="X383" s="24"/>
      <c r="Y383" s="24"/>
      <c r="Z383" s="98" t="str">
        <f t="shared" si="64"/>
        <v/>
      </c>
      <c r="AA383" s="40" t="str">
        <f t="shared" si="70"/>
        <v/>
      </c>
      <c r="AB383" s="88"/>
      <c r="AC383" s="24"/>
      <c r="AD383" s="24"/>
      <c r="AE383" s="79" t="str">
        <f t="shared" si="65"/>
        <v/>
      </c>
      <c r="AF383" s="24"/>
      <c r="AG383" s="24"/>
      <c r="AH383" s="24"/>
      <c r="AI383" s="24"/>
      <c r="AJ383" s="99" t="str">
        <f t="shared" si="66"/>
        <v/>
      </c>
      <c r="AK383" s="31" t="str">
        <f t="shared" si="71"/>
        <v/>
      </c>
      <c r="AN383" s="139" t="str">
        <f>IF($K383="","",VLOOKUP($K383,'ORF Accuracy Value LookUp'!$G$4:$H$104,2,TRUE))</f>
        <v/>
      </c>
      <c r="AO383" s="94" t="str">
        <f t="shared" si="67"/>
        <v/>
      </c>
      <c r="AP383" s="47" t="str">
        <f>IF($U383="","",VLOOKUP($U383,'ORF Accuracy Value LookUp'!$G$4:$H$104,2,TRUE))</f>
        <v/>
      </c>
      <c r="AQ383" s="94" t="str">
        <f t="shared" si="68"/>
        <v/>
      </c>
      <c r="AR383" s="46" t="str">
        <f>IF($AE383="","",VLOOKUP($AE383,'ORF Accuracy Value LookUp'!$G$4:$H$104,2,TRUE))</f>
        <v/>
      </c>
      <c r="AS383" s="140" t="str">
        <f t="shared" si="69"/>
        <v/>
      </c>
    </row>
    <row r="384" spans="1:45">
      <c r="A384" s="10"/>
      <c r="B384" s="9"/>
      <c r="C384" s="9"/>
      <c r="D384" s="9"/>
      <c r="E384" s="10"/>
      <c r="F384" s="11"/>
      <c r="G384" s="15"/>
      <c r="H384" s="88"/>
      <c r="I384" s="24"/>
      <c r="J384" s="24"/>
      <c r="K384" s="114" t="str">
        <f t="shared" si="60"/>
        <v/>
      </c>
      <c r="L384" s="24"/>
      <c r="M384" s="24"/>
      <c r="N384" s="24"/>
      <c r="O384" s="24"/>
      <c r="P384" s="97" t="str">
        <f t="shared" si="61"/>
        <v/>
      </c>
      <c r="Q384" s="113" t="str">
        <f t="shared" si="62"/>
        <v/>
      </c>
      <c r="R384" s="88"/>
      <c r="S384" s="24"/>
      <c r="T384" s="24"/>
      <c r="U384" s="78" t="str">
        <f t="shared" si="63"/>
        <v/>
      </c>
      <c r="V384" s="24"/>
      <c r="W384" s="24"/>
      <c r="X384" s="24"/>
      <c r="Y384" s="24"/>
      <c r="Z384" s="98" t="str">
        <f t="shared" si="64"/>
        <v/>
      </c>
      <c r="AA384" s="40" t="str">
        <f t="shared" si="70"/>
        <v/>
      </c>
      <c r="AB384" s="88"/>
      <c r="AC384" s="24"/>
      <c r="AD384" s="24"/>
      <c r="AE384" s="79" t="str">
        <f t="shared" si="65"/>
        <v/>
      </c>
      <c r="AF384" s="24"/>
      <c r="AG384" s="24"/>
      <c r="AH384" s="24"/>
      <c r="AI384" s="24"/>
      <c r="AJ384" s="99" t="str">
        <f t="shared" si="66"/>
        <v/>
      </c>
      <c r="AK384" s="31" t="str">
        <f t="shared" si="71"/>
        <v/>
      </c>
      <c r="AN384" s="139" t="str">
        <f>IF($K384="","",VLOOKUP($K384,'ORF Accuracy Value LookUp'!$G$4:$H$104,2,TRUE))</f>
        <v/>
      </c>
      <c r="AO384" s="94" t="str">
        <f t="shared" si="67"/>
        <v/>
      </c>
      <c r="AP384" s="47" t="str">
        <f>IF($U384="","",VLOOKUP($U384,'ORF Accuracy Value LookUp'!$G$4:$H$104,2,TRUE))</f>
        <v/>
      </c>
      <c r="AQ384" s="94" t="str">
        <f t="shared" si="68"/>
        <v/>
      </c>
      <c r="AR384" s="46" t="str">
        <f>IF($AE384="","",VLOOKUP($AE384,'ORF Accuracy Value LookUp'!$G$4:$H$104,2,TRUE))</f>
        <v/>
      </c>
      <c r="AS384" s="140" t="str">
        <f t="shared" si="69"/>
        <v/>
      </c>
    </row>
    <row r="385" spans="1:45">
      <c r="A385" s="10"/>
      <c r="B385" s="9"/>
      <c r="C385" s="9"/>
      <c r="D385" s="9"/>
      <c r="E385" s="10"/>
      <c r="F385" s="11"/>
      <c r="G385" s="15"/>
      <c r="H385" s="88"/>
      <c r="I385" s="24"/>
      <c r="J385" s="24"/>
      <c r="K385" s="114" t="str">
        <f t="shared" si="60"/>
        <v/>
      </c>
      <c r="L385" s="24"/>
      <c r="M385" s="24"/>
      <c r="N385" s="24"/>
      <c r="O385" s="24"/>
      <c r="P385" s="97" t="str">
        <f t="shared" si="61"/>
        <v/>
      </c>
      <c r="Q385" s="113" t="str">
        <f t="shared" si="62"/>
        <v/>
      </c>
      <c r="R385" s="88"/>
      <c r="S385" s="24"/>
      <c r="T385" s="24"/>
      <c r="U385" s="78" t="str">
        <f t="shared" si="63"/>
        <v/>
      </c>
      <c r="V385" s="24"/>
      <c r="W385" s="24"/>
      <c r="X385" s="24"/>
      <c r="Y385" s="24"/>
      <c r="Z385" s="98" t="str">
        <f t="shared" si="64"/>
        <v/>
      </c>
      <c r="AA385" s="40" t="str">
        <f t="shared" si="70"/>
        <v/>
      </c>
      <c r="AB385" s="88"/>
      <c r="AC385" s="24"/>
      <c r="AD385" s="24"/>
      <c r="AE385" s="79" t="str">
        <f t="shared" si="65"/>
        <v/>
      </c>
      <c r="AF385" s="24"/>
      <c r="AG385" s="24"/>
      <c r="AH385" s="24"/>
      <c r="AI385" s="24"/>
      <c r="AJ385" s="99" t="str">
        <f t="shared" si="66"/>
        <v/>
      </c>
      <c r="AK385" s="31" t="str">
        <f t="shared" si="71"/>
        <v/>
      </c>
      <c r="AN385" s="139" t="str">
        <f>IF($K385="","",VLOOKUP($K385,'ORF Accuracy Value LookUp'!$G$4:$H$104,2,TRUE))</f>
        <v/>
      </c>
      <c r="AO385" s="94" t="str">
        <f t="shared" si="67"/>
        <v/>
      </c>
      <c r="AP385" s="47" t="str">
        <f>IF($U385="","",VLOOKUP($U385,'ORF Accuracy Value LookUp'!$G$4:$H$104,2,TRUE))</f>
        <v/>
      </c>
      <c r="AQ385" s="94" t="str">
        <f t="shared" si="68"/>
        <v/>
      </c>
      <c r="AR385" s="46" t="str">
        <f>IF($AE385="","",VLOOKUP($AE385,'ORF Accuracy Value LookUp'!$G$4:$H$104,2,TRUE))</f>
        <v/>
      </c>
      <c r="AS385" s="140" t="str">
        <f t="shared" si="69"/>
        <v/>
      </c>
    </row>
    <row r="386" spans="1:45">
      <c r="A386" s="10"/>
      <c r="B386" s="9"/>
      <c r="C386" s="9"/>
      <c r="D386" s="9"/>
      <c r="E386" s="10"/>
      <c r="F386" s="11"/>
      <c r="G386" s="15"/>
      <c r="H386" s="88"/>
      <c r="I386" s="24"/>
      <c r="J386" s="24"/>
      <c r="K386" s="114" t="str">
        <f t="shared" si="60"/>
        <v/>
      </c>
      <c r="L386" s="24"/>
      <c r="M386" s="24"/>
      <c r="N386" s="24"/>
      <c r="O386" s="24"/>
      <c r="P386" s="97" t="str">
        <f t="shared" si="61"/>
        <v/>
      </c>
      <c r="Q386" s="113" t="str">
        <f t="shared" si="62"/>
        <v/>
      </c>
      <c r="R386" s="88"/>
      <c r="S386" s="24"/>
      <c r="T386" s="24"/>
      <c r="U386" s="78" t="str">
        <f t="shared" si="63"/>
        <v/>
      </c>
      <c r="V386" s="24"/>
      <c r="W386" s="24"/>
      <c r="X386" s="24"/>
      <c r="Y386" s="24"/>
      <c r="Z386" s="98" t="str">
        <f t="shared" si="64"/>
        <v/>
      </c>
      <c r="AA386" s="40" t="str">
        <f t="shared" si="70"/>
        <v/>
      </c>
      <c r="AB386" s="88"/>
      <c r="AC386" s="24"/>
      <c r="AD386" s="24"/>
      <c r="AE386" s="79" t="str">
        <f t="shared" si="65"/>
        <v/>
      </c>
      <c r="AF386" s="24"/>
      <c r="AG386" s="24"/>
      <c r="AH386" s="24"/>
      <c r="AI386" s="24"/>
      <c r="AJ386" s="99" t="str">
        <f t="shared" si="66"/>
        <v/>
      </c>
      <c r="AK386" s="31" t="str">
        <f t="shared" si="71"/>
        <v/>
      </c>
      <c r="AN386" s="139" t="str">
        <f>IF($K386="","",VLOOKUP($K386,'ORF Accuracy Value LookUp'!$G$4:$H$104,2,TRUE))</f>
        <v/>
      </c>
      <c r="AO386" s="94" t="str">
        <f t="shared" si="67"/>
        <v/>
      </c>
      <c r="AP386" s="47" t="str">
        <f>IF($U386="","",VLOOKUP($U386,'ORF Accuracy Value LookUp'!$G$4:$H$104,2,TRUE))</f>
        <v/>
      </c>
      <c r="AQ386" s="94" t="str">
        <f t="shared" si="68"/>
        <v/>
      </c>
      <c r="AR386" s="46" t="str">
        <f>IF($AE386="","",VLOOKUP($AE386,'ORF Accuracy Value LookUp'!$G$4:$H$104,2,TRUE))</f>
        <v/>
      </c>
      <c r="AS386" s="140" t="str">
        <f t="shared" si="69"/>
        <v/>
      </c>
    </row>
    <row r="387" spans="1:45">
      <c r="A387" s="10"/>
      <c r="B387" s="9"/>
      <c r="C387" s="9"/>
      <c r="D387" s="9"/>
      <c r="E387" s="10"/>
      <c r="F387" s="11"/>
      <c r="G387" s="15"/>
      <c r="H387" s="88"/>
      <c r="I387" s="24"/>
      <c r="J387" s="24"/>
      <c r="K387" s="114" t="str">
        <f t="shared" si="60"/>
        <v/>
      </c>
      <c r="L387" s="24"/>
      <c r="M387" s="24"/>
      <c r="N387" s="24"/>
      <c r="O387" s="24"/>
      <c r="P387" s="97" t="str">
        <f t="shared" si="61"/>
        <v/>
      </c>
      <c r="Q387" s="113" t="str">
        <f t="shared" si="62"/>
        <v/>
      </c>
      <c r="R387" s="88"/>
      <c r="S387" s="24"/>
      <c r="T387" s="24"/>
      <c r="U387" s="78" t="str">
        <f t="shared" si="63"/>
        <v/>
      </c>
      <c r="V387" s="24"/>
      <c r="W387" s="24"/>
      <c r="X387" s="24"/>
      <c r="Y387" s="24"/>
      <c r="Z387" s="98" t="str">
        <f t="shared" si="64"/>
        <v/>
      </c>
      <c r="AA387" s="40" t="str">
        <f t="shared" si="70"/>
        <v/>
      </c>
      <c r="AB387" s="88"/>
      <c r="AC387" s="24"/>
      <c r="AD387" s="24"/>
      <c r="AE387" s="79" t="str">
        <f t="shared" si="65"/>
        <v/>
      </c>
      <c r="AF387" s="24"/>
      <c r="AG387" s="24"/>
      <c r="AH387" s="24"/>
      <c r="AI387" s="24"/>
      <c r="AJ387" s="99" t="str">
        <f t="shared" si="66"/>
        <v/>
      </c>
      <c r="AK387" s="31" t="str">
        <f t="shared" si="71"/>
        <v/>
      </c>
      <c r="AN387" s="139" t="str">
        <f>IF($K387="","",VLOOKUP($K387,'ORF Accuracy Value LookUp'!$G$4:$H$104,2,TRUE))</f>
        <v/>
      </c>
      <c r="AO387" s="94" t="str">
        <f t="shared" si="67"/>
        <v/>
      </c>
      <c r="AP387" s="47" t="str">
        <f>IF($U387="","",VLOOKUP($U387,'ORF Accuracy Value LookUp'!$G$4:$H$104,2,TRUE))</f>
        <v/>
      </c>
      <c r="AQ387" s="94" t="str">
        <f t="shared" si="68"/>
        <v/>
      </c>
      <c r="AR387" s="46" t="str">
        <f>IF($AE387="","",VLOOKUP($AE387,'ORF Accuracy Value LookUp'!$G$4:$H$104,2,TRUE))</f>
        <v/>
      </c>
      <c r="AS387" s="140" t="str">
        <f t="shared" si="69"/>
        <v/>
      </c>
    </row>
    <row r="388" spans="1:45">
      <c r="A388" s="10"/>
      <c r="B388" s="9"/>
      <c r="C388" s="9"/>
      <c r="D388" s="9"/>
      <c r="E388" s="10"/>
      <c r="F388" s="11"/>
      <c r="G388" s="15"/>
      <c r="H388" s="88"/>
      <c r="I388" s="24"/>
      <c r="J388" s="24"/>
      <c r="K388" s="114" t="str">
        <f t="shared" si="60"/>
        <v/>
      </c>
      <c r="L388" s="24"/>
      <c r="M388" s="24"/>
      <c r="N388" s="24"/>
      <c r="O388" s="24"/>
      <c r="P388" s="97" t="str">
        <f t="shared" si="61"/>
        <v/>
      </c>
      <c r="Q388" s="113" t="str">
        <f t="shared" si="62"/>
        <v/>
      </c>
      <c r="R388" s="88"/>
      <c r="S388" s="24"/>
      <c r="T388" s="24"/>
      <c r="U388" s="78" t="str">
        <f t="shared" si="63"/>
        <v/>
      </c>
      <c r="V388" s="24"/>
      <c r="W388" s="24"/>
      <c r="X388" s="24"/>
      <c r="Y388" s="24"/>
      <c r="Z388" s="98" t="str">
        <f t="shared" si="64"/>
        <v/>
      </c>
      <c r="AA388" s="40" t="str">
        <f t="shared" si="70"/>
        <v/>
      </c>
      <c r="AB388" s="88"/>
      <c r="AC388" s="24"/>
      <c r="AD388" s="24"/>
      <c r="AE388" s="79" t="str">
        <f t="shared" si="65"/>
        <v/>
      </c>
      <c r="AF388" s="24"/>
      <c r="AG388" s="24"/>
      <c r="AH388" s="24"/>
      <c r="AI388" s="24"/>
      <c r="AJ388" s="99" t="str">
        <f t="shared" si="66"/>
        <v/>
      </c>
      <c r="AK388" s="31" t="str">
        <f t="shared" si="71"/>
        <v/>
      </c>
      <c r="AN388" s="139" t="str">
        <f>IF($K388="","",VLOOKUP($K388,'ORF Accuracy Value LookUp'!$G$4:$H$104,2,TRUE))</f>
        <v/>
      </c>
      <c r="AO388" s="94" t="str">
        <f t="shared" si="67"/>
        <v/>
      </c>
      <c r="AP388" s="47" t="str">
        <f>IF($U388="","",VLOOKUP($U388,'ORF Accuracy Value LookUp'!$G$4:$H$104,2,TRUE))</f>
        <v/>
      </c>
      <c r="AQ388" s="94" t="str">
        <f t="shared" si="68"/>
        <v/>
      </c>
      <c r="AR388" s="46" t="str">
        <f>IF($AE388="","",VLOOKUP($AE388,'ORF Accuracy Value LookUp'!$G$4:$H$104,2,TRUE))</f>
        <v/>
      </c>
      <c r="AS388" s="140" t="str">
        <f t="shared" si="69"/>
        <v/>
      </c>
    </row>
    <row r="389" spans="1:45">
      <c r="A389" s="10"/>
      <c r="B389" s="9"/>
      <c r="C389" s="9"/>
      <c r="D389" s="9"/>
      <c r="E389" s="10"/>
      <c r="F389" s="11"/>
      <c r="G389" s="15"/>
      <c r="H389" s="88"/>
      <c r="I389" s="24"/>
      <c r="J389" s="24"/>
      <c r="K389" s="114" t="str">
        <f t="shared" ref="K389:K397" si="72">IF($I389="","",SUM($I389/($I389+$J389)))</f>
        <v/>
      </c>
      <c r="L389" s="24"/>
      <c r="M389" s="24"/>
      <c r="N389" s="24"/>
      <c r="O389" s="24"/>
      <c r="P389" s="97" t="str">
        <f t="shared" ref="P389:P397" si="73">IF($AO389&gt;0,$AO389,0)</f>
        <v/>
      </c>
      <c r="Q389" s="113" t="str">
        <f t="shared" ref="Q389:Q397" si="74">IF($B389="","",SUM($I389+$AN389+($L389*2)+($P389*2)))</f>
        <v/>
      </c>
      <c r="R389" s="88"/>
      <c r="S389" s="24"/>
      <c r="T389" s="24"/>
      <c r="U389" s="78" t="str">
        <f t="shared" ref="U389:U397" si="75">IF($S389="","",SUM($S389/($S389+$T389)))</f>
        <v/>
      </c>
      <c r="V389" s="24"/>
      <c r="W389" s="24"/>
      <c r="X389" s="24"/>
      <c r="Y389" s="24"/>
      <c r="Z389" s="98" t="str">
        <f t="shared" ref="Z389:Z397" si="76">IF($AQ389&gt;0,$AQ389,0)</f>
        <v/>
      </c>
      <c r="AA389" s="40" t="str">
        <f t="shared" si="70"/>
        <v/>
      </c>
      <c r="AB389" s="88"/>
      <c r="AC389" s="24"/>
      <c r="AD389" s="24"/>
      <c r="AE389" s="79" t="str">
        <f t="shared" ref="AE389:AE397" si="77">IF($AC389="","",SUM($AC389/($AC389+$AD389)))</f>
        <v/>
      </c>
      <c r="AF389" s="24"/>
      <c r="AG389" s="24"/>
      <c r="AH389" s="24"/>
      <c r="AI389" s="24"/>
      <c r="AJ389" s="99" t="str">
        <f t="shared" ref="AJ389:AJ397" si="78">IF($AS389&gt;0,$AS389,0)</f>
        <v/>
      </c>
      <c r="AK389" s="31" t="str">
        <f t="shared" si="71"/>
        <v/>
      </c>
      <c r="AN389" s="139" t="str">
        <f>IF($K389="","",VLOOKUP($K389,'ORF Accuracy Value LookUp'!$G$4:$H$104,2,TRUE))</f>
        <v/>
      </c>
      <c r="AO389" s="94" t="str">
        <f t="shared" ref="AO389:AO397" si="79">IF($N389="","",($N389-($O389/2)))</f>
        <v/>
      </c>
      <c r="AP389" s="47" t="str">
        <f>IF($U389="","",VLOOKUP($U389,'ORF Accuracy Value LookUp'!$G$4:$H$104,2,TRUE))</f>
        <v/>
      </c>
      <c r="AQ389" s="94" t="str">
        <f t="shared" ref="AQ389:AQ397" si="80">IF($X389="","",$X389-($Y389/2))</f>
        <v/>
      </c>
      <c r="AR389" s="46" t="str">
        <f>IF($AE389="","",VLOOKUP($AE389,'ORF Accuracy Value LookUp'!$G$4:$H$104,2,TRUE))</f>
        <v/>
      </c>
      <c r="AS389" s="140" t="str">
        <f t="shared" ref="AS389:AS397" si="81">IF($AH389="","",$AH389-($AI389/2))</f>
        <v/>
      </c>
    </row>
    <row r="390" spans="1:45">
      <c r="A390" s="10"/>
      <c r="B390" s="9"/>
      <c r="C390" s="9"/>
      <c r="D390" s="9"/>
      <c r="E390" s="10"/>
      <c r="F390" s="11"/>
      <c r="G390" s="15"/>
      <c r="H390" s="88"/>
      <c r="I390" s="24"/>
      <c r="J390" s="24"/>
      <c r="K390" s="114" t="str">
        <f t="shared" si="72"/>
        <v/>
      </c>
      <c r="L390" s="24"/>
      <c r="M390" s="24"/>
      <c r="N390" s="24"/>
      <c r="O390" s="24"/>
      <c r="P390" s="97" t="str">
        <f t="shared" si="73"/>
        <v/>
      </c>
      <c r="Q390" s="113" t="str">
        <f t="shared" si="74"/>
        <v/>
      </c>
      <c r="R390" s="88"/>
      <c r="S390" s="24"/>
      <c r="T390" s="24"/>
      <c r="U390" s="78" t="str">
        <f t="shared" si="75"/>
        <v/>
      </c>
      <c r="V390" s="24"/>
      <c r="W390" s="24"/>
      <c r="X390" s="24"/>
      <c r="Y390" s="24"/>
      <c r="Z390" s="98" t="str">
        <f t="shared" si="76"/>
        <v/>
      </c>
      <c r="AA390" s="40" t="str">
        <f t="shared" ref="AA390:AA397" si="82">IF($R390="","",SUM($S390+$AP390+($V390*2)+($Z390*4)))</f>
        <v/>
      </c>
      <c r="AB390" s="88"/>
      <c r="AC390" s="24"/>
      <c r="AD390" s="24"/>
      <c r="AE390" s="79" t="str">
        <f t="shared" si="77"/>
        <v/>
      </c>
      <c r="AF390" s="24"/>
      <c r="AG390" s="24"/>
      <c r="AH390" s="24"/>
      <c r="AI390" s="24"/>
      <c r="AJ390" s="99" t="str">
        <f t="shared" si="78"/>
        <v/>
      </c>
      <c r="AK390" s="31" t="str">
        <f t="shared" ref="AK390:AK397" si="83">IF($AB390="","",SUM($AC390+$AR390+($AF390*2)+($AJ390*4)))</f>
        <v/>
      </c>
      <c r="AN390" s="139" t="str">
        <f>IF($K390="","",VLOOKUP($K390,'ORF Accuracy Value LookUp'!$G$4:$H$104,2,TRUE))</f>
        <v/>
      </c>
      <c r="AO390" s="94" t="str">
        <f t="shared" si="79"/>
        <v/>
      </c>
      <c r="AP390" s="47" t="str">
        <f>IF($U390="","",VLOOKUP($U390,'ORF Accuracy Value LookUp'!$G$4:$H$104,2,TRUE))</f>
        <v/>
      </c>
      <c r="AQ390" s="94" t="str">
        <f t="shared" si="80"/>
        <v/>
      </c>
      <c r="AR390" s="46" t="str">
        <f>IF($AE390="","",VLOOKUP($AE390,'ORF Accuracy Value LookUp'!$G$4:$H$104,2,TRUE))</f>
        <v/>
      </c>
      <c r="AS390" s="140" t="str">
        <f t="shared" si="81"/>
        <v/>
      </c>
    </row>
    <row r="391" spans="1:45">
      <c r="A391" s="10"/>
      <c r="B391" s="9"/>
      <c r="C391" s="9"/>
      <c r="D391" s="9"/>
      <c r="E391" s="10"/>
      <c r="F391" s="11"/>
      <c r="G391" s="15"/>
      <c r="H391" s="88"/>
      <c r="I391" s="24"/>
      <c r="J391" s="24"/>
      <c r="K391" s="114" t="str">
        <f t="shared" si="72"/>
        <v/>
      </c>
      <c r="L391" s="24"/>
      <c r="M391" s="24"/>
      <c r="N391" s="24"/>
      <c r="O391" s="24"/>
      <c r="P391" s="97" t="str">
        <f t="shared" si="73"/>
        <v/>
      </c>
      <c r="Q391" s="113" t="str">
        <f t="shared" si="74"/>
        <v/>
      </c>
      <c r="R391" s="88"/>
      <c r="S391" s="24"/>
      <c r="T391" s="24"/>
      <c r="U391" s="78" t="str">
        <f t="shared" si="75"/>
        <v/>
      </c>
      <c r="V391" s="24"/>
      <c r="W391" s="24"/>
      <c r="X391" s="24"/>
      <c r="Y391" s="24"/>
      <c r="Z391" s="98" t="str">
        <f t="shared" si="76"/>
        <v/>
      </c>
      <c r="AA391" s="40" t="str">
        <f t="shared" si="82"/>
        <v/>
      </c>
      <c r="AB391" s="88"/>
      <c r="AC391" s="24"/>
      <c r="AD391" s="24"/>
      <c r="AE391" s="79" t="str">
        <f t="shared" si="77"/>
        <v/>
      </c>
      <c r="AF391" s="24"/>
      <c r="AG391" s="24"/>
      <c r="AH391" s="24"/>
      <c r="AI391" s="24"/>
      <c r="AJ391" s="99" t="str">
        <f t="shared" si="78"/>
        <v/>
      </c>
      <c r="AK391" s="31" t="str">
        <f t="shared" si="83"/>
        <v/>
      </c>
      <c r="AN391" s="139" t="str">
        <f>IF($K391="","",VLOOKUP($K391,'ORF Accuracy Value LookUp'!$G$4:$H$104,2,TRUE))</f>
        <v/>
      </c>
      <c r="AO391" s="94" t="str">
        <f t="shared" si="79"/>
        <v/>
      </c>
      <c r="AP391" s="47" t="str">
        <f>IF($U391="","",VLOOKUP($U391,'ORF Accuracy Value LookUp'!$G$4:$H$104,2,TRUE))</f>
        <v/>
      </c>
      <c r="AQ391" s="94" t="str">
        <f t="shared" si="80"/>
        <v/>
      </c>
      <c r="AR391" s="46" t="str">
        <f>IF($AE391="","",VLOOKUP($AE391,'ORF Accuracy Value LookUp'!$G$4:$H$104,2,TRUE))</f>
        <v/>
      </c>
      <c r="AS391" s="140" t="str">
        <f t="shared" si="81"/>
        <v/>
      </c>
    </row>
    <row r="392" spans="1:45">
      <c r="A392" s="10"/>
      <c r="B392" s="9"/>
      <c r="C392" s="9"/>
      <c r="D392" s="9"/>
      <c r="E392" s="10"/>
      <c r="F392" s="11"/>
      <c r="G392" s="15"/>
      <c r="H392" s="88"/>
      <c r="I392" s="24"/>
      <c r="J392" s="24"/>
      <c r="K392" s="114" t="str">
        <f t="shared" si="72"/>
        <v/>
      </c>
      <c r="L392" s="24"/>
      <c r="M392" s="24"/>
      <c r="N392" s="24"/>
      <c r="O392" s="24"/>
      <c r="P392" s="97" t="str">
        <f t="shared" si="73"/>
        <v/>
      </c>
      <c r="Q392" s="113" t="str">
        <f t="shared" si="74"/>
        <v/>
      </c>
      <c r="R392" s="88"/>
      <c r="S392" s="24"/>
      <c r="T392" s="24"/>
      <c r="U392" s="78" t="str">
        <f t="shared" si="75"/>
        <v/>
      </c>
      <c r="V392" s="24"/>
      <c r="W392" s="24"/>
      <c r="X392" s="24"/>
      <c r="Y392" s="24"/>
      <c r="Z392" s="98" t="str">
        <f t="shared" si="76"/>
        <v/>
      </c>
      <c r="AA392" s="40" t="str">
        <f t="shared" si="82"/>
        <v/>
      </c>
      <c r="AB392" s="88"/>
      <c r="AC392" s="24"/>
      <c r="AD392" s="24"/>
      <c r="AE392" s="79" t="str">
        <f t="shared" si="77"/>
        <v/>
      </c>
      <c r="AF392" s="24"/>
      <c r="AG392" s="24"/>
      <c r="AH392" s="24"/>
      <c r="AI392" s="24"/>
      <c r="AJ392" s="99" t="str">
        <f t="shared" si="78"/>
        <v/>
      </c>
      <c r="AK392" s="31" t="str">
        <f t="shared" si="83"/>
        <v/>
      </c>
      <c r="AN392" s="139" t="str">
        <f>IF($K392="","",VLOOKUP($K392,'ORF Accuracy Value LookUp'!$G$4:$H$104,2,TRUE))</f>
        <v/>
      </c>
      <c r="AO392" s="94" t="str">
        <f t="shared" si="79"/>
        <v/>
      </c>
      <c r="AP392" s="47" t="str">
        <f>IF($U392="","",VLOOKUP($U392,'ORF Accuracy Value LookUp'!$G$4:$H$104,2,TRUE))</f>
        <v/>
      </c>
      <c r="AQ392" s="94" t="str">
        <f t="shared" si="80"/>
        <v/>
      </c>
      <c r="AR392" s="46" t="str">
        <f>IF($AE392="","",VLOOKUP($AE392,'ORF Accuracy Value LookUp'!$G$4:$H$104,2,TRUE))</f>
        <v/>
      </c>
      <c r="AS392" s="140" t="str">
        <f t="shared" si="81"/>
        <v/>
      </c>
    </row>
    <row r="393" spans="1:45">
      <c r="A393" s="10"/>
      <c r="B393" s="9"/>
      <c r="C393" s="9"/>
      <c r="D393" s="9"/>
      <c r="E393" s="10"/>
      <c r="F393" s="11"/>
      <c r="G393" s="15"/>
      <c r="H393" s="88"/>
      <c r="I393" s="24"/>
      <c r="J393" s="24"/>
      <c r="K393" s="114" t="str">
        <f t="shared" si="72"/>
        <v/>
      </c>
      <c r="L393" s="24"/>
      <c r="M393" s="24"/>
      <c r="N393" s="24"/>
      <c r="O393" s="24"/>
      <c r="P393" s="97" t="str">
        <f t="shared" si="73"/>
        <v/>
      </c>
      <c r="Q393" s="113" t="str">
        <f t="shared" si="74"/>
        <v/>
      </c>
      <c r="R393" s="88"/>
      <c r="S393" s="24"/>
      <c r="T393" s="24"/>
      <c r="U393" s="78" t="str">
        <f t="shared" si="75"/>
        <v/>
      </c>
      <c r="V393" s="24"/>
      <c r="W393" s="24"/>
      <c r="X393" s="24"/>
      <c r="Y393" s="24"/>
      <c r="Z393" s="98" t="str">
        <f t="shared" si="76"/>
        <v/>
      </c>
      <c r="AA393" s="40" t="str">
        <f t="shared" si="82"/>
        <v/>
      </c>
      <c r="AB393" s="88"/>
      <c r="AC393" s="24"/>
      <c r="AD393" s="24"/>
      <c r="AE393" s="79" t="str">
        <f t="shared" si="77"/>
        <v/>
      </c>
      <c r="AF393" s="24"/>
      <c r="AG393" s="24"/>
      <c r="AH393" s="24"/>
      <c r="AI393" s="24"/>
      <c r="AJ393" s="99" t="str">
        <f t="shared" si="78"/>
        <v/>
      </c>
      <c r="AK393" s="31" t="str">
        <f t="shared" si="83"/>
        <v/>
      </c>
      <c r="AN393" s="139" t="str">
        <f>IF($K393="","",VLOOKUP($K393,'ORF Accuracy Value LookUp'!$G$4:$H$104,2,TRUE))</f>
        <v/>
      </c>
      <c r="AO393" s="94" t="str">
        <f t="shared" si="79"/>
        <v/>
      </c>
      <c r="AP393" s="47" t="str">
        <f>IF($U393="","",VLOOKUP($U393,'ORF Accuracy Value LookUp'!$G$4:$H$104,2,TRUE))</f>
        <v/>
      </c>
      <c r="AQ393" s="94" t="str">
        <f t="shared" si="80"/>
        <v/>
      </c>
      <c r="AR393" s="46" t="str">
        <f>IF($AE393="","",VLOOKUP($AE393,'ORF Accuracy Value LookUp'!$G$4:$H$104,2,TRUE))</f>
        <v/>
      </c>
      <c r="AS393" s="140" t="str">
        <f t="shared" si="81"/>
        <v/>
      </c>
    </row>
    <row r="394" spans="1:45">
      <c r="A394" s="10"/>
      <c r="B394" s="9"/>
      <c r="C394" s="9"/>
      <c r="D394" s="9"/>
      <c r="E394" s="10"/>
      <c r="F394" s="11"/>
      <c r="G394" s="15"/>
      <c r="H394" s="88"/>
      <c r="I394" s="24"/>
      <c r="J394" s="24"/>
      <c r="K394" s="114" t="str">
        <f t="shared" si="72"/>
        <v/>
      </c>
      <c r="L394" s="24"/>
      <c r="M394" s="24"/>
      <c r="N394" s="24"/>
      <c r="O394" s="24"/>
      <c r="P394" s="97" t="str">
        <f t="shared" si="73"/>
        <v/>
      </c>
      <c r="Q394" s="113" t="str">
        <f t="shared" si="74"/>
        <v/>
      </c>
      <c r="R394" s="88"/>
      <c r="S394" s="24"/>
      <c r="T394" s="24"/>
      <c r="U394" s="78" t="str">
        <f t="shared" si="75"/>
        <v/>
      </c>
      <c r="V394" s="24"/>
      <c r="W394" s="24"/>
      <c r="X394" s="24"/>
      <c r="Y394" s="24"/>
      <c r="Z394" s="98" t="str">
        <f t="shared" si="76"/>
        <v/>
      </c>
      <c r="AA394" s="40" t="str">
        <f t="shared" si="82"/>
        <v/>
      </c>
      <c r="AB394" s="88"/>
      <c r="AC394" s="24"/>
      <c r="AD394" s="24"/>
      <c r="AE394" s="79" t="str">
        <f t="shared" si="77"/>
        <v/>
      </c>
      <c r="AF394" s="24"/>
      <c r="AG394" s="24"/>
      <c r="AH394" s="24"/>
      <c r="AI394" s="24"/>
      <c r="AJ394" s="99" t="str">
        <f t="shared" si="78"/>
        <v/>
      </c>
      <c r="AK394" s="31" t="str">
        <f t="shared" si="83"/>
        <v/>
      </c>
      <c r="AN394" s="139" t="str">
        <f>IF($K394="","",VLOOKUP($K394,'ORF Accuracy Value LookUp'!$G$4:$H$104,2,TRUE))</f>
        <v/>
      </c>
      <c r="AO394" s="94" t="str">
        <f t="shared" si="79"/>
        <v/>
      </c>
      <c r="AP394" s="47" t="str">
        <f>IF($U394="","",VLOOKUP($U394,'ORF Accuracy Value LookUp'!$G$4:$H$104,2,TRUE))</f>
        <v/>
      </c>
      <c r="AQ394" s="94" t="str">
        <f t="shared" si="80"/>
        <v/>
      </c>
      <c r="AR394" s="46" t="str">
        <f>IF($AE394="","",VLOOKUP($AE394,'ORF Accuracy Value LookUp'!$G$4:$H$104,2,TRUE))</f>
        <v/>
      </c>
      <c r="AS394" s="140" t="str">
        <f t="shared" si="81"/>
        <v/>
      </c>
    </row>
    <row r="395" spans="1:45">
      <c r="A395" s="10"/>
      <c r="B395" s="9"/>
      <c r="C395" s="9"/>
      <c r="D395" s="9"/>
      <c r="E395" s="10"/>
      <c r="F395" s="11"/>
      <c r="G395" s="15"/>
      <c r="H395" s="88"/>
      <c r="I395" s="24"/>
      <c r="J395" s="24"/>
      <c r="K395" s="114" t="str">
        <f t="shared" si="72"/>
        <v/>
      </c>
      <c r="L395" s="24"/>
      <c r="M395" s="24"/>
      <c r="N395" s="24"/>
      <c r="O395" s="24"/>
      <c r="P395" s="97" t="str">
        <f t="shared" si="73"/>
        <v/>
      </c>
      <c r="Q395" s="113" t="str">
        <f t="shared" si="74"/>
        <v/>
      </c>
      <c r="R395" s="88"/>
      <c r="S395" s="24"/>
      <c r="T395" s="24"/>
      <c r="U395" s="78" t="str">
        <f t="shared" si="75"/>
        <v/>
      </c>
      <c r="V395" s="24"/>
      <c r="W395" s="24"/>
      <c r="X395" s="24"/>
      <c r="Y395" s="24"/>
      <c r="Z395" s="98" t="str">
        <f t="shared" si="76"/>
        <v/>
      </c>
      <c r="AA395" s="40" t="str">
        <f t="shared" si="82"/>
        <v/>
      </c>
      <c r="AB395" s="88"/>
      <c r="AC395" s="24"/>
      <c r="AD395" s="24"/>
      <c r="AE395" s="79" t="str">
        <f t="shared" si="77"/>
        <v/>
      </c>
      <c r="AF395" s="24"/>
      <c r="AG395" s="24"/>
      <c r="AH395" s="24"/>
      <c r="AI395" s="24"/>
      <c r="AJ395" s="99" t="str">
        <f t="shared" si="78"/>
        <v/>
      </c>
      <c r="AK395" s="31" t="str">
        <f t="shared" si="83"/>
        <v/>
      </c>
      <c r="AN395" s="139" t="str">
        <f>IF($K395="","",VLOOKUP($K395,'ORF Accuracy Value LookUp'!$G$4:$H$104,2,TRUE))</f>
        <v/>
      </c>
      <c r="AO395" s="94" t="str">
        <f t="shared" si="79"/>
        <v/>
      </c>
      <c r="AP395" s="47" t="str">
        <f>IF($U395="","",VLOOKUP($U395,'ORF Accuracy Value LookUp'!$G$4:$H$104,2,TRUE))</f>
        <v/>
      </c>
      <c r="AQ395" s="94" t="str">
        <f t="shared" si="80"/>
        <v/>
      </c>
      <c r="AR395" s="46" t="str">
        <f>IF($AE395="","",VLOOKUP($AE395,'ORF Accuracy Value LookUp'!$G$4:$H$104,2,TRUE))</f>
        <v/>
      </c>
      <c r="AS395" s="140" t="str">
        <f t="shared" si="81"/>
        <v/>
      </c>
    </row>
    <row r="396" spans="1:45">
      <c r="A396" s="10"/>
      <c r="B396" s="9"/>
      <c r="C396" s="9"/>
      <c r="D396" s="9"/>
      <c r="E396" s="10"/>
      <c r="F396" s="11"/>
      <c r="G396" s="15"/>
      <c r="H396" s="88"/>
      <c r="I396" s="24"/>
      <c r="J396" s="24"/>
      <c r="K396" s="114" t="str">
        <f t="shared" si="72"/>
        <v/>
      </c>
      <c r="L396" s="24"/>
      <c r="M396" s="24"/>
      <c r="N396" s="24"/>
      <c r="O396" s="24"/>
      <c r="P396" s="97" t="str">
        <f t="shared" si="73"/>
        <v/>
      </c>
      <c r="Q396" s="113" t="str">
        <f t="shared" si="74"/>
        <v/>
      </c>
      <c r="R396" s="88"/>
      <c r="S396" s="24"/>
      <c r="T396" s="24"/>
      <c r="U396" s="78" t="str">
        <f t="shared" si="75"/>
        <v/>
      </c>
      <c r="V396" s="24"/>
      <c r="W396" s="24"/>
      <c r="X396" s="24"/>
      <c r="Y396" s="24"/>
      <c r="Z396" s="98" t="str">
        <f t="shared" si="76"/>
        <v/>
      </c>
      <c r="AA396" s="40" t="str">
        <f t="shared" si="82"/>
        <v/>
      </c>
      <c r="AB396" s="88"/>
      <c r="AC396" s="24"/>
      <c r="AD396" s="24"/>
      <c r="AE396" s="79" t="str">
        <f t="shared" si="77"/>
        <v/>
      </c>
      <c r="AF396" s="24"/>
      <c r="AG396" s="24"/>
      <c r="AH396" s="24"/>
      <c r="AI396" s="24"/>
      <c r="AJ396" s="99" t="str">
        <f t="shared" si="78"/>
        <v/>
      </c>
      <c r="AK396" s="31" t="str">
        <f t="shared" si="83"/>
        <v/>
      </c>
      <c r="AN396" s="139" t="str">
        <f>IF($K396="","",VLOOKUP($K396,'ORF Accuracy Value LookUp'!$G$4:$H$104,2,TRUE))</f>
        <v/>
      </c>
      <c r="AO396" s="94" t="str">
        <f t="shared" si="79"/>
        <v/>
      </c>
      <c r="AP396" s="47" t="str">
        <f>IF($U396="","",VLOOKUP($U396,'ORF Accuracy Value LookUp'!$G$4:$H$104,2,TRUE))</f>
        <v/>
      </c>
      <c r="AQ396" s="94" t="str">
        <f t="shared" si="80"/>
        <v/>
      </c>
      <c r="AR396" s="46" t="str">
        <f>IF($AE396="","",VLOOKUP($AE396,'ORF Accuracy Value LookUp'!$G$4:$H$104,2,TRUE))</f>
        <v/>
      </c>
      <c r="AS396" s="140" t="str">
        <f t="shared" si="81"/>
        <v/>
      </c>
    </row>
    <row r="397" spans="1:45" ht="15.75" thickBot="1">
      <c r="A397" s="10"/>
      <c r="B397" s="9"/>
      <c r="C397" s="9"/>
      <c r="D397" s="9"/>
      <c r="E397" s="10"/>
      <c r="F397" s="11"/>
      <c r="G397" s="15"/>
      <c r="H397" s="89"/>
      <c r="I397" s="26"/>
      <c r="J397" s="26"/>
      <c r="K397" s="129" t="str">
        <f t="shared" si="72"/>
        <v/>
      </c>
      <c r="L397" s="26"/>
      <c r="M397" s="26"/>
      <c r="N397" s="26"/>
      <c r="O397" s="26"/>
      <c r="P397" s="130" t="str">
        <f t="shared" si="73"/>
        <v/>
      </c>
      <c r="Q397" s="131" t="str">
        <f t="shared" si="74"/>
        <v/>
      </c>
      <c r="R397" s="89"/>
      <c r="S397" s="26"/>
      <c r="T397" s="26"/>
      <c r="U397" s="128" t="str">
        <f t="shared" si="75"/>
        <v/>
      </c>
      <c r="V397" s="26"/>
      <c r="W397" s="26"/>
      <c r="X397" s="26"/>
      <c r="Y397" s="26"/>
      <c r="Z397" s="132" t="str">
        <f t="shared" si="76"/>
        <v/>
      </c>
      <c r="AA397" s="40" t="str">
        <f t="shared" si="82"/>
        <v/>
      </c>
      <c r="AB397" s="89"/>
      <c r="AC397" s="26"/>
      <c r="AD397" s="26"/>
      <c r="AE397" s="112" t="str">
        <f t="shared" si="77"/>
        <v/>
      </c>
      <c r="AF397" s="26"/>
      <c r="AG397" s="26"/>
      <c r="AH397" s="26"/>
      <c r="AI397" s="26"/>
      <c r="AJ397" s="133" t="str">
        <f t="shared" si="78"/>
        <v/>
      </c>
      <c r="AK397" s="31" t="str">
        <f t="shared" si="83"/>
        <v/>
      </c>
      <c r="AN397" s="141" t="str">
        <f>IF($K397="","",VLOOKUP($K397,'ORF Accuracy Value LookUp'!$G$4:$H$104,2,TRUE))</f>
        <v/>
      </c>
      <c r="AO397" s="142" t="str">
        <f t="shared" si="79"/>
        <v/>
      </c>
      <c r="AP397" s="143" t="str">
        <f>IF($U397="","",VLOOKUP($U397,'ORF Accuracy Value LookUp'!$G$4:$H$104,2,TRUE))</f>
        <v/>
      </c>
      <c r="AQ397" s="142" t="str">
        <f t="shared" si="80"/>
        <v/>
      </c>
      <c r="AR397" s="144" t="str">
        <f>IF($AE397="","",VLOOKUP($AE397,'ORF Accuracy Value LookUp'!$G$4:$H$104,2,TRUE))</f>
        <v/>
      </c>
      <c r="AS397" s="145" t="str">
        <f t="shared" si="81"/>
        <v/>
      </c>
    </row>
    <row r="398" spans="1:45">
      <c r="A398" s="6"/>
      <c r="B398" s="7"/>
      <c r="C398" s="7"/>
      <c r="D398" s="7"/>
      <c r="E398" s="6"/>
      <c r="F398" s="8"/>
      <c r="G398" s="6"/>
      <c r="I398" s="6"/>
      <c r="J398" s="6"/>
      <c r="K398" s="77"/>
      <c r="L398" s="6"/>
      <c r="M398" s="6"/>
      <c r="N398" s="6"/>
      <c r="O398" s="6"/>
      <c r="P398" s="95"/>
      <c r="Q398" s="6"/>
      <c r="S398" s="6"/>
      <c r="T398" s="6"/>
      <c r="U398" s="77"/>
      <c r="V398" s="6"/>
      <c r="W398" s="6"/>
      <c r="X398" s="6"/>
      <c r="Y398" s="6"/>
      <c r="Z398" s="95"/>
      <c r="AA398" s="6"/>
      <c r="AC398" s="6"/>
      <c r="AD398" s="6"/>
      <c r="AE398" s="77"/>
      <c r="AF398" s="6"/>
      <c r="AG398" s="6"/>
      <c r="AH398" s="6"/>
      <c r="AI398" s="6"/>
      <c r="AJ398" s="95"/>
      <c r="AK398" s="6"/>
      <c r="AN398" s="6"/>
      <c r="AO398" s="95"/>
      <c r="AP398" s="6"/>
      <c r="AQ398" s="95"/>
      <c r="AR398" s="6"/>
      <c r="AS398" s="95"/>
    </row>
    <row r="399" spans="1:45">
      <c r="A399" s="6"/>
      <c r="B399" s="7"/>
      <c r="C399" s="7"/>
      <c r="D399" s="7"/>
      <c r="E399" s="6"/>
      <c r="F399" s="8"/>
      <c r="G399" s="6"/>
      <c r="I399" s="6"/>
      <c r="J399" s="6"/>
      <c r="K399" s="77"/>
      <c r="L399" s="6"/>
      <c r="M399" s="6"/>
      <c r="N399" s="6"/>
      <c r="O399" s="6"/>
      <c r="P399" s="95"/>
      <c r="Q399" s="6"/>
      <c r="S399" s="6"/>
      <c r="T399" s="6"/>
      <c r="U399" s="77"/>
      <c r="V399" s="6"/>
      <c r="W399" s="6"/>
      <c r="X399" s="6"/>
      <c r="Y399" s="6"/>
      <c r="Z399" s="95"/>
      <c r="AA399" s="6"/>
      <c r="AC399" s="6"/>
      <c r="AD399" s="6"/>
      <c r="AE399" s="77"/>
      <c r="AF399" s="6"/>
      <c r="AG399" s="6"/>
      <c r="AH399" s="6"/>
      <c r="AI399" s="6"/>
      <c r="AJ399" s="95"/>
      <c r="AK399" s="6"/>
      <c r="AN399" s="6"/>
      <c r="AO399" s="95"/>
      <c r="AP399" s="6"/>
      <c r="AQ399" s="95"/>
      <c r="AR399" s="6"/>
      <c r="AS399" s="95"/>
    </row>
    <row r="400" spans="1:45">
      <c r="A400" s="6"/>
      <c r="B400" s="7"/>
      <c r="C400" s="7"/>
      <c r="D400" s="7"/>
      <c r="E400" s="6"/>
      <c r="F400" s="8"/>
      <c r="G400" s="6"/>
      <c r="I400" s="6"/>
      <c r="J400" s="6"/>
      <c r="K400" s="77"/>
      <c r="L400" s="6"/>
      <c r="M400" s="6"/>
      <c r="N400" s="6"/>
      <c r="O400" s="6"/>
      <c r="P400" s="95"/>
      <c r="Q400" s="6"/>
      <c r="S400" s="6"/>
      <c r="T400" s="6"/>
      <c r="U400" s="77"/>
      <c r="V400" s="6"/>
      <c r="W400" s="6"/>
      <c r="X400" s="6"/>
      <c r="Y400" s="6"/>
      <c r="Z400" s="95"/>
      <c r="AA400" s="6"/>
      <c r="AC400" s="6"/>
      <c r="AD400" s="6"/>
      <c r="AE400" s="77"/>
      <c r="AF400" s="6"/>
      <c r="AG400" s="6"/>
      <c r="AH400" s="6"/>
      <c r="AI400" s="6"/>
      <c r="AJ400" s="95"/>
      <c r="AK400" s="6"/>
      <c r="AN400" s="6"/>
      <c r="AO400" s="95"/>
      <c r="AP400" s="6"/>
      <c r="AQ400" s="95"/>
      <c r="AR400" s="6"/>
      <c r="AS400" s="95"/>
    </row>
    <row r="401" spans="1:45">
      <c r="A401" s="6"/>
      <c r="B401" s="7"/>
      <c r="C401" s="7"/>
      <c r="D401" s="7"/>
      <c r="E401" s="6"/>
      <c r="F401" s="8"/>
      <c r="G401" s="6"/>
      <c r="I401" s="6"/>
      <c r="J401" s="6"/>
      <c r="K401" s="77"/>
      <c r="L401" s="6"/>
      <c r="M401" s="6"/>
      <c r="N401" s="6"/>
      <c r="O401" s="6"/>
      <c r="P401" s="95"/>
      <c r="Q401" s="6"/>
      <c r="S401" s="6"/>
      <c r="T401" s="6"/>
      <c r="U401" s="77"/>
      <c r="V401" s="6"/>
      <c r="W401" s="6"/>
      <c r="X401" s="6"/>
      <c r="Y401" s="6"/>
      <c r="Z401" s="95"/>
      <c r="AA401" s="6"/>
      <c r="AC401" s="6"/>
      <c r="AD401" s="6"/>
      <c r="AE401" s="77"/>
      <c r="AF401" s="6"/>
      <c r="AG401" s="6"/>
      <c r="AH401" s="6"/>
      <c r="AI401" s="6"/>
      <c r="AJ401" s="95"/>
      <c r="AK401" s="6"/>
      <c r="AN401" s="6"/>
      <c r="AO401" s="95"/>
      <c r="AP401" s="6"/>
      <c r="AQ401" s="95"/>
      <c r="AR401" s="6"/>
      <c r="AS401" s="95"/>
    </row>
    <row r="402" spans="1:45">
      <c r="A402" s="6"/>
      <c r="B402" s="7"/>
      <c r="C402" s="7"/>
      <c r="D402" s="7"/>
      <c r="E402" s="6"/>
      <c r="F402" s="8"/>
      <c r="G402" s="6"/>
      <c r="I402" s="6"/>
      <c r="J402" s="6"/>
      <c r="K402" s="77"/>
      <c r="L402" s="6"/>
      <c r="M402" s="6"/>
      <c r="N402" s="6"/>
      <c r="O402" s="6"/>
      <c r="P402" s="95"/>
      <c r="Q402" s="6"/>
      <c r="S402" s="6"/>
      <c r="T402" s="6"/>
      <c r="U402" s="77"/>
      <c r="V402" s="6"/>
      <c r="W402" s="6"/>
      <c r="X402" s="6"/>
      <c r="Y402" s="6"/>
      <c r="Z402" s="95"/>
      <c r="AA402" s="6"/>
      <c r="AC402" s="6"/>
      <c r="AD402" s="6"/>
      <c r="AE402" s="77"/>
      <c r="AF402" s="6"/>
      <c r="AG402" s="6"/>
      <c r="AH402" s="6"/>
      <c r="AI402" s="6"/>
      <c r="AJ402" s="95"/>
      <c r="AK402" s="6"/>
      <c r="AN402" s="6"/>
      <c r="AO402" s="95"/>
      <c r="AP402" s="6"/>
      <c r="AQ402" s="95"/>
      <c r="AR402" s="6"/>
      <c r="AS402" s="95"/>
    </row>
    <row r="403" spans="1:45">
      <c r="A403" s="6"/>
      <c r="B403" s="7"/>
      <c r="C403" s="7"/>
      <c r="D403" s="7"/>
      <c r="E403" s="6"/>
      <c r="F403" s="8"/>
      <c r="G403" s="6"/>
      <c r="I403" s="6"/>
      <c r="J403" s="6"/>
      <c r="K403" s="77"/>
      <c r="L403" s="6"/>
      <c r="M403" s="6"/>
      <c r="N403" s="6"/>
      <c r="O403" s="6"/>
      <c r="P403" s="95"/>
      <c r="Q403" s="6"/>
      <c r="S403" s="6"/>
      <c r="T403" s="6"/>
      <c r="U403" s="77"/>
      <c r="V403" s="6"/>
      <c r="W403" s="6"/>
      <c r="X403" s="6"/>
      <c r="Y403" s="6"/>
      <c r="Z403" s="95"/>
      <c r="AA403" s="6"/>
      <c r="AC403" s="6"/>
      <c r="AD403" s="6"/>
      <c r="AE403" s="77"/>
      <c r="AF403" s="6"/>
      <c r="AG403" s="6"/>
      <c r="AH403" s="6"/>
      <c r="AI403" s="6"/>
      <c r="AJ403" s="95"/>
      <c r="AK403" s="6"/>
      <c r="AN403" s="6"/>
      <c r="AO403" s="95"/>
      <c r="AP403" s="6"/>
      <c r="AQ403" s="95"/>
      <c r="AR403" s="6"/>
      <c r="AS403" s="95"/>
    </row>
    <row r="404" spans="1:45">
      <c r="A404" s="6"/>
      <c r="B404" s="7"/>
      <c r="C404" s="7"/>
      <c r="D404" s="7"/>
      <c r="E404" s="6"/>
      <c r="F404" s="8"/>
      <c r="G404" s="6"/>
      <c r="I404" s="6"/>
      <c r="J404" s="6"/>
      <c r="K404" s="77"/>
      <c r="L404" s="6"/>
      <c r="M404" s="6"/>
      <c r="N404" s="6"/>
      <c r="O404" s="6"/>
      <c r="P404" s="95"/>
      <c r="Q404" s="6"/>
      <c r="S404" s="6"/>
      <c r="T404" s="6"/>
      <c r="U404" s="77"/>
      <c r="V404" s="6"/>
      <c r="W404" s="6"/>
      <c r="X404" s="6"/>
      <c r="Y404" s="6"/>
      <c r="Z404" s="95"/>
      <c r="AA404" s="6"/>
      <c r="AC404" s="6"/>
      <c r="AD404" s="6"/>
      <c r="AE404" s="77"/>
      <c r="AF404" s="6"/>
      <c r="AG404" s="6"/>
      <c r="AH404" s="6"/>
      <c r="AI404" s="6"/>
      <c r="AJ404" s="95"/>
      <c r="AK404" s="6"/>
      <c r="AN404" s="6"/>
      <c r="AO404" s="95"/>
      <c r="AP404" s="6"/>
      <c r="AQ404" s="95"/>
      <c r="AR404" s="6"/>
      <c r="AS404" s="95"/>
    </row>
    <row r="405" spans="1:45">
      <c r="A405" s="6"/>
      <c r="B405" s="7"/>
      <c r="C405" s="7"/>
      <c r="D405" s="7"/>
      <c r="E405" s="6"/>
      <c r="F405" s="8"/>
      <c r="G405" s="6"/>
      <c r="I405" s="6"/>
      <c r="J405" s="6"/>
      <c r="K405" s="77"/>
      <c r="L405" s="6"/>
      <c r="M405" s="6"/>
      <c r="N405" s="6"/>
      <c r="O405" s="6"/>
      <c r="P405" s="95"/>
      <c r="Q405" s="6"/>
      <c r="S405" s="6"/>
      <c r="T405" s="6"/>
      <c r="U405" s="77"/>
      <c r="V405" s="6"/>
      <c r="W405" s="6"/>
      <c r="X405" s="6"/>
      <c r="Y405" s="6"/>
      <c r="Z405" s="95"/>
      <c r="AA405" s="6"/>
      <c r="AC405" s="6"/>
      <c r="AD405" s="6"/>
      <c r="AE405" s="77"/>
      <c r="AF405" s="6"/>
      <c r="AG405" s="6"/>
      <c r="AH405" s="6"/>
      <c r="AI405" s="6"/>
      <c r="AJ405" s="95"/>
      <c r="AK405" s="6"/>
      <c r="AN405" s="6"/>
      <c r="AO405" s="95"/>
      <c r="AP405" s="6"/>
      <c r="AQ405" s="95"/>
      <c r="AR405" s="6"/>
      <c r="AS405" s="95"/>
    </row>
    <row r="406" spans="1:45">
      <c r="A406" s="6"/>
      <c r="B406" s="7"/>
      <c r="C406" s="7"/>
      <c r="D406" s="7"/>
      <c r="E406" s="6"/>
      <c r="F406" s="8"/>
      <c r="G406" s="6"/>
      <c r="I406" s="6"/>
      <c r="J406" s="6"/>
      <c r="K406" s="77"/>
      <c r="L406" s="6"/>
      <c r="M406" s="6"/>
      <c r="N406" s="6"/>
      <c r="O406" s="6"/>
      <c r="P406" s="95"/>
      <c r="Q406" s="6"/>
      <c r="S406" s="6"/>
      <c r="T406" s="6"/>
      <c r="U406" s="77"/>
      <c r="V406" s="6"/>
      <c r="W406" s="6"/>
      <c r="X406" s="6"/>
      <c r="Y406" s="6"/>
      <c r="Z406" s="95"/>
      <c r="AA406" s="6"/>
      <c r="AC406" s="6"/>
      <c r="AD406" s="6"/>
      <c r="AE406" s="77"/>
      <c r="AF406" s="6"/>
      <c r="AG406" s="6"/>
      <c r="AH406" s="6"/>
      <c r="AI406" s="6"/>
      <c r="AJ406" s="95"/>
      <c r="AK406" s="6"/>
      <c r="AN406" s="6"/>
      <c r="AO406" s="95"/>
      <c r="AP406" s="6"/>
      <c r="AQ406" s="95"/>
      <c r="AR406" s="6"/>
      <c r="AS406" s="95"/>
    </row>
  </sheetData>
  <mergeCells count="17">
    <mergeCell ref="H3:Q3"/>
    <mergeCell ref="R3:AA3"/>
    <mergeCell ref="AB3:AK3"/>
    <mergeCell ref="A1:G2"/>
    <mergeCell ref="AP6:AQ6"/>
    <mergeCell ref="AR6:AS6"/>
    <mergeCell ref="H5:Q5"/>
    <mergeCell ref="N6:P6"/>
    <mergeCell ref="R5:AA5"/>
    <mergeCell ref="AB5:AK5"/>
    <mergeCell ref="X6:Z6"/>
    <mergeCell ref="AH6:AJ6"/>
    <mergeCell ref="AC6:AG6"/>
    <mergeCell ref="S6:W6"/>
    <mergeCell ref="I6:M6"/>
    <mergeCell ref="I1:Z2"/>
    <mergeCell ref="AN6:AO6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B429-45F6-E946-9A3D-27351506DA34}">
  <dimension ref="A1:AS409"/>
  <sheetViews>
    <sheetView zoomScaleNormal="100" workbookViewId="0">
      <pane xSplit="7" topLeftCell="H1" activePane="topRight" state="frozen"/>
      <selection pane="topRight" activeCell="A8" sqref="A8:G18"/>
    </sheetView>
  </sheetViews>
  <sheetFormatPr defaultColWidth="10" defaultRowHeight="15"/>
  <cols>
    <col min="1" max="1" width="7.85546875" customWidth="1"/>
    <col min="2" max="2" width="10" customWidth="1"/>
    <col min="3" max="5" width="8.7109375" customWidth="1"/>
    <col min="6" max="6" width="13" customWidth="1"/>
    <col min="7" max="7" width="8.7109375" customWidth="1"/>
    <col min="8" max="8" width="12" customWidth="1"/>
    <col min="9" max="9" width="10.85546875" customWidth="1"/>
    <col min="10" max="10" width="6.85546875" bestFit="1" customWidth="1"/>
    <col min="11" max="11" width="11.42578125" style="90" bestFit="1" customWidth="1"/>
    <col min="12" max="12" width="8.7109375" bestFit="1" customWidth="1"/>
    <col min="13" max="13" width="9.42578125" customWidth="1"/>
    <col min="14" max="14" width="8.7109375" bestFit="1" customWidth="1"/>
    <col min="15" max="15" width="6.85546875" bestFit="1" customWidth="1"/>
    <col min="16" max="16" width="9.28515625" style="92" bestFit="1" customWidth="1"/>
    <col min="17" max="17" width="10.28515625" customWidth="1"/>
    <col min="18" max="18" width="12.42578125" customWidth="1"/>
    <col min="19" max="19" width="11.28515625" customWidth="1"/>
    <col min="20" max="20" width="6.85546875" bestFit="1" customWidth="1"/>
    <col min="21" max="21" width="11.42578125" style="90" bestFit="1" customWidth="1"/>
    <col min="22" max="22" width="8.7109375" bestFit="1" customWidth="1"/>
    <col min="23" max="23" width="10" customWidth="1"/>
    <col min="24" max="24" width="8.7109375" bestFit="1" customWidth="1"/>
    <col min="25" max="25" width="6.85546875" bestFit="1" customWidth="1"/>
    <col min="26" max="26" width="9.28515625" style="92" bestFit="1" customWidth="1"/>
    <col min="27" max="27" width="10.42578125" customWidth="1"/>
    <col min="28" max="28" width="12.28515625" customWidth="1"/>
    <col min="29" max="29" width="11" customWidth="1"/>
    <col min="30" max="30" width="6.85546875" bestFit="1" customWidth="1"/>
    <col min="31" max="31" width="11.42578125" style="90" bestFit="1" customWidth="1"/>
    <col min="32" max="32" width="8.7109375" bestFit="1" customWidth="1"/>
    <col min="33" max="33" width="10.140625" customWidth="1"/>
    <col min="34" max="34" width="8.7109375" bestFit="1" customWidth="1"/>
    <col min="35" max="35" width="6.85546875" bestFit="1" customWidth="1"/>
    <col min="36" max="36" width="9.28515625" style="92" bestFit="1" customWidth="1"/>
    <col min="37" max="37" width="10.42578125" customWidth="1"/>
    <col min="40" max="40" width="9.42578125" customWidth="1"/>
    <col min="41" max="41" width="11.42578125" style="92" customWidth="1"/>
    <col min="42" max="42" width="9.42578125" customWidth="1"/>
    <col min="43" max="43" width="10.42578125" style="92" customWidth="1"/>
    <col min="44" max="44" width="9.7109375" customWidth="1"/>
    <col min="45" max="45" width="11.42578125" style="92" customWidth="1"/>
  </cols>
  <sheetData>
    <row r="1" spans="1:45" ht="36" customHeight="1">
      <c r="A1" s="244" t="s">
        <v>27</v>
      </c>
      <c r="B1" s="244"/>
      <c r="C1" s="244"/>
      <c r="D1" s="244"/>
      <c r="E1" s="244"/>
      <c r="F1" s="244"/>
      <c r="G1" s="244"/>
      <c r="H1" s="35"/>
      <c r="I1" s="260" t="s">
        <v>45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B1" s="35"/>
    </row>
    <row r="2" spans="1:45" ht="29.25" customHeight="1">
      <c r="A2" s="244"/>
      <c r="B2" s="244"/>
      <c r="C2" s="244"/>
      <c r="D2" s="244"/>
      <c r="E2" s="244"/>
      <c r="F2" s="244"/>
      <c r="G2" s="244"/>
      <c r="H2" s="35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B2" s="35"/>
    </row>
    <row r="3" spans="1:45" ht="15" customHeight="1">
      <c r="H3" s="283" t="s">
        <v>48</v>
      </c>
      <c r="I3" s="283"/>
      <c r="J3" s="283"/>
      <c r="K3" s="283"/>
      <c r="L3" s="283"/>
      <c r="M3" s="283"/>
      <c r="N3" s="283"/>
      <c r="O3" s="283"/>
      <c r="P3" s="283"/>
      <c r="Q3" s="283"/>
      <c r="R3" s="283" t="s">
        <v>48</v>
      </c>
      <c r="S3" s="283"/>
      <c r="T3" s="283"/>
      <c r="U3" s="283"/>
      <c r="V3" s="283"/>
      <c r="W3" s="283"/>
      <c r="X3" s="283"/>
      <c r="Y3" s="283"/>
      <c r="Z3" s="283"/>
      <c r="AA3" s="283"/>
      <c r="AB3" s="283" t="s">
        <v>48</v>
      </c>
      <c r="AC3" s="283"/>
      <c r="AD3" s="283"/>
      <c r="AE3" s="283"/>
      <c r="AF3" s="283"/>
      <c r="AG3" s="283"/>
      <c r="AH3" s="283"/>
      <c r="AI3" s="283"/>
      <c r="AJ3" s="283"/>
      <c r="AK3" s="283"/>
    </row>
    <row r="4" spans="1:45" s="36" customFormat="1" ht="15.75" thickBot="1">
      <c r="A4" s="37" t="s">
        <v>4</v>
      </c>
      <c r="B4" s="37" t="s">
        <v>4</v>
      </c>
      <c r="C4" s="37" t="s">
        <v>4</v>
      </c>
      <c r="D4" s="37" t="s">
        <v>4</v>
      </c>
      <c r="E4" s="48" t="s">
        <v>3</v>
      </c>
      <c r="F4" s="37" t="s">
        <v>4</v>
      </c>
      <c r="G4" s="38" t="s">
        <v>3</v>
      </c>
      <c r="H4" s="37" t="s">
        <v>4</v>
      </c>
      <c r="I4" s="37" t="s">
        <v>4</v>
      </c>
      <c r="J4" s="48" t="s">
        <v>3</v>
      </c>
      <c r="K4" s="91" t="s">
        <v>4</v>
      </c>
      <c r="L4" s="37" t="s">
        <v>4</v>
      </c>
      <c r="M4" s="48" t="s">
        <v>3</v>
      </c>
      <c r="N4" s="48" t="s">
        <v>3</v>
      </c>
      <c r="O4" s="48" t="s">
        <v>3</v>
      </c>
      <c r="P4" s="96" t="s">
        <v>4</v>
      </c>
      <c r="Q4" s="37"/>
      <c r="R4" s="37" t="s">
        <v>4</v>
      </c>
      <c r="S4" s="37" t="s">
        <v>4</v>
      </c>
      <c r="T4" s="48" t="s">
        <v>3</v>
      </c>
      <c r="U4" s="91" t="s">
        <v>4</v>
      </c>
      <c r="V4" s="39" t="s">
        <v>4</v>
      </c>
      <c r="W4" s="48" t="s">
        <v>3</v>
      </c>
      <c r="X4" s="48" t="s">
        <v>3</v>
      </c>
      <c r="Y4" s="48" t="s">
        <v>3</v>
      </c>
      <c r="Z4" s="96" t="s">
        <v>4</v>
      </c>
      <c r="AA4" s="37"/>
      <c r="AB4" s="37" t="s">
        <v>4</v>
      </c>
      <c r="AC4" s="37" t="s">
        <v>4</v>
      </c>
      <c r="AD4" s="48" t="s">
        <v>3</v>
      </c>
      <c r="AE4" s="91" t="s">
        <v>4</v>
      </c>
      <c r="AF4" s="39" t="s">
        <v>4</v>
      </c>
      <c r="AG4" s="48" t="s">
        <v>3</v>
      </c>
      <c r="AH4" s="48" t="s">
        <v>3</v>
      </c>
      <c r="AI4" s="48" t="s">
        <v>3</v>
      </c>
      <c r="AJ4" s="96" t="s">
        <v>4</v>
      </c>
      <c r="AK4" s="37"/>
      <c r="AN4" s="117"/>
      <c r="AO4" s="117"/>
      <c r="AP4" s="117"/>
      <c r="AQ4" s="117"/>
      <c r="AR4" s="117"/>
      <c r="AS4" s="117"/>
    </row>
    <row r="5" spans="1:45" s="1" customFormat="1" ht="30.95" customHeight="1" thickBot="1">
      <c r="A5" s="157"/>
      <c r="B5" s="157"/>
      <c r="C5" s="157"/>
      <c r="D5" s="157"/>
      <c r="E5" s="158"/>
      <c r="F5" s="157"/>
      <c r="G5" s="158"/>
      <c r="H5" s="285" t="s">
        <v>23</v>
      </c>
      <c r="I5" s="286"/>
      <c r="J5" s="286"/>
      <c r="K5" s="286"/>
      <c r="L5" s="286"/>
      <c r="M5" s="286"/>
      <c r="N5" s="286"/>
      <c r="O5" s="286"/>
      <c r="P5" s="286"/>
      <c r="Q5" s="287"/>
      <c r="R5" s="290" t="s">
        <v>24</v>
      </c>
      <c r="S5" s="291"/>
      <c r="T5" s="291"/>
      <c r="U5" s="291"/>
      <c r="V5" s="291"/>
      <c r="W5" s="291"/>
      <c r="X5" s="291"/>
      <c r="Y5" s="291"/>
      <c r="Z5" s="291"/>
      <c r="AA5" s="292"/>
      <c r="AB5" s="293" t="s">
        <v>25</v>
      </c>
      <c r="AC5" s="294"/>
      <c r="AD5" s="294"/>
      <c r="AE5" s="294"/>
      <c r="AF5" s="294"/>
      <c r="AG5" s="294"/>
      <c r="AH5" s="294"/>
      <c r="AI5" s="294"/>
      <c r="AJ5" s="294"/>
      <c r="AK5" s="295"/>
      <c r="AN5" s="116"/>
      <c r="AO5" s="116"/>
      <c r="AP5" s="116"/>
      <c r="AQ5" s="116"/>
      <c r="AR5" s="116"/>
      <c r="AS5" s="116"/>
    </row>
    <row r="6" spans="1:45" s="1" customFormat="1" ht="33" customHeight="1" thickBot="1">
      <c r="A6" s="154"/>
      <c r="B6" s="155"/>
      <c r="C6" s="154"/>
      <c r="D6" s="155"/>
      <c r="E6" s="156"/>
      <c r="F6" s="155"/>
      <c r="G6" s="161"/>
      <c r="H6" s="177"/>
      <c r="I6" s="252" t="s">
        <v>10</v>
      </c>
      <c r="J6" s="252"/>
      <c r="K6" s="252"/>
      <c r="L6" s="252"/>
      <c r="M6" s="300"/>
      <c r="N6" s="288" t="s">
        <v>13</v>
      </c>
      <c r="O6" s="289"/>
      <c r="P6" s="289"/>
      <c r="Q6" s="177"/>
      <c r="R6" s="178"/>
      <c r="S6" s="265" t="s">
        <v>10</v>
      </c>
      <c r="T6" s="265"/>
      <c r="U6" s="265"/>
      <c r="V6" s="265"/>
      <c r="W6" s="284"/>
      <c r="X6" s="296" t="s">
        <v>13</v>
      </c>
      <c r="Y6" s="297"/>
      <c r="Z6" s="297"/>
      <c r="AA6" s="178"/>
      <c r="AB6" s="179"/>
      <c r="AC6" s="270" t="s">
        <v>10</v>
      </c>
      <c r="AD6" s="270"/>
      <c r="AE6" s="270"/>
      <c r="AF6" s="270"/>
      <c r="AG6" s="255"/>
      <c r="AH6" s="298" t="s">
        <v>13</v>
      </c>
      <c r="AI6" s="299"/>
      <c r="AJ6" s="299"/>
      <c r="AK6" s="179"/>
      <c r="AN6" s="301" t="s">
        <v>23</v>
      </c>
      <c r="AO6" s="302"/>
      <c r="AP6" s="264" t="s">
        <v>24</v>
      </c>
      <c r="AQ6" s="284"/>
      <c r="AR6" s="269" t="s">
        <v>25</v>
      </c>
      <c r="AS6" s="255"/>
    </row>
    <row r="7" spans="1:45" s="16" customFormat="1" ht="90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83" t="s">
        <v>5</v>
      </c>
      <c r="I7" s="149" t="s">
        <v>14</v>
      </c>
      <c r="J7" s="193" t="s">
        <v>15</v>
      </c>
      <c r="K7" s="204" t="s">
        <v>36</v>
      </c>
      <c r="L7" s="34" t="s">
        <v>28</v>
      </c>
      <c r="M7" s="205" t="s">
        <v>29</v>
      </c>
      <c r="N7" s="205" t="s">
        <v>32</v>
      </c>
      <c r="O7" s="193" t="s">
        <v>33</v>
      </c>
      <c r="P7" s="206" t="s">
        <v>34</v>
      </c>
      <c r="Q7" s="207" t="s">
        <v>8</v>
      </c>
      <c r="R7" s="171" t="s">
        <v>5</v>
      </c>
      <c r="S7" s="148" t="s">
        <v>14</v>
      </c>
      <c r="T7" s="193" t="s">
        <v>15</v>
      </c>
      <c r="U7" s="210" t="s">
        <v>36</v>
      </c>
      <c r="V7" s="29" t="s">
        <v>28</v>
      </c>
      <c r="W7" s="205" t="s">
        <v>29</v>
      </c>
      <c r="X7" s="205" t="s">
        <v>32</v>
      </c>
      <c r="Y7" s="193" t="s">
        <v>33</v>
      </c>
      <c r="Z7" s="211" t="s">
        <v>34</v>
      </c>
      <c r="AA7" s="209" t="s">
        <v>8</v>
      </c>
      <c r="AB7" s="172" t="s">
        <v>5</v>
      </c>
      <c r="AC7" s="100" t="s">
        <v>14</v>
      </c>
      <c r="AD7" s="193" t="s">
        <v>15</v>
      </c>
      <c r="AE7" s="203" t="s">
        <v>36</v>
      </c>
      <c r="AF7" s="30" t="s">
        <v>28</v>
      </c>
      <c r="AG7" s="205" t="s">
        <v>29</v>
      </c>
      <c r="AH7" s="205" t="s">
        <v>32</v>
      </c>
      <c r="AI7" s="193" t="s">
        <v>33</v>
      </c>
      <c r="AJ7" s="208" t="s">
        <v>34</v>
      </c>
      <c r="AK7" s="172" t="s">
        <v>8</v>
      </c>
      <c r="AN7" s="34" t="s">
        <v>26</v>
      </c>
      <c r="AO7" s="93" t="s">
        <v>35</v>
      </c>
      <c r="AP7" s="29" t="s">
        <v>26</v>
      </c>
      <c r="AQ7" s="93" t="s">
        <v>35</v>
      </c>
      <c r="AR7" s="30" t="s">
        <v>26</v>
      </c>
      <c r="AS7" s="93" t="s">
        <v>35</v>
      </c>
    </row>
    <row r="8" spans="1:45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180"/>
      <c r="I8" s="24"/>
      <c r="J8" s="24"/>
      <c r="K8" s="114" t="str">
        <f t="shared" ref="K8:K71" si="0">IF($I8="","",SUM($I8/($I8+$J8)))</f>
        <v/>
      </c>
      <c r="L8" s="24"/>
      <c r="M8" s="24"/>
      <c r="N8" s="24"/>
      <c r="O8" s="24"/>
      <c r="P8" s="97" t="str">
        <f t="shared" ref="P8:P71" si="1">IF($AO8&gt;0,$AO8,0)</f>
        <v/>
      </c>
      <c r="Q8" s="113" t="e">
        <f t="shared" ref="Q8:Q71" si="2">IF($B8="","",SUM($I8+$AN8+($L8*2)+($P8*2)))</f>
        <v>#VALUE!</v>
      </c>
      <c r="R8" s="180"/>
      <c r="S8" s="24"/>
      <c r="T8" s="24"/>
      <c r="U8" s="78" t="str">
        <f t="shared" ref="U8:U71" si="3">IF($S8="","",SUM($S8/($S8+$T8)))</f>
        <v/>
      </c>
      <c r="V8" s="24"/>
      <c r="W8" s="24"/>
      <c r="X8" s="24"/>
      <c r="Y8" s="24"/>
      <c r="Z8" s="98" t="str">
        <f t="shared" ref="Z8:Z71" si="4">IF($AQ8&gt;0,$AQ8,0)</f>
        <v/>
      </c>
      <c r="AA8" s="40" t="str">
        <f>IF($R8="","",SUM($S8+$AP8+($V8*2)+($Z8*4)))</f>
        <v/>
      </c>
      <c r="AB8" s="180"/>
      <c r="AC8" s="24"/>
      <c r="AD8" s="24"/>
      <c r="AE8" s="79" t="str">
        <f t="shared" ref="AE8:AE71" si="5">IF($AC8="","",SUM($AC8/($AC8+$AD8)))</f>
        <v/>
      </c>
      <c r="AF8" s="24"/>
      <c r="AG8" s="24"/>
      <c r="AH8" s="24"/>
      <c r="AI8" s="24"/>
      <c r="AJ8" s="99" t="str">
        <f t="shared" ref="AJ8:AJ71" si="6">IF($AS8&gt;0,$AS8,0)</f>
        <v/>
      </c>
      <c r="AK8" s="31" t="str">
        <f>IF($AB8="","",SUM($AC8+$AR8+($AF8*2)+($AJ8*4)))</f>
        <v/>
      </c>
      <c r="AN8" s="134" t="str">
        <f>IF($K8="","",VLOOKUP($K8,'ORF Accuracy Value LookUp'!$G$4:$H$104,2,TRUE))</f>
        <v/>
      </c>
      <c r="AO8" s="135" t="str">
        <f t="shared" ref="AO8:AO71" si="7">IF($N8="","",($N8-($O8/2)))</f>
        <v/>
      </c>
      <c r="AP8" s="136" t="str">
        <f>IF($U8="","",VLOOKUP($U8,'ORF Accuracy Value LookUp'!$G$4:$H$104,2,TRUE))</f>
        <v/>
      </c>
      <c r="AQ8" s="135" t="str">
        <f t="shared" ref="AQ8:AQ71" si="8">IF($X8="","",$X8-($Y8/2))</f>
        <v/>
      </c>
      <c r="AR8" s="137" t="str">
        <f>IF($AE8="","",VLOOKUP($AE8,'ORF Accuracy Value LookUp'!$G$4:$H$104,2,TRUE))</f>
        <v/>
      </c>
      <c r="AS8" s="138" t="str">
        <f t="shared" ref="AS8:AS71" si="9">IF($AH8="","",$AH8-($AI8/2))</f>
        <v/>
      </c>
    </row>
    <row r="9" spans="1:45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7"/>
      <c r="I9" s="24"/>
      <c r="J9" s="24"/>
      <c r="K9" s="114" t="str">
        <f t="shared" si="0"/>
        <v/>
      </c>
      <c r="L9" s="24"/>
      <c r="M9" s="24"/>
      <c r="N9" s="24"/>
      <c r="O9" s="24"/>
      <c r="P9" s="97" t="str">
        <f t="shared" si="1"/>
        <v/>
      </c>
      <c r="Q9" s="113" t="e">
        <f t="shared" si="2"/>
        <v>#VALUE!</v>
      </c>
      <c r="R9" s="87"/>
      <c r="S9" s="24"/>
      <c r="T9" s="24"/>
      <c r="U9" s="78" t="str">
        <f t="shared" si="3"/>
        <v/>
      </c>
      <c r="V9" s="24"/>
      <c r="W9" s="24"/>
      <c r="X9" s="24"/>
      <c r="Y9" s="24"/>
      <c r="Z9" s="98" t="str">
        <f t="shared" si="4"/>
        <v/>
      </c>
      <c r="AA9" s="40" t="str">
        <f t="shared" ref="AA9:AA72" si="10">IF($R9="","",SUM($S9+$AP9+($V9*2)+($Z9*4)))</f>
        <v/>
      </c>
      <c r="AB9" s="87"/>
      <c r="AC9" s="24"/>
      <c r="AD9" s="24"/>
      <c r="AE9" s="79" t="str">
        <f t="shared" si="5"/>
        <v/>
      </c>
      <c r="AF9" s="24"/>
      <c r="AG9" s="24"/>
      <c r="AH9" s="24"/>
      <c r="AI9" s="24"/>
      <c r="AJ9" s="99" t="str">
        <f t="shared" si="6"/>
        <v/>
      </c>
      <c r="AK9" s="31" t="str">
        <f t="shared" ref="AK9:AK72" si="11">IF($AB9="","",SUM($AC9+$AR9+($AF9*2)+($AJ9*4)))</f>
        <v/>
      </c>
      <c r="AN9" s="139" t="str">
        <f>IF($K9="","",VLOOKUP($K9,'ORF Accuracy Value LookUp'!$G$4:$H$104,2,TRUE))</f>
        <v/>
      </c>
      <c r="AO9" s="94" t="str">
        <f t="shared" si="7"/>
        <v/>
      </c>
      <c r="AP9" s="47" t="str">
        <f>IF($U9="","",VLOOKUP($U9,'ORF Accuracy Value LookUp'!$G$4:$H$104,2,TRUE))</f>
        <v/>
      </c>
      <c r="AQ9" s="94" t="str">
        <f t="shared" si="8"/>
        <v/>
      </c>
      <c r="AR9" s="46" t="str">
        <f>IF($AE9="","",VLOOKUP($AE9,'ORF Accuracy Value LookUp'!$G$4:$H$104,2,TRUE))</f>
        <v/>
      </c>
      <c r="AS9" s="140" t="str">
        <f t="shared" si="9"/>
        <v/>
      </c>
    </row>
    <row r="10" spans="1:45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7"/>
      <c r="I10" s="24"/>
      <c r="J10" s="24"/>
      <c r="K10" s="114" t="str">
        <f t="shared" si="0"/>
        <v/>
      </c>
      <c r="L10" s="24"/>
      <c r="M10" s="24"/>
      <c r="N10" s="24"/>
      <c r="O10" s="24"/>
      <c r="P10" s="97" t="str">
        <f t="shared" si="1"/>
        <v/>
      </c>
      <c r="Q10" s="113" t="e">
        <f t="shared" si="2"/>
        <v>#VALUE!</v>
      </c>
      <c r="R10" s="87"/>
      <c r="S10" s="24"/>
      <c r="T10" s="24"/>
      <c r="U10" s="78" t="str">
        <f t="shared" si="3"/>
        <v/>
      </c>
      <c r="V10" s="24"/>
      <c r="W10" s="24"/>
      <c r="X10" s="24"/>
      <c r="Y10" s="24"/>
      <c r="Z10" s="98" t="str">
        <f t="shared" si="4"/>
        <v/>
      </c>
      <c r="AA10" s="40" t="str">
        <f t="shared" si="10"/>
        <v/>
      </c>
      <c r="AB10" s="87"/>
      <c r="AC10" s="24"/>
      <c r="AD10" s="24"/>
      <c r="AE10" s="79" t="str">
        <f t="shared" si="5"/>
        <v/>
      </c>
      <c r="AF10" s="24"/>
      <c r="AG10" s="24"/>
      <c r="AH10" s="24"/>
      <c r="AI10" s="24"/>
      <c r="AJ10" s="99" t="str">
        <f t="shared" si="6"/>
        <v/>
      </c>
      <c r="AK10" s="31" t="str">
        <f t="shared" si="11"/>
        <v/>
      </c>
      <c r="AN10" s="139" t="str">
        <f>IF($K10="","",VLOOKUP($K10,'ORF Accuracy Value LookUp'!$G$4:$H$104,2,TRUE))</f>
        <v/>
      </c>
      <c r="AO10" s="94" t="str">
        <f t="shared" si="7"/>
        <v/>
      </c>
      <c r="AP10" s="47" t="str">
        <f>IF($U10="","",VLOOKUP($U10,'ORF Accuracy Value LookUp'!$G$4:$H$104,2,TRUE))</f>
        <v/>
      </c>
      <c r="AQ10" s="94" t="str">
        <f t="shared" si="8"/>
        <v/>
      </c>
      <c r="AR10" s="46" t="str">
        <f>IF($AE10="","",VLOOKUP($AE10,'ORF Accuracy Value LookUp'!$G$4:$H$104,2,TRUE))</f>
        <v/>
      </c>
      <c r="AS10" s="140" t="str">
        <f t="shared" si="9"/>
        <v/>
      </c>
    </row>
    <row r="11" spans="1:45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7"/>
      <c r="I11" s="24"/>
      <c r="J11" s="24"/>
      <c r="K11" s="114" t="str">
        <f t="shared" si="0"/>
        <v/>
      </c>
      <c r="L11" s="24"/>
      <c r="M11" s="24"/>
      <c r="N11" s="24"/>
      <c r="O11" s="24"/>
      <c r="P11" s="97" t="str">
        <f t="shared" si="1"/>
        <v/>
      </c>
      <c r="Q11" s="113" t="e">
        <f t="shared" si="2"/>
        <v>#VALUE!</v>
      </c>
      <c r="R11" s="87"/>
      <c r="S11" s="24"/>
      <c r="T11" s="24"/>
      <c r="U11" s="78" t="str">
        <f t="shared" si="3"/>
        <v/>
      </c>
      <c r="V11" s="24"/>
      <c r="W11" s="24"/>
      <c r="X11" s="24"/>
      <c r="Y11" s="24"/>
      <c r="Z11" s="98" t="str">
        <f t="shared" si="4"/>
        <v/>
      </c>
      <c r="AA11" s="40" t="str">
        <f t="shared" si="10"/>
        <v/>
      </c>
      <c r="AB11" s="87"/>
      <c r="AC11" s="24"/>
      <c r="AD11" s="24"/>
      <c r="AE11" s="79" t="str">
        <f t="shared" si="5"/>
        <v/>
      </c>
      <c r="AF11" s="24"/>
      <c r="AG11" s="24"/>
      <c r="AH11" s="24"/>
      <c r="AI11" s="24"/>
      <c r="AJ11" s="99" t="str">
        <f t="shared" si="6"/>
        <v/>
      </c>
      <c r="AK11" s="31" t="str">
        <f t="shared" si="11"/>
        <v/>
      </c>
      <c r="AN11" s="139" t="str">
        <f>IF($K11="","",VLOOKUP($K11,'ORF Accuracy Value LookUp'!$G$4:$H$104,2,TRUE))</f>
        <v/>
      </c>
      <c r="AO11" s="94" t="str">
        <f t="shared" si="7"/>
        <v/>
      </c>
      <c r="AP11" s="47" t="str">
        <f>IF($U11="","",VLOOKUP($U11,'ORF Accuracy Value LookUp'!$G$4:$H$104,2,TRUE))</f>
        <v/>
      </c>
      <c r="AQ11" s="94" t="str">
        <f t="shared" si="8"/>
        <v/>
      </c>
      <c r="AR11" s="46" t="str">
        <f>IF($AE11="","",VLOOKUP($AE11,'ORF Accuracy Value LookUp'!$G$4:$H$104,2,TRUE))</f>
        <v/>
      </c>
      <c r="AS11" s="140" t="str">
        <f t="shared" si="9"/>
        <v/>
      </c>
    </row>
    <row r="12" spans="1:45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7"/>
      <c r="I12" s="24"/>
      <c r="J12" s="24"/>
      <c r="K12" s="114" t="str">
        <f t="shared" si="0"/>
        <v/>
      </c>
      <c r="L12" s="24"/>
      <c r="M12" s="24"/>
      <c r="N12" s="24"/>
      <c r="O12" s="24"/>
      <c r="P12" s="97" t="str">
        <f t="shared" si="1"/>
        <v/>
      </c>
      <c r="Q12" s="113" t="e">
        <f t="shared" si="2"/>
        <v>#VALUE!</v>
      </c>
      <c r="R12" s="87"/>
      <c r="S12" s="24"/>
      <c r="T12" s="24"/>
      <c r="U12" s="78" t="str">
        <f t="shared" si="3"/>
        <v/>
      </c>
      <c r="V12" s="24"/>
      <c r="W12" s="24"/>
      <c r="X12" s="24"/>
      <c r="Y12" s="24"/>
      <c r="Z12" s="98" t="str">
        <f t="shared" si="4"/>
        <v/>
      </c>
      <c r="AA12" s="40" t="str">
        <f t="shared" si="10"/>
        <v/>
      </c>
      <c r="AB12" s="87"/>
      <c r="AC12" s="24"/>
      <c r="AD12" s="24"/>
      <c r="AE12" s="79" t="str">
        <f t="shared" si="5"/>
        <v/>
      </c>
      <c r="AF12" s="24"/>
      <c r="AG12" s="24"/>
      <c r="AH12" s="24"/>
      <c r="AI12" s="24"/>
      <c r="AJ12" s="99" t="str">
        <f t="shared" si="6"/>
        <v/>
      </c>
      <c r="AK12" s="31" t="str">
        <f t="shared" si="11"/>
        <v/>
      </c>
      <c r="AN12" s="139" t="str">
        <f>IF($K12="","",VLOOKUP($K12,'ORF Accuracy Value LookUp'!$G$4:$H$104,2,TRUE))</f>
        <v/>
      </c>
      <c r="AO12" s="94" t="str">
        <f t="shared" si="7"/>
        <v/>
      </c>
      <c r="AP12" s="47" t="str">
        <f>IF($U12="","",VLOOKUP($U12,'ORF Accuracy Value LookUp'!$G$4:$H$104,2,TRUE))</f>
        <v/>
      </c>
      <c r="AQ12" s="94" t="str">
        <f t="shared" si="8"/>
        <v/>
      </c>
      <c r="AR12" s="46" t="str">
        <f>IF($AE12="","",VLOOKUP($AE12,'ORF Accuracy Value LookUp'!$G$4:$H$104,2,TRUE))</f>
        <v/>
      </c>
      <c r="AS12" s="140" t="str">
        <f t="shared" si="9"/>
        <v/>
      </c>
    </row>
    <row r="13" spans="1:45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7"/>
      <c r="I13" s="24"/>
      <c r="J13" s="24"/>
      <c r="K13" s="114" t="str">
        <f t="shared" si="0"/>
        <v/>
      </c>
      <c r="L13" s="24"/>
      <c r="M13" s="24"/>
      <c r="N13" s="24"/>
      <c r="O13" s="24"/>
      <c r="P13" s="97" t="str">
        <f t="shared" si="1"/>
        <v/>
      </c>
      <c r="Q13" s="113" t="e">
        <f t="shared" si="2"/>
        <v>#VALUE!</v>
      </c>
      <c r="R13" s="87"/>
      <c r="S13" s="24"/>
      <c r="T13" s="24"/>
      <c r="U13" s="78" t="str">
        <f t="shared" si="3"/>
        <v/>
      </c>
      <c r="V13" s="24"/>
      <c r="W13" s="24"/>
      <c r="X13" s="24"/>
      <c r="Y13" s="24"/>
      <c r="Z13" s="98" t="str">
        <f t="shared" si="4"/>
        <v/>
      </c>
      <c r="AA13" s="40" t="str">
        <f t="shared" si="10"/>
        <v/>
      </c>
      <c r="AB13" s="87"/>
      <c r="AC13" s="24"/>
      <c r="AD13" s="24"/>
      <c r="AE13" s="79" t="str">
        <f t="shared" si="5"/>
        <v/>
      </c>
      <c r="AF13" s="24"/>
      <c r="AG13" s="24"/>
      <c r="AH13" s="24"/>
      <c r="AI13" s="24"/>
      <c r="AJ13" s="99" t="str">
        <f t="shared" si="6"/>
        <v/>
      </c>
      <c r="AK13" s="31" t="str">
        <f t="shared" si="11"/>
        <v/>
      </c>
      <c r="AN13" s="139" t="str">
        <f>IF($K13="","",VLOOKUP($K13,'ORF Accuracy Value LookUp'!$G$4:$H$104,2,TRUE))</f>
        <v/>
      </c>
      <c r="AO13" s="94" t="str">
        <f t="shared" si="7"/>
        <v/>
      </c>
      <c r="AP13" s="47" t="str">
        <f>IF($U13="","",VLOOKUP($U13,'ORF Accuracy Value LookUp'!$G$4:$H$104,2,TRUE))</f>
        <v/>
      </c>
      <c r="AQ13" s="94" t="str">
        <f t="shared" si="8"/>
        <v/>
      </c>
      <c r="AR13" s="46" t="str">
        <f>IF($AE13="","",VLOOKUP($AE13,'ORF Accuracy Value LookUp'!$G$4:$H$104,2,TRUE))</f>
        <v/>
      </c>
      <c r="AS13" s="140" t="str">
        <f t="shared" si="9"/>
        <v/>
      </c>
    </row>
    <row r="14" spans="1:45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7"/>
      <c r="I14" s="24"/>
      <c r="J14" s="24"/>
      <c r="K14" s="114" t="str">
        <f t="shared" si="0"/>
        <v/>
      </c>
      <c r="L14" s="24"/>
      <c r="M14" s="24"/>
      <c r="N14" s="24"/>
      <c r="O14" s="24"/>
      <c r="P14" s="97" t="str">
        <f t="shared" si="1"/>
        <v/>
      </c>
      <c r="Q14" s="113" t="e">
        <f t="shared" si="2"/>
        <v>#VALUE!</v>
      </c>
      <c r="R14" s="87"/>
      <c r="S14" s="24"/>
      <c r="T14" s="24"/>
      <c r="U14" s="78" t="str">
        <f t="shared" si="3"/>
        <v/>
      </c>
      <c r="V14" s="24"/>
      <c r="W14" s="24"/>
      <c r="X14" s="24"/>
      <c r="Y14" s="24"/>
      <c r="Z14" s="98" t="str">
        <f t="shared" si="4"/>
        <v/>
      </c>
      <c r="AA14" s="40" t="str">
        <f t="shared" si="10"/>
        <v/>
      </c>
      <c r="AB14" s="87"/>
      <c r="AC14" s="24"/>
      <c r="AD14" s="24"/>
      <c r="AE14" s="79" t="str">
        <f t="shared" si="5"/>
        <v/>
      </c>
      <c r="AF14" s="24"/>
      <c r="AG14" s="24"/>
      <c r="AH14" s="24"/>
      <c r="AI14" s="24"/>
      <c r="AJ14" s="99" t="str">
        <f t="shared" si="6"/>
        <v/>
      </c>
      <c r="AK14" s="31" t="str">
        <f t="shared" si="11"/>
        <v/>
      </c>
      <c r="AN14" s="139" t="str">
        <f>IF($K14="","",VLOOKUP($K14,'ORF Accuracy Value LookUp'!$G$4:$H$104,2,TRUE))</f>
        <v/>
      </c>
      <c r="AO14" s="94" t="str">
        <f t="shared" si="7"/>
        <v/>
      </c>
      <c r="AP14" s="47" t="str">
        <f>IF($U14="","",VLOOKUP($U14,'ORF Accuracy Value LookUp'!$G$4:$H$104,2,TRUE))</f>
        <v/>
      </c>
      <c r="AQ14" s="94" t="str">
        <f t="shared" si="8"/>
        <v/>
      </c>
      <c r="AR14" s="46" t="str">
        <f>IF($AE14="","",VLOOKUP($AE14,'ORF Accuracy Value LookUp'!$G$4:$H$104,2,TRUE))</f>
        <v/>
      </c>
      <c r="AS14" s="140" t="str">
        <f t="shared" si="9"/>
        <v/>
      </c>
    </row>
    <row r="15" spans="1:45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7"/>
      <c r="I15" s="24"/>
      <c r="J15" s="24"/>
      <c r="K15" s="114" t="str">
        <f t="shared" si="0"/>
        <v/>
      </c>
      <c r="L15" s="24"/>
      <c r="M15" s="24"/>
      <c r="N15" s="24"/>
      <c r="O15" s="24"/>
      <c r="P15" s="97" t="str">
        <f t="shared" si="1"/>
        <v/>
      </c>
      <c r="Q15" s="113" t="e">
        <f t="shared" si="2"/>
        <v>#VALUE!</v>
      </c>
      <c r="R15" s="87"/>
      <c r="S15" s="24"/>
      <c r="T15" s="24"/>
      <c r="U15" s="78" t="str">
        <f t="shared" si="3"/>
        <v/>
      </c>
      <c r="V15" s="24"/>
      <c r="W15" s="24"/>
      <c r="X15" s="24"/>
      <c r="Y15" s="24"/>
      <c r="Z15" s="98" t="str">
        <f t="shared" si="4"/>
        <v/>
      </c>
      <c r="AA15" s="40" t="str">
        <f t="shared" si="10"/>
        <v/>
      </c>
      <c r="AB15" s="87"/>
      <c r="AC15" s="24"/>
      <c r="AD15" s="24"/>
      <c r="AE15" s="79" t="str">
        <f t="shared" si="5"/>
        <v/>
      </c>
      <c r="AF15" s="24"/>
      <c r="AG15" s="24"/>
      <c r="AH15" s="24"/>
      <c r="AI15" s="24"/>
      <c r="AJ15" s="99" t="str">
        <f t="shared" si="6"/>
        <v/>
      </c>
      <c r="AK15" s="31" t="str">
        <f t="shared" si="11"/>
        <v/>
      </c>
      <c r="AN15" s="139" t="str">
        <f>IF($K15="","",VLOOKUP($K15,'ORF Accuracy Value LookUp'!$G$4:$H$104,2,TRUE))</f>
        <v/>
      </c>
      <c r="AO15" s="94" t="str">
        <f t="shared" si="7"/>
        <v/>
      </c>
      <c r="AP15" s="47" t="str">
        <f>IF($U15="","",VLOOKUP($U15,'ORF Accuracy Value LookUp'!$G$4:$H$104,2,TRUE))</f>
        <v/>
      </c>
      <c r="AQ15" s="94" t="str">
        <f t="shared" si="8"/>
        <v/>
      </c>
      <c r="AR15" s="46" t="str">
        <f>IF($AE15="","",VLOOKUP($AE15,'ORF Accuracy Value LookUp'!$G$4:$H$104,2,TRUE))</f>
        <v/>
      </c>
      <c r="AS15" s="140" t="str">
        <f t="shared" si="9"/>
        <v/>
      </c>
    </row>
    <row r="16" spans="1:45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7"/>
      <c r="I16" s="24"/>
      <c r="J16" s="24"/>
      <c r="K16" s="114" t="str">
        <f t="shared" si="0"/>
        <v/>
      </c>
      <c r="L16" s="24"/>
      <c r="M16" s="24"/>
      <c r="N16" s="24"/>
      <c r="O16" s="24"/>
      <c r="P16" s="97" t="str">
        <f t="shared" si="1"/>
        <v/>
      </c>
      <c r="Q16" s="113" t="e">
        <f t="shared" si="2"/>
        <v>#VALUE!</v>
      </c>
      <c r="R16" s="87"/>
      <c r="S16" s="24"/>
      <c r="T16" s="24"/>
      <c r="U16" s="78" t="str">
        <f t="shared" si="3"/>
        <v/>
      </c>
      <c r="V16" s="24"/>
      <c r="W16" s="24"/>
      <c r="X16" s="24"/>
      <c r="Y16" s="24"/>
      <c r="Z16" s="98" t="str">
        <f t="shared" si="4"/>
        <v/>
      </c>
      <c r="AA16" s="40" t="str">
        <f t="shared" si="10"/>
        <v/>
      </c>
      <c r="AB16" s="87"/>
      <c r="AC16" s="24"/>
      <c r="AD16" s="24"/>
      <c r="AE16" s="79" t="str">
        <f t="shared" si="5"/>
        <v/>
      </c>
      <c r="AF16" s="24"/>
      <c r="AG16" s="24"/>
      <c r="AH16" s="24"/>
      <c r="AI16" s="24"/>
      <c r="AJ16" s="99" t="str">
        <f t="shared" si="6"/>
        <v/>
      </c>
      <c r="AK16" s="31" t="str">
        <f t="shared" si="11"/>
        <v/>
      </c>
      <c r="AN16" s="139" t="str">
        <f>IF($K16="","",VLOOKUP($K16,'ORF Accuracy Value LookUp'!$G$4:$H$104,2,TRUE))</f>
        <v/>
      </c>
      <c r="AO16" s="94" t="str">
        <f t="shared" si="7"/>
        <v/>
      </c>
      <c r="AP16" s="47" t="str">
        <f>IF($U16="","",VLOOKUP($U16,'ORF Accuracy Value LookUp'!$G$4:$H$104,2,TRUE))</f>
        <v/>
      </c>
      <c r="AQ16" s="94" t="str">
        <f t="shared" si="8"/>
        <v/>
      </c>
      <c r="AR16" s="46" t="str">
        <f>IF($AE16="","",VLOOKUP($AE16,'ORF Accuracy Value LookUp'!$G$4:$H$104,2,TRUE))</f>
        <v/>
      </c>
      <c r="AS16" s="140" t="str">
        <f t="shared" si="9"/>
        <v/>
      </c>
    </row>
    <row r="17" spans="1:45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7"/>
      <c r="I17" s="24"/>
      <c r="J17" s="24"/>
      <c r="K17" s="114" t="str">
        <f t="shared" si="0"/>
        <v/>
      </c>
      <c r="L17" s="24"/>
      <c r="M17" s="24"/>
      <c r="N17" s="24"/>
      <c r="O17" s="24"/>
      <c r="P17" s="97" t="str">
        <f t="shared" si="1"/>
        <v/>
      </c>
      <c r="Q17" s="113" t="e">
        <f t="shared" si="2"/>
        <v>#VALUE!</v>
      </c>
      <c r="R17" s="87"/>
      <c r="S17" s="24"/>
      <c r="T17" s="24"/>
      <c r="U17" s="78" t="str">
        <f t="shared" si="3"/>
        <v/>
      </c>
      <c r="V17" s="24"/>
      <c r="W17" s="24"/>
      <c r="X17" s="24"/>
      <c r="Y17" s="24"/>
      <c r="Z17" s="98" t="str">
        <f t="shared" si="4"/>
        <v/>
      </c>
      <c r="AA17" s="40" t="str">
        <f t="shared" si="10"/>
        <v/>
      </c>
      <c r="AB17" s="87"/>
      <c r="AC17" s="24"/>
      <c r="AD17" s="24"/>
      <c r="AE17" s="79" t="str">
        <f t="shared" si="5"/>
        <v/>
      </c>
      <c r="AF17" s="24"/>
      <c r="AG17" s="24"/>
      <c r="AH17" s="24"/>
      <c r="AI17" s="24"/>
      <c r="AJ17" s="99" t="str">
        <f t="shared" si="6"/>
        <v/>
      </c>
      <c r="AK17" s="31" t="str">
        <f t="shared" si="11"/>
        <v/>
      </c>
      <c r="AN17" s="139" t="str">
        <f>IF($K17="","",VLOOKUP($K17,'ORF Accuracy Value LookUp'!$G$4:$H$104,2,TRUE))</f>
        <v/>
      </c>
      <c r="AO17" s="94" t="str">
        <f t="shared" si="7"/>
        <v/>
      </c>
      <c r="AP17" s="47" t="str">
        <f>IF($U17="","",VLOOKUP($U17,'ORF Accuracy Value LookUp'!$G$4:$H$104,2,TRUE))</f>
        <v/>
      </c>
      <c r="AQ17" s="94" t="str">
        <f t="shared" si="8"/>
        <v/>
      </c>
      <c r="AR17" s="46" t="str">
        <f>IF($AE17="","",VLOOKUP($AE17,'ORF Accuracy Value LookUp'!$G$4:$H$104,2,TRUE))</f>
        <v/>
      </c>
      <c r="AS17" s="140" t="str">
        <f t="shared" si="9"/>
        <v/>
      </c>
    </row>
    <row r="18" spans="1:45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7"/>
      <c r="I18" s="24"/>
      <c r="J18" s="24"/>
      <c r="K18" s="114" t="str">
        <f t="shared" si="0"/>
        <v/>
      </c>
      <c r="L18" s="24"/>
      <c r="M18" s="24"/>
      <c r="N18" s="24"/>
      <c r="O18" s="24"/>
      <c r="P18" s="97" t="str">
        <f t="shared" si="1"/>
        <v/>
      </c>
      <c r="Q18" s="113" t="e">
        <f t="shared" si="2"/>
        <v>#VALUE!</v>
      </c>
      <c r="R18" s="87"/>
      <c r="S18" s="24"/>
      <c r="T18" s="24"/>
      <c r="U18" s="78" t="str">
        <f t="shared" si="3"/>
        <v/>
      </c>
      <c r="V18" s="24"/>
      <c r="W18" s="24"/>
      <c r="X18" s="24"/>
      <c r="Y18" s="24"/>
      <c r="Z18" s="98" t="str">
        <f t="shared" si="4"/>
        <v/>
      </c>
      <c r="AA18" s="40" t="str">
        <f t="shared" si="10"/>
        <v/>
      </c>
      <c r="AB18" s="87"/>
      <c r="AC18" s="24"/>
      <c r="AD18" s="24"/>
      <c r="AE18" s="79" t="str">
        <f t="shared" si="5"/>
        <v/>
      </c>
      <c r="AF18" s="24"/>
      <c r="AG18" s="24"/>
      <c r="AH18" s="24"/>
      <c r="AI18" s="24"/>
      <c r="AJ18" s="99" t="str">
        <f t="shared" si="6"/>
        <v/>
      </c>
      <c r="AK18" s="31" t="str">
        <f t="shared" si="11"/>
        <v/>
      </c>
      <c r="AN18" s="139" t="str">
        <f>IF($K18="","",VLOOKUP($K18,'ORF Accuracy Value LookUp'!$G$4:$H$104,2,TRUE))</f>
        <v/>
      </c>
      <c r="AO18" s="94" t="str">
        <f t="shared" si="7"/>
        <v/>
      </c>
      <c r="AP18" s="47" t="str">
        <f>IF($U18="","",VLOOKUP($U18,'ORF Accuracy Value LookUp'!$G$4:$H$104,2,TRUE))</f>
        <v/>
      </c>
      <c r="AQ18" s="94" t="str">
        <f t="shared" si="8"/>
        <v/>
      </c>
      <c r="AR18" s="46" t="str">
        <f>IF($AE18="","",VLOOKUP($AE18,'ORF Accuracy Value LookUp'!$G$4:$H$104,2,TRUE))</f>
        <v/>
      </c>
      <c r="AS18" s="140" t="str">
        <f t="shared" si="9"/>
        <v/>
      </c>
    </row>
    <row r="19" spans="1:45">
      <c r="A19" s="10"/>
      <c r="B19" s="12"/>
      <c r="C19" s="13"/>
      <c r="D19" s="14"/>
      <c r="E19" s="10"/>
      <c r="F19" s="11"/>
      <c r="G19" s="15"/>
      <c r="H19" s="87"/>
      <c r="I19" s="24"/>
      <c r="J19" s="24"/>
      <c r="K19" s="114" t="str">
        <f t="shared" si="0"/>
        <v/>
      </c>
      <c r="L19" s="24"/>
      <c r="M19" s="24"/>
      <c r="N19" s="24"/>
      <c r="O19" s="24"/>
      <c r="P19" s="97" t="str">
        <f t="shared" si="1"/>
        <v/>
      </c>
      <c r="Q19" s="113" t="str">
        <f t="shared" si="2"/>
        <v/>
      </c>
      <c r="R19" s="87"/>
      <c r="S19" s="24"/>
      <c r="T19" s="24"/>
      <c r="U19" s="78" t="str">
        <f t="shared" si="3"/>
        <v/>
      </c>
      <c r="V19" s="24"/>
      <c r="W19" s="24"/>
      <c r="X19" s="24"/>
      <c r="Y19" s="24"/>
      <c r="Z19" s="98" t="str">
        <f t="shared" si="4"/>
        <v/>
      </c>
      <c r="AA19" s="40" t="str">
        <f t="shared" si="10"/>
        <v/>
      </c>
      <c r="AB19" s="87"/>
      <c r="AC19" s="24"/>
      <c r="AD19" s="24"/>
      <c r="AE19" s="79" t="str">
        <f t="shared" si="5"/>
        <v/>
      </c>
      <c r="AF19" s="24"/>
      <c r="AG19" s="24"/>
      <c r="AH19" s="24"/>
      <c r="AI19" s="24"/>
      <c r="AJ19" s="99" t="str">
        <f t="shared" si="6"/>
        <v/>
      </c>
      <c r="AK19" s="31" t="str">
        <f t="shared" si="11"/>
        <v/>
      </c>
      <c r="AN19" s="139" t="str">
        <f>IF($K19="","",VLOOKUP($K19,'ORF Accuracy Value LookUp'!$G$4:$H$104,2,TRUE))</f>
        <v/>
      </c>
      <c r="AO19" s="94" t="str">
        <f t="shared" si="7"/>
        <v/>
      </c>
      <c r="AP19" s="47" t="str">
        <f>IF($U19="","",VLOOKUP($U19,'ORF Accuracy Value LookUp'!$G$4:$H$104,2,TRUE))</f>
        <v/>
      </c>
      <c r="AQ19" s="94" t="str">
        <f t="shared" si="8"/>
        <v/>
      </c>
      <c r="AR19" s="46" t="str">
        <f>IF($AE19="","",VLOOKUP($AE19,'ORF Accuracy Value LookUp'!$G$4:$H$104,2,TRUE))</f>
        <v/>
      </c>
      <c r="AS19" s="140" t="str">
        <f t="shared" si="9"/>
        <v/>
      </c>
    </row>
    <row r="20" spans="1:45">
      <c r="A20" s="10"/>
      <c r="B20" s="12"/>
      <c r="C20" s="13"/>
      <c r="D20" s="14"/>
      <c r="E20" s="10"/>
      <c r="F20" s="11"/>
      <c r="G20" s="15"/>
      <c r="H20" s="87"/>
      <c r="I20" s="24"/>
      <c r="J20" s="24"/>
      <c r="K20" s="114" t="str">
        <f t="shared" si="0"/>
        <v/>
      </c>
      <c r="L20" s="24"/>
      <c r="M20" s="24"/>
      <c r="N20" s="24"/>
      <c r="O20" s="24"/>
      <c r="P20" s="97" t="str">
        <f t="shared" si="1"/>
        <v/>
      </c>
      <c r="Q20" s="113" t="str">
        <f t="shared" si="2"/>
        <v/>
      </c>
      <c r="R20" s="87"/>
      <c r="S20" s="24"/>
      <c r="T20" s="24"/>
      <c r="U20" s="78" t="str">
        <f t="shared" si="3"/>
        <v/>
      </c>
      <c r="V20" s="24"/>
      <c r="W20" s="24"/>
      <c r="X20" s="24"/>
      <c r="Y20" s="24"/>
      <c r="Z20" s="98" t="str">
        <f t="shared" si="4"/>
        <v/>
      </c>
      <c r="AA20" s="40" t="str">
        <f t="shared" si="10"/>
        <v/>
      </c>
      <c r="AB20" s="87"/>
      <c r="AC20" s="24"/>
      <c r="AD20" s="24"/>
      <c r="AE20" s="79" t="str">
        <f t="shared" si="5"/>
        <v/>
      </c>
      <c r="AF20" s="24"/>
      <c r="AG20" s="24"/>
      <c r="AH20" s="24"/>
      <c r="AI20" s="24"/>
      <c r="AJ20" s="99" t="str">
        <f t="shared" si="6"/>
        <v/>
      </c>
      <c r="AK20" s="31" t="str">
        <f t="shared" si="11"/>
        <v/>
      </c>
      <c r="AN20" s="139" t="str">
        <f>IF($K20="","",VLOOKUP($K20,'ORF Accuracy Value LookUp'!$G$4:$H$104,2,TRUE))</f>
        <v/>
      </c>
      <c r="AO20" s="94" t="str">
        <f t="shared" si="7"/>
        <v/>
      </c>
      <c r="AP20" s="47" t="str">
        <f>IF($U20="","",VLOOKUP($U20,'ORF Accuracy Value LookUp'!$G$4:$H$104,2,TRUE))</f>
        <v/>
      </c>
      <c r="AQ20" s="94" t="str">
        <f t="shared" si="8"/>
        <v/>
      </c>
      <c r="AR20" s="46" t="str">
        <f>IF($AE20="","",VLOOKUP($AE20,'ORF Accuracy Value LookUp'!$G$4:$H$104,2,TRUE))</f>
        <v/>
      </c>
      <c r="AS20" s="140" t="str">
        <f t="shared" si="9"/>
        <v/>
      </c>
    </row>
    <row r="21" spans="1:45">
      <c r="A21" s="10"/>
      <c r="B21" s="12"/>
      <c r="C21" s="13"/>
      <c r="D21" s="14"/>
      <c r="E21" s="10"/>
      <c r="F21" s="11"/>
      <c r="G21" s="15"/>
      <c r="H21" s="87"/>
      <c r="I21" s="24"/>
      <c r="J21" s="24"/>
      <c r="K21" s="114" t="str">
        <f t="shared" si="0"/>
        <v/>
      </c>
      <c r="L21" s="24"/>
      <c r="M21" s="24"/>
      <c r="N21" s="24"/>
      <c r="O21" s="24"/>
      <c r="P21" s="97" t="str">
        <f t="shared" si="1"/>
        <v/>
      </c>
      <c r="Q21" s="113" t="str">
        <f t="shared" si="2"/>
        <v/>
      </c>
      <c r="R21" s="87"/>
      <c r="S21" s="24"/>
      <c r="T21" s="24"/>
      <c r="U21" s="78" t="str">
        <f t="shared" si="3"/>
        <v/>
      </c>
      <c r="V21" s="24"/>
      <c r="W21" s="24"/>
      <c r="X21" s="24"/>
      <c r="Y21" s="24"/>
      <c r="Z21" s="98" t="str">
        <f t="shared" si="4"/>
        <v/>
      </c>
      <c r="AA21" s="40" t="str">
        <f t="shared" si="10"/>
        <v/>
      </c>
      <c r="AB21" s="87"/>
      <c r="AC21" s="24"/>
      <c r="AD21" s="24"/>
      <c r="AE21" s="79" t="str">
        <f t="shared" si="5"/>
        <v/>
      </c>
      <c r="AF21" s="24"/>
      <c r="AG21" s="24"/>
      <c r="AH21" s="24"/>
      <c r="AI21" s="24"/>
      <c r="AJ21" s="99" t="str">
        <f t="shared" si="6"/>
        <v/>
      </c>
      <c r="AK21" s="31" t="str">
        <f t="shared" si="11"/>
        <v/>
      </c>
      <c r="AN21" s="139" t="str">
        <f>IF($K21="","",VLOOKUP($K21,'ORF Accuracy Value LookUp'!$G$4:$H$104,2,TRUE))</f>
        <v/>
      </c>
      <c r="AO21" s="94" t="str">
        <f t="shared" si="7"/>
        <v/>
      </c>
      <c r="AP21" s="47" t="str">
        <f>IF($U21="","",VLOOKUP($U21,'ORF Accuracy Value LookUp'!$G$4:$H$104,2,TRUE))</f>
        <v/>
      </c>
      <c r="AQ21" s="94" t="str">
        <f t="shared" si="8"/>
        <v/>
      </c>
      <c r="AR21" s="46" t="str">
        <f>IF($AE21="","",VLOOKUP($AE21,'ORF Accuracy Value LookUp'!$G$4:$H$104,2,TRUE))</f>
        <v/>
      </c>
      <c r="AS21" s="140" t="str">
        <f t="shared" si="9"/>
        <v/>
      </c>
    </row>
    <row r="22" spans="1:45">
      <c r="A22" s="10"/>
      <c r="B22" s="12"/>
      <c r="C22" s="13"/>
      <c r="D22" s="14"/>
      <c r="E22" s="10"/>
      <c r="F22" s="11"/>
      <c r="G22" s="15"/>
      <c r="H22" s="87"/>
      <c r="I22" s="24"/>
      <c r="J22" s="24"/>
      <c r="K22" s="114" t="str">
        <f t="shared" si="0"/>
        <v/>
      </c>
      <c r="L22" s="24"/>
      <c r="M22" s="24"/>
      <c r="N22" s="24"/>
      <c r="O22" s="24"/>
      <c r="P22" s="97" t="str">
        <f t="shared" si="1"/>
        <v/>
      </c>
      <c r="Q22" s="113" t="str">
        <f t="shared" si="2"/>
        <v/>
      </c>
      <c r="R22" s="87"/>
      <c r="S22" s="24"/>
      <c r="T22" s="24"/>
      <c r="U22" s="78" t="str">
        <f t="shared" si="3"/>
        <v/>
      </c>
      <c r="V22" s="24"/>
      <c r="W22" s="24"/>
      <c r="X22" s="24"/>
      <c r="Y22" s="24"/>
      <c r="Z22" s="98" t="str">
        <f t="shared" si="4"/>
        <v/>
      </c>
      <c r="AA22" s="40" t="str">
        <f t="shared" si="10"/>
        <v/>
      </c>
      <c r="AB22" s="87"/>
      <c r="AC22" s="24"/>
      <c r="AD22" s="24"/>
      <c r="AE22" s="79" t="str">
        <f t="shared" si="5"/>
        <v/>
      </c>
      <c r="AF22" s="24"/>
      <c r="AG22" s="24"/>
      <c r="AH22" s="24"/>
      <c r="AI22" s="24"/>
      <c r="AJ22" s="99" t="str">
        <f t="shared" si="6"/>
        <v/>
      </c>
      <c r="AK22" s="31" t="str">
        <f t="shared" si="11"/>
        <v/>
      </c>
      <c r="AN22" s="139" t="str">
        <f>IF($K22="","",VLOOKUP($K22,'ORF Accuracy Value LookUp'!$G$4:$H$104,2,TRUE))</f>
        <v/>
      </c>
      <c r="AO22" s="94" t="str">
        <f t="shared" si="7"/>
        <v/>
      </c>
      <c r="AP22" s="47" t="str">
        <f>IF($U22="","",VLOOKUP($U22,'ORF Accuracy Value LookUp'!$G$4:$H$104,2,TRUE))</f>
        <v/>
      </c>
      <c r="AQ22" s="94" t="str">
        <f t="shared" si="8"/>
        <v/>
      </c>
      <c r="AR22" s="46" t="str">
        <f>IF($AE22="","",VLOOKUP($AE22,'ORF Accuracy Value LookUp'!$G$4:$H$104,2,TRUE))</f>
        <v/>
      </c>
      <c r="AS22" s="140" t="str">
        <f t="shared" si="9"/>
        <v/>
      </c>
    </row>
    <row r="23" spans="1:45">
      <c r="A23" s="10"/>
      <c r="B23" s="12"/>
      <c r="C23" s="13"/>
      <c r="D23" s="14"/>
      <c r="E23" s="10"/>
      <c r="F23" s="11"/>
      <c r="G23" s="15"/>
      <c r="H23" s="87"/>
      <c r="I23" s="24"/>
      <c r="J23" s="24"/>
      <c r="K23" s="114" t="str">
        <f t="shared" si="0"/>
        <v/>
      </c>
      <c r="L23" s="24"/>
      <c r="M23" s="24"/>
      <c r="N23" s="24"/>
      <c r="O23" s="24"/>
      <c r="P23" s="97" t="str">
        <f t="shared" si="1"/>
        <v/>
      </c>
      <c r="Q23" s="113" t="str">
        <f t="shared" si="2"/>
        <v/>
      </c>
      <c r="R23" s="87"/>
      <c r="S23" s="24"/>
      <c r="T23" s="24"/>
      <c r="U23" s="78" t="str">
        <f t="shared" si="3"/>
        <v/>
      </c>
      <c r="V23" s="24"/>
      <c r="W23" s="24"/>
      <c r="X23" s="24"/>
      <c r="Y23" s="24"/>
      <c r="Z23" s="98" t="str">
        <f t="shared" si="4"/>
        <v/>
      </c>
      <c r="AA23" s="40" t="str">
        <f t="shared" si="10"/>
        <v/>
      </c>
      <c r="AB23" s="87"/>
      <c r="AC23" s="24"/>
      <c r="AD23" s="24"/>
      <c r="AE23" s="79" t="str">
        <f t="shared" si="5"/>
        <v/>
      </c>
      <c r="AF23" s="24"/>
      <c r="AG23" s="24"/>
      <c r="AH23" s="24"/>
      <c r="AI23" s="24"/>
      <c r="AJ23" s="99" t="str">
        <f t="shared" si="6"/>
        <v/>
      </c>
      <c r="AK23" s="31" t="str">
        <f t="shared" si="11"/>
        <v/>
      </c>
      <c r="AN23" s="139" t="str">
        <f>IF($K23="","",VLOOKUP($K23,'ORF Accuracy Value LookUp'!$G$4:$H$104,2,TRUE))</f>
        <v/>
      </c>
      <c r="AO23" s="94" t="str">
        <f t="shared" si="7"/>
        <v/>
      </c>
      <c r="AP23" s="47" t="str">
        <f>IF($U23="","",VLOOKUP($U23,'ORF Accuracy Value LookUp'!$G$4:$H$104,2,TRUE))</f>
        <v/>
      </c>
      <c r="AQ23" s="94" t="str">
        <f t="shared" si="8"/>
        <v/>
      </c>
      <c r="AR23" s="46" t="str">
        <f>IF($AE23="","",VLOOKUP($AE23,'ORF Accuracy Value LookUp'!$G$4:$H$104,2,TRUE))</f>
        <v/>
      </c>
      <c r="AS23" s="140" t="str">
        <f t="shared" si="9"/>
        <v/>
      </c>
    </row>
    <row r="24" spans="1:45">
      <c r="A24" s="10"/>
      <c r="B24" s="12"/>
      <c r="C24" s="13"/>
      <c r="D24" s="14"/>
      <c r="E24" s="10"/>
      <c r="F24" s="11"/>
      <c r="G24" s="15"/>
      <c r="H24" s="87"/>
      <c r="I24" s="24"/>
      <c r="J24" s="24"/>
      <c r="K24" s="114" t="str">
        <f t="shared" si="0"/>
        <v/>
      </c>
      <c r="L24" s="24"/>
      <c r="M24" s="24"/>
      <c r="N24" s="24"/>
      <c r="O24" s="24"/>
      <c r="P24" s="97" t="str">
        <f t="shared" si="1"/>
        <v/>
      </c>
      <c r="Q24" s="113" t="str">
        <f t="shared" si="2"/>
        <v/>
      </c>
      <c r="R24" s="87"/>
      <c r="S24" s="24"/>
      <c r="T24" s="24"/>
      <c r="U24" s="78" t="str">
        <f t="shared" si="3"/>
        <v/>
      </c>
      <c r="V24" s="24"/>
      <c r="W24" s="24"/>
      <c r="X24" s="24"/>
      <c r="Y24" s="24"/>
      <c r="Z24" s="98" t="str">
        <f t="shared" si="4"/>
        <v/>
      </c>
      <c r="AA24" s="40" t="str">
        <f t="shared" si="10"/>
        <v/>
      </c>
      <c r="AB24" s="87"/>
      <c r="AC24" s="24"/>
      <c r="AD24" s="24"/>
      <c r="AE24" s="79" t="str">
        <f t="shared" si="5"/>
        <v/>
      </c>
      <c r="AF24" s="24"/>
      <c r="AG24" s="24"/>
      <c r="AH24" s="24"/>
      <c r="AI24" s="24"/>
      <c r="AJ24" s="99" t="str">
        <f t="shared" si="6"/>
        <v/>
      </c>
      <c r="AK24" s="31" t="str">
        <f t="shared" si="11"/>
        <v/>
      </c>
      <c r="AN24" s="139" t="str">
        <f>IF($K24="","",VLOOKUP($K24,'ORF Accuracy Value LookUp'!$G$4:$H$104,2,TRUE))</f>
        <v/>
      </c>
      <c r="AO24" s="94" t="str">
        <f t="shared" si="7"/>
        <v/>
      </c>
      <c r="AP24" s="47" t="str">
        <f>IF($U24="","",VLOOKUP($U24,'ORF Accuracy Value LookUp'!$G$4:$H$104,2,TRUE))</f>
        <v/>
      </c>
      <c r="AQ24" s="94" t="str">
        <f t="shared" si="8"/>
        <v/>
      </c>
      <c r="AR24" s="46" t="str">
        <f>IF($AE24="","",VLOOKUP($AE24,'ORF Accuracy Value LookUp'!$G$4:$H$104,2,TRUE))</f>
        <v/>
      </c>
      <c r="AS24" s="140" t="str">
        <f t="shared" si="9"/>
        <v/>
      </c>
    </row>
    <row r="25" spans="1:45">
      <c r="A25" s="10"/>
      <c r="B25" s="12"/>
      <c r="C25" s="13"/>
      <c r="D25" s="14"/>
      <c r="E25" s="10"/>
      <c r="F25" s="11"/>
      <c r="G25" s="15"/>
      <c r="H25" s="87"/>
      <c r="I25" s="24"/>
      <c r="J25" s="24"/>
      <c r="K25" s="114" t="str">
        <f t="shared" si="0"/>
        <v/>
      </c>
      <c r="L25" s="24"/>
      <c r="M25" s="24"/>
      <c r="N25" s="24"/>
      <c r="O25" s="24"/>
      <c r="P25" s="97" t="str">
        <f t="shared" si="1"/>
        <v/>
      </c>
      <c r="Q25" s="113" t="str">
        <f t="shared" si="2"/>
        <v/>
      </c>
      <c r="R25" s="87"/>
      <c r="S25" s="24"/>
      <c r="T25" s="24"/>
      <c r="U25" s="78" t="str">
        <f t="shared" si="3"/>
        <v/>
      </c>
      <c r="V25" s="24"/>
      <c r="W25" s="24"/>
      <c r="X25" s="24"/>
      <c r="Y25" s="24"/>
      <c r="Z25" s="98" t="str">
        <f t="shared" si="4"/>
        <v/>
      </c>
      <c r="AA25" s="40" t="str">
        <f t="shared" si="10"/>
        <v/>
      </c>
      <c r="AB25" s="87"/>
      <c r="AC25" s="24"/>
      <c r="AD25" s="24"/>
      <c r="AE25" s="79" t="str">
        <f t="shared" si="5"/>
        <v/>
      </c>
      <c r="AF25" s="24"/>
      <c r="AG25" s="24"/>
      <c r="AH25" s="24"/>
      <c r="AI25" s="24"/>
      <c r="AJ25" s="99" t="str">
        <f t="shared" si="6"/>
        <v/>
      </c>
      <c r="AK25" s="31" t="str">
        <f t="shared" si="11"/>
        <v/>
      </c>
      <c r="AN25" s="139" t="str">
        <f>IF($K25="","",VLOOKUP($K25,'ORF Accuracy Value LookUp'!$G$4:$H$104,2,TRUE))</f>
        <v/>
      </c>
      <c r="AO25" s="94" t="str">
        <f t="shared" si="7"/>
        <v/>
      </c>
      <c r="AP25" s="47" t="str">
        <f>IF($U25="","",VLOOKUP($U25,'ORF Accuracy Value LookUp'!$G$4:$H$104,2,TRUE))</f>
        <v/>
      </c>
      <c r="AQ25" s="94" t="str">
        <f t="shared" si="8"/>
        <v/>
      </c>
      <c r="AR25" s="46" t="str">
        <f>IF($AE25="","",VLOOKUP($AE25,'ORF Accuracy Value LookUp'!$G$4:$H$104,2,TRUE))</f>
        <v/>
      </c>
      <c r="AS25" s="140" t="str">
        <f t="shared" si="9"/>
        <v/>
      </c>
    </row>
    <row r="26" spans="1:45">
      <c r="A26" s="10"/>
      <c r="B26" s="12"/>
      <c r="C26" s="13"/>
      <c r="D26" s="14"/>
      <c r="E26" s="10"/>
      <c r="F26" s="11"/>
      <c r="G26" s="15"/>
      <c r="H26" s="87"/>
      <c r="I26" s="24"/>
      <c r="J26" s="24"/>
      <c r="K26" s="114" t="str">
        <f t="shared" si="0"/>
        <v/>
      </c>
      <c r="L26" s="24"/>
      <c r="M26" s="24"/>
      <c r="N26" s="24"/>
      <c r="O26" s="24"/>
      <c r="P26" s="97" t="str">
        <f t="shared" si="1"/>
        <v/>
      </c>
      <c r="Q26" s="113" t="str">
        <f t="shared" si="2"/>
        <v/>
      </c>
      <c r="R26" s="87"/>
      <c r="S26" s="24"/>
      <c r="T26" s="24"/>
      <c r="U26" s="78" t="str">
        <f t="shared" si="3"/>
        <v/>
      </c>
      <c r="V26" s="24"/>
      <c r="W26" s="24"/>
      <c r="X26" s="24"/>
      <c r="Y26" s="24"/>
      <c r="Z26" s="98" t="str">
        <f t="shared" si="4"/>
        <v/>
      </c>
      <c r="AA26" s="40" t="str">
        <f t="shared" si="10"/>
        <v/>
      </c>
      <c r="AB26" s="87"/>
      <c r="AC26" s="24"/>
      <c r="AD26" s="24"/>
      <c r="AE26" s="79" t="str">
        <f t="shared" si="5"/>
        <v/>
      </c>
      <c r="AF26" s="24"/>
      <c r="AG26" s="24"/>
      <c r="AH26" s="24"/>
      <c r="AI26" s="24"/>
      <c r="AJ26" s="99" t="str">
        <f t="shared" si="6"/>
        <v/>
      </c>
      <c r="AK26" s="31" t="str">
        <f t="shared" si="11"/>
        <v/>
      </c>
      <c r="AN26" s="139" t="str">
        <f>IF($K26="","",VLOOKUP($K26,'ORF Accuracy Value LookUp'!$G$4:$H$104,2,TRUE))</f>
        <v/>
      </c>
      <c r="AO26" s="94" t="str">
        <f t="shared" si="7"/>
        <v/>
      </c>
      <c r="AP26" s="47" t="str">
        <f>IF($U26="","",VLOOKUP($U26,'ORF Accuracy Value LookUp'!$G$4:$H$104,2,TRUE))</f>
        <v/>
      </c>
      <c r="AQ26" s="94" t="str">
        <f t="shared" si="8"/>
        <v/>
      </c>
      <c r="AR26" s="46" t="str">
        <f>IF($AE26="","",VLOOKUP($AE26,'ORF Accuracy Value LookUp'!$G$4:$H$104,2,TRUE))</f>
        <v/>
      </c>
      <c r="AS26" s="140" t="str">
        <f t="shared" si="9"/>
        <v/>
      </c>
    </row>
    <row r="27" spans="1:45">
      <c r="A27" s="10"/>
      <c r="B27" s="12"/>
      <c r="C27" s="13"/>
      <c r="D27" s="14"/>
      <c r="E27" s="10"/>
      <c r="F27" s="11"/>
      <c r="G27" s="15"/>
      <c r="H27" s="87"/>
      <c r="I27" s="24"/>
      <c r="J27" s="24"/>
      <c r="K27" s="114" t="str">
        <f t="shared" si="0"/>
        <v/>
      </c>
      <c r="L27" s="24"/>
      <c r="M27" s="24"/>
      <c r="N27" s="24"/>
      <c r="O27" s="24"/>
      <c r="P27" s="97" t="str">
        <f t="shared" si="1"/>
        <v/>
      </c>
      <c r="Q27" s="113" t="str">
        <f t="shared" si="2"/>
        <v/>
      </c>
      <c r="R27" s="87"/>
      <c r="S27" s="24"/>
      <c r="T27" s="24"/>
      <c r="U27" s="78" t="str">
        <f t="shared" si="3"/>
        <v/>
      </c>
      <c r="V27" s="24"/>
      <c r="W27" s="24"/>
      <c r="X27" s="24"/>
      <c r="Y27" s="24"/>
      <c r="Z27" s="98" t="str">
        <f t="shared" si="4"/>
        <v/>
      </c>
      <c r="AA27" s="40" t="str">
        <f t="shared" si="10"/>
        <v/>
      </c>
      <c r="AB27" s="87"/>
      <c r="AC27" s="24"/>
      <c r="AD27" s="24"/>
      <c r="AE27" s="79" t="str">
        <f t="shared" si="5"/>
        <v/>
      </c>
      <c r="AF27" s="24"/>
      <c r="AG27" s="24"/>
      <c r="AH27" s="24"/>
      <c r="AI27" s="24"/>
      <c r="AJ27" s="99" t="str">
        <f t="shared" si="6"/>
        <v/>
      </c>
      <c r="AK27" s="31" t="str">
        <f t="shared" si="11"/>
        <v/>
      </c>
      <c r="AN27" s="139" t="str">
        <f>IF($K27="","",VLOOKUP($K27,'ORF Accuracy Value LookUp'!$G$4:$H$104,2,TRUE))</f>
        <v/>
      </c>
      <c r="AO27" s="94" t="str">
        <f t="shared" si="7"/>
        <v/>
      </c>
      <c r="AP27" s="47" t="str">
        <f>IF($U27="","",VLOOKUP($U27,'ORF Accuracy Value LookUp'!$G$4:$H$104,2,TRUE))</f>
        <v/>
      </c>
      <c r="AQ27" s="94" t="str">
        <f t="shared" si="8"/>
        <v/>
      </c>
      <c r="AR27" s="46" t="str">
        <f>IF($AE27="","",VLOOKUP($AE27,'ORF Accuracy Value LookUp'!$G$4:$H$104,2,TRUE))</f>
        <v/>
      </c>
      <c r="AS27" s="140" t="str">
        <f t="shared" si="9"/>
        <v/>
      </c>
    </row>
    <row r="28" spans="1:45">
      <c r="A28" s="10"/>
      <c r="B28" s="12"/>
      <c r="C28" s="13"/>
      <c r="D28" s="14"/>
      <c r="E28" s="10"/>
      <c r="F28" s="11"/>
      <c r="G28" s="15"/>
      <c r="H28" s="87"/>
      <c r="I28" s="24"/>
      <c r="J28" s="24"/>
      <c r="K28" s="114" t="str">
        <f t="shared" si="0"/>
        <v/>
      </c>
      <c r="L28" s="24"/>
      <c r="M28" s="24"/>
      <c r="N28" s="24"/>
      <c r="O28" s="24"/>
      <c r="P28" s="97" t="str">
        <f t="shared" si="1"/>
        <v/>
      </c>
      <c r="Q28" s="113" t="str">
        <f t="shared" si="2"/>
        <v/>
      </c>
      <c r="R28" s="87"/>
      <c r="S28" s="24"/>
      <c r="T28" s="24"/>
      <c r="U28" s="78" t="str">
        <f t="shared" si="3"/>
        <v/>
      </c>
      <c r="V28" s="24"/>
      <c r="W28" s="24"/>
      <c r="X28" s="24"/>
      <c r="Y28" s="24"/>
      <c r="Z28" s="98" t="str">
        <f t="shared" si="4"/>
        <v/>
      </c>
      <c r="AA28" s="40" t="str">
        <f t="shared" si="10"/>
        <v/>
      </c>
      <c r="AB28" s="87"/>
      <c r="AC28" s="24"/>
      <c r="AD28" s="24"/>
      <c r="AE28" s="79" t="str">
        <f t="shared" si="5"/>
        <v/>
      </c>
      <c r="AF28" s="24"/>
      <c r="AG28" s="24"/>
      <c r="AH28" s="24"/>
      <c r="AI28" s="24"/>
      <c r="AJ28" s="99" t="str">
        <f t="shared" si="6"/>
        <v/>
      </c>
      <c r="AK28" s="31" t="str">
        <f t="shared" si="11"/>
        <v/>
      </c>
      <c r="AN28" s="139" t="str">
        <f>IF($K28="","",VLOOKUP($K28,'ORF Accuracy Value LookUp'!$G$4:$H$104,2,TRUE))</f>
        <v/>
      </c>
      <c r="AO28" s="94" t="str">
        <f t="shared" si="7"/>
        <v/>
      </c>
      <c r="AP28" s="47" t="str">
        <f>IF($U28="","",VLOOKUP($U28,'ORF Accuracy Value LookUp'!$G$4:$H$104,2,TRUE))</f>
        <v/>
      </c>
      <c r="AQ28" s="94" t="str">
        <f t="shared" si="8"/>
        <v/>
      </c>
      <c r="AR28" s="46" t="str">
        <f>IF($AE28="","",VLOOKUP($AE28,'ORF Accuracy Value LookUp'!$G$4:$H$104,2,TRUE))</f>
        <v/>
      </c>
      <c r="AS28" s="140" t="str">
        <f t="shared" si="9"/>
        <v/>
      </c>
    </row>
    <row r="29" spans="1:45">
      <c r="A29" s="10"/>
      <c r="B29" s="12"/>
      <c r="C29" s="13"/>
      <c r="D29" s="14"/>
      <c r="E29" s="10"/>
      <c r="F29" s="11"/>
      <c r="G29" s="15"/>
      <c r="H29" s="87"/>
      <c r="I29" s="24"/>
      <c r="J29" s="24"/>
      <c r="K29" s="114" t="str">
        <f t="shared" si="0"/>
        <v/>
      </c>
      <c r="L29" s="24"/>
      <c r="M29" s="24"/>
      <c r="N29" s="24"/>
      <c r="O29" s="24"/>
      <c r="P29" s="97" t="str">
        <f t="shared" si="1"/>
        <v/>
      </c>
      <c r="Q29" s="113" t="str">
        <f t="shared" si="2"/>
        <v/>
      </c>
      <c r="R29" s="87"/>
      <c r="S29" s="24"/>
      <c r="T29" s="24"/>
      <c r="U29" s="78" t="str">
        <f t="shared" si="3"/>
        <v/>
      </c>
      <c r="V29" s="24"/>
      <c r="W29" s="24"/>
      <c r="X29" s="24"/>
      <c r="Y29" s="24"/>
      <c r="Z29" s="98" t="str">
        <f t="shared" si="4"/>
        <v/>
      </c>
      <c r="AA29" s="40" t="str">
        <f t="shared" si="10"/>
        <v/>
      </c>
      <c r="AB29" s="87"/>
      <c r="AC29" s="24"/>
      <c r="AD29" s="24"/>
      <c r="AE29" s="79" t="str">
        <f t="shared" si="5"/>
        <v/>
      </c>
      <c r="AF29" s="24"/>
      <c r="AG29" s="24"/>
      <c r="AH29" s="24"/>
      <c r="AI29" s="24"/>
      <c r="AJ29" s="99" t="str">
        <f t="shared" si="6"/>
        <v/>
      </c>
      <c r="AK29" s="31" t="str">
        <f t="shared" si="11"/>
        <v/>
      </c>
      <c r="AN29" s="139" t="str">
        <f>IF($K29="","",VLOOKUP($K29,'ORF Accuracy Value LookUp'!$G$4:$H$104,2,TRUE))</f>
        <v/>
      </c>
      <c r="AO29" s="94" t="str">
        <f t="shared" si="7"/>
        <v/>
      </c>
      <c r="AP29" s="47" t="str">
        <f>IF($U29="","",VLOOKUP($U29,'ORF Accuracy Value LookUp'!$G$4:$H$104,2,TRUE))</f>
        <v/>
      </c>
      <c r="AQ29" s="94" t="str">
        <f t="shared" si="8"/>
        <v/>
      </c>
      <c r="AR29" s="46" t="str">
        <f>IF($AE29="","",VLOOKUP($AE29,'ORF Accuracy Value LookUp'!$G$4:$H$104,2,TRUE))</f>
        <v/>
      </c>
      <c r="AS29" s="140" t="str">
        <f t="shared" si="9"/>
        <v/>
      </c>
    </row>
    <row r="30" spans="1:45">
      <c r="A30" s="10"/>
      <c r="B30" s="12"/>
      <c r="C30" s="13"/>
      <c r="D30" s="14"/>
      <c r="E30" s="10"/>
      <c r="F30" s="11"/>
      <c r="G30" s="15"/>
      <c r="H30" s="87"/>
      <c r="I30" s="24"/>
      <c r="J30" s="24"/>
      <c r="K30" s="114" t="str">
        <f t="shared" si="0"/>
        <v/>
      </c>
      <c r="L30" s="24"/>
      <c r="M30" s="24"/>
      <c r="N30" s="24"/>
      <c r="O30" s="24"/>
      <c r="P30" s="97" t="str">
        <f t="shared" si="1"/>
        <v/>
      </c>
      <c r="Q30" s="113" t="str">
        <f t="shared" si="2"/>
        <v/>
      </c>
      <c r="R30" s="87"/>
      <c r="S30" s="24"/>
      <c r="T30" s="24"/>
      <c r="U30" s="78" t="str">
        <f t="shared" si="3"/>
        <v/>
      </c>
      <c r="V30" s="24"/>
      <c r="W30" s="24"/>
      <c r="X30" s="24"/>
      <c r="Y30" s="24"/>
      <c r="Z30" s="98" t="str">
        <f t="shared" si="4"/>
        <v/>
      </c>
      <c r="AA30" s="40" t="str">
        <f t="shared" si="10"/>
        <v/>
      </c>
      <c r="AB30" s="87"/>
      <c r="AC30" s="24"/>
      <c r="AD30" s="24"/>
      <c r="AE30" s="79" t="str">
        <f t="shared" si="5"/>
        <v/>
      </c>
      <c r="AF30" s="24"/>
      <c r="AG30" s="24"/>
      <c r="AH30" s="24"/>
      <c r="AI30" s="24"/>
      <c r="AJ30" s="99" t="str">
        <f t="shared" si="6"/>
        <v/>
      </c>
      <c r="AK30" s="31" t="str">
        <f t="shared" si="11"/>
        <v/>
      </c>
      <c r="AN30" s="139" t="str">
        <f>IF($K30="","",VLOOKUP($K30,'ORF Accuracy Value LookUp'!$G$4:$H$104,2,TRUE))</f>
        <v/>
      </c>
      <c r="AO30" s="94" t="str">
        <f t="shared" si="7"/>
        <v/>
      </c>
      <c r="AP30" s="47" t="str">
        <f>IF($U30="","",VLOOKUP($U30,'ORF Accuracy Value LookUp'!$G$4:$H$104,2,TRUE))</f>
        <v/>
      </c>
      <c r="AQ30" s="94" t="str">
        <f t="shared" si="8"/>
        <v/>
      </c>
      <c r="AR30" s="46" t="str">
        <f>IF($AE30="","",VLOOKUP($AE30,'ORF Accuracy Value LookUp'!$G$4:$H$104,2,TRUE))</f>
        <v/>
      </c>
      <c r="AS30" s="140" t="str">
        <f t="shared" si="9"/>
        <v/>
      </c>
    </row>
    <row r="31" spans="1:45">
      <c r="A31" s="10"/>
      <c r="B31" s="12"/>
      <c r="C31" s="13"/>
      <c r="D31" s="14"/>
      <c r="E31" s="10"/>
      <c r="F31" s="11"/>
      <c r="G31" s="15"/>
      <c r="H31" s="87"/>
      <c r="I31" s="24"/>
      <c r="J31" s="24"/>
      <c r="K31" s="114" t="str">
        <f t="shared" si="0"/>
        <v/>
      </c>
      <c r="L31" s="24"/>
      <c r="M31" s="24"/>
      <c r="N31" s="24"/>
      <c r="O31" s="24"/>
      <c r="P31" s="97" t="str">
        <f t="shared" si="1"/>
        <v/>
      </c>
      <c r="Q31" s="113" t="str">
        <f t="shared" si="2"/>
        <v/>
      </c>
      <c r="R31" s="87"/>
      <c r="S31" s="24"/>
      <c r="T31" s="24"/>
      <c r="U31" s="78" t="str">
        <f t="shared" si="3"/>
        <v/>
      </c>
      <c r="V31" s="24"/>
      <c r="W31" s="24"/>
      <c r="X31" s="24"/>
      <c r="Y31" s="24"/>
      <c r="Z31" s="98" t="str">
        <f t="shared" si="4"/>
        <v/>
      </c>
      <c r="AA31" s="40" t="str">
        <f t="shared" si="10"/>
        <v/>
      </c>
      <c r="AB31" s="87"/>
      <c r="AC31" s="24"/>
      <c r="AD31" s="24"/>
      <c r="AE31" s="79" t="str">
        <f t="shared" si="5"/>
        <v/>
      </c>
      <c r="AF31" s="24"/>
      <c r="AG31" s="24"/>
      <c r="AH31" s="24"/>
      <c r="AI31" s="24"/>
      <c r="AJ31" s="99" t="str">
        <f t="shared" si="6"/>
        <v/>
      </c>
      <c r="AK31" s="31" t="str">
        <f t="shared" si="11"/>
        <v/>
      </c>
      <c r="AN31" s="139" t="str">
        <f>IF($K31="","",VLOOKUP($K31,'ORF Accuracy Value LookUp'!$G$4:$H$104,2,TRUE))</f>
        <v/>
      </c>
      <c r="AO31" s="94" t="str">
        <f t="shared" si="7"/>
        <v/>
      </c>
      <c r="AP31" s="47" t="str">
        <f>IF($U31="","",VLOOKUP($U31,'ORF Accuracy Value LookUp'!$G$4:$H$104,2,TRUE))</f>
        <v/>
      </c>
      <c r="AQ31" s="94" t="str">
        <f t="shared" si="8"/>
        <v/>
      </c>
      <c r="AR31" s="46" t="str">
        <f>IF($AE31="","",VLOOKUP($AE31,'ORF Accuracy Value LookUp'!$G$4:$H$104,2,TRUE))</f>
        <v/>
      </c>
      <c r="AS31" s="140" t="str">
        <f t="shared" si="9"/>
        <v/>
      </c>
    </row>
    <row r="32" spans="1:45">
      <c r="A32" s="10"/>
      <c r="B32" s="12"/>
      <c r="C32" s="13"/>
      <c r="D32" s="14"/>
      <c r="E32" s="10"/>
      <c r="F32" s="11"/>
      <c r="G32" s="15"/>
      <c r="H32" s="87"/>
      <c r="I32" s="24"/>
      <c r="J32" s="24"/>
      <c r="K32" s="114" t="str">
        <f t="shared" si="0"/>
        <v/>
      </c>
      <c r="L32" s="24"/>
      <c r="M32" s="24"/>
      <c r="N32" s="24"/>
      <c r="O32" s="24"/>
      <c r="P32" s="97" t="str">
        <f t="shared" si="1"/>
        <v/>
      </c>
      <c r="Q32" s="113" t="str">
        <f t="shared" si="2"/>
        <v/>
      </c>
      <c r="R32" s="87"/>
      <c r="S32" s="24"/>
      <c r="T32" s="24"/>
      <c r="U32" s="78" t="str">
        <f t="shared" si="3"/>
        <v/>
      </c>
      <c r="V32" s="24"/>
      <c r="W32" s="24"/>
      <c r="X32" s="24"/>
      <c r="Y32" s="24"/>
      <c r="Z32" s="98" t="str">
        <f t="shared" si="4"/>
        <v/>
      </c>
      <c r="AA32" s="40" t="str">
        <f t="shared" si="10"/>
        <v/>
      </c>
      <c r="AB32" s="87"/>
      <c r="AC32" s="24"/>
      <c r="AD32" s="24"/>
      <c r="AE32" s="79" t="str">
        <f t="shared" si="5"/>
        <v/>
      </c>
      <c r="AF32" s="24"/>
      <c r="AG32" s="24"/>
      <c r="AH32" s="24"/>
      <c r="AI32" s="24"/>
      <c r="AJ32" s="99" t="str">
        <f t="shared" si="6"/>
        <v/>
      </c>
      <c r="AK32" s="31" t="str">
        <f t="shared" si="11"/>
        <v/>
      </c>
      <c r="AN32" s="139" t="str">
        <f>IF($K32="","",VLOOKUP($K32,'ORF Accuracy Value LookUp'!$G$4:$H$104,2,TRUE))</f>
        <v/>
      </c>
      <c r="AO32" s="94" t="str">
        <f t="shared" si="7"/>
        <v/>
      </c>
      <c r="AP32" s="47" t="str">
        <f>IF($U32="","",VLOOKUP($U32,'ORF Accuracy Value LookUp'!$G$4:$H$104,2,TRUE))</f>
        <v/>
      </c>
      <c r="AQ32" s="94" t="str">
        <f t="shared" si="8"/>
        <v/>
      </c>
      <c r="AR32" s="46" t="str">
        <f>IF($AE32="","",VLOOKUP($AE32,'ORF Accuracy Value LookUp'!$G$4:$H$104,2,TRUE))</f>
        <v/>
      </c>
      <c r="AS32" s="140" t="str">
        <f t="shared" si="9"/>
        <v/>
      </c>
    </row>
    <row r="33" spans="1:45">
      <c r="A33" s="10"/>
      <c r="B33" s="12"/>
      <c r="C33" s="13"/>
      <c r="D33" s="14"/>
      <c r="E33" s="10"/>
      <c r="F33" s="11"/>
      <c r="G33" s="15"/>
      <c r="H33" s="87"/>
      <c r="I33" s="24"/>
      <c r="J33" s="24"/>
      <c r="K33" s="114" t="str">
        <f t="shared" si="0"/>
        <v/>
      </c>
      <c r="L33" s="24"/>
      <c r="M33" s="24"/>
      <c r="N33" s="24"/>
      <c r="O33" s="24"/>
      <c r="P33" s="97" t="str">
        <f t="shared" si="1"/>
        <v/>
      </c>
      <c r="Q33" s="113" t="str">
        <f t="shared" si="2"/>
        <v/>
      </c>
      <c r="R33" s="87"/>
      <c r="S33" s="24"/>
      <c r="T33" s="24"/>
      <c r="U33" s="78" t="str">
        <f t="shared" si="3"/>
        <v/>
      </c>
      <c r="V33" s="24"/>
      <c r="W33" s="24"/>
      <c r="X33" s="24"/>
      <c r="Y33" s="24"/>
      <c r="Z33" s="98" t="str">
        <f t="shared" si="4"/>
        <v/>
      </c>
      <c r="AA33" s="40" t="str">
        <f t="shared" si="10"/>
        <v/>
      </c>
      <c r="AB33" s="87"/>
      <c r="AC33" s="24"/>
      <c r="AD33" s="24"/>
      <c r="AE33" s="79" t="str">
        <f t="shared" si="5"/>
        <v/>
      </c>
      <c r="AF33" s="24"/>
      <c r="AG33" s="24"/>
      <c r="AH33" s="24"/>
      <c r="AI33" s="24"/>
      <c r="AJ33" s="99" t="str">
        <f t="shared" si="6"/>
        <v/>
      </c>
      <c r="AK33" s="31" t="str">
        <f t="shared" si="11"/>
        <v/>
      </c>
      <c r="AN33" s="139" t="str">
        <f>IF($K33="","",VLOOKUP($K33,'ORF Accuracy Value LookUp'!$G$4:$H$104,2,TRUE))</f>
        <v/>
      </c>
      <c r="AO33" s="94" t="str">
        <f t="shared" si="7"/>
        <v/>
      </c>
      <c r="AP33" s="47" t="str">
        <f>IF($U33="","",VLOOKUP($U33,'ORF Accuracy Value LookUp'!$G$4:$H$104,2,TRUE))</f>
        <v/>
      </c>
      <c r="AQ33" s="94" t="str">
        <f t="shared" si="8"/>
        <v/>
      </c>
      <c r="AR33" s="46" t="str">
        <f>IF($AE33="","",VLOOKUP($AE33,'ORF Accuracy Value LookUp'!$G$4:$H$104,2,TRUE))</f>
        <v/>
      </c>
      <c r="AS33" s="140" t="str">
        <f t="shared" si="9"/>
        <v/>
      </c>
    </row>
    <row r="34" spans="1:45">
      <c r="A34" s="10"/>
      <c r="B34" s="12"/>
      <c r="C34" s="13"/>
      <c r="D34" s="14"/>
      <c r="E34" s="10"/>
      <c r="F34" s="11"/>
      <c r="G34" s="15"/>
      <c r="H34" s="87"/>
      <c r="I34" s="24"/>
      <c r="J34" s="24"/>
      <c r="K34" s="114" t="str">
        <f t="shared" si="0"/>
        <v/>
      </c>
      <c r="L34" s="24"/>
      <c r="M34" s="24"/>
      <c r="N34" s="24"/>
      <c r="O34" s="24"/>
      <c r="P34" s="97" t="str">
        <f t="shared" si="1"/>
        <v/>
      </c>
      <c r="Q34" s="113" t="str">
        <f t="shared" si="2"/>
        <v/>
      </c>
      <c r="R34" s="87"/>
      <c r="S34" s="24"/>
      <c r="T34" s="24"/>
      <c r="U34" s="78" t="str">
        <f t="shared" si="3"/>
        <v/>
      </c>
      <c r="V34" s="24"/>
      <c r="W34" s="24"/>
      <c r="X34" s="24"/>
      <c r="Y34" s="24"/>
      <c r="Z34" s="98" t="str">
        <f t="shared" si="4"/>
        <v/>
      </c>
      <c r="AA34" s="40" t="str">
        <f t="shared" si="10"/>
        <v/>
      </c>
      <c r="AB34" s="87"/>
      <c r="AC34" s="24"/>
      <c r="AD34" s="24"/>
      <c r="AE34" s="79" t="str">
        <f t="shared" si="5"/>
        <v/>
      </c>
      <c r="AF34" s="24"/>
      <c r="AG34" s="24"/>
      <c r="AH34" s="24"/>
      <c r="AI34" s="24"/>
      <c r="AJ34" s="99" t="str">
        <f t="shared" si="6"/>
        <v/>
      </c>
      <c r="AK34" s="31" t="str">
        <f t="shared" si="11"/>
        <v/>
      </c>
      <c r="AN34" s="139" t="str">
        <f>IF($K34="","",VLOOKUP($K34,'ORF Accuracy Value LookUp'!$G$4:$H$104,2,TRUE))</f>
        <v/>
      </c>
      <c r="AO34" s="94" t="str">
        <f t="shared" si="7"/>
        <v/>
      </c>
      <c r="AP34" s="47" t="str">
        <f>IF($U34="","",VLOOKUP($U34,'ORF Accuracy Value LookUp'!$G$4:$H$104,2,TRUE))</f>
        <v/>
      </c>
      <c r="AQ34" s="94" t="str">
        <f t="shared" si="8"/>
        <v/>
      </c>
      <c r="AR34" s="46" t="str">
        <f>IF($AE34="","",VLOOKUP($AE34,'ORF Accuracy Value LookUp'!$G$4:$H$104,2,TRUE))</f>
        <v/>
      </c>
      <c r="AS34" s="140" t="str">
        <f t="shared" si="9"/>
        <v/>
      </c>
    </row>
    <row r="35" spans="1:45">
      <c r="A35" s="10"/>
      <c r="B35" s="12"/>
      <c r="C35" s="13"/>
      <c r="D35" s="14"/>
      <c r="E35" s="10"/>
      <c r="F35" s="11"/>
      <c r="G35" s="15"/>
      <c r="H35" s="87"/>
      <c r="I35" s="24"/>
      <c r="J35" s="24"/>
      <c r="K35" s="114" t="str">
        <f t="shared" si="0"/>
        <v/>
      </c>
      <c r="L35" s="24"/>
      <c r="M35" s="24"/>
      <c r="N35" s="24"/>
      <c r="O35" s="24"/>
      <c r="P35" s="97" t="str">
        <f t="shared" si="1"/>
        <v/>
      </c>
      <c r="Q35" s="113" t="str">
        <f t="shared" si="2"/>
        <v/>
      </c>
      <c r="R35" s="87"/>
      <c r="S35" s="24"/>
      <c r="T35" s="24"/>
      <c r="U35" s="78" t="str">
        <f t="shared" si="3"/>
        <v/>
      </c>
      <c r="V35" s="24"/>
      <c r="W35" s="24"/>
      <c r="X35" s="24"/>
      <c r="Y35" s="24"/>
      <c r="Z35" s="98" t="str">
        <f t="shared" si="4"/>
        <v/>
      </c>
      <c r="AA35" s="40" t="str">
        <f t="shared" si="10"/>
        <v/>
      </c>
      <c r="AB35" s="87"/>
      <c r="AC35" s="24"/>
      <c r="AD35" s="24"/>
      <c r="AE35" s="79" t="str">
        <f t="shared" si="5"/>
        <v/>
      </c>
      <c r="AF35" s="24"/>
      <c r="AG35" s="24"/>
      <c r="AH35" s="24"/>
      <c r="AI35" s="24"/>
      <c r="AJ35" s="99" t="str">
        <f t="shared" si="6"/>
        <v/>
      </c>
      <c r="AK35" s="31" t="str">
        <f t="shared" si="11"/>
        <v/>
      </c>
      <c r="AN35" s="139" t="str">
        <f>IF($K35="","",VLOOKUP($K35,'ORF Accuracy Value LookUp'!$G$4:$H$104,2,TRUE))</f>
        <v/>
      </c>
      <c r="AO35" s="94" t="str">
        <f t="shared" si="7"/>
        <v/>
      </c>
      <c r="AP35" s="47" t="str">
        <f>IF($U35="","",VLOOKUP($U35,'ORF Accuracy Value LookUp'!$G$4:$H$104,2,TRUE))</f>
        <v/>
      </c>
      <c r="AQ35" s="94" t="str">
        <f t="shared" si="8"/>
        <v/>
      </c>
      <c r="AR35" s="46" t="str">
        <f>IF($AE35="","",VLOOKUP($AE35,'ORF Accuracy Value LookUp'!$G$4:$H$104,2,TRUE))</f>
        <v/>
      </c>
      <c r="AS35" s="140" t="str">
        <f t="shared" si="9"/>
        <v/>
      </c>
    </row>
    <row r="36" spans="1:45">
      <c r="A36" s="10"/>
      <c r="B36" s="12"/>
      <c r="C36" s="13"/>
      <c r="D36" s="14"/>
      <c r="E36" s="10"/>
      <c r="F36" s="11"/>
      <c r="G36" s="15"/>
      <c r="H36" s="87"/>
      <c r="I36" s="24"/>
      <c r="J36" s="24"/>
      <c r="K36" s="114" t="str">
        <f t="shared" si="0"/>
        <v/>
      </c>
      <c r="L36" s="24"/>
      <c r="M36" s="24"/>
      <c r="N36" s="24"/>
      <c r="O36" s="24"/>
      <c r="P36" s="97" t="str">
        <f t="shared" si="1"/>
        <v/>
      </c>
      <c r="Q36" s="113" t="str">
        <f t="shared" si="2"/>
        <v/>
      </c>
      <c r="R36" s="87"/>
      <c r="S36" s="24"/>
      <c r="T36" s="24"/>
      <c r="U36" s="78" t="str">
        <f t="shared" si="3"/>
        <v/>
      </c>
      <c r="V36" s="24"/>
      <c r="W36" s="24"/>
      <c r="X36" s="24"/>
      <c r="Y36" s="24"/>
      <c r="Z36" s="98" t="str">
        <f t="shared" si="4"/>
        <v/>
      </c>
      <c r="AA36" s="40" t="str">
        <f t="shared" si="10"/>
        <v/>
      </c>
      <c r="AB36" s="87"/>
      <c r="AC36" s="24"/>
      <c r="AD36" s="24"/>
      <c r="AE36" s="79" t="str">
        <f t="shared" si="5"/>
        <v/>
      </c>
      <c r="AF36" s="24"/>
      <c r="AG36" s="24"/>
      <c r="AH36" s="24"/>
      <c r="AI36" s="24"/>
      <c r="AJ36" s="99" t="str">
        <f t="shared" si="6"/>
        <v/>
      </c>
      <c r="AK36" s="31" t="str">
        <f t="shared" si="11"/>
        <v/>
      </c>
      <c r="AN36" s="139" t="str">
        <f>IF($K36="","",VLOOKUP($K36,'ORF Accuracy Value LookUp'!$G$4:$H$104,2,TRUE))</f>
        <v/>
      </c>
      <c r="AO36" s="94" t="str">
        <f t="shared" si="7"/>
        <v/>
      </c>
      <c r="AP36" s="47" t="str">
        <f>IF($U36="","",VLOOKUP($U36,'ORF Accuracy Value LookUp'!$G$4:$H$104,2,TRUE))</f>
        <v/>
      </c>
      <c r="AQ36" s="94" t="str">
        <f t="shared" si="8"/>
        <v/>
      </c>
      <c r="AR36" s="46" t="str">
        <f>IF($AE36="","",VLOOKUP($AE36,'ORF Accuracy Value LookUp'!$G$4:$H$104,2,TRUE))</f>
        <v/>
      </c>
      <c r="AS36" s="140" t="str">
        <f t="shared" si="9"/>
        <v/>
      </c>
    </row>
    <row r="37" spans="1:45">
      <c r="A37" s="10"/>
      <c r="B37" s="12"/>
      <c r="C37" s="13"/>
      <c r="D37" s="14"/>
      <c r="E37" s="10"/>
      <c r="F37" s="11"/>
      <c r="G37" s="15"/>
      <c r="H37" s="87"/>
      <c r="I37" s="24"/>
      <c r="J37" s="24"/>
      <c r="K37" s="114" t="str">
        <f t="shared" si="0"/>
        <v/>
      </c>
      <c r="L37" s="24"/>
      <c r="M37" s="24"/>
      <c r="N37" s="24"/>
      <c r="O37" s="24"/>
      <c r="P37" s="97" t="str">
        <f t="shared" si="1"/>
        <v/>
      </c>
      <c r="Q37" s="113" t="str">
        <f t="shared" si="2"/>
        <v/>
      </c>
      <c r="R37" s="87"/>
      <c r="S37" s="24"/>
      <c r="T37" s="24"/>
      <c r="U37" s="78" t="str">
        <f t="shared" si="3"/>
        <v/>
      </c>
      <c r="V37" s="24"/>
      <c r="W37" s="24"/>
      <c r="X37" s="24"/>
      <c r="Y37" s="24"/>
      <c r="Z37" s="98" t="str">
        <f t="shared" si="4"/>
        <v/>
      </c>
      <c r="AA37" s="40" t="str">
        <f t="shared" si="10"/>
        <v/>
      </c>
      <c r="AB37" s="87"/>
      <c r="AC37" s="24"/>
      <c r="AD37" s="24"/>
      <c r="AE37" s="79" t="str">
        <f t="shared" si="5"/>
        <v/>
      </c>
      <c r="AF37" s="24"/>
      <c r="AG37" s="24"/>
      <c r="AH37" s="24"/>
      <c r="AI37" s="24"/>
      <c r="AJ37" s="99" t="str">
        <f t="shared" si="6"/>
        <v/>
      </c>
      <c r="AK37" s="31" t="str">
        <f t="shared" si="11"/>
        <v/>
      </c>
      <c r="AN37" s="139" t="str">
        <f>IF($K37="","",VLOOKUP($K37,'ORF Accuracy Value LookUp'!$G$4:$H$104,2,TRUE))</f>
        <v/>
      </c>
      <c r="AO37" s="94" t="str">
        <f t="shared" si="7"/>
        <v/>
      </c>
      <c r="AP37" s="47" t="str">
        <f>IF($U37="","",VLOOKUP($U37,'ORF Accuracy Value LookUp'!$G$4:$H$104,2,TRUE))</f>
        <v/>
      </c>
      <c r="AQ37" s="94" t="str">
        <f t="shared" si="8"/>
        <v/>
      </c>
      <c r="AR37" s="46" t="str">
        <f>IF($AE37="","",VLOOKUP($AE37,'ORF Accuracy Value LookUp'!$G$4:$H$104,2,TRUE))</f>
        <v/>
      </c>
      <c r="AS37" s="140" t="str">
        <f t="shared" si="9"/>
        <v/>
      </c>
    </row>
    <row r="38" spans="1:45">
      <c r="A38" s="10"/>
      <c r="B38" s="12"/>
      <c r="C38" s="13"/>
      <c r="D38" s="14"/>
      <c r="E38" s="10"/>
      <c r="F38" s="11"/>
      <c r="G38" s="15"/>
      <c r="H38" s="87"/>
      <c r="I38" s="24"/>
      <c r="J38" s="24"/>
      <c r="K38" s="114" t="str">
        <f t="shared" si="0"/>
        <v/>
      </c>
      <c r="L38" s="24"/>
      <c r="M38" s="24"/>
      <c r="N38" s="24"/>
      <c r="O38" s="24"/>
      <c r="P38" s="97" t="str">
        <f t="shared" si="1"/>
        <v/>
      </c>
      <c r="Q38" s="113" t="str">
        <f t="shared" si="2"/>
        <v/>
      </c>
      <c r="R38" s="87"/>
      <c r="S38" s="24"/>
      <c r="T38" s="24"/>
      <c r="U38" s="78" t="str">
        <f t="shared" si="3"/>
        <v/>
      </c>
      <c r="V38" s="24"/>
      <c r="W38" s="24"/>
      <c r="X38" s="24"/>
      <c r="Y38" s="24"/>
      <c r="Z38" s="98" t="str">
        <f t="shared" si="4"/>
        <v/>
      </c>
      <c r="AA38" s="40" t="str">
        <f t="shared" si="10"/>
        <v/>
      </c>
      <c r="AB38" s="87"/>
      <c r="AC38" s="24"/>
      <c r="AD38" s="24"/>
      <c r="AE38" s="79" t="str">
        <f t="shared" si="5"/>
        <v/>
      </c>
      <c r="AF38" s="24"/>
      <c r="AG38" s="24"/>
      <c r="AH38" s="24"/>
      <c r="AI38" s="24"/>
      <c r="AJ38" s="99" t="str">
        <f t="shared" si="6"/>
        <v/>
      </c>
      <c r="AK38" s="31" t="str">
        <f t="shared" si="11"/>
        <v/>
      </c>
      <c r="AN38" s="139" t="str">
        <f>IF($K38="","",VLOOKUP($K38,'ORF Accuracy Value LookUp'!$G$4:$H$104,2,TRUE))</f>
        <v/>
      </c>
      <c r="AO38" s="94" t="str">
        <f t="shared" si="7"/>
        <v/>
      </c>
      <c r="AP38" s="47" t="str">
        <f>IF($U38="","",VLOOKUP($U38,'ORF Accuracy Value LookUp'!$G$4:$H$104,2,TRUE))</f>
        <v/>
      </c>
      <c r="AQ38" s="94" t="str">
        <f t="shared" si="8"/>
        <v/>
      </c>
      <c r="AR38" s="46" t="str">
        <f>IF($AE38="","",VLOOKUP($AE38,'ORF Accuracy Value LookUp'!$G$4:$H$104,2,TRUE))</f>
        <v/>
      </c>
      <c r="AS38" s="140" t="str">
        <f t="shared" si="9"/>
        <v/>
      </c>
    </row>
    <row r="39" spans="1:45">
      <c r="A39" s="10"/>
      <c r="B39" s="12"/>
      <c r="C39" s="13"/>
      <c r="D39" s="14"/>
      <c r="E39" s="10"/>
      <c r="F39" s="11"/>
      <c r="G39" s="15"/>
      <c r="H39" s="87"/>
      <c r="I39" s="24"/>
      <c r="J39" s="24"/>
      <c r="K39" s="114" t="str">
        <f t="shared" si="0"/>
        <v/>
      </c>
      <c r="L39" s="24"/>
      <c r="M39" s="24"/>
      <c r="N39" s="24"/>
      <c r="O39" s="24"/>
      <c r="P39" s="97" t="str">
        <f t="shared" si="1"/>
        <v/>
      </c>
      <c r="Q39" s="113" t="str">
        <f t="shared" si="2"/>
        <v/>
      </c>
      <c r="R39" s="87"/>
      <c r="S39" s="24"/>
      <c r="T39" s="24"/>
      <c r="U39" s="78" t="str">
        <f t="shared" si="3"/>
        <v/>
      </c>
      <c r="V39" s="24"/>
      <c r="W39" s="24"/>
      <c r="X39" s="24"/>
      <c r="Y39" s="24"/>
      <c r="Z39" s="98" t="str">
        <f t="shared" si="4"/>
        <v/>
      </c>
      <c r="AA39" s="40" t="str">
        <f t="shared" si="10"/>
        <v/>
      </c>
      <c r="AB39" s="87"/>
      <c r="AC39" s="24"/>
      <c r="AD39" s="24"/>
      <c r="AE39" s="79" t="str">
        <f t="shared" si="5"/>
        <v/>
      </c>
      <c r="AF39" s="24"/>
      <c r="AG39" s="24"/>
      <c r="AH39" s="24"/>
      <c r="AI39" s="24"/>
      <c r="AJ39" s="99" t="str">
        <f t="shared" si="6"/>
        <v/>
      </c>
      <c r="AK39" s="31" t="str">
        <f t="shared" si="11"/>
        <v/>
      </c>
      <c r="AN39" s="139" t="str">
        <f>IF($K39="","",VLOOKUP($K39,'ORF Accuracy Value LookUp'!$G$4:$H$104,2,TRUE))</f>
        <v/>
      </c>
      <c r="AO39" s="94" t="str">
        <f t="shared" si="7"/>
        <v/>
      </c>
      <c r="AP39" s="47" t="str">
        <f>IF($U39="","",VLOOKUP($U39,'ORF Accuracy Value LookUp'!$G$4:$H$104,2,TRUE))</f>
        <v/>
      </c>
      <c r="AQ39" s="94" t="str">
        <f t="shared" si="8"/>
        <v/>
      </c>
      <c r="AR39" s="46" t="str">
        <f>IF($AE39="","",VLOOKUP($AE39,'ORF Accuracy Value LookUp'!$G$4:$H$104,2,TRUE))</f>
        <v/>
      </c>
      <c r="AS39" s="140" t="str">
        <f t="shared" si="9"/>
        <v/>
      </c>
    </row>
    <row r="40" spans="1:45">
      <c r="A40" s="10"/>
      <c r="B40" s="12"/>
      <c r="C40" s="13"/>
      <c r="D40" s="14"/>
      <c r="E40" s="10"/>
      <c r="F40" s="11"/>
      <c r="G40" s="15"/>
      <c r="H40" s="87"/>
      <c r="I40" s="24"/>
      <c r="J40" s="24"/>
      <c r="K40" s="114" t="str">
        <f t="shared" si="0"/>
        <v/>
      </c>
      <c r="L40" s="24"/>
      <c r="M40" s="24"/>
      <c r="N40" s="24"/>
      <c r="O40" s="24"/>
      <c r="P40" s="97" t="str">
        <f t="shared" si="1"/>
        <v/>
      </c>
      <c r="Q40" s="113" t="str">
        <f t="shared" si="2"/>
        <v/>
      </c>
      <c r="R40" s="87"/>
      <c r="S40" s="24"/>
      <c r="T40" s="24"/>
      <c r="U40" s="78" t="str">
        <f t="shared" si="3"/>
        <v/>
      </c>
      <c r="V40" s="24"/>
      <c r="W40" s="24"/>
      <c r="X40" s="24"/>
      <c r="Y40" s="24"/>
      <c r="Z40" s="98" t="str">
        <f t="shared" si="4"/>
        <v/>
      </c>
      <c r="AA40" s="40" t="str">
        <f t="shared" si="10"/>
        <v/>
      </c>
      <c r="AB40" s="87"/>
      <c r="AC40" s="24"/>
      <c r="AD40" s="24"/>
      <c r="AE40" s="79" t="str">
        <f t="shared" si="5"/>
        <v/>
      </c>
      <c r="AF40" s="24"/>
      <c r="AG40" s="24"/>
      <c r="AH40" s="24"/>
      <c r="AI40" s="24"/>
      <c r="AJ40" s="99" t="str">
        <f t="shared" si="6"/>
        <v/>
      </c>
      <c r="AK40" s="31" t="str">
        <f t="shared" si="11"/>
        <v/>
      </c>
      <c r="AN40" s="139" t="str">
        <f>IF($K40="","",VLOOKUP($K40,'ORF Accuracy Value LookUp'!$G$4:$H$104,2,TRUE))</f>
        <v/>
      </c>
      <c r="AO40" s="94" t="str">
        <f t="shared" si="7"/>
        <v/>
      </c>
      <c r="AP40" s="47" t="str">
        <f>IF($U40="","",VLOOKUP($U40,'ORF Accuracy Value LookUp'!$G$4:$H$104,2,TRUE))</f>
        <v/>
      </c>
      <c r="AQ40" s="94" t="str">
        <f t="shared" si="8"/>
        <v/>
      </c>
      <c r="AR40" s="46" t="str">
        <f>IF($AE40="","",VLOOKUP($AE40,'ORF Accuracy Value LookUp'!$G$4:$H$104,2,TRUE))</f>
        <v/>
      </c>
      <c r="AS40" s="140" t="str">
        <f t="shared" si="9"/>
        <v/>
      </c>
    </row>
    <row r="41" spans="1:45">
      <c r="A41" s="10"/>
      <c r="B41" s="12"/>
      <c r="C41" s="13"/>
      <c r="D41" s="14"/>
      <c r="E41" s="10"/>
      <c r="F41" s="11"/>
      <c r="G41" s="15"/>
      <c r="H41" s="87"/>
      <c r="I41" s="24"/>
      <c r="J41" s="24"/>
      <c r="K41" s="114" t="str">
        <f t="shared" si="0"/>
        <v/>
      </c>
      <c r="L41" s="24"/>
      <c r="M41" s="24"/>
      <c r="N41" s="24"/>
      <c r="O41" s="24"/>
      <c r="P41" s="97" t="str">
        <f t="shared" si="1"/>
        <v/>
      </c>
      <c r="Q41" s="113" t="str">
        <f t="shared" si="2"/>
        <v/>
      </c>
      <c r="R41" s="87"/>
      <c r="S41" s="24"/>
      <c r="T41" s="24"/>
      <c r="U41" s="78" t="str">
        <f t="shared" si="3"/>
        <v/>
      </c>
      <c r="V41" s="24"/>
      <c r="W41" s="24"/>
      <c r="X41" s="24"/>
      <c r="Y41" s="24"/>
      <c r="Z41" s="98" t="str">
        <f t="shared" si="4"/>
        <v/>
      </c>
      <c r="AA41" s="40" t="str">
        <f t="shared" si="10"/>
        <v/>
      </c>
      <c r="AB41" s="87"/>
      <c r="AC41" s="24"/>
      <c r="AD41" s="24"/>
      <c r="AE41" s="79" t="str">
        <f t="shared" si="5"/>
        <v/>
      </c>
      <c r="AF41" s="24"/>
      <c r="AG41" s="24"/>
      <c r="AH41" s="24"/>
      <c r="AI41" s="24"/>
      <c r="AJ41" s="99" t="str">
        <f t="shared" si="6"/>
        <v/>
      </c>
      <c r="AK41" s="31" t="str">
        <f t="shared" si="11"/>
        <v/>
      </c>
      <c r="AN41" s="139" t="str">
        <f>IF($K41="","",VLOOKUP($K41,'ORF Accuracy Value LookUp'!$G$4:$H$104,2,TRUE))</f>
        <v/>
      </c>
      <c r="AO41" s="94" t="str">
        <f t="shared" si="7"/>
        <v/>
      </c>
      <c r="AP41" s="47" t="str">
        <f>IF($U41="","",VLOOKUP($U41,'ORF Accuracy Value LookUp'!$G$4:$H$104,2,TRUE))</f>
        <v/>
      </c>
      <c r="AQ41" s="94" t="str">
        <f t="shared" si="8"/>
        <v/>
      </c>
      <c r="AR41" s="46" t="str">
        <f>IF($AE41="","",VLOOKUP($AE41,'ORF Accuracy Value LookUp'!$G$4:$H$104,2,TRUE))</f>
        <v/>
      </c>
      <c r="AS41" s="140" t="str">
        <f t="shared" si="9"/>
        <v/>
      </c>
    </row>
    <row r="42" spans="1:45">
      <c r="A42" s="10"/>
      <c r="B42" s="12"/>
      <c r="C42" s="13"/>
      <c r="D42" s="14"/>
      <c r="E42" s="10"/>
      <c r="F42" s="11"/>
      <c r="G42" s="15"/>
      <c r="H42" s="87"/>
      <c r="I42" s="24"/>
      <c r="J42" s="24"/>
      <c r="K42" s="114" t="str">
        <f t="shared" si="0"/>
        <v/>
      </c>
      <c r="L42" s="24"/>
      <c r="M42" s="24"/>
      <c r="N42" s="24"/>
      <c r="O42" s="24"/>
      <c r="P42" s="97" t="str">
        <f t="shared" si="1"/>
        <v/>
      </c>
      <c r="Q42" s="113" t="str">
        <f t="shared" si="2"/>
        <v/>
      </c>
      <c r="R42" s="87"/>
      <c r="S42" s="24"/>
      <c r="T42" s="24"/>
      <c r="U42" s="78" t="str">
        <f t="shared" si="3"/>
        <v/>
      </c>
      <c r="V42" s="24"/>
      <c r="W42" s="24"/>
      <c r="X42" s="24"/>
      <c r="Y42" s="24"/>
      <c r="Z42" s="98" t="str">
        <f t="shared" si="4"/>
        <v/>
      </c>
      <c r="AA42" s="40" t="str">
        <f t="shared" si="10"/>
        <v/>
      </c>
      <c r="AB42" s="87"/>
      <c r="AC42" s="24"/>
      <c r="AD42" s="24"/>
      <c r="AE42" s="79" t="str">
        <f t="shared" si="5"/>
        <v/>
      </c>
      <c r="AF42" s="24"/>
      <c r="AG42" s="24"/>
      <c r="AH42" s="24"/>
      <c r="AI42" s="24"/>
      <c r="AJ42" s="99" t="str">
        <f t="shared" si="6"/>
        <v/>
      </c>
      <c r="AK42" s="31" t="str">
        <f t="shared" si="11"/>
        <v/>
      </c>
      <c r="AN42" s="139" t="str">
        <f>IF($K42="","",VLOOKUP($K42,'ORF Accuracy Value LookUp'!$G$4:$H$104,2,TRUE))</f>
        <v/>
      </c>
      <c r="AO42" s="94" t="str">
        <f t="shared" si="7"/>
        <v/>
      </c>
      <c r="AP42" s="47" t="str">
        <f>IF($U42="","",VLOOKUP($U42,'ORF Accuracy Value LookUp'!$G$4:$H$104,2,TRUE))</f>
        <v/>
      </c>
      <c r="AQ42" s="94" t="str">
        <f t="shared" si="8"/>
        <v/>
      </c>
      <c r="AR42" s="46" t="str">
        <f>IF($AE42="","",VLOOKUP($AE42,'ORF Accuracy Value LookUp'!$G$4:$H$104,2,TRUE))</f>
        <v/>
      </c>
      <c r="AS42" s="140" t="str">
        <f t="shared" si="9"/>
        <v/>
      </c>
    </row>
    <row r="43" spans="1:45">
      <c r="A43" s="10"/>
      <c r="B43" s="12"/>
      <c r="C43" s="13"/>
      <c r="D43" s="14"/>
      <c r="E43" s="10"/>
      <c r="F43" s="11"/>
      <c r="G43" s="15"/>
      <c r="H43" s="87"/>
      <c r="I43" s="24"/>
      <c r="J43" s="24"/>
      <c r="K43" s="114" t="str">
        <f t="shared" si="0"/>
        <v/>
      </c>
      <c r="L43" s="24"/>
      <c r="M43" s="24"/>
      <c r="N43" s="24"/>
      <c r="O43" s="24"/>
      <c r="P43" s="97" t="str">
        <f t="shared" si="1"/>
        <v/>
      </c>
      <c r="Q43" s="113" t="str">
        <f t="shared" si="2"/>
        <v/>
      </c>
      <c r="R43" s="87"/>
      <c r="S43" s="24"/>
      <c r="T43" s="24"/>
      <c r="U43" s="78" t="str">
        <f t="shared" si="3"/>
        <v/>
      </c>
      <c r="V43" s="24"/>
      <c r="W43" s="24"/>
      <c r="X43" s="24"/>
      <c r="Y43" s="24"/>
      <c r="Z43" s="98" t="str">
        <f t="shared" si="4"/>
        <v/>
      </c>
      <c r="AA43" s="40" t="str">
        <f t="shared" si="10"/>
        <v/>
      </c>
      <c r="AB43" s="87"/>
      <c r="AC43" s="24"/>
      <c r="AD43" s="24"/>
      <c r="AE43" s="79" t="str">
        <f t="shared" si="5"/>
        <v/>
      </c>
      <c r="AF43" s="24"/>
      <c r="AG43" s="24"/>
      <c r="AH43" s="24"/>
      <c r="AI43" s="24"/>
      <c r="AJ43" s="99" t="str">
        <f t="shared" si="6"/>
        <v/>
      </c>
      <c r="AK43" s="31" t="str">
        <f t="shared" si="11"/>
        <v/>
      </c>
      <c r="AN43" s="139" t="str">
        <f>IF($K43="","",VLOOKUP($K43,'ORF Accuracy Value LookUp'!$G$4:$H$104,2,TRUE))</f>
        <v/>
      </c>
      <c r="AO43" s="94" t="str">
        <f t="shared" si="7"/>
        <v/>
      </c>
      <c r="AP43" s="47" t="str">
        <f>IF($U43="","",VLOOKUP($U43,'ORF Accuracy Value LookUp'!$G$4:$H$104,2,TRUE))</f>
        <v/>
      </c>
      <c r="AQ43" s="94" t="str">
        <f t="shared" si="8"/>
        <v/>
      </c>
      <c r="AR43" s="46" t="str">
        <f>IF($AE43="","",VLOOKUP($AE43,'ORF Accuracy Value LookUp'!$G$4:$H$104,2,TRUE))</f>
        <v/>
      </c>
      <c r="AS43" s="140" t="str">
        <f t="shared" si="9"/>
        <v/>
      </c>
    </row>
    <row r="44" spans="1:45">
      <c r="A44" s="10"/>
      <c r="B44" s="12"/>
      <c r="C44" s="13"/>
      <c r="D44" s="14"/>
      <c r="E44" s="10"/>
      <c r="F44" s="11"/>
      <c r="G44" s="15"/>
      <c r="H44" s="87"/>
      <c r="I44" s="24"/>
      <c r="J44" s="24"/>
      <c r="K44" s="114" t="str">
        <f t="shared" si="0"/>
        <v/>
      </c>
      <c r="L44" s="24"/>
      <c r="M44" s="24"/>
      <c r="N44" s="24"/>
      <c r="O44" s="24"/>
      <c r="P44" s="97" t="str">
        <f t="shared" si="1"/>
        <v/>
      </c>
      <c r="Q44" s="113" t="str">
        <f t="shared" si="2"/>
        <v/>
      </c>
      <c r="R44" s="87"/>
      <c r="S44" s="24"/>
      <c r="T44" s="24"/>
      <c r="U44" s="78" t="str">
        <f t="shared" si="3"/>
        <v/>
      </c>
      <c r="V44" s="24"/>
      <c r="W44" s="24"/>
      <c r="X44" s="24"/>
      <c r="Y44" s="24"/>
      <c r="Z44" s="98" t="str">
        <f t="shared" si="4"/>
        <v/>
      </c>
      <c r="AA44" s="40" t="str">
        <f t="shared" si="10"/>
        <v/>
      </c>
      <c r="AB44" s="87"/>
      <c r="AC44" s="24"/>
      <c r="AD44" s="24"/>
      <c r="AE44" s="79" t="str">
        <f t="shared" si="5"/>
        <v/>
      </c>
      <c r="AF44" s="24"/>
      <c r="AG44" s="24"/>
      <c r="AH44" s="24"/>
      <c r="AI44" s="24"/>
      <c r="AJ44" s="99" t="str">
        <f t="shared" si="6"/>
        <v/>
      </c>
      <c r="AK44" s="31" t="str">
        <f t="shared" si="11"/>
        <v/>
      </c>
      <c r="AN44" s="139" t="str">
        <f>IF($K44="","",VLOOKUP($K44,'ORF Accuracy Value LookUp'!$G$4:$H$104,2,TRUE))</f>
        <v/>
      </c>
      <c r="AO44" s="94" t="str">
        <f t="shared" si="7"/>
        <v/>
      </c>
      <c r="AP44" s="47" t="str">
        <f>IF($U44="","",VLOOKUP($U44,'ORF Accuracy Value LookUp'!$G$4:$H$104,2,TRUE))</f>
        <v/>
      </c>
      <c r="AQ44" s="94" t="str">
        <f t="shared" si="8"/>
        <v/>
      </c>
      <c r="AR44" s="46" t="str">
        <f>IF($AE44="","",VLOOKUP($AE44,'ORF Accuracy Value LookUp'!$G$4:$H$104,2,TRUE))</f>
        <v/>
      </c>
      <c r="AS44" s="140" t="str">
        <f t="shared" si="9"/>
        <v/>
      </c>
    </row>
    <row r="45" spans="1:45">
      <c r="A45" s="10"/>
      <c r="B45" s="12"/>
      <c r="C45" s="13"/>
      <c r="D45" s="14"/>
      <c r="E45" s="10"/>
      <c r="F45" s="11"/>
      <c r="G45" s="15"/>
      <c r="H45" s="87"/>
      <c r="I45" s="24"/>
      <c r="J45" s="24"/>
      <c r="K45" s="114" t="str">
        <f t="shared" si="0"/>
        <v/>
      </c>
      <c r="L45" s="24"/>
      <c r="M45" s="24"/>
      <c r="N45" s="24"/>
      <c r="O45" s="24"/>
      <c r="P45" s="97" t="str">
        <f t="shared" si="1"/>
        <v/>
      </c>
      <c r="Q45" s="113" t="str">
        <f t="shared" si="2"/>
        <v/>
      </c>
      <c r="R45" s="87"/>
      <c r="S45" s="24"/>
      <c r="T45" s="24"/>
      <c r="U45" s="78" t="str">
        <f t="shared" si="3"/>
        <v/>
      </c>
      <c r="V45" s="24"/>
      <c r="W45" s="24"/>
      <c r="X45" s="24"/>
      <c r="Y45" s="24"/>
      <c r="Z45" s="98" t="str">
        <f t="shared" si="4"/>
        <v/>
      </c>
      <c r="AA45" s="40" t="str">
        <f t="shared" si="10"/>
        <v/>
      </c>
      <c r="AB45" s="87"/>
      <c r="AC45" s="24"/>
      <c r="AD45" s="24"/>
      <c r="AE45" s="79" t="str">
        <f t="shared" si="5"/>
        <v/>
      </c>
      <c r="AF45" s="24"/>
      <c r="AG45" s="24"/>
      <c r="AH45" s="24"/>
      <c r="AI45" s="24"/>
      <c r="AJ45" s="99" t="str">
        <f t="shared" si="6"/>
        <v/>
      </c>
      <c r="AK45" s="31" t="str">
        <f t="shared" si="11"/>
        <v/>
      </c>
      <c r="AN45" s="139" t="str">
        <f>IF($K45="","",VLOOKUP($K45,'ORF Accuracy Value LookUp'!$G$4:$H$104,2,TRUE))</f>
        <v/>
      </c>
      <c r="AO45" s="94" t="str">
        <f t="shared" si="7"/>
        <v/>
      </c>
      <c r="AP45" s="47" t="str">
        <f>IF($U45="","",VLOOKUP($U45,'ORF Accuracy Value LookUp'!$G$4:$H$104,2,TRUE))</f>
        <v/>
      </c>
      <c r="AQ45" s="94" t="str">
        <f t="shared" si="8"/>
        <v/>
      </c>
      <c r="AR45" s="46" t="str">
        <f>IF($AE45="","",VLOOKUP($AE45,'ORF Accuracy Value LookUp'!$G$4:$H$104,2,TRUE))</f>
        <v/>
      </c>
      <c r="AS45" s="140" t="str">
        <f t="shared" si="9"/>
        <v/>
      </c>
    </row>
    <row r="46" spans="1:45">
      <c r="A46" s="10"/>
      <c r="B46" s="12"/>
      <c r="C46" s="13"/>
      <c r="D46" s="14"/>
      <c r="E46" s="10"/>
      <c r="F46" s="11"/>
      <c r="G46" s="15"/>
      <c r="H46" s="87"/>
      <c r="I46" s="24"/>
      <c r="J46" s="24"/>
      <c r="K46" s="114" t="str">
        <f t="shared" si="0"/>
        <v/>
      </c>
      <c r="L46" s="24"/>
      <c r="M46" s="24"/>
      <c r="N46" s="24"/>
      <c r="O46" s="24"/>
      <c r="P46" s="97" t="str">
        <f t="shared" si="1"/>
        <v/>
      </c>
      <c r="Q46" s="113" t="str">
        <f t="shared" si="2"/>
        <v/>
      </c>
      <c r="R46" s="87"/>
      <c r="S46" s="24"/>
      <c r="T46" s="24"/>
      <c r="U46" s="78" t="str">
        <f t="shared" si="3"/>
        <v/>
      </c>
      <c r="V46" s="24"/>
      <c r="W46" s="24"/>
      <c r="X46" s="24"/>
      <c r="Y46" s="24"/>
      <c r="Z46" s="98" t="str">
        <f t="shared" si="4"/>
        <v/>
      </c>
      <c r="AA46" s="40" t="str">
        <f t="shared" si="10"/>
        <v/>
      </c>
      <c r="AB46" s="87"/>
      <c r="AC46" s="24"/>
      <c r="AD46" s="24"/>
      <c r="AE46" s="79" t="str">
        <f t="shared" si="5"/>
        <v/>
      </c>
      <c r="AF46" s="24"/>
      <c r="AG46" s="24"/>
      <c r="AH46" s="24"/>
      <c r="AI46" s="24"/>
      <c r="AJ46" s="99" t="str">
        <f t="shared" si="6"/>
        <v/>
      </c>
      <c r="AK46" s="31" t="str">
        <f t="shared" si="11"/>
        <v/>
      </c>
      <c r="AN46" s="139" t="str">
        <f>IF($K46="","",VLOOKUP($K46,'ORF Accuracy Value LookUp'!$G$4:$H$104,2,TRUE))</f>
        <v/>
      </c>
      <c r="AO46" s="94" t="str">
        <f t="shared" si="7"/>
        <v/>
      </c>
      <c r="AP46" s="47" t="str">
        <f>IF($U46="","",VLOOKUP($U46,'ORF Accuracy Value LookUp'!$G$4:$H$104,2,TRUE))</f>
        <v/>
      </c>
      <c r="AQ46" s="94" t="str">
        <f t="shared" si="8"/>
        <v/>
      </c>
      <c r="AR46" s="46" t="str">
        <f>IF($AE46="","",VLOOKUP($AE46,'ORF Accuracy Value LookUp'!$G$4:$H$104,2,TRUE))</f>
        <v/>
      </c>
      <c r="AS46" s="140" t="str">
        <f t="shared" si="9"/>
        <v/>
      </c>
    </row>
    <row r="47" spans="1:45">
      <c r="A47" s="10"/>
      <c r="B47" s="12"/>
      <c r="C47" s="13"/>
      <c r="D47" s="14"/>
      <c r="E47" s="10"/>
      <c r="F47" s="11"/>
      <c r="G47" s="15"/>
      <c r="H47" s="87"/>
      <c r="I47" s="24"/>
      <c r="J47" s="24"/>
      <c r="K47" s="114" t="str">
        <f t="shared" si="0"/>
        <v/>
      </c>
      <c r="L47" s="24"/>
      <c r="M47" s="24"/>
      <c r="N47" s="24"/>
      <c r="O47" s="24"/>
      <c r="P47" s="97" t="str">
        <f t="shared" si="1"/>
        <v/>
      </c>
      <c r="Q47" s="113" t="str">
        <f t="shared" si="2"/>
        <v/>
      </c>
      <c r="R47" s="87"/>
      <c r="S47" s="24"/>
      <c r="T47" s="24"/>
      <c r="U47" s="78" t="str">
        <f t="shared" si="3"/>
        <v/>
      </c>
      <c r="V47" s="24"/>
      <c r="W47" s="24"/>
      <c r="X47" s="24"/>
      <c r="Y47" s="24"/>
      <c r="Z47" s="98" t="str">
        <f t="shared" si="4"/>
        <v/>
      </c>
      <c r="AA47" s="40" t="str">
        <f t="shared" si="10"/>
        <v/>
      </c>
      <c r="AB47" s="87"/>
      <c r="AC47" s="24"/>
      <c r="AD47" s="24"/>
      <c r="AE47" s="79" t="str">
        <f t="shared" si="5"/>
        <v/>
      </c>
      <c r="AF47" s="24"/>
      <c r="AG47" s="24"/>
      <c r="AH47" s="24"/>
      <c r="AI47" s="24"/>
      <c r="AJ47" s="99" t="str">
        <f t="shared" si="6"/>
        <v/>
      </c>
      <c r="AK47" s="31" t="str">
        <f t="shared" si="11"/>
        <v/>
      </c>
      <c r="AN47" s="139" t="str">
        <f>IF($K47="","",VLOOKUP($K47,'ORF Accuracy Value LookUp'!$G$4:$H$104,2,TRUE))</f>
        <v/>
      </c>
      <c r="AO47" s="94" t="str">
        <f t="shared" si="7"/>
        <v/>
      </c>
      <c r="AP47" s="47" t="str">
        <f>IF($U47="","",VLOOKUP($U47,'ORF Accuracy Value LookUp'!$G$4:$H$104,2,TRUE))</f>
        <v/>
      </c>
      <c r="AQ47" s="94" t="str">
        <f t="shared" si="8"/>
        <v/>
      </c>
      <c r="AR47" s="46" t="str">
        <f>IF($AE47="","",VLOOKUP($AE47,'ORF Accuracy Value LookUp'!$G$4:$H$104,2,TRUE))</f>
        <v/>
      </c>
      <c r="AS47" s="140" t="str">
        <f t="shared" si="9"/>
        <v/>
      </c>
    </row>
    <row r="48" spans="1:45">
      <c r="A48" s="10"/>
      <c r="B48" s="12"/>
      <c r="C48" s="13"/>
      <c r="D48" s="14"/>
      <c r="E48" s="10"/>
      <c r="F48" s="11"/>
      <c r="G48" s="15"/>
      <c r="H48" s="87"/>
      <c r="I48" s="24"/>
      <c r="J48" s="24"/>
      <c r="K48" s="114" t="str">
        <f t="shared" si="0"/>
        <v/>
      </c>
      <c r="L48" s="24"/>
      <c r="M48" s="24"/>
      <c r="N48" s="24"/>
      <c r="O48" s="24"/>
      <c r="P48" s="97" t="str">
        <f t="shared" si="1"/>
        <v/>
      </c>
      <c r="Q48" s="113" t="str">
        <f t="shared" si="2"/>
        <v/>
      </c>
      <c r="R48" s="87"/>
      <c r="S48" s="24"/>
      <c r="T48" s="24"/>
      <c r="U48" s="78" t="str">
        <f t="shared" si="3"/>
        <v/>
      </c>
      <c r="V48" s="24"/>
      <c r="W48" s="24"/>
      <c r="X48" s="24"/>
      <c r="Y48" s="24"/>
      <c r="Z48" s="98" t="str">
        <f t="shared" si="4"/>
        <v/>
      </c>
      <c r="AA48" s="40" t="str">
        <f t="shared" si="10"/>
        <v/>
      </c>
      <c r="AB48" s="87"/>
      <c r="AC48" s="24"/>
      <c r="AD48" s="24"/>
      <c r="AE48" s="79" t="str">
        <f t="shared" si="5"/>
        <v/>
      </c>
      <c r="AF48" s="24"/>
      <c r="AG48" s="24"/>
      <c r="AH48" s="24"/>
      <c r="AI48" s="24"/>
      <c r="AJ48" s="99" t="str">
        <f t="shared" si="6"/>
        <v/>
      </c>
      <c r="AK48" s="31" t="str">
        <f t="shared" si="11"/>
        <v/>
      </c>
      <c r="AN48" s="139" t="str">
        <f>IF($K48="","",VLOOKUP($K48,'ORF Accuracy Value LookUp'!$G$4:$H$104,2,TRUE))</f>
        <v/>
      </c>
      <c r="AO48" s="94" t="str">
        <f t="shared" si="7"/>
        <v/>
      </c>
      <c r="AP48" s="47" t="str">
        <f>IF($U48="","",VLOOKUP($U48,'ORF Accuracy Value LookUp'!$G$4:$H$104,2,TRUE))</f>
        <v/>
      </c>
      <c r="AQ48" s="94" t="str">
        <f t="shared" si="8"/>
        <v/>
      </c>
      <c r="AR48" s="46" t="str">
        <f>IF($AE48="","",VLOOKUP($AE48,'ORF Accuracy Value LookUp'!$G$4:$H$104,2,TRUE))</f>
        <v/>
      </c>
      <c r="AS48" s="140" t="str">
        <f t="shared" si="9"/>
        <v/>
      </c>
    </row>
    <row r="49" spans="1:45">
      <c r="A49" s="10"/>
      <c r="B49" s="12"/>
      <c r="C49" s="13"/>
      <c r="D49" s="14"/>
      <c r="E49" s="10"/>
      <c r="F49" s="11"/>
      <c r="G49" s="15"/>
      <c r="H49" s="87"/>
      <c r="I49" s="24"/>
      <c r="J49" s="24"/>
      <c r="K49" s="114" t="str">
        <f t="shared" si="0"/>
        <v/>
      </c>
      <c r="L49" s="24"/>
      <c r="M49" s="24"/>
      <c r="N49" s="24"/>
      <c r="O49" s="24"/>
      <c r="P49" s="97" t="str">
        <f t="shared" si="1"/>
        <v/>
      </c>
      <c r="Q49" s="113" t="str">
        <f t="shared" si="2"/>
        <v/>
      </c>
      <c r="R49" s="87"/>
      <c r="S49" s="24"/>
      <c r="T49" s="24"/>
      <c r="U49" s="78" t="str">
        <f t="shared" si="3"/>
        <v/>
      </c>
      <c r="V49" s="24"/>
      <c r="W49" s="24"/>
      <c r="X49" s="24"/>
      <c r="Y49" s="24"/>
      <c r="Z49" s="98" t="str">
        <f t="shared" si="4"/>
        <v/>
      </c>
      <c r="AA49" s="40" t="str">
        <f t="shared" si="10"/>
        <v/>
      </c>
      <c r="AB49" s="87"/>
      <c r="AC49" s="24"/>
      <c r="AD49" s="24"/>
      <c r="AE49" s="79" t="str">
        <f t="shared" si="5"/>
        <v/>
      </c>
      <c r="AF49" s="24"/>
      <c r="AG49" s="24"/>
      <c r="AH49" s="24"/>
      <c r="AI49" s="24"/>
      <c r="AJ49" s="99" t="str">
        <f t="shared" si="6"/>
        <v/>
      </c>
      <c r="AK49" s="31" t="str">
        <f t="shared" si="11"/>
        <v/>
      </c>
      <c r="AN49" s="139" t="str">
        <f>IF($K49="","",VLOOKUP($K49,'ORF Accuracy Value LookUp'!$G$4:$H$104,2,TRUE))</f>
        <v/>
      </c>
      <c r="AO49" s="94" t="str">
        <f t="shared" si="7"/>
        <v/>
      </c>
      <c r="AP49" s="47" t="str">
        <f>IF($U49="","",VLOOKUP($U49,'ORF Accuracy Value LookUp'!$G$4:$H$104,2,TRUE))</f>
        <v/>
      </c>
      <c r="AQ49" s="94" t="str">
        <f t="shared" si="8"/>
        <v/>
      </c>
      <c r="AR49" s="46" t="str">
        <f>IF($AE49="","",VLOOKUP($AE49,'ORF Accuracy Value LookUp'!$G$4:$H$104,2,TRUE))</f>
        <v/>
      </c>
      <c r="AS49" s="140" t="str">
        <f t="shared" si="9"/>
        <v/>
      </c>
    </row>
    <row r="50" spans="1:45">
      <c r="A50" s="10"/>
      <c r="B50" s="12"/>
      <c r="C50" s="13"/>
      <c r="D50" s="14"/>
      <c r="E50" s="10"/>
      <c r="F50" s="11"/>
      <c r="G50" s="15"/>
      <c r="H50" s="87"/>
      <c r="I50" s="24"/>
      <c r="J50" s="24"/>
      <c r="K50" s="114" t="str">
        <f t="shared" si="0"/>
        <v/>
      </c>
      <c r="L50" s="24"/>
      <c r="M50" s="24"/>
      <c r="N50" s="24"/>
      <c r="O50" s="24"/>
      <c r="P50" s="97" t="str">
        <f t="shared" si="1"/>
        <v/>
      </c>
      <c r="Q50" s="113" t="str">
        <f t="shared" si="2"/>
        <v/>
      </c>
      <c r="R50" s="87"/>
      <c r="S50" s="24"/>
      <c r="T50" s="24"/>
      <c r="U50" s="78" t="str">
        <f t="shared" si="3"/>
        <v/>
      </c>
      <c r="V50" s="24"/>
      <c r="W50" s="24"/>
      <c r="X50" s="24"/>
      <c r="Y50" s="24"/>
      <c r="Z50" s="98" t="str">
        <f t="shared" si="4"/>
        <v/>
      </c>
      <c r="AA50" s="40" t="str">
        <f t="shared" si="10"/>
        <v/>
      </c>
      <c r="AB50" s="87"/>
      <c r="AC50" s="24"/>
      <c r="AD50" s="24"/>
      <c r="AE50" s="79" t="str">
        <f t="shared" si="5"/>
        <v/>
      </c>
      <c r="AF50" s="24"/>
      <c r="AG50" s="24"/>
      <c r="AH50" s="24"/>
      <c r="AI50" s="24"/>
      <c r="AJ50" s="99" t="str">
        <f t="shared" si="6"/>
        <v/>
      </c>
      <c r="AK50" s="31" t="str">
        <f t="shared" si="11"/>
        <v/>
      </c>
      <c r="AN50" s="139" t="str">
        <f>IF($K50="","",VLOOKUP($K50,'ORF Accuracy Value LookUp'!$G$4:$H$104,2,TRUE))</f>
        <v/>
      </c>
      <c r="AO50" s="94" t="str">
        <f t="shared" si="7"/>
        <v/>
      </c>
      <c r="AP50" s="47" t="str">
        <f>IF($U50="","",VLOOKUP($U50,'ORF Accuracy Value LookUp'!$G$4:$H$104,2,TRUE))</f>
        <v/>
      </c>
      <c r="AQ50" s="94" t="str">
        <f t="shared" si="8"/>
        <v/>
      </c>
      <c r="AR50" s="46" t="str">
        <f>IF($AE50="","",VLOOKUP($AE50,'ORF Accuracy Value LookUp'!$G$4:$H$104,2,TRUE))</f>
        <v/>
      </c>
      <c r="AS50" s="140" t="str">
        <f t="shared" si="9"/>
        <v/>
      </c>
    </row>
    <row r="51" spans="1:45">
      <c r="A51" s="10"/>
      <c r="B51" s="12"/>
      <c r="C51" s="13"/>
      <c r="D51" s="14"/>
      <c r="E51" s="10"/>
      <c r="F51" s="11"/>
      <c r="G51" s="15"/>
      <c r="H51" s="87"/>
      <c r="I51" s="24"/>
      <c r="J51" s="24"/>
      <c r="K51" s="114" t="str">
        <f t="shared" si="0"/>
        <v/>
      </c>
      <c r="L51" s="24"/>
      <c r="M51" s="24"/>
      <c r="N51" s="24"/>
      <c r="O51" s="24"/>
      <c r="P51" s="97" t="str">
        <f t="shared" si="1"/>
        <v/>
      </c>
      <c r="Q51" s="113" t="str">
        <f t="shared" si="2"/>
        <v/>
      </c>
      <c r="R51" s="87"/>
      <c r="S51" s="24"/>
      <c r="T51" s="24"/>
      <c r="U51" s="78" t="str">
        <f t="shared" si="3"/>
        <v/>
      </c>
      <c r="V51" s="24"/>
      <c r="W51" s="24"/>
      <c r="X51" s="24"/>
      <c r="Y51" s="24"/>
      <c r="Z51" s="98" t="str">
        <f t="shared" si="4"/>
        <v/>
      </c>
      <c r="AA51" s="40" t="str">
        <f t="shared" si="10"/>
        <v/>
      </c>
      <c r="AB51" s="87"/>
      <c r="AC51" s="24"/>
      <c r="AD51" s="24"/>
      <c r="AE51" s="79" t="str">
        <f t="shared" si="5"/>
        <v/>
      </c>
      <c r="AF51" s="24"/>
      <c r="AG51" s="24"/>
      <c r="AH51" s="24"/>
      <c r="AI51" s="24"/>
      <c r="AJ51" s="99" t="str">
        <f t="shared" si="6"/>
        <v/>
      </c>
      <c r="AK51" s="31" t="str">
        <f t="shared" si="11"/>
        <v/>
      </c>
      <c r="AN51" s="139" t="str">
        <f>IF($K51="","",VLOOKUP($K51,'ORF Accuracy Value LookUp'!$G$4:$H$104,2,TRUE))</f>
        <v/>
      </c>
      <c r="AO51" s="94" t="str">
        <f t="shared" si="7"/>
        <v/>
      </c>
      <c r="AP51" s="47" t="str">
        <f>IF($U51="","",VLOOKUP($U51,'ORF Accuracy Value LookUp'!$G$4:$H$104,2,TRUE))</f>
        <v/>
      </c>
      <c r="AQ51" s="94" t="str">
        <f t="shared" si="8"/>
        <v/>
      </c>
      <c r="AR51" s="46" t="str">
        <f>IF($AE51="","",VLOOKUP($AE51,'ORF Accuracy Value LookUp'!$G$4:$H$104,2,TRUE))</f>
        <v/>
      </c>
      <c r="AS51" s="140" t="str">
        <f t="shared" si="9"/>
        <v/>
      </c>
    </row>
    <row r="52" spans="1:45">
      <c r="A52" s="10"/>
      <c r="B52" s="12"/>
      <c r="C52" s="13"/>
      <c r="D52" s="14"/>
      <c r="E52" s="10"/>
      <c r="F52" s="11"/>
      <c r="G52" s="15"/>
      <c r="H52" s="87"/>
      <c r="I52" s="24"/>
      <c r="J52" s="24"/>
      <c r="K52" s="114" t="str">
        <f t="shared" si="0"/>
        <v/>
      </c>
      <c r="L52" s="24"/>
      <c r="M52" s="24"/>
      <c r="N52" s="24"/>
      <c r="O52" s="24"/>
      <c r="P52" s="97" t="str">
        <f t="shared" si="1"/>
        <v/>
      </c>
      <c r="Q52" s="113" t="str">
        <f t="shared" si="2"/>
        <v/>
      </c>
      <c r="R52" s="87"/>
      <c r="S52" s="24"/>
      <c r="T52" s="24"/>
      <c r="U52" s="78" t="str">
        <f t="shared" si="3"/>
        <v/>
      </c>
      <c r="V52" s="24"/>
      <c r="W52" s="24"/>
      <c r="X52" s="24"/>
      <c r="Y52" s="24"/>
      <c r="Z52" s="98" t="str">
        <f t="shared" si="4"/>
        <v/>
      </c>
      <c r="AA52" s="40" t="str">
        <f t="shared" si="10"/>
        <v/>
      </c>
      <c r="AB52" s="87"/>
      <c r="AC52" s="24"/>
      <c r="AD52" s="24"/>
      <c r="AE52" s="79" t="str">
        <f t="shared" si="5"/>
        <v/>
      </c>
      <c r="AF52" s="24"/>
      <c r="AG52" s="24"/>
      <c r="AH52" s="24"/>
      <c r="AI52" s="24"/>
      <c r="AJ52" s="99" t="str">
        <f t="shared" si="6"/>
        <v/>
      </c>
      <c r="AK52" s="31" t="str">
        <f t="shared" si="11"/>
        <v/>
      </c>
      <c r="AN52" s="139" t="str">
        <f>IF($K52="","",VLOOKUP($K52,'ORF Accuracy Value LookUp'!$G$4:$H$104,2,TRUE))</f>
        <v/>
      </c>
      <c r="AO52" s="94" t="str">
        <f t="shared" si="7"/>
        <v/>
      </c>
      <c r="AP52" s="47" t="str">
        <f>IF($U52="","",VLOOKUP($U52,'ORF Accuracy Value LookUp'!$G$4:$H$104,2,TRUE))</f>
        <v/>
      </c>
      <c r="AQ52" s="94" t="str">
        <f t="shared" si="8"/>
        <v/>
      </c>
      <c r="AR52" s="46" t="str">
        <f>IF($AE52="","",VLOOKUP($AE52,'ORF Accuracy Value LookUp'!$G$4:$H$104,2,TRUE))</f>
        <v/>
      </c>
      <c r="AS52" s="140" t="str">
        <f t="shared" si="9"/>
        <v/>
      </c>
    </row>
    <row r="53" spans="1:45">
      <c r="A53" s="10"/>
      <c r="B53" s="12"/>
      <c r="C53" s="13"/>
      <c r="D53" s="14"/>
      <c r="E53" s="10"/>
      <c r="F53" s="11"/>
      <c r="G53" s="15"/>
      <c r="H53" s="87"/>
      <c r="I53" s="24"/>
      <c r="J53" s="24"/>
      <c r="K53" s="114" t="str">
        <f t="shared" si="0"/>
        <v/>
      </c>
      <c r="L53" s="24"/>
      <c r="M53" s="24"/>
      <c r="N53" s="24"/>
      <c r="O53" s="24"/>
      <c r="P53" s="97" t="str">
        <f t="shared" si="1"/>
        <v/>
      </c>
      <c r="Q53" s="113" t="str">
        <f t="shared" si="2"/>
        <v/>
      </c>
      <c r="R53" s="87"/>
      <c r="S53" s="24"/>
      <c r="T53" s="24"/>
      <c r="U53" s="78" t="str">
        <f t="shared" si="3"/>
        <v/>
      </c>
      <c r="V53" s="24"/>
      <c r="W53" s="24"/>
      <c r="X53" s="24"/>
      <c r="Y53" s="24"/>
      <c r="Z53" s="98" t="str">
        <f t="shared" si="4"/>
        <v/>
      </c>
      <c r="AA53" s="40" t="str">
        <f t="shared" si="10"/>
        <v/>
      </c>
      <c r="AB53" s="87"/>
      <c r="AC53" s="24"/>
      <c r="AD53" s="24"/>
      <c r="AE53" s="79" t="str">
        <f t="shared" si="5"/>
        <v/>
      </c>
      <c r="AF53" s="24"/>
      <c r="AG53" s="24"/>
      <c r="AH53" s="24"/>
      <c r="AI53" s="24"/>
      <c r="AJ53" s="99" t="str">
        <f t="shared" si="6"/>
        <v/>
      </c>
      <c r="AK53" s="31" t="str">
        <f t="shared" si="11"/>
        <v/>
      </c>
      <c r="AN53" s="139" t="str">
        <f>IF($K53="","",VLOOKUP($K53,'ORF Accuracy Value LookUp'!$G$4:$H$104,2,TRUE))</f>
        <v/>
      </c>
      <c r="AO53" s="94" t="str">
        <f t="shared" si="7"/>
        <v/>
      </c>
      <c r="AP53" s="47" t="str">
        <f>IF($U53="","",VLOOKUP($U53,'ORF Accuracy Value LookUp'!$G$4:$H$104,2,TRUE))</f>
        <v/>
      </c>
      <c r="AQ53" s="94" t="str">
        <f t="shared" si="8"/>
        <v/>
      </c>
      <c r="AR53" s="46" t="str">
        <f>IF($AE53="","",VLOOKUP($AE53,'ORF Accuracy Value LookUp'!$G$4:$H$104,2,TRUE))</f>
        <v/>
      </c>
      <c r="AS53" s="140" t="str">
        <f t="shared" si="9"/>
        <v/>
      </c>
    </row>
    <row r="54" spans="1:45">
      <c r="A54" s="10"/>
      <c r="B54" s="12"/>
      <c r="C54" s="13"/>
      <c r="D54" s="14"/>
      <c r="E54" s="10"/>
      <c r="F54" s="11"/>
      <c r="G54" s="15"/>
      <c r="H54" s="87"/>
      <c r="I54" s="24"/>
      <c r="J54" s="24"/>
      <c r="K54" s="114" t="str">
        <f t="shared" si="0"/>
        <v/>
      </c>
      <c r="L54" s="24"/>
      <c r="M54" s="24"/>
      <c r="N54" s="24"/>
      <c r="O54" s="24"/>
      <c r="P54" s="97" t="str">
        <f t="shared" si="1"/>
        <v/>
      </c>
      <c r="Q54" s="113" t="str">
        <f t="shared" si="2"/>
        <v/>
      </c>
      <c r="R54" s="87"/>
      <c r="S54" s="24"/>
      <c r="T54" s="24"/>
      <c r="U54" s="78" t="str">
        <f t="shared" si="3"/>
        <v/>
      </c>
      <c r="V54" s="24"/>
      <c r="W54" s="24"/>
      <c r="X54" s="24"/>
      <c r="Y54" s="24"/>
      <c r="Z54" s="98" t="str">
        <f t="shared" si="4"/>
        <v/>
      </c>
      <c r="AA54" s="40" t="str">
        <f t="shared" si="10"/>
        <v/>
      </c>
      <c r="AB54" s="87"/>
      <c r="AC54" s="24"/>
      <c r="AD54" s="24"/>
      <c r="AE54" s="79" t="str">
        <f t="shared" si="5"/>
        <v/>
      </c>
      <c r="AF54" s="24"/>
      <c r="AG54" s="24"/>
      <c r="AH54" s="24"/>
      <c r="AI54" s="24"/>
      <c r="AJ54" s="99" t="str">
        <f t="shared" si="6"/>
        <v/>
      </c>
      <c r="AK54" s="31" t="str">
        <f t="shared" si="11"/>
        <v/>
      </c>
      <c r="AN54" s="139" t="str">
        <f>IF($K54="","",VLOOKUP($K54,'ORF Accuracy Value LookUp'!$G$4:$H$104,2,TRUE))</f>
        <v/>
      </c>
      <c r="AO54" s="94" t="str">
        <f t="shared" si="7"/>
        <v/>
      </c>
      <c r="AP54" s="47" t="str">
        <f>IF($U54="","",VLOOKUP($U54,'ORF Accuracy Value LookUp'!$G$4:$H$104,2,TRUE))</f>
        <v/>
      </c>
      <c r="AQ54" s="94" t="str">
        <f t="shared" si="8"/>
        <v/>
      </c>
      <c r="AR54" s="46" t="str">
        <f>IF($AE54="","",VLOOKUP($AE54,'ORF Accuracy Value LookUp'!$G$4:$H$104,2,TRUE))</f>
        <v/>
      </c>
      <c r="AS54" s="140" t="str">
        <f t="shared" si="9"/>
        <v/>
      </c>
    </row>
    <row r="55" spans="1:45">
      <c r="A55" s="10"/>
      <c r="B55" s="12"/>
      <c r="C55" s="13"/>
      <c r="D55" s="14"/>
      <c r="E55" s="10"/>
      <c r="F55" s="11"/>
      <c r="G55" s="15"/>
      <c r="H55" s="87"/>
      <c r="I55" s="24"/>
      <c r="J55" s="24"/>
      <c r="K55" s="114" t="str">
        <f t="shared" si="0"/>
        <v/>
      </c>
      <c r="L55" s="24"/>
      <c r="M55" s="24"/>
      <c r="N55" s="24"/>
      <c r="O55" s="24"/>
      <c r="P55" s="97" t="str">
        <f t="shared" si="1"/>
        <v/>
      </c>
      <c r="Q55" s="113" t="str">
        <f t="shared" si="2"/>
        <v/>
      </c>
      <c r="R55" s="87"/>
      <c r="S55" s="24"/>
      <c r="T55" s="24"/>
      <c r="U55" s="78" t="str">
        <f t="shared" si="3"/>
        <v/>
      </c>
      <c r="V55" s="24"/>
      <c r="W55" s="24"/>
      <c r="X55" s="24"/>
      <c r="Y55" s="24"/>
      <c r="Z55" s="98" t="str">
        <f t="shared" si="4"/>
        <v/>
      </c>
      <c r="AA55" s="40" t="str">
        <f t="shared" si="10"/>
        <v/>
      </c>
      <c r="AB55" s="87"/>
      <c r="AC55" s="24"/>
      <c r="AD55" s="24"/>
      <c r="AE55" s="79" t="str">
        <f t="shared" si="5"/>
        <v/>
      </c>
      <c r="AF55" s="24"/>
      <c r="AG55" s="24"/>
      <c r="AH55" s="24"/>
      <c r="AI55" s="24"/>
      <c r="AJ55" s="99" t="str">
        <f t="shared" si="6"/>
        <v/>
      </c>
      <c r="AK55" s="31" t="str">
        <f t="shared" si="11"/>
        <v/>
      </c>
      <c r="AN55" s="139" t="str">
        <f>IF($K55="","",VLOOKUP($K55,'ORF Accuracy Value LookUp'!$G$4:$H$104,2,TRUE))</f>
        <v/>
      </c>
      <c r="AO55" s="94" t="str">
        <f t="shared" si="7"/>
        <v/>
      </c>
      <c r="AP55" s="47" t="str">
        <f>IF($U55="","",VLOOKUP($U55,'ORF Accuracy Value LookUp'!$G$4:$H$104,2,TRUE))</f>
        <v/>
      </c>
      <c r="AQ55" s="94" t="str">
        <f t="shared" si="8"/>
        <v/>
      </c>
      <c r="AR55" s="46" t="str">
        <f>IF($AE55="","",VLOOKUP($AE55,'ORF Accuracy Value LookUp'!$G$4:$H$104,2,TRUE))</f>
        <v/>
      </c>
      <c r="AS55" s="140" t="str">
        <f t="shared" si="9"/>
        <v/>
      </c>
    </row>
    <row r="56" spans="1:45">
      <c r="A56" s="10"/>
      <c r="B56" s="12"/>
      <c r="C56" s="13"/>
      <c r="D56" s="14"/>
      <c r="E56" s="10"/>
      <c r="F56" s="11"/>
      <c r="G56" s="15"/>
      <c r="H56" s="87"/>
      <c r="I56" s="24"/>
      <c r="J56" s="24"/>
      <c r="K56" s="114" t="str">
        <f t="shared" si="0"/>
        <v/>
      </c>
      <c r="L56" s="24"/>
      <c r="M56" s="24"/>
      <c r="N56" s="24"/>
      <c r="O56" s="24"/>
      <c r="P56" s="97" t="str">
        <f t="shared" si="1"/>
        <v/>
      </c>
      <c r="Q56" s="113" t="str">
        <f t="shared" si="2"/>
        <v/>
      </c>
      <c r="R56" s="87"/>
      <c r="S56" s="24"/>
      <c r="T56" s="24"/>
      <c r="U56" s="78" t="str">
        <f t="shared" si="3"/>
        <v/>
      </c>
      <c r="V56" s="24"/>
      <c r="W56" s="24"/>
      <c r="X56" s="24"/>
      <c r="Y56" s="24"/>
      <c r="Z56" s="98" t="str">
        <f t="shared" si="4"/>
        <v/>
      </c>
      <c r="AA56" s="40" t="str">
        <f t="shared" si="10"/>
        <v/>
      </c>
      <c r="AB56" s="87"/>
      <c r="AC56" s="24"/>
      <c r="AD56" s="24"/>
      <c r="AE56" s="79" t="str">
        <f t="shared" si="5"/>
        <v/>
      </c>
      <c r="AF56" s="24"/>
      <c r="AG56" s="24"/>
      <c r="AH56" s="24"/>
      <c r="AI56" s="24"/>
      <c r="AJ56" s="99" t="str">
        <f t="shared" si="6"/>
        <v/>
      </c>
      <c r="AK56" s="31" t="str">
        <f t="shared" si="11"/>
        <v/>
      </c>
      <c r="AN56" s="139" t="str">
        <f>IF($K56="","",VLOOKUP($K56,'ORF Accuracy Value LookUp'!$G$4:$H$104,2,TRUE))</f>
        <v/>
      </c>
      <c r="AO56" s="94" t="str">
        <f t="shared" si="7"/>
        <v/>
      </c>
      <c r="AP56" s="47" t="str">
        <f>IF($U56="","",VLOOKUP($U56,'ORF Accuracy Value LookUp'!$G$4:$H$104,2,TRUE))</f>
        <v/>
      </c>
      <c r="AQ56" s="94" t="str">
        <f t="shared" si="8"/>
        <v/>
      </c>
      <c r="AR56" s="46" t="str">
        <f>IF($AE56="","",VLOOKUP($AE56,'ORF Accuracy Value LookUp'!$G$4:$H$104,2,TRUE))</f>
        <v/>
      </c>
      <c r="AS56" s="140" t="str">
        <f t="shared" si="9"/>
        <v/>
      </c>
    </row>
    <row r="57" spans="1:45">
      <c r="A57" s="10"/>
      <c r="B57" s="12"/>
      <c r="C57" s="13"/>
      <c r="D57" s="14"/>
      <c r="E57" s="10"/>
      <c r="F57" s="11"/>
      <c r="G57" s="15"/>
      <c r="H57" s="87"/>
      <c r="I57" s="24"/>
      <c r="J57" s="24"/>
      <c r="K57" s="114" t="str">
        <f t="shared" si="0"/>
        <v/>
      </c>
      <c r="L57" s="24"/>
      <c r="M57" s="24"/>
      <c r="N57" s="24"/>
      <c r="O57" s="24"/>
      <c r="P57" s="97" t="str">
        <f t="shared" si="1"/>
        <v/>
      </c>
      <c r="Q57" s="113" t="str">
        <f t="shared" si="2"/>
        <v/>
      </c>
      <c r="R57" s="87"/>
      <c r="S57" s="24"/>
      <c r="T57" s="24"/>
      <c r="U57" s="78" t="str">
        <f t="shared" si="3"/>
        <v/>
      </c>
      <c r="V57" s="24"/>
      <c r="W57" s="24"/>
      <c r="X57" s="24"/>
      <c r="Y57" s="24"/>
      <c r="Z57" s="98" t="str">
        <f t="shared" si="4"/>
        <v/>
      </c>
      <c r="AA57" s="40" t="str">
        <f t="shared" si="10"/>
        <v/>
      </c>
      <c r="AB57" s="87"/>
      <c r="AC57" s="24"/>
      <c r="AD57" s="24"/>
      <c r="AE57" s="79" t="str">
        <f t="shared" si="5"/>
        <v/>
      </c>
      <c r="AF57" s="24"/>
      <c r="AG57" s="24"/>
      <c r="AH57" s="24"/>
      <c r="AI57" s="24"/>
      <c r="AJ57" s="99" t="str">
        <f t="shared" si="6"/>
        <v/>
      </c>
      <c r="AK57" s="31" t="str">
        <f t="shared" si="11"/>
        <v/>
      </c>
      <c r="AN57" s="139" t="str">
        <f>IF($K57="","",VLOOKUP($K57,'ORF Accuracy Value LookUp'!$G$4:$H$104,2,TRUE))</f>
        <v/>
      </c>
      <c r="AO57" s="94" t="str">
        <f t="shared" si="7"/>
        <v/>
      </c>
      <c r="AP57" s="47" t="str">
        <f>IF($U57="","",VLOOKUP($U57,'ORF Accuracy Value LookUp'!$G$4:$H$104,2,TRUE))</f>
        <v/>
      </c>
      <c r="AQ57" s="94" t="str">
        <f t="shared" si="8"/>
        <v/>
      </c>
      <c r="AR57" s="46" t="str">
        <f>IF($AE57="","",VLOOKUP($AE57,'ORF Accuracy Value LookUp'!$G$4:$H$104,2,TRUE))</f>
        <v/>
      </c>
      <c r="AS57" s="140" t="str">
        <f t="shared" si="9"/>
        <v/>
      </c>
    </row>
    <row r="58" spans="1:45">
      <c r="A58" s="10"/>
      <c r="B58" s="12"/>
      <c r="C58" s="13"/>
      <c r="D58" s="14"/>
      <c r="E58" s="10"/>
      <c r="F58" s="11"/>
      <c r="G58" s="15"/>
      <c r="H58" s="87"/>
      <c r="I58" s="24"/>
      <c r="J58" s="24"/>
      <c r="K58" s="114" t="str">
        <f t="shared" si="0"/>
        <v/>
      </c>
      <c r="L58" s="24"/>
      <c r="M58" s="24"/>
      <c r="N58" s="24"/>
      <c r="O58" s="24"/>
      <c r="P58" s="97" t="str">
        <f t="shared" si="1"/>
        <v/>
      </c>
      <c r="Q58" s="113" t="str">
        <f t="shared" si="2"/>
        <v/>
      </c>
      <c r="R58" s="87"/>
      <c r="S58" s="24"/>
      <c r="T58" s="24"/>
      <c r="U58" s="78" t="str">
        <f t="shared" si="3"/>
        <v/>
      </c>
      <c r="V58" s="24"/>
      <c r="W58" s="24"/>
      <c r="X58" s="24"/>
      <c r="Y58" s="24"/>
      <c r="Z58" s="98" t="str">
        <f t="shared" si="4"/>
        <v/>
      </c>
      <c r="AA58" s="40" t="str">
        <f t="shared" si="10"/>
        <v/>
      </c>
      <c r="AB58" s="87"/>
      <c r="AC58" s="24"/>
      <c r="AD58" s="24"/>
      <c r="AE58" s="79" t="str">
        <f t="shared" si="5"/>
        <v/>
      </c>
      <c r="AF58" s="24"/>
      <c r="AG58" s="24"/>
      <c r="AH58" s="24"/>
      <c r="AI58" s="24"/>
      <c r="AJ58" s="99" t="str">
        <f t="shared" si="6"/>
        <v/>
      </c>
      <c r="AK58" s="31" t="str">
        <f t="shared" si="11"/>
        <v/>
      </c>
      <c r="AN58" s="139" t="str">
        <f>IF($K58="","",VLOOKUP($K58,'ORF Accuracy Value LookUp'!$G$4:$H$104,2,TRUE))</f>
        <v/>
      </c>
      <c r="AO58" s="94" t="str">
        <f t="shared" si="7"/>
        <v/>
      </c>
      <c r="AP58" s="47" t="str">
        <f>IF($U58="","",VLOOKUP($U58,'ORF Accuracy Value LookUp'!$G$4:$H$104,2,TRUE))</f>
        <v/>
      </c>
      <c r="AQ58" s="94" t="str">
        <f t="shared" si="8"/>
        <v/>
      </c>
      <c r="AR58" s="46" t="str">
        <f>IF($AE58="","",VLOOKUP($AE58,'ORF Accuracy Value LookUp'!$G$4:$H$104,2,TRUE))</f>
        <v/>
      </c>
      <c r="AS58" s="140" t="str">
        <f t="shared" si="9"/>
        <v/>
      </c>
    </row>
    <row r="59" spans="1:45">
      <c r="A59" s="10"/>
      <c r="B59" s="12"/>
      <c r="C59" s="13"/>
      <c r="D59" s="14"/>
      <c r="E59" s="10"/>
      <c r="F59" s="11"/>
      <c r="G59" s="15"/>
      <c r="H59" s="87"/>
      <c r="I59" s="24"/>
      <c r="J59" s="24"/>
      <c r="K59" s="114" t="str">
        <f t="shared" si="0"/>
        <v/>
      </c>
      <c r="L59" s="24"/>
      <c r="M59" s="24"/>
      <c r="N59" s="24"/>
      <c r="O59" s="24"/>
      <c r="P59" s="97" t="str">
        <f t="shared" si="1"/>
        <v/>
      </c>
      <c r="Q59" s="113" t="str">
        <f t="shared" si="2"/>
        <v/>
      </c>
      <c r="R59" s="87"/>
      <c r="S59" s="24"/>
      <c r="T59" s="24"/>
      <c r="U59" s="78" t="str">
        <f t="shared" si="3"/>
        <v/>
      </c>
      <c r="V59" s="24"/>
      <c r="W59" s="24"/>
      <c r="X59" s="24"/>
      <c r="Y59" s="24"/>
      <c r="Z59" s="98" t="str">
        <f t="shared" si="4"/>
        <v/>
      </c>
      <c r="AA59" s="40" t="str">
        <f t="shared" si="10"/>
        <v/>
      </c>
      <c r="AB59" s="87"/>
      <c r="AC59" s="24"/>
      <c r="AD59" s="24"/>
      <c r="AE59" s="79" t="str">
        <f t="shared" si="5"/>
        <v/>
      </c>
      <c r="AF59" s="24"/>
      <c r="AG59" s="24"/>
      <c r="AH59" s="24"/>
      <c r="AI59" s="24"/>
      <c r="AJ59" s="99" t="str">
        <f t="shared" si="6"/>
        <v/>
      </c>
      <c r="AK59" s="31" t="str">
        <f t="shared" si="11"/>
        <v/>
      </c>
      <c r="AN59" s="139" t="str">
        <f>IF($K59="","",VLOOKUP($K59,'ORF Accuracy Value LookUp'!$G$4:$H$104,2,TRUE))</f>
        <v/>
      </c>
      <c r="AO59" s="94" t="str">
        <f t="shared" si="7"/>
        <v/>
      </c>
      <c r="AP59" s="47" t="str">
        <f>IF($U59="","",VLOOKUP($U59,'ORF Accuracy Value LookUp'!$G$4:$H$104,2,TRUE))</f>
        <v/>
      </c>
      <c r="AQ59" s="94" t="str">
        <f t="shared" si="8"/>
        <v/>
      </c>
      <c r="AR59" s="46" t="str">
        <f>IF($AE59="","",VLOOKUP($AE59,'ORF Accuracy Value LookUp'!$G$4:$H$104,2,TRUE))</f>
        <v/>
      </c>
      <c r="AS59" s="140" t="str">
        <f t="shared" si="9"/>
        <v/>
      </c>
    </row>
    <row r="60" spans="1:45">
      <c r="A60" s="10"/>
      <c r="B60" s="12"/>
      <c r="C60" s="13"/>
      <c r="D60" s="14"/>
      <c r="E60" s="10"/>
      <c r="F60" s="11"/>
      <c r="G60" s="15"/>
      <c r="H60" s="87"/>
      <c r="I60" s="24"/>
      <c r="J60" s="24"/>
      <c r="K60" s="114" t="str">
        <f t="shared" si="0"/>
        <v/>
      </c>
      <c r="L60" s="24"/>
      <c r="M60" s="24"/>
      <c r="N60" s="24"/>
      <c r="O60" s="24"/>
      <c r="P60" s="97" t="str">
        <f t="shared" si="1"/>
        <v/>
      </c>
      <c r="Q60" s="113" t="str">
        <f t="shared" si="2"/>
        <v/>
      </c>
      <c r="R60" s="87"/>
      <c r="S60" s="24"/>
      <c r="T60" s="24"/>
      <c r="U60" s="78" t="str">
        <f t="shared" si="3"/>
        <v/>
      </c>
      <c r="V60" s="24"/>
      <c r="W60" s="24"/>
      <c r="X60" s="24"/>
      <c r="Y60" s="24"/>
      <c r="Z60" s="98" t="str">
        <f t="shared" si="4"/>
        <v/>
      </c>
      <c r="AA60" s="40" t="str">
        <f t="shared" si="10"/>
        <v/>
      </c>
      <c r="AB60" s="87"/>
      <c r="AC60" s="24"/>
      <c r="AD60" s="24"/>
      <c r="AE60" s="79" t="str">
        <f t="shared" si="5"/>
        <v/>
      </c>
      <c r="AF60" s="24"/>
      <c r="AG60" s="24"/>
      <c r="AH60" s="24"/>
      <c r="AI60" s="24"/>
      <c r="AJ60" s="99" t="str">
        <f t="shared" si="6"/>
        <v/>
      </c>
      <c r="AK60" s="31" t="str">
        <f t="shared" si="11"/>
        <v/>
      </c>
      <c r="AN60" s="139" t="str">
        <f>IF($K60="","",VLOOKUP($K60,'ORF Accuracy Value LookUp'!$G$4:$H$104,2,TRUE))</f>
        <v/>
      </c>
      <c r="AO60" s="94" t="str">
        <f t="shared" si="7"/>
        <v/>
      </c>
      <c r="AP60" s="47" t="str">
        <f>IF($U60="","",VLOOKUP($U60,'ORF Accuracy Value LookUp'!$G$4:$H$104,2,TRUE))</f>
        <v/>
      </c>
      <c r="AQ60" s="94" t="str">
        <f t="shared" si="8"/>
        <v/>
      </c>
      <c r="AR60" s="46" t="str">
        <f>IF($AE60="","",VLOOKUP($AE60,'ORF Accuracy Value LookUp'!$G$4:$H$104,2,TRUE))</f>
        <v/>
      </c>
      <c r="AS60" s="140" t="str">
        <f t="shared" si="9"/>
        <v/>
      </c>
    </row>
    <row r="61" spans="1:45">
      <c r="A61" s="10"/>
      <c r="B61" s="12"/>
      <c r="C61" s="13"/>
      <c r="D61" s="14"/>
      <c r="E61" s="10"/>
      <c r="F61" s="11"/>
      <c r="G61" s="15"/>
      <c r="H61" s="87"/>
      <c r="I61" s="24"/>
      <c r="J61" s="24"/>
      <c r="K61" s="114" t="str">
        <f t="shared" si="0"/>
        <v/>
      </c>
      <c r="L61" s="24"/>
      <c r="M61" s="24"/>
      <c r="N61" s="24"/>
      <c r="O61" s="24"/>
      <c r="P61" s="97" t="str">
        <f t="shared" si="1"/>
        <v/>
      </c>
      <c r="Q61" s="113" t="str">
        <f t="shared" si="2"/>
        <v/>
      </c>
      <c r="R61" s="87"/>
      <c r="S61" s="24"/>
      <c r="T61" s="24"/>
      <c r="U61" s="78" t="str">
        <f t="shared" si="3"/>
        <v/>
      </c>
      <c r="V61" s="24"/>
      <c r="W61" s="24"/>
      <c r="X61" s="24"/>
      <c r="Y61" s="24"/>
      <c r="Z61" s="98" t="str">
        <f t="shared" si="4"/>
        <v/>
      </c>
      <c r="AA61" s="40" t="str">
        <f t="shared" si="10"/>
        <v/>
      </c>
      <c r="AB61" s="87"/>
      <c r="AC61" s="24"/>
      <c r="AD61" s="24"/>
      <c r="AE61" s="79" t="str">
        <f t="shared" si="5"/>
        <v/>
      </c>
      <c r="AF61" s="24"/>
      <c r="AG61" s="24"/>
      <c r="AH61" s="24"/>
      <c r="AI61" s="24"/>
      <c r="AJ61" s="99" t="str">
        <f t="shared" si="6"/>
        <v/>
      </c>
      <c r="AK61" s="31" t="str">
        <f t="shared" si="11"/>
        <v/>
      </c>
      <c r="AN61" s="139" t="str">
        <f>IF($K61="","",VLOOKUP($K61,'ORF Accuracy Value LookUp'!$G$4:$H$104,2,TRUE))</f>
        <v/>
      </c>
      <c r="AO61" s="94" t="str">
        <f t="shared" si="7"/>
        <v/>
      </c>
      <c r="AP61" s="47" t="str">
        <f>IF($U61="","",VLOOKUP($U61,'ORF Accuracy Value LookUp'!$G$4:$H$104,2,TRUE))</f>
        <v/>
      </c>
      <c r="AQ61" s="94" t="str">
        <f t="shared" si="8"/>
        <v/>
      </c>
      <c r="AR61" s="46" t="str">
        <f>IF($AE61="","",VLOOKUP($AE61,'ORF Accuracy Value LookUp'!$G$4:$H$104,2,TRUE))</f>
        <v/>
      </c>
      <c r="AS61" s="140" t="str">
        <f t="shared" si="9"/>
        <v/>
      </c>
    </row>
    <row r="62" spans="1:45">
      <c r="A62" s="10"/>
      <c r="B62" s="12"/>
      <c r="C62" s="13"/>
      <c r="D62" s="14"/>
      <c r="E62" s="10"/>
      <c r="F62" s="11"/>
      <c r="G62" s="15"/>
      <c r="H62" s="87"/>
      <c r="I62" s="24"/>
      <c r="J62" s="24"/>
      <c r="K62" s="114" t="str">
        <f t="shared" si="0"/>
        <v/>
      </c>
      <c r="L62" s="24"/>
      <c r="M62" s="24"/>
      <c r="N62" s="24"/>
      <c r="O62" s="24"/>
      <c r="P62" s="97" t="str">
        <f t="shared" si="1"/>
        <v/>
      </c>
      <c r="Q62" s="113" t="str">
        <f t="shared" si="2"/>
        <v/>
      </c>
      <c r="R62" s="87"/>
      <c r="S62" s="24"/>
      <c r="T62" s="24"/>
      <c r="U62" s="78" t="str">
        <f t="shared" si="3"/>
        <v/>
      </c>
      <c r="V62" s="24"/>
      <c r="W62" s="24"/>
      <c r="X62" s="24"/>
      <c r="Y62" s="24"/>
      <c r="Z62" s="98" t="str">
        <f t="shared" si="4"/>
        <v/>
      </c>
      <c r="AA62" s="40" t="str">
        <f t="shared" si="10"/>
        <v/>
      </c>
      <c r="AB62" s="87"/>
      <c r="AC62" s="24"/>
      <c r="AD62" s="24"/>
      <c r="AE62" s="79" t="str">
        <f t="shared" si="5"/>
        <v/>
      </c>
      <c r="AF62" s="24"/>
      <c r="AG62" s="24"/>
      <c r="AH62" s="24"/>
      <c r="AI62" s="24"/>
      <c r="AJ62" s="99" t="str">
        <f t="shared" si="6"/>
        <v/>
      </c>
      <c r="AK62" s="31" t="str">
        <f t="shared" si="11"/>
        <v/>
      </c>
      <c r="AN62" s="139" t="str">
        <f>IF($K62="","",VLOOKUP($K62,'ORF Accuracy Value LookUp'!$G$4:$H$104,2,TRUE))</f>
        <v/>
      </c>
      <c r="AO62" s="94" t="str">
        <f t="shared" si="7"/>
        <v/>
      </c>
      <c r="AP62" s="47" t="str">
        <f>IF($U62="","",VLOOKUP($U62,'ORF Accuracy Value LookUp'!$G$4:$H$104,2,TRUE))</f>
        <v/>
      </c>
      <c r="AQ62" s="94" t="str">
        <f t="shared" si="8"/>
        <v/>
      </c>
      <c r="AR62" s="46" t="str">
        <f>IF($AE62="","",VLOOKUP($AE62,'ORF Accuracy Value LookUp'!$G$4:$H$104,2,TRUE))</f>
        <v/>
      </c>
      <c r="AS62" s="140" t="str">
        <f t="shared" si="9"/>
        <v/>
      </c>
    </row>
    <row r="63" spans="1:45">
      <c r="A63" s="10"/>
      <c r="B63" s="12"/>
      <c r="C63" s="13"/>
      <c r="D63" s="14"/>
      <c r="E63" s="10"/>
      <c r="F63" s="11"/>
      <c r="G63" s="15"/>
      <c r="H63" s="87"/>
      <c r="I63" s="24"/>
      <c r="J63" s="24"/>
      <c r="K63" s="114" t="str">
        <f t="shared" si="0"/>
        <v/>
      </c>
      <c r="L63" s="24"/>
      <c r="M63" s="24"/>
      <c r="N63" s="24"/>
      <c r="O63" s="24"/>
      <c r="P63" s="97" t="str">
        <f t="shared" si="1"/>
        <v/>
      </c>
      <c r="Q63" s="113" t="str">
        <f t="shared" si="2"/>
        <v/>
      </c>
      <c r="R63" s="87"/>
      <c r="S63" s="24"/>
      <c r="T63" s="24"/>
      <c r="U63" s="78" t="str">
        <f t="shared" si="3"/>
        <v/>
      </c>
      <c r="V63" s="24"/>
      <c r="W63" s="24"/>
      <c r="X63" s="24"/>
      <c r="Y63" s="24"/>
      <c r="Z63" s="98" t="str">
        <f t="shared" si="4"/>
        <v/>
      </c>
      <c r="AA63" s="40" t="str">
        <f t="shared" si="10"/>
        <v/>
      </c>
      <c r="AB63" s="87"/>
      <c r="AC63" s="24"/>
      <c r="AD63" s="24"/>
      <c r="AE63" s="79" t="str">
        <f t="shared" si="5"/>
        <v/>
      </c>
      <c r="AF63" s="24"/>
      <c r="AG63" s="24"/>
      <c r="AH63" s="24"/>
      <c r="AI63" s="24"/>
      <c r="AJ63" s="99" t="str">
        <f t="shared" si="6"/>
        <v/>
      </c>
      <c r="AK63" s="31" t="str">
        <f t="shared" si="11"/>
        <v/>
      </c>
      <c r="AN63" s="139" t="str">
        <f>IF($K63="","",VLOOKUP($K63,'ORF Accuracy Value LookUp'!$G$4:$H$104,2,TRUE))</f>
        <v/>
      </c>
      <c r="AO63" s="94" t="str">
        <f t="shared" si="7"/>
        <v/>
      </c>
      <c r="AP63" s="47" t="str">
        <f>IF($U63="","",VLOOKUP($U63,'ORF Accuracy Value LookUp'!$G$4:$H$104,2,TRUE))</f>
        <v/>
      </c>
      <c r="AQ63" s="94" t="str">
        <f t="shared" si="8"/>
        <v/>
      </c>
      <c r="AR63" s="46" t="str">
        <f>IF($AE63="","",VLOOKUP($AE63,'ORF Accuracy Value LookUp'!$G$4:$H$104,2,TRUE))</f>
        <v/>
      </c>
      <c r="AS63" s="140" t="str">
        <f t="shared" si="9"/>
        <v/>
      </c>
    </row>
    <row r="64" spans="1:45">
      <c r="A64" s="10"/>
      <c r="B64" s="12"/>
      <c r="C64" s="13"/>
      <c r="D64" s="14"/>
      <c r="E64" s="10"/>
      <c r="F64" s="11"/>
      <c r="G64" s="15"/>
      <c r="H64" s="87"/>
      <c r="I64" s="24"/>
      <c r="J64" s="24"/>
      <c r="K64" s="114" t="str">
        <f t="shared" si="0"/>
        <v/>
      </c>
      <c r="L64" s="24"/>
      <c r="M64" s="24"/>
      <c r="N64" s="24"/>
      <c r="O64" s="24"/>
      <c r="P64" s="97" t="str">
        <f t="shared" si="1"/>
        <v/>
      </c>
      <c r="Q64" s="113" t="str">
        <f t="shared" si="2"/>
        <v/>
      </c>
      <c r="R64" s="87"/>
      <c r="S64" s="24"/>
      <c r="T64" s="24"/>
      <c r="U64" s="78" t="str">
        <f t="shared" si="3"/>
        <v/>
      </c>
      <c r="V64" s="24"/>
      <c r="W64" s="24"/>
      <c r="X64" s="24"/>
      <c r="Y64" s="24"/>
      <c r="Z64" s="98" t="str">
        <f t="shared" si="4"/>
        <v/>
      </c>
      <c r="AA64" s="40" t="str">
        <f t="shared" si="10"/>
        <v/>
      </c>
      <c r="AB64" s="87"/>
      <c r="AC64" s="24"/>
      <c r="AD64" s="24"/>
      <c r="AE64" s="79" t="str">
        <f t="shared" si="5"/>
        <v/>
      </c>
      <c r="AF64" s="24"/>
      <c r="AG64" s="24"/>
      <c r="AH64" s="24"/>
      <c r="AI64" s="24"/>
      <c r="AJ64" s="99" t="str">
        <f t="shared" si="6"/>
        <v/>
      </c>
      <c r="AK64" s="31" t="str">
        <f t="shared" si="11"/>
        <v/>
      </c>
      <c r="AN64" s="139" t="str">
        <f>IF($K64="","",VLOOKUP($K64,'ORF Accuracy Value LookUp'!$G$4:$H$104,2,TRUE))</f>
        <v/>
      </c>
      <c r="AO64" s="94" t="str">
        <f t="shared" si="7"/>
        <v/>
      </c>
      <c r="AP64" s="47" t="str">
        <f>IF($U64="","",VLOOKUP($U64,'ORF Accuracy Value LookUp'!$G$4:$H$104,2,TRUE))</f>
        <v/>
      </c>
      <c r="AQ64" s="94" t="str">
        <f t="shared" si="8"/>
        <v/>
      </c>
      <c r="AR64" s="46" t="str">
        <f>IF($AE64="","",VLOOKUP($AE64,'ORF Accuracy Value LookUp'!$G$4:$H$104,2,TRUE))</f>
        <v/>
      </c>
      <c r="AS64" s="140" t="str">
        <f t="shared" si="9"/>
        <v/>
      </c>
    </row>
    <row r="65" spans="1:45">
      <c r="A65" s="10"/>
      <c r="B65" s="12"/>
      <c r="C65" s="13"/>
      <c r="D65" s="14"/>
      <c r="E65" s="10"/>
      <c r="F65" s="11"/>
      <c r="G65" s="15"/>
      <c r="H65" s="87"/>
      <c r="I65" s="24"/>
      <c r="J65" s="24"/>
      <c r="K65" s="114" t="str">
        <f t="shared" si="0"/>
        <v/>
      </c>
      <c r="L65" s="24"/>
      <c r="M65" s="24"/>
      <c r="N65" s="24"/>
      <c r="O65" s="24"/>
      <c r="P65" s="97" t="str">
        <f t="shared" si="1"/>
        <v/>
      </c>
      <c r="Q65" s="113" t="str">
        <f t="shared" si="2"/>
        <v/>
      </c>
      <c r="R65" s="87"/>
      <c r="S65" s="24"/>
      <c r="T65" s="24"/>
      <c r="U65" s="78" t="str">
        <f t="shared" si="3"/>
        <v/>
      </c>
      <c r="V65" s="24"/>
      <c r="W65" s="24"/>
      <c r="X65" s="24"/>
      <c r="Y65" s="24"/>
      <c r="Z65" s="98" t="str">
        <f t="shared" si="4"/>
        <v/>
      </c>
      <c r="AA65" s="40" t="str">
        <f t="shared" si="10"/>
        <v/>
      </c>
      <c r="AB65" s="87"/>
      <c r="AC65" s="24"/>
      <c r="AD65" s="24"/>
      <c r="AE65" s="79" t="str">
        <f t="shared" si="5"/>
        <v/>
      </c>
      <c r="AF65" s="24"/>
      <c r="AG65" s="24"/>
      <c r="AH65" s="24"/>
      <c r="AI65" s="24"/>
      <c r="AJ65" s="99" t="str">
        <f t="shared" si="6"/>
        <v/>
      </c>
      <c r="AK65" s="31" t="str">
        <f t="shared" si="11"/>
        <v/>
      </c>
      <c r="AN65" s="139" t="str">
        <f>IF($K65="","",VLOOKUP($K65,'ORF Accuracy Value LookUp'!$G$4:$H$104,2,TRUE))</f>
        <v/>
      </c>
      <c r="AO65" s="94" t="str">
        <f t="shared" si="7"/>
        <v/>
      </c>
      <c r="AP65" s="47" t="str">
        <f>IF($U65="","",VLOOKUP($U65,'ORF Accuracy Value LookUp'!$G$4:$H$104,2,TRUE))</f>
        <v/>
      </c>
      <c r="AQ65" s="94" t="str">
        <f t="shared" si="8"/>
        <v/>
      </c>
      <c r="AR65" s="46" t="str">
        <f>IF($AE65="","",VLOOKUP($AE65,'ORF Accuracy Value LookUp'!$G$4:$H$104,2,TRUE))</f>
        <v/>
      </c>
      <c r="AS65" s="140" t="str">
        <f t="shared" si="9"/>
        <v/>
      </c>
    </row>
    <row r="66" spans="1:45">
      <c r="A66" s="10"/>
      <c r="B66" s="12"/>
      <c r="C66" s="13"/>
      <c r="D66" s="14"/>
      <c r="E66" s="10"/>
      <c r="F66" s="11"/>
      <c r="G66" s="15"/>
      <c r="H66" s="87"/>
      <c r="I66" s="24"/>
      <c r="J66" s="24"/>
      <c r="K66" s="114" t="str">
        <f t="shared" si="0"/>
        <v/>
      </c>
      <c r="L66" s="24"/>
      <c r="M66" s="24"/>
      <c r="N66" s="24"/>
      <c r="O66" s="24"/>
      <c r="P66" s="97" t="str">
        <f t="shared" si="1"/>
        <v/>
      </c>
      <c r="Q66" s="113" t="str">
        <f t="shared" si="2"/>
        <v/>
      </c>
      <c r="R66" s="87"/>
      <c r="S66" s="24"/>
      <c r="T66" s="24"/>
      <c r="U66" s="78" t="str">
        <f t="shared" si="3"/>
        <v/>
      </c>
      <c r="V66" s="24"/>
      <c r="W66" s="24"/>
      <c r="X66" s="24"/>
      <c r="Y66" s="24"/>
      <c r="Z66" s="98" t="str">
        <f t="shared" si="4"/>
        <v/>
      </c>
      <c r="AA66" s="40" t="str">
        <f t="shared" si="10"/>
        <v/>
      </c>
      <c r="AB66" s="87"/>
      <c r="AC66" s="24"/>
      <c r="AD66" s="24"/>
      <c r="AE66" s="79" t="str">
        <f t="shared" si="5"/>
        <v/>
      </c>
      <c r="AF66" s="24"/>
      <c r="AG66" s="24"/>
      <c r="AH66" s="24"/>
      <c r="AI66" s="24"/>
      <c r="AJ66" s="99" t="str">
        <f t="shared" si="6"/>
        <v/>
      </c>
      <c r="AK66" s="31" t="str">
        <f t="shared" si="11"/>
        <v/>
      </c>
      <c r="AN66" s="139" t="str">
        <f>IF($K66="","",VLOOKUP($K66,'ORF Accuracy Value LookUp'!$G$4:$H$104,2,TRUE))</f>
        <v/>
      </c>
      <c r="AO66" s="94" t="str">
        <f t="shared" si="7"/>
        <v/>
      </c>
      <c r="AP66" s="47" t="str">
        <f>IF($U66="","",VLOOKUP($U66,'ORF Accuracy Value LookUp'!$G$4:$H$104,2,TRUE))</f>
        <v/>
      </c>
      <c r="AQ66" s="94" t="str">
        <f t="shared" si="8"/>
        <v/>
      </c>
      <c r="AR66" s="46" t="str">
        <f>IF($AE66="","",VLOOKUP($AE66,'ORF Accuracy Value LookUp'!$G$4:$H$104,2,TRUE))</f>
        <v/>
      </c>
      <c r="AS66" s="140" t="str">
        <f t="shared" si="9"/>
        <v/>
      </c>
    </row>
    <row r="67" spans="1:45">
      <c r="A67" s="10"/>
      <c r="B67" s="12"/>
      <c r="C67" s="13"/>
      <c r="D67" s="14"/>
      <c r="E67" s="10"/>
      <c r="F67" s="11"/>
      <c r="G67" s="15"/>
      <c r="H67" s="87"/>
      <c r="I67" s="24"/>
      <c r="J67" s="24"/>
      <c r="K67" s="114" t="str">
        <f t="shared" si="0"/>
        <v/>
      </c>
      <c r="L67" s="24"/>
      <c r="M67" s="24"/>
      <c r="N67" s="24"/>
      <c r="O67" s="24"/>
      <c r="P67" s="97" t="str">
        <f t="shared" si="1"/>
        <v/>
      </c>
      <c r="Q67" s="113" t="str">
        <f t="shared" si="2"/>
        <v/>
      </c>
      <c r="R67" s="87"/>
      <c r="S67" s="24"/>
      <c r="T67" s="24"/>
      <c r="U67" s="78" t="str">
        <f t="shared" si="3"/>
        <v/>
      </c>
      <c r="V67" s="24"/>
      <c r="W67" s="24"/>
      <c r="X67" s="24"/>
      <c r="Y67" s="24"/>
      <c r="Z67" s="98" t="str">
        <f t="shared" si="4"/>
        <v/>
      </c>
      <c r="AA67" s="40" t="str">
        <f t="shared" si="10"/>
        <v/>
      </c>
      <c r="AB67" s="87"/>
      <c r="AC67" s="24"/>
      <c r="AD67" s="24"/>
      <c r="AE67" s="79" t="str">
        <f t="shared" si="5"/>
        <v/>
      </c>
      <c r="AF67" s="24"/>
      <c r="AG67" s="24"/>
      <c r="AH67" s="24"/>
      <c r="AI67" s="24"/>
      <c r="AJ67" s="99" t="str">
        <f t="shared" si="6"/>
        <v/>
      </c>
      <c r="AK67" s="31" t="str">
        <f t="shared" si="11"/>
        <v/>
      </c>
      <c r="AN67" s="139" t="str">
        <f>IF($K67="","",VLOOKUP($K67,'ORF Accuracy Value LookUp'!$G$4:$H$104,2,TRUE))</f>
        <v/>
      </c>
      <c r="AO67" s="94" t="str">
        <f t="shared" si="7"/>
        <v/>
      </c>
      <c r="AP67" s="47" t="str">
        <f>IF($U67="","",VLOOKUP($U67,'ORF Accuracy Value LookUp'!$G$4:$H$104,2,TRUE))</f>
        <v/>
      </c>
      <c r="AQ67" s="94" t="str">
        <f t="shared" si="8"/>
        <v/>
      </c>
      <c r="AR67" s="46" t="str">
        <f>IF($AE67="","",VLOOKUP($AE67,'ORF Accuracy Value LookUp'!$G$4:$H$104,2,TRUE))</f>
        <v/>
      </c>
      <c r="AS67" s="140" t="str">
        <f t="shared" si="9"/>
        <v/>
      </c>
    </row>
    <row r="68" spans="1:45">
      <c r="A68" s="10"/>
      <c r="B68" s="12"/>
      <c r="C68" s="13"/>
      <c r="D68" s="14"/>
      <c r="E68" s="10"/>
      <c r="F68" s="11"/>
      <c r="G68" s="15"/>
      <c r="H68" s="87"/>
      <c r="I68" s="24"/>
      <c r="J68" s="24"/>
      <c r="K68" s="114" t="str">
        <f t="shared" si="0"/>
        <v/>
      </c>
      <c r="L68" s="24"/>
      <c r="M68" s="24"/>
      <c r="N68" s="24"/>
      <c r="O68" s="24"/>
      <c r="P68" s="97" t="str">
        <f t="shared" si="1"/>
        <v/>
      </c>
      <c r="Q68" s="113" t="str">
        <f t="shared" si="2"/>
        <v/>
      </c>
      <c r="R68" s="87"/>
      <c r="S68" s="24"/>
      <c r="T68" s="24"/>
      <c r="U68" s="78" t="str">
        <f t="shared" si="3"/>
        <v/>
      </c>
      <c r="V68" s="24"/>
      <c r="W68" s="24"/>
      <c r="X68" s="24"/>
      <c r="Y68" s="24"/>
      <c r="Z68" s="98" t="str">
        <f t="shared" si="4"/>
        <v/>
      </c>
      <c r="AA68" s="40" t="str">
        <f t="shared" si="10"/>
        <v/>
      </c>
      <c r="AB68" s="87"/>
      <c r="AC68" s="24"/>
      <c r="AD68" s="24"/>
      <c r="AE68" s="79" t="str">
        <f t="shared" si="5"/>
        <v/>
      </c>
      <c r="AF68" s="24"/>
      <c r="AG68" s="24"/>
      <c r="AH68" s="24"/>
      <c r="AI68" s="24"/>
      <c r="AJ68" s="99" t="str">
        <f t="shared" si="6"/>
        <v/>
      </c>
      <c r="AK68" s="31" t="str">
        <f t="shared" si="11"/>
        <v/>
      </c>
      <c r="AN68" s="139" t="str">
        <f>IF($K68="","",VLOOKUP($K68,'ORF Accuracy Value LookUp'!$G$4:$H$104,2,TRUE))</f>
        <v/>
      </c>
      <c r="AO68" s="94" t="str">
        <f t="shared" si="7"/>
        <v/>
      </c>
      <c r="AP68" s="47" t="str">
        <f>IF($U68="","",VLOOKUP($U68,'ORF Accuracy Value LookUp'!$G$4:$H$104,2,TRUE))</f>
        <v/>
      </c>
      <c r="AQ68" s="94" t="str">
        <f t="shared" si="8"/>
        <v/>
      </c>
      <c r="AR68" s="46" t="str">
        <f>IF($AE68="","",VLOOKUP($AE68,'ORF Accuracy Value LookUp'!$G$4:$H$104,2,TRUE))</f>
        <v/>
      </c>
      <c r="AS68" s="140" t="str">
        <f t="shared" si="9"/>
        <v/>
      </c>
    </row>
    <row r="69" spans="1:45">
      <c r="A69" s="10"/>
      <c r="B69" s="12"/>
      <c r="C69" s="13"/>
      <c r="D69" s="14"/>
      <c r="E69" s="10"/>
      <c r="F69" s="11"/>
      <c r="G69" s="15"/>
      <c r="H69" s="87"/>
      <c r="I69" s="24"/>
      <c r="J69" s="24"/>
      <c r="K69" s="114" t="str">
        <f t="shared" si="0"/>
        <v/>
      </c>
      <c r="L69" s="24"/>
      <c r="M69" s="24"/>
      <c r="N69" s="24"/>
      <c r="O69" s="24"/>
      <c r="P69" s="97" t="str">
        <f t="shared" si="1"/>
        <v/>
      </c>
      <c r="Q69" s="113" t="str">
        <f t="shared" si="2"/>
        <v/>
      </c>
      <c r="R69" s="87"/>
      <c r="S69" s="24"/>
      <c r="T69" s="24"/>
      <c r="U69" s="78" t="str">
        <f t="shared" si="3"/>
        <v/>
      </c>
      <c r="V69" s="24"/>
      <c r="W69" s="24"/>
      <c r="X69" s="24"/>
      <c r="Y69" s="24"/>
      <c r="Z69" s="98" t="str">
        <f t="shared" si="4"/>
        <v/>
      </c>
      <c r="AA69" s="40" t="str">
        <f t="shared" si="10"/>
        <v/>
      </c>
      <c r="AB69" s="87"/>
      <c r="AC69" s="24"/>
      <c r="AD69" s="24"/>
      <c r="AE69" s="79" t="str">
        <f t="shared" si="5"/>
        <v/>
      </c>
      <c r="AF69" s="24"/>
      <c r="AG69" s="24"/>
      <c r="AH69" s="24"/>
      <c r="AI69" s="24"/>
      <c r="AJ69" s="99" t="str">
        <f t="shared" si="6"/>
        <v/>
      </c>
      <c r="AK69" s="31" t="str">
        <f t="shared" si="11"/>
        <v/>
      </c>
      <c r="AN69" s="139" t="str">
        <f>IF($K69="","",VLOOKUP($K69,'ORF Accuracy Value LookUp'!$G$4:$H$104,2,TRUE))</f>
        <v/>
      </c>
      <c r="AO69" s="94" t="str">
        <f t="shared" si="7"/>
        <v/>
      </c>
      <c r="AP69" s="47" t="str">
        <f>IF($U69="","",VLOOKUP($U69,'ORF Accuracy Value LookUp'!$G$4:$H$104,2,TRUE))</f>
        <v/>
      </c>
      <c r="AQ69" s="94" t="str">
        <f t="shared" si="8"/>
        <v/>
      </c>
      <c r="AR69" s="46" t="str">
        <f>IF($AE69="","",VLOOKUP($AE69,'ORF Accuracy Value LookUp'!$G$4:$H$104,2,TRUE))</f>
        <v/>
      </c>
      <c r="AS69" s="140" t="str">
        <f t="shared" si="9"/>
        <v/>
      </c>
    </row>
    <row r="70" spans="1:45">
      <c r="A70" s="10"/>
      <c r="B70" s="12"/>
      <c r="C70" s="13"/>
      <c r="D70" s="14"/>
      <c r="E70" s="10"/>
      <c r="F70" s="11"/>
      <c r="G70" s="15"/>
      <c r="H70" s="87"/>
      <c r="I70" s="24"/>
      <c r="J70" s="24"/>
      <c r="K70" s="114" t="str">
        <f t="shared" si="0"/>
        <v/>
      </c>
      <c r="L70" s="24"/>
      <c r="M70" s="24"/>
      <c r="N70" s="24"/>
      <c r="O70" s="24"/>
      <c r="P70" s="97" t="str">
        <f t="shared" si="1"/>
        <v/>
      </c>
      <c r="Q70" s="113" t="str">
        <f t="shared" si="2"/>
        <v/>
      </c>
      <c r="R70" s="87"/>
      <c r="S70" s="24"/>
      <c r="T70" s="24"/>
      <c r="U70" s="78" t="str">
        <f t="shared" si="3"/>
        <v/>
      </c>
      <c r="V70" s="24"/>
      <c r="W70" s="24"/>
      <c r="X70" s="24"/>
      <c r="Y70" s="24"/>
      <c r="Z70" s="98" t="str">
        <f t="shared" si="4"/>
        <v/>
      </c>
      <c r="AA70" s="40" t="str">
        <f t="shared" si="10"/>
        <v/>
      </c>
      <c r="AB70" s="87"/>
      <c r="AC70" s="24"/>
      <c r="AD70" s="24"/>
      <c r="AE70" s="79" t="str">
        <f t="shared" si="5"/>
        <v/>
      </c>
      <c r="AF70" s="24"/>
      <c r="AG70" s="24"/>
      <c r="AH70" s="24"/>
      <c r="AI70" s="24"/>
      <c r="AJ70" s="99" t="str">
        <f t="shared" si="6"/>
        <v/>
      </c>
      <c r="AK70" s="31" t="str">
        <f t="shared" si="11"/>
        <v/>
      </c>
      <c r="AN70" s="139" t="str">
        <f>IF($K70="","",VLOOKUP($K70,'ORF Accuracy Value LookUp'!$G$4:$H$104,2,TRUE))</f>
        <v/>
      </c>
      <c r="AO70" s="94" t="str">
        <f t="shared" si="7"/>
        <v/>
      </c>
      <c r="AP70" s="47" t="str">
        <f>IF($U70="","",VLOOKUP($U70,'ORF Accuracy Value LookUp'!$G$4:$H$104,2,TRUE))</f>
        <v/>
      </c>
      <c r="AQ70" s="94" t="str">
        <f t="shared" si="8"/>
        <v/>
      </c>
      <c r="AR70" s="46" t="str">
        <f>IF($AE70="","",VLOOKUP($AE70,'ORF Accuracy Value LookUp'!$G$4:$H$104,2,TRUE))</f>
        <v/>
      </c>
      <c r="AS70" s="140" t="str">
        <f t="shared" si="9"/>
        <v/>
      </c>
    </row>
    <row r="71" spans="1:45">
      <c r="A71" s="10"/>
      <c r="B71" s="12"/>
      <c r="C71" s="13"/>
      <c r="D71" s="14"/>
      <c r="E71" s="10"/>
      <c r="F71" s="11"/>
      <c r="G71" s="15"/>
      <c r="H71" s="87"/>
      <c r="I71" s="24"/>
      <c r="J71" s="24"/>
      <c r="K71" s="114" t="str">
        <f t="shared" si="0"/>
        <v/>
      </c>
      <c r="L71" s="24"/>
      <c r="M71" s="24"/>
      <c r="N71" s="24"/>
      <c r="O71" s="24"/>
      <c r="P71" s="97" t="str">
        <f t="shared" si="1"/>
        <v/>
      </c>
      <c r="Q71" s="113" t="str">
        <f t="shared" si="2"/>
        <v/>
      </c>
      <c r="R71" s="87"/>
      <c r="S71" s="24"/>
      <c r="T71" s="24"/>
      <c r="U71" s="78" t="str">
        <f t="shared" si="3"/>
        <v/>
      </c>
      <c r="V71" s="24"/>
      <c r="W71" s="24"/>
      <c r="X71" s="24"/>
      <c r="Y71" s="24"/>
      <c r="Z71" s="98" t="str">
        <f t="shared" si="4"/>
        <v/>
      </c>
      <c r="AA71" s="40" t="str">
        <f t="shared" si="10"/>
        <v/>
      </c>
      <c r="AB71" s="87"/>
      <c r="AC71" s="24"/>
      <c r="AD71" s="24"/>
      <c r="AE71" s="79" t="str">
        <f t="shared" si="5"/>
        <v/>
      </c>
      <c r="AF71" s="24"/>
      <c r="AG71" s="24"/>
      <c r="AH71" s="24"/>
      <c r="AI71" s="24"/>
      <c r="AJ71" s="99" t="str">
        <f t="shared" si="6"/>
        <v/>
      </c>
      <c r="AK71" s="31" t="str">
        <f t="shared" si="11"/>
        <v/>
      </c>
      <c r="AN71" s="139" t="str">
        <f>IF($K71="","",VLOOKUP($K71,'ORF Accuracy Value LookUp'!$G$4:$H$104,2,TRUE))</f>
        <v/>
      </c>
      <c r="AO71" s="94" t="str">
        <f t="shared" si="7"/>
        <v/>
      </c>
      <c r="AP71" s="47" t="str">
        <f>IF($U71="","",VLOOKUP($U71,'ORF Accuracy Value LookUp'!$G$4:$H$104,2,TRUE))</f>
        <v/>
      </c>
      <c r="AQ71" s="94" t="str">
        <f t="shared" si="8"/>
        <v/>
      </c>
      <c r="AR71" s="46" t="str">
        <f>IF($AE71="","",VLOOKUP($AE71,'ORF Accuracy Value LookUp'!$G$4:$H$104,2,TRUE))</f>
        <v/>
      </c>
      <c r="AS71" s="140" t="str">
        <f t="shared" si="9"/>
        <v/>
      </c>
    </row>
    <row r="72" spans="1:45">
      <c r="A72" s="10"/>
      <c r="B72" s="12"/>
      <c r="C72" s="13"/>
      <c r="D72" s="14"/>
      <c r="E72" s="10"/>
      <c r="F72" s="11"/>
      <c r="G72" s="15"/>
      <c r="H72" s="87"/>
      <c r="I72" s="24"/>
      <c r="J72" s="24"/>
      <c r="K72" s="114" t="str">
        <f t="shared" ref="K72:K135" si="12">IF($I72="","",SUM($I72/($I72+$J72)))</f>
        <v/>
      </c>
      <c r="L72" s="24"/>
      <c r="M72" s="24"/>
      <c r="N72" s="24"/>
      <c r="O72" s="24"/>
      <c r="P72" s="97" t="str">
        <f t="shared" ref="P72:P135" si="13">IF($AO72&gt;0,$AO72,0)</f>
        <v/>
      </c>
      <c r="Q72" s="113" t="str">
        <f t="shared" ref="Q72:Q135" si="14">IF($B72="","",SUM($I72+$AN72+($L72*2)+($P72*2)))</f>
        <v/>
      </c>
      <c r="R72" s="87"/>
      <c r="S72" s="24"/>
      <c r="T72" s="24"/>
      <c r="U72" s="78" t="str">
        <f t="shared" ref="U72:U135" si="15">IF($S72="","",SUM($S72/($S72+$T72)))</f>
        <v/>
      </c>
      <c r="V72" s="24"/>
      <c r="W72" s="24"/>
      <c r="X72" s="24"/>
      <c r="Y72" s="24"/>
      <c r="Z72" s="98" t="str">
        <f t="shared" ref="Z72:Z135" si="16">IF($AQ72&gt;0,$AQ72,0)</f>
        <v/>
      </c>
      <c r="AA72" s="40" t="str">
        <f t="shared" si="10"/>
        <v/>
      </c>
      <c r="AB72" s="87"/>
      <c r="AC72" s="24"/>
      <c r="AD72" s="24"/>
      <c r="AE72" s="79" t="str">
        <f t="shared" ref="AE72:AE135" si="17">IF($AC72="","",SUM($AC72/($AC72+$AD72)))</f>
        <v/>
      </c>
      <c r="AF72" s="24"/>
      <c r="AG72" s="24"/>
      <c r="AH72" s="24"/>
      <c r="AI72" s="24"/>
      <c r="AJ72" s="99" t="str">
        <f t="shared" ref="AJ72:AJ135" si="18">IF($AS72&gt;0,$AS72,0)</f>
        <v/>
      </c>
      <c r="AK72" s="31" t="str">
        <f t="shared" si="11"/>
        <v/>
      </c>
      <c r="AN72" s="139" t="str">
        <f>IF($K72="","",VLOOKUP($K72,'ORF Accuracy Value LookUp'!$G$4:$H$104,2,TRUE))</f>
        <v/>
      </c>
      <c r="AO72" s="94" t="str">
        <f t="shared" ref="AO72:AO135" si="19">IF($N72="","",($N72-($O72/2)))</f>
        <v/>
      </c>
      <c r="AP72" s="47" t="str">
        <f>IF($U72="","",VLOOKUP($U72,'ORF Accuracy Value LookUp'!$G$4:$H$104,2,TRUE))</f>
        <v/>
      </c>
      <c r="AQ72" s="94" t="str">
        <f t="shared" ref="AQ72:AQ135" si="20">IF($X72="","",$X72-($Y72/2))</f>
        <v/>
      </c>
      <c r="AR72" s="46" t="str">
        <f>IF($AE72="","",VLOOKUP($AE72,'ORF Accuracy Value LookUp'!$G$4:$H$104,2,TRUE))</f>
        <v/>
      </c>
      <c r="AS72" s="140" t="str">
        <f t="shared" ref="AS72:AS135" si="21">IF($AH72="","",$AH72-($AI72/2))</f>
        <v/>
      </c>
    </row>
    <row r="73" spans="1:45">
      <c r="A73" s="10"/>
      <c r="B73" s="12"/>
      <c r="C73" s="13"/>
      <c r="D73" s="14"/>
      <c r="E73" s="10"/>
      <c r="F73" s="11"/>
      <c r="G73" s="15"/>
      <c r="H73" s="87"/>
      <c r="I73" s="24"/>
      <c r="J73" s="24"/>
      <c r="K73" s="114" t="str">
        <f t="shared" si="12"/>
        <v/>
      </c>
      <c r="L73" s="24"/>
      <c r="M73" s="24"/>
      <c r="N73" s="24"/>
      <c r="O73" s="24"/>
      <c r="P73" s="97" t="str">
        <f t="shared" si="13"/>
        <v/>
      </c>
      <c r="Q73" s="113" t="str">
        <f t="shared" si="14"/>
        <v/>
      </c>
      <c r="R73" s="87"/>
      <c r="S73" s="24"/>
      <c r="T73" s="24"/>
      <c r="U73" s="78" t="str">
        <f t="shared" si="15"/>
        <v/>
      </c>
      <c r="V73" s="24"/>
      <c r="W73" s="24"/>
      <c r="X73" s="24"/>
      <c r="Y73" s="24"/>
      <c r="Z73" s="98" t="str">
        <f t="shared" si="16"/>
        <v/>
      </c>
      <c r="AA73" s="40" t="str">
        <f t="shared" ref="AA73:AA136" si="22">IF($R73="","",SUM($S73+$AP73+($V73*2)+($Z73*4)))</f>
        <v/>
      </c>
      <c r="AB73" s="87"/>
      <c r="AC73" s="24"/>
      <c r="AD73" s="24"/>
      <c r="AE73" s="79" t="str">
        <f t="shared" si="17"/>
        <v/>
      </c>
      <c r="AF73" s="24"/>
      <c r="AG73" s="24"/>
      <c r="AH73" s="24"/>
      <c r="AI73" s="24"/>
      <c r="AJ73" s="99" t="str">
        <f t="shared" si="18"/>
        <v/>
      </c>
      <c r="AK73" s="31" t="str">
        <f t="shared" ref="AK73:AK136" si="23">IF($AB73="","",SUM($AC73+$AR73+($AF73*2)+($AJ73*4)))</f>
        <v/>
      </c>
      <c r="AN73" s="139" t="str">
        <f>IF($K73="","",VLOOKUP($K73,'ORF Accuracy Value LookUp'!$G$4:$H$104,2,TRUE))</f>
        <v/>
      </c>
      <c r="AO73" s="94" t="str">
        <f t="shared" si="19"/>
        <v/>
      </c>
      <c r="AP73" s="47" t="str">
        <f>IF($U73="","",VLOOKUP($U73,'ORF Accuracy Value LookUp'!$G$4:$H$104,2,TRUE))</f>
        <v/>
      </c>
      <c r="AQ73" s="94" t="str">
        <f t="shared" si="20"/>
        <v/>
      </c>
      <c r="AR73" s="46" t="str">
        <f>IF($AE73="","",VLOOKUP($AE73,'ORF Accuracy Value LookUp'!$G$4:$H$104,2,TRUE))</f>
        <v/>
      </c>
      <c r="AS73" s="140" t="str">
        <f t="shared" si="21"/>
        <v/>
      </c>
    </row>
    <row r="74" spans="1:45">
      <c r="A74" s="10"/>
      <c r="B74" s="12"/>
      <c r="C74" s="13"/>
      <c r="D74" s="14"/>
      <c r="E74" s="10"/>
      <c r="F74" s="11"/>
      <c r="G74" s="15"/>
      <c r="H74" s="87"/>
      <c r="I74" s="24"/>
      <c r="J74" s="24"/>
      <c r="K74" s="114" t="str">
        <f t="shared" si="12"/>
        <v/>
      </c>
      <c r="L74" s="24"/>
      <c r="M74" s="24"/>
      <c r="N74" s="24"/>
      <c r="O74" s="24"/>
      <c r="P74" s="97" t="str">
        <f t="shared" si="13"/>
        <v/>
      </c>
      <c r="Q74" s="113" t="str">
        <f t="shared" si="14"/>
        <v/>
      </c>
      <c r="R74" s="87"/>
      <c r="S74" s="24"/>
      <c r="T74" s="24"/>
      <c r="U74" s="78" t="str">
        <f t="shared" si="15"/>
        <v/>
      </c>
      <c r="V74" s="24"/>
      <c r="W74" s="24"/>
      <c r="X74" s="24"/>
      <c r="Y74" s="24"/>
      <c r="Z74" s="98" t="str">
        <f t="shared" si="16"/>
        <v/>
      </c>
      <c r="AA74" s="40" t="str">
        <f t="shared" si="22"/>
        <v/>
      </c>
      <c r="AB74" s="87"/>
      <c r="AC74" s="24"/>
      <c r="AD74" s="24"/>
      <c r="AE74" s="79" t="str">
        <f t="shared" si="17"/>
        <v/>
      </c>
      <c r="AF74" s="24"/>
      <c r="AG74" s="24"/>
      <c r="AH74" s="24"/>
      <c r="AI74" s="24"/>
      <c r="AJ74" s="99" t="str">
        <f t="shared" si="18"/>
        <v/>
      </c>
      <c r="AK74" s="31" t="str">
        <f t="shared" si="23"/>
        <v/>
      </c>
      <c r="AN74" s="139" t="str">
        <f>IF($K74="","",VLOOKUP($K74,'ORF Accuracy Value LookUp'!$G$4:$H$104,2,TRUE))</f>
        <v/>
      </c>
      <c r="AO74" s="94" t="str">
        <f t="shared" si="19"/>
        <v/>
      </c>
      <c r="AP74" s="47" t="str">
        <f>IF($U74="","",VLOOKUP($U74,'ORF Accuracy Value LookUp'!$G$4:$H$104,2,TRUE))</f>
        <v/>
      </c>
      <c r="AQ74" s="94" t="str">
        <f t="shared" si="20"/>
        <v/>
      </c>
      <c r="AR74" s="46" t="str">
        <f>IF($AE74="","",VLOOKUP($AE74,'ORF Accuracy Value LookUp'!$G$4:$H$104,2,TRUE))</f>
        <v/>
      </c>
      <c r="AS74" s="140" t="str">
        <f t="shared" si="21"/>
        <v/>
      </c>
    </row>
    <row r="75" spans="1:45">
      <c r="A75" s="10"/>
      <c r="B75" s="12"/>
      <c r="C75" s="13"/>
      <c r="D75" s="14"/>
      <c r="E75" s="10"/>
      <c r="F75" s="11"/>
      <c r="G75" s="15"/>
      <c r="H75" s="87"/>
      <c r="I75" s="24"/>
      <c r="J75" s="24"/>
      <c r="K75" s="114" t="str">
        <f t="shared" si="12"/>
        <v/>
      </c>
      <c r="L75" s="24"/>
      <c r="M75" s="24"/>
      <c r="N75" s="24"/>
      <c r="O75" s="24"/>
      <c r="P75" s="97" t="str">
        <f t="shared" si="13"/>
        <v/>
      </c>
      <c r="Q75" s="113" t="str">
        <f t="shared" si="14"/>
        <v/>
      </c>
      <c r="R75" s="87"/>
      <c r="S75" s="24"/>
      <c r="T75" s="24"/>
      <c r="U75" s="78" t="str">
        <f t="shared" si="15"/>
        <v/>
      </c>
      <c r="V75" s="24"/>
      <c r="W75" s="24"/>
      <c r="X75" s="24"/>
      <c r="Y75" s="24"/>
      <c r="Z75" s="98" t="str">
        <f t="shared" si="16"/>
        <v/>
      </c>
      <c r="AA75" s="40" t="str">
        <f t="shared" si="22"/>
        <v/>
      </c>
      <c r="AB75" s="87"/>
      <c r="AC75" s="24"/>
      <c r="AD75" s="24"/>
      <c r="AE75" s="79" t="str">
        <f t="shared" si="17"/>
        <v/>
      </c>
      <c r="AF75" s="24"/>
      <c r="AG75" s="24"/>
      <c r="AH75" s="24"/>
      <c r="AI75" s="24"/>
      <c r="AJ75" s="99" t="str">
        <f t="shared" si="18"/>
        <v/>
      </c>
      <c r="AK75" s="31" t="str">
        <f t="shared" si="23"/>
        <v/>
      </c>
      <c r="AN75" s="139" t="str">
        <f>IF($K75="","",VLOOKUP($K75,'ORF Accuracy Value LookUp'!$G$4:$H$104,2,TRUE))</f>
        <v/>
      </c>
      <c r="AO75" s="94" t="str">
        <f t="shared" si="19"/>
        <v/>
      </c>
      <c r="AP75" s="47" t="str">
        <f>IF($U75="","",VLOOKUP($U75,'ORF Accuracy Value LookUp'!$G$4:$H$104,2,TRUE))</f>
        <v/>
      </c>
      <c r="AQ75" s="94" t="str">
        <f t="shared" si="20"/>
        <v/>
      </c>
      <c r="AR75" s="46" t="str">
        <f>IF($AE75="","",VLOOKUP($AE75,'ORF Accuracy Value LookUp'!$G$4:$H$104,2,TRUE))</f>
        <v/>
      </c>
      <c r="AS75" s="140" t="str">
        <f t="shared" si="21"/>
        <v/>
      </c>
    </row>
    <row r="76" spans="1:45">
      <c r="A76" s="10"/>
      <c r="B76" s="12"/>
      <c r="C76" s="13"/>
      <c r="D76" s="14"/>
      <c r="E76" s="10"/>
      <c r="F76" s="11"/>
      <c r="G76" s="15"/>
      <c r="H76" s="87"/>
      <c r="I76" s="24"/>
      <c r="J76" s="24"/>
      <c r="K76" s="114" t="str">
        <f t="shared" si="12"/>
        <v/>
      </c>
      <c r="L76" s="24"/>
      <c r="M76" s="24"/>
      <c r="N76" s="24"/>
      <c r="O76" s="24"/>
      <c r="P76" s="97" t="str">
        <f t="shared" si="13"/>
        <v/>
      </c>
      <c r="Q76" s="113" t="str">
        <f t="shared" si="14"/>
        <v/>
      </c>
      <c r="R76" s="87"/>
      <c r="S76" s="24"/>
      <c r="T76" s="24"/>
      <c r="U76" s="78" t="str">
        <f t="shared" si="15"/>
        <v/>
      </c>
      <c r="V76" s="24"/>
      <c r="W76" s="24"/>
      <c r="X76" s="24"/>
      <c r="Y76" s="24"/>
      <c r="Z76" s="98" t="str">
        <f t="shared" si="16"/>
        <v/>
      </c>
      <c r="AA76" s="40" t="str">
        <f t="shared" si="22"/>
        <v/>
      </c>
      <c r="AB76" s="87"/>
      <c r="AC76" s="24"/>
      <c r="AD76" s="24"/>
      <c r="AE76" s="79" t="str">
        <f t="shared" si="17"/>
        <v/>
      </c>
      <c r="AF76" s="24"/>
      <c r="AG76" s="24"/>
      <c r="AH76" s="24"/>
      <c r="AI76" s="24"/>
      <c r="AJ76" s="99" t="str">
        <f t="shared" si="18"/>
        <v/>
      </c>
      <c r="AK76" s="31" t="str">
        <f t="shared" si="23"/>
        <v/>
      </c>
      <c r="AN76" s="139" t="str">
        <f>IF($K76="","",VLOOKUP($K76,'ORF Accuracy Value LookUp'!$G$4:$H$104,2,TRUE))</f>
        <v/>
      </c>
      <c r="AO76" s="94" t="str">
        <f t="shared" si="19"/>
        <v/>
      </c>
      <c r="AP76" s="47" t="str">
        <f>IF($U76="","",VLOOKUP($U76,'ORF Accuracy Value LookUp'!$G$4:$H$104,2,TRUE))</f>
        <v/>
      </c>
      <c r="AQ76" s="94" t="str">
        <f t="shared" si="20"/>
        <v/>
      </c>
      <c r="AR76" s="46" t="str">
        <f>IF($AE76="","",VLOOKUP($AE76,'ORF Accuracy Value LookUp'!$G$4:$H$104,2,TRUE))</f>
        <v/>
      </c>
      <c r="AS76" s="140" t="str">
        <f t="shared" si="21"/>
        <v/>
      </c>
    </row>
    <row r="77" spans="1:45">
      <c r="A77" s="10"/>
      <c r="B77" s="12"/>
      <c r="C77" s="13"/>
      <c r="D77" s="14"/>
      <c r="E77" s="10"/>
      <c r="F77" s="11"/>
      <c r="G77" s="15"/>
      <c r="H77" s="87"/>
      <c r="I77" s="24"/>
      <c r="J77" s="24"/>
      <c r="K77" s="114" t="str">
        <f t="shared" si="12"/>
        <v/>
      </c>
      <c r="L77" s="24"/>
      <c r="M77" s="24"/>
      <c r="N77" s="24"/>
      <c r="O77" s="24"/>
      <c r="P77" s="97" t="str">
        <f t="shared" si="13"/>
        <v/>
      </c>
      <c r="Q77" s="113" t="str">
        <f t="shared" si="14"/>
        <v/>
      </c>
      <c r="R77" s="87"/>
      <c r="S77" s="24"/>
      <c r="T77" s="24"/>
      <c r="U77" s="78" t="str">
        <f t="shared" si="15"/>
        <v/>
      </c>
      <c r="V77" s="24"/>
      <c r="W77" s="24"/>
      <c r="X77" s="24"/>
      <c r="Y77" s="24"/>
      <c r="Z77" s="98" t="str">
        <f t="shared" si="16"/>
        <v/>
      </c>
      <c r="AA77" s="40" t="str">
        <f t="shared" si="22"/>
        <v/>
      </c>
      <c r="AB77" s="87"/>
      <c r="AC77" s="24"/>
      <c r="AD77" s="24"/>
      <c r="AE77" s="79" t="str">
        <f t="shared" si="17"/>
        <v/>
      </c>
      <c r="AF77" s="24"/>
      <c r="AG77" s="24"/>
      <c r="AH77" s="24"/>
      <c r="AI77" s="24"/>
      <c r="AJ77" s="99" t="str">
        <f t="shared" si="18"/>
        <v/>
      </c>
      <c r="AK77" s="31" t="str">
        <f t="shared" si="23"/>
        <v/>
      </c>
      <c r="AN77" s="139" t="str">
        <f>IF($K77="","",VLOOKUP($K77,'ORF Accuracy Value LookUp'!$G$4:$H$104,2,TRUE))</f>
        <v/>
      </c>
      <c r="AO77" s="94" t="str">
        <f t="shared" si="19"/>
        <v/>
      </c>
      <c r="AP77" s="47" t="str">
        <f>IF($U77="","",VLOOKUP($U77,'ORF Accuracy Value LookUp'!$G$4:$H$104,2,TRUE))</f>
        <v/>
      </c>
      <c r="AQ77" s="94" t="str">
        <f t="shared" si="20"/>
        <v/>
      </c>
      <c r="AR77" s="46" t="str">
        <f>IF($AE77="","",VLOOKUP($AE77,'ORF Accuracy Value LookUp'!$G$4:$H$104,2,TRUE))</f>
        <v/>
      </c>
      <c r="AS77" s="140" t="str">
        <f t="shared" si="21"/>
        <v/>
      </c>
    </row>
    <row r="78" spans="1:45">
      <c r="A78" s="10"/>
      <c r="B78" s="12"/>
      <c r="C78" s="13"/>
      <c r="D78" s="14"/>
      <c r="E78" s="10"/>
      <c r="F78" s="11"/>
      <c r="G78" s="15"/>
      <c r="H78" s="87"/>
      <c r="I78" s="24"/>
      <c r="J78" s="24"/>
      <c r="K78" s="114" t="str">
        <f t="shared" si="12"/>
        <v/>
      </c>
      <c r="L78" s="24"/>
      <c r="M78" s="24"/>
      <c r="N78" s="24"/>
      <c r="O78" s="24"/>
      <c r="P78" s="97" t="str">
        <f t="shared" si="13"/>
        <v/>
      </c>
      <c r="Q78" s="113" t="str">
        <f t="shared" si="14"/>
        <v/>
      </c>
      <c r="R78" s="87"/>
      <c r="S78" s="24"/>
      <c r="T78" s="24"/>
      <c r="U78" s="78" t="str">
        <f t="shared" si="15"/>
        <v/>
      </c>
      <c r="V78" s="24"/>
      <c r="W78" s="24"/>
      <c r="X78" s="24"/>
      <c r="Y78" s="24"/>
      <c r="Z78" s="98" t="str">
        <f t="shared" si="16"/>
        <v/>
      </c>
      <c r="AA78" s="40" t="str">
        <f t="shared" si="22"/>
        <v/>
      </c>
      <c r="AB78" s="87"/>
      <c r="AC78" s="24"/>
      <c r="AD78" s="24"/>
      <c r="AE78" s="79" t="str">
        <f t="shared" si="17"/>
        <v/>
      </c>
      <c r="AF78" s="24"/>
      <c r="AG78" s="24"/>
      <c r="AH78" s="24"/>
      <c r="AI78" s="24"/>
      <c r="AJ78" s="99" t="str">
        <f t="shared" si="18"/>
        <v/>
      </c>
      <c r="AK78" s="31" t="str">
        <f t="shared" si="23"/>
        <v/>
      </c>
      <c r="AN78" s="139" t="str">
        <f>IF($K78="","",VLOOKUP($K78,'ORF Accuracy Value LookUp'!$G$4:$H$104,2,TRUE))</f>
        <v/>
      </c>
      <c r="AO78" s="94" t="str">
        <f t="shared" si="19"/>
        <v/>
      </c>
      <c r="AP78" s="47" t="str">
        <f>IF($U78="","",VLOOKUP($U78,'ORF Accuracy Value LookUp'!$G$4:$H$104,2,TRUE))</f>
        <v/>
      </c>
      <c r="AQ78" s="94" t="str">
        <f t="shared" si="20"/>
        <v/>
      </c>
      <c r="AR78" s="46" t="str">
        <f>IF($AE78="","",VLOOKUP($AE78,'ORF Accuracy Value LookUp'!$G$4:$H$104,2,TRUE))</f>
        <v/>
      </c>
      <c r="AS78" s="140" t="str">
        <f t="shared" si="21"/>
        <v/>
      </c>
    </row>
    <row r="79" spans="1:45">
      <c r="A79" s="10"/>
      <c r="B79" s="12"/>
      <c r="C79" s="13"/>
      <c r="D79" s="14"/>
      <c r="E79" s="10"/>
      <c r="F79" s="11"/>
      <c r="G79" s="15"/>
      <c r="H79" s="87"/>
      <c r="I79" s="24"/>
      <c r="J79" s="24"/>
      <c r="K79" s="114" t="str">
        <f t="shared" si="12"/>
        <v/>
      </c>
      <c r="L79" s="24"/>
      <c r="M79" s="24"/>
      <c r="N79" s="24"/>
      <c r="O79" s="24"/>
      <c r="P79" s="97" t="str">
        <f t="shared" si="13"/>
        <v/>
      </c>
      <c r="Q79" s="113" t="str">
        <f t="shared" si="14"/>
        <v/>
      </c>
      <c r="R79" s="87"/>
      <c r="S79" s="24"/>
      <c r="T79" s="24"/>
      <c r="U79" s="78" t="str">
        <f t="shared" si="15"/>
        <v/>
      </c>
      <c r="V79" s="24"/>
      <c r="W79" s="24"/>
      <c r="X79" s="24"/>
      <c r="Y79" s="24"/>
      <c r="Z79" s="98" t="str">
        <f t="shared" si="16"/>
        <v/>
      </c>
      <c r="AA79" s="40" t="str">
        <f t="shared" si="22"/>
        <v/>
      </c>
      <c r="AB79" s="87"/>
      <c r="AC79" s="24"/>
      <c r="AD79" s="24"/>
      <c r="AE79" s="79" t="str">
        <f t="shared" si="17"/>
        <v/>
      </c>
      <c r="AF79" s="24"/>
      <c r="AG79" s="24"/>
      <c r="AH79" s="24"/>
      <c r="AI79" s="24"/>
      <c r="AJ79" s="99" t="str">
        <f t="shared" si="18"/>
        <v/>
      </c>
      <c r="AK79" s="31" t="str">
        <f t="shared" si="23"/>
        <v/>
      </c>
      <c r="AN79" s="139" t="str">
        <f>IF($K79="","",VLOOKUP($K79,'ORF Accuracy Value LookUp'!$G$4:$H$104,2,TRUE))</f>
        <v/>
      </c>
      <c r="AO79" s="94" t="str">
        <f t="shared" si="19"/>
        <v/>
      </c>
      <c r="AP79" s="47" t="str">
        <f>IF($U79="","",VLOOKUP($U79,'ORF Accuracy Value LookUp'!$G$4:$H$104,2,TRUE))</f>
        <v/>
      </c>
      <c r="AQ79" s="94" t="str">
        <f t="shared" si="20"/>
        <v/>
      </c>
      <c r="AR79" s="46" t="str">
        <f>IF($AE79="","",VLOOKUP($AE79,'ORF Accuracy Value LookUp'!$G$4:$H$104,2,TRUE))</f>
        <v/>
      </c>
      <c r="AS79" s="140" t="str">
        <f t="shared" si="21"/>
        <v/>
      </c>
    </row>
    <row r="80" spans="1:45">
      <c r="A80" s="10"/>
      <c r="B80" s="12"/>
      <c r="C80" s="13"/>
      <c r="D80" s="14"/>
      <c r="E80" s="10"/>
      <c r="F80" s="11"/>
      <c r="G80" s="15"/>
      <c r="H80" s="87"/>
      <c r="I80" s="24"/>
      <c r="J80" s="24"/>
      <c r="K80" s="114" t="str">
        <f t="shared" si="12"/>
        <v/>
      </c>
      <c r="L80" s="24"/>
      <c r="M80" s="24"/>
      <c r="N80" s="24"/>
      <c r="O80" s="24"/>
      <c r="P80" s="97" t="str">
        <f t="shared" si="13"/>
        <v/>
      </c>
      <c r="Q80" s="113" t="str">
        <f t="shared" si="14"/>
        <v/>
      </c>
      <c r="R80" s="87"/>
      <c r="S80" s="24"/>
      <c r="T80" s="24"/>
      <c r="U80" s="78" t="str">
        <f t="shared" si="15"/>
        <v/>
      </c>
      <c r="V80" s="24"/>
      <c r="W80" s="24"/>
      <c r="X80" s="24"/>
      <c r="Y80" s="24"/>
      <c r="Z80" s="98" t="str">
        <f t="shared" si="16"/>
        <v/>
      </c>
      <c r="AA80" s="40" t="str">
        <f t="shared" si="22"/>
        <v/>
      </c>
      <c r="AB80" s="87"/>
      <c r="AC80" s="24"/>
      <c r="AD80" s="24"/>
      <c r="AE80" s="79" t="str">
        <f t="shared" si="17"/>
        <v/>
      </c>
      <c r="AF80" s="24"/>
      <c r="AG80" s="24"/>
      <c r="AH80" s="24"/>
      <c r="AI80" s="24"/>
      <c r="AJ80" s="99" t="str">
        <f t="shared" si="18"/>
        <v/>
      </c>
      <c r="AK80" s="31" t="str">
        <f t="shared" si="23"/>
        <v/>
      </c>
      <c r="AN80" s="139" t="str">
        <f>IF($K80="","",VLOOKUP($K80,'ORF Accuracy Value LookUp'!$G$4:$H$104,2,TRUE))</f>
        <v/>
      </c>
      <c r="AO80" s="94" t="str">
        <f t="shared" si="19"/>
        <v/>
      </c>
      <c r="AP80" s="47" t="str">
        <f>IF($U80="","",VLOOKUP($U80,'ORF Accuracy Value LookUp'!$G$4:$H$104,2,TRUE))</f>
        <v/>
      </c>
      <c r="AQ80" s="94" t="str">
        <f t="shared" si="20"/>
        <v/>
      </c>
      <c r="AR80" s="46" t="str">
        <f>IF($AE80="","",VLOOKUP($AE80,'ORF Accuracy Value LookUp'!$G$4:$H$104,2,TRUE))</f>
        <v/>
      </c>
      <c r="AS80" s="140" t="str">
        <f t="shared" si="21"/>
        <v/>
      </c>
    </row>
    <row r="81" spans="1:45">
      <c r="A81" s="10"/>
      <c r="B81" s="12"/>
      <c r="C81" s="13"/>
      <c r="D81" s="14"/>
      <c r="E81" s="10"/>
      <c r="F81" s="11"/>
      <c r="G81" s="15"/>
      <c r="H81" s="87"/>
      <c r="I81" s="24"/>
      <c r="J81" s="24"/>
      <c r="K81" s="114" t="str">
        <f t="shared" si="12"/>
        <v/>
      </c>
      <c r="L81" s="24"/>
      <c r="M81" s="24"/>
      <c r="N81" s="24"/>
      <c r="O81" s="24"/>
      <c r="P81" s="97" t="str">
        <f t="shared" si="13"/>
        <v/>
      </c>
      <c r="Q81" s="113" t="str">
        <f t="shared" si="14"/>
        <v/>
      </c>
      <c r="R81" s="87"/>
      <c r="S81" s="24"/>
      <c r="T81" s="24"/>
      <c r="U81" s="78" t="str">
        <f t="shared" si="15"/>
        <v/>
      </c>
      <c r="V81" s="24"/>
      <c r="W81" s="24"/>
      <c r="X81" s="24"/>
      <c r="Y81" s="24"/>
      <c r="Z81" s="98" t="str">
        <f t="shared" si="16"/>
        <v/>
      </c>
      <c r="AA81" s="40" t="str">
        <f t="shared" si="22"/>
        <v/>
      </c>
      <c r="AB81" s="87"/>
      <c r="AC81" s="24"/>
      <c r="AD81" s="24"/>
      <c r="AE81" s="79" t="str">
        <f t="shared" si="17"/>
        <v/>
      </c>
      <c r="AF81" s="24"/>
      <c r="AG81" s="24"/>
      <c r="AH81" s="24"/>
      <c r="AI81" s="24"/>
      <c r="AJ81" s="99" t="str">
        <f t="shared" si="18"/>
        <v/>
      </c>
      <c r="AK81" s="31" t="str">
        <f t="shared" si="23"/>
        <v/>
      </c>
      <c r="AN81" s="139" t="str">
        <f>IF($K81="","",VLOOKUP($K81,'ORF Accuracy Value LookUp'!$G$4:$H$104,2,TRUE))</f>
        <v/>
      </c>
      <c r="AO81" s="94" t="str">
        <f t="shared" si="19"/>
        <v/>
      </c>
      <c r="AP81" s="47" t="str">
        <f>IF($U81="","",VLOOKUP($U81,'ORF Accuracy Value LookUp'!$G$4:$H$104,2,TRUE))</f>
        <v/>
      </c>
      <c r="AQ81" s="94" t="str">
        <f t="shared" si="20"/>
        <v/>
      </c>
      <c r="AR81" s="46" t="str">
        <f>IF($AE81="","",VLOOKUP($AE81,'ORF Accuracy Value LookUp'!$G$4:$H$104,2,TRUE))</f>
        <v/>
      </c>
      <c r="AS81" s="140" t="str">
        <f t="shared" si="21"/>
        <v/>
      </c>
    </row>
    <row r="82" spans="1:45">
      <c r="A82" s="10"/>
      <c r="B82" s="12"/>
      <c r="C82" s="13"/>
      <c r="D82" s="14"/>
      <c r="E82" s="10"/>
      <c r="F82" s="11"/>
      <c r="G82" s="15"/>
      <c r="H82" s="87"/>
      <c r="I82" s="24"/>
      <c r="J82" s="24"/>
      <c r="K82" s="114" t="str">
        <f t="shared" si="12"/>
        <v/>
      </c>
      <c r="L82" s="24"/>
      <c r="M82" s="24"/>
      <c r="N82" s="24"/>
      <c r="O82" s="24"/>
      <c r="P82" s="97" t="str">
        <f t="shared" si="13"/>
        <v/>
      </c>
      <c r="Q82" s="113" t="str">
        <f t="shared" si="14"/>
        <v/>
      </c>
      <c r="R82" s="87"/>
      <c r="S82" s="24"/>
      <c r="T82" s="24"/>
      <c r="U82" s="78" t="str">
        <f t="shared" si="15"/>
        <v/>
      </c>
      <c r="V82" s="24"/>
      <c r="W82" s="24"/>
      <c r="X82" s="24"/>
      <c r="Y82" s="24"/>
      <c r="Z82" s="98" t="str">
        <f t="shared" si="16"/>
        <v/>
      </c>
      <c r="AA82" s="40" t="str">
        <f t="shared" si="22"/>
        <v/>
      </c>
      <c r="AB82" s="87"/>
      <c r="AC82" s="24"/>
      <c r="AD82" s="24"/>
      <c r="AE82" s="79" t="str">
        <f t="shared" si="17"/>
        <v/>
      </c>
      <c r="AF82" s="24"/>
      <c r="AG82" s="24"/>
      <c r="AH82" s="24"/>
      <c r="AI82" s="24"/>
      <c r="AJ82" s="99" t="str">
        <f t="shared" si="18"/>
        <v/>
      </c>
      <c r="AK82" s="31" t="str">
        <f t="shared" si="23"/>
        <v/>
      </c>
      <c r="AN82" s="139" t="str">
        <f>IF($K82="","",VLOOKUP($K82,'ORF Accuracy Value LookUp'!$G$4:$H$104,2,TRUE))</f>
        <v/>
      </c>
      <c r="AO82" s="94" t="str">
        <f t="shared" si="19"/>
        <v/>
      </c>
      <c r="AP82" s="47" t="str">
        <f>IF($U82="","",VLOOKUP($U82,'ORF Accuracy Value LookUp'!$G$4:$H$104,2,TRUE))</f>
        <v/>
      </c>
      <c r="AQ82" s="94" t="str">
        <f t="shared" si="20"/>
        <v/>
      </c>
      <c r="AR82" s="46" t="str">
        <f>IF($AE82="","",VLOOKUP($AE82,'ORF Accuracy Value LookUp'!$G$4:$H$104,2,TRUE))</f>
        <v/>
      </c>
      <c r="AS82" s="140" t="str">
        <f t="shared" si="21"/>
        <v/>
      </c>
    </row>
    <row r="83" spans="1:45">
      <c r="A83" s="10"/>
      <c r="B83" s="12"/>
      <c r="C83" s="13"/>
      <c r="D83" s="14"/>
      <c r="E83" s="10"/>
      <c r="F83" s="11"/>
      <c r="G83" s="15"/>
      <c r="H83" s="87"/>
      <c r="I83" s="24"/>
      <c r="J83" s="24"/>
      <c r="K83" s="114" t="str">
        <f t="shared" si="12"/>
        <v/>
      </c>
      <c r="L83" s="24"/>
      <c r="M83" s="24"/>
      <c r="N83" s="24"/>
      <c r="O83" s="24"/>
      <c r="P83" s="97" t="str">
        <f t="shared" si="13"/>
        <v/>
      </c>
      <c r="Q83" s="113" t="str">
        <f t="shared" si="14"/>
        <v/>
      </c>
      <c r="R83" s="87"/>
      <c r="S83" s="24"/>
      <c r="T83" s="24"/>
      <c r="U83" s="78" t="str">
        <f t="shared" si="15"/>
        <v/>
      </c>
      <c r="V83" s="24"/>
      <c r="W83" s="24"/>
      <c r="X83" s="24"/>
      <c r="Y83" s="24"/>
      <c r="Z83" s="98" t="str">
        <f t="shared" si="16"/>
        <v/>
      </c>
      <c r="AA83" s="40" t="str">
        <f t="shared" si="22"/>
        <v/>
      </c>
      <c r="AB83" s="87"/>
      <c r="AC83" s="24"/>
      <c r="AD83" s="24"/>
      <c r="AE83" s="79" t="str">
        <f t="shared" si="17"/>
        <v/>
      </c>
      <c r="AF83" s="24"/>
      <c r="AG83" s="24"/>
      <c r="AH83" s="24"/>
      <c r="AI83" s="24"/>
      <c r="AJ83" s="99" t="str">
        <f t="shared" si="18"/>
        <v/>
      </c>
      <c r="AK83" s="31" t="str">
        <f t="shared" si="23"/>
        <v/>
      </c>
      <c r="AN83" s="139" t="str">
        <f>IF($K83="","",VLOOKUP($K83,'ORF Accuracy Value LookUp'!$G$4:$H$104,2,TRUE))</f>
        <v/>
      </c>
      <c r="AO83" s="94" t="str">
        <f t="shared" si="19"/>
        <v/>
      </c>
      <c r="AP83" s="47" t="str">
        <f>IF($U83="","",VLOOKUP($U83,'ORF Accuracy Value LookUp'!$G$4:$H$104,2,TRUE))</f>
        <v/>
      </c>
      <c r="AQ83" s="94" t="str">
        <f t="shared" si="20"/>
        <v/>
      </c>
      <c r="AR83" s="46" t="str">
        <f>IF($AE83="","",VLOOKUP($AE83,'ORF Accuracy Value LookUp'!$G$4:$H$104,2,TRUE))</f>
        <v/>
      </c>
      <c r="AS83" s="140" t="str">
        <f t="shared" si="21"/>
        <v/>
      </c>
    </row>
    <row r="84" spans="1:45">
      <c r="A84" s="10"/>
      <c r="B84" s="12"/>
      <c r="C84" s="13"/>
      <c r="D84" s="14"/>
      <c r="E84" s="10"/>
      <c r="F84" s="11"/>
      <c r="G84" s="15"/>
      <c r="H84" s="87"/>
      <c r="I84" s="24"/>
      <c r="J84" s="24"/>
      <c r="K84" s="114" t="str">
        <f t="shared" si="12"/>
        <v/>
      </c>
      <c r="L84" s="24"/>
      <c r="M84" s="24"/>
      <c r="N84" s="24"/>
      <c r="O84" s="24"/>
      <c r="P84" s="97" t="str">
        <f t="shared" si="13"/>
        <v/>
      </c>
      <c r="Q84" s="113" t="str">
        <f t="shared" si="14"/>
        <v/>
      </c>
      <c r="R84" s="87"/>
      <c r="S84" s="24"/>
      <c r="T84" s="24"/>
      <c r="U84" s="78" t="str">
        <f t="shared" si="15"/>
        <v/>
      </c>
      <c r="V84" s="24"/>
      <c r="W84" s="24"/>
      <c r="X84" s="24"/>
      <c r="Y84" s="24"/>
      <c r="Z84" s="98" t="str">
        <f t="shared" si="16"/>
        <v/>
      </c>
      <c r="AA84" s="40" t="str">
        <f t="shared" si="22"/>
        <v/>
      </c>
      <c r="AB84" s="87"/>
      <c r="AC84" s="24"/>
      <c r="AD84" s="24"/>
      <c r="AE84" s="79" t="str">
        <f t="shared" si="17"/>
        <v/>
      </c>
      <c r="AF84" s="24"/>
      <c r="AG84" s="24"/>
      <c r="AH84" s="24"/>
      <c r="AI84" s="24"/>
      <c r="AJ84" s="99" t="str">
        <f t="shared" si="18"/>
        <v/>
      </c>
      <c r="AK84" s="31" t="str">
        <f t="shared" si="23"/>
        <v/>
      </c>
      <c r="AN84" s="139" t="str">
        <f>IF($K84="","",VLOOKUP($K84,'ORF Accuracy Value LookUp'!$G$4:$H$104,2,TRUE))</f>
        <v/>
      </c>
      <c r="AO84" s="94" t="str">
        <f t="shared" si="19"/>
        <v/>
      </c>
      <c r="AP84" s="47" t="str">
        <f>IF($U84="","",VLOOKUP($U84,'ORF Accuracy Value LookUp'!$G$4:$H$104,2,TRUE))</f>
        <v/>
      </c>
      <c r="AQ84" s="94" t="str">
        <f t="shared" si="20"/>
        <v/>
      </c>
      <c r="AR84" s="46" t="str">
        <f>IF($AE84="","",VLOOKUP($AE84,'ORF Accuracy Value LookUp'!$G$4:$H$104,2,TRUE))</f>
        <v/>
      </c>
      <c r="AS84" s="140" t="str">
        <f t="shared" si="21"/>
        <v/>
      </c>
    </row>
    <row r="85" spans="1:45">
      <c r="A85" s="10"/>
      <c r="B85" s="12"/>
      <c r="C85" s="13"/>
      <c r="D85" s="14"/>
      <c r="E85" s="10"/>
      <c r="F85" s="11"/>
      <c r="G85" s="15"/>
      <c r="H85" s="87"/>
      <c r="I85" s="24"/>
      <c r="J85" s="24"/>
      <c r="K85" s="114" t="str">
        <f t="shared" si="12"/>
        <v/>
      </c>
      <c r="L85" s="24"/>
      <c r="M85" s="24"/>
      <c r="N85" s="24"/>
      <c r="O85" s="24"/>
      <c r="P85" s="97" t="str">
        <f t="shared" si="13"/>
        <v/>
      </c>
      <c r="Q85" s="113" t="str">
        <f t="shared" si="14"/>
        <v/>
      </c>
      <c r="R85" s="87"/>
      <c r="S85" s="24"/>
      <c r="T85" s="24"/>
      <c r="U85" s="78" t="str">
        <f t="shared" si="15"/>
        <v/>
      </c>
      <c r="V85" s="24"/>
      <c r="W85" s="24"/>
      <c r="X85" s="24"/>
      <c r="Y85" s="24"/>
      <c r="Z85" s="98" t="str">
        <f t="shared" si="16"/>
        <v/>
      </c>
      <c r="AA85" s="40" t="str">
        <f t="shared" si="22"/>
        <v/>
      </c>
      <c r="AB85" s="87"/>
      <c r="AC85" s="24"/>
      <c r="AD85" s="24"/>
      <c r="AE85" s="79" t="str">
        <f t="shared" si="17"/>
        <v/>
      </c>
      <c r="AF85" s="24"/>
      <c r="AG85" s="24"/>
      <c r="AH85" s="24"/>
      <c r="AI85" s="24"/>
      <c r="AJ85" s="99" t="str">
        <f t="shared" si="18"/>
        <v/>
      </c>
      <c r="AK85" s="31" t="str">
        <f t="shared" si="23"/>
        <v/>
      </c>
      <c r="AN85" s="139" t="str">
        <f>IF($K85="","",VLOOKUP($K85,'ORF Accuracy Value LookUp'!$G$4:$H$104,2,TRUE))</f>
        <v/>
      </c>
      <c r="AO85" s="94" t="str">
        <f t="shared" si="19"/>
        <v/>
      </c>
      <c r="AP85" s="47" t="str">
        <f>IF($U85="","",VLOOKUP($U85,'ORF Accuracy Value LookUp'!$G$4:$H$104,2,TRUE))</f>
        <v/>
      </c>
      <c r="AQ85" s="94" t="str">
        <f t="shared" si="20"/>
        <v/>
      </c>
      <c r="AR85" s="46" t="str">
        <f>IF($AE85="","",VLOOKUP($AE85,'ORF Accuracy Value LookUp'!$G$4:$H$104,2,TRUE))</f>
        <v/>
      </c>
      <c r="AS85" s="140" t="str">
        <f t="shared" si="21"/>
        <v/>
      </c>
    </row>
    <row r="86" spans="1:45">
      <c r="A86" s="10"/>
      <c r="B86" s="12"/>
      <c r="C86" s="13"/>
      <c r="D86" s="14"/>
      <c r="E86" s="10"/>
      <c r="F86" s="11"/>
      <c r="G86" s="15"/>
      <c r="H86" s="87"/>
      <c r="I86" s="24"/>
      <c r="J86" s="24"/>
      <c r="K86" s="114" t="str">
        <f t="shared" si="12"/>
        <v/>
      </c>
      <c r="L86" s="24"/>
      <c r="M86" s="24"/>
      <c r="N86" s="24"/>
      <c r="O86" s="24"/>
      <c r="P86" s="97" t="str">
        <f t="shared" si="13"/>
        <v/>
      </c>
      <c r="Q86" s="113" t="str">
        <f t="shared" si="14"/>
        <v/>
      </c>
      <c r="R86" s="87"/>
      <c r="S86" s="24"/>
      <c r="T86" s="24"/>
      <c r="U86" s="78" t="str">
        <f t="shared" si="15"/>
        <v/>
      </c>
      <c r="V86" s="24"/>
      <c r="W86" s="24"/>
      <c r="X86" s="24"/>
      <c r="Y86" s="24"/>
      <c r="Z86" s="98" t="str">
        <f t="shared" si="16"/>
        <v/>
      </c>
      <c r="AA86" s="40" t="str">
        <f t="shared" si="22"/>
        <v/>
      </c>
      <c r="AB86" s="87"/>
      <c r="AC86" s="24"/>
      <c r="AD86" s="24"/>
      <c r="AE86" s="79" t="str">
        <f t="shared" si="17"/>
        <v/>
      </c>
      <c r="AF86" s="24"/>
      <c r="AG86" s="24"/>
      <c r="AH86" s="24"/>
      <c r="AI86" s="24"/>
      <c r="AJ86" s="99" t="str">
        <f t="shared" si="18"/>
        <v/>
      </c>
      <c r="AK86" s="31" t="str">
        <f t="shared" si="23"/>
        <v/>
      </c>
      <c r="AN86" s="139" t="str">
        <f>IF($K86="","",VLOOKUP($K86,'ORF Accuracy Value LookUp'!$G$4:$H$104,2,TRUE))</f>
        <v/>
      </c>
      <c r="AO86" s="94" t="str">
        <f t="shared" si="19"/>
        <v/>
      </c>
      <c r="AP86" s="47" t="str">
        <f>IF($U86="","",VLOOKUP($U86,'ORF Accuracy Value LookUp'!$G$4:$H$104,2,TRUE))</f>
        <v/>
      </c>
      <c r="AQ86" s="94" t="str">
        <f t="shared" si="20"/>
        <v/>
      </c>
      <c r="AR86" s="46" t="str">
        <f>IF($AE86="","",VLOOKUP($AE86,'ORF Accuracy Value LookUp'!$G$4:$H$104,2,TRUE))</f>
        <v/>
      </c>
      <c r="AS86" s="140" t="str">
        <f t="shared" si="21"/>
        <v/>
      </c>
    </row>
    <row r="87" spans="1:45">
      <c r="A87" s="10"/>
      <c r="B87" s="12"/>
      <c r="C87" s="13"/>
      <c r="D87" s="14"/>
      <c r="E87" s="10"/>
      <c r="F87" s="11"/>
      <c r="G87" s="15"/>
      <c r="H87" s="87"/>
      <c r="I87" s="24"/>
      <c r="J87" s="24"/>
      <c r="K87" s="114" t="str">
        <f t="shared" si="12"/>
        <v/>
      </c>
      <c r="L87" s="24"/>
      <c r="M87" s="24"/>
      <c r="N87" s="24"/>
      <c r="O87" s="24"/>
      <c r="P87" s="97" t="str">
        <f t="shared" si="13"/>
        <v/>
      </c>
      <c r="Q87" s="113" t="str">
        <f t="shared" si="14"/>
        <v/>
      </c>
      <c r="R87" s="87"/>
      <c r="S87" s="24"/>
      <c r="T87" s="24"/>
      <c r="U87" s="78" t="str">
        <f t="shared" si="15"/>
        <v/>
      </c>
      <c r="V87" s="24"/>
      <c r="W87" s="24"/>
      <c r="X87" s="24"/>
      <c r="Y87" s="24"/>
      <c r="Z87" s="98" t="str">
        <f t="shared" si="16"/>
        <v/>
      </c>
      <c r="AA87" s="40" t="str">
        <f t="shared" si="22"/>
        <v/>
      </c>
      <c r="AB87" s="87"/>
      <c r="AC87" s="24"/>
      <c r="AD87" s="24"/>
      <c r="AE87" s="79" t="str">
        <f t="shared" si="17"/>
        <v/>
      </c>
      <c r="AF87" s="24"/>
      <c r="AG87" s="24"/>
      <c r="AH87" s="24"/>
      <c r="AI87" s="24"/>
      <c r="AJ87" s="99" t="str">
        <f t="shared" si="18"/>
        <v/>
      </c>
      <c r="AK87" s="31" t="str">
        <f t="shared" si="23"/>
        <v/>
      </c>
      <c r="AN87" s="139" t="str">
        <f>IF($K87="","",VLOOKUP($K87,'ORF Accuracy Value LookUp'!$G$4:$H$104,2,TRUE))</f>
        <v/>
      </c>
      <c r="AO87" s="94" t="str">
        <f t="shared" si="19"/>
        <v/>
      </c>
      <c r="AP87" s="47" t="str">
        <f>IF($U87="","",VLOOKUP($U87,'ORF Accuracy Value LookUp'!$G$4:$H$104,2,TRUE))</f>
        <v/>
      </c>
      <c r="AQ87" s="94" t="str">
        <f t="shared" si="20"/>
        <v/>
      </c>
      <c r="AR87" s="46" t="str">
        <f>IF($AE87="","",VLOOKUP($AE87,'ORF Accuracy Value LookUp'!$G$4:$H$104,2,TRUE))</f>
        <v/>
      </c>
      <c r="AS87" s="140" t="str">
        <f t="shared" si="21"/>
        <v/>
      </c>
    </row>
    <row r="88" spans="1:45">
      <c r="A88" s="10"/>
      <c r="B88" s="12"/>
      <c r="C88" s="13"/>
      <c r="D88" s="14"/>
      <c r="E88" s="10"/>
      <c r="F88" s="11"/>
      <c r="G88" s="15"/>
      <c r="H88" s="87"/>
      <c r="I88" s="24"/>
      <c r="J88" s="24"/>
      <c r="K88" s="114" t="str">
        <f t="shared" si="12"/>
        <v/>
      </c>
      <c r="L88" s="24"/>
      <c r="M88" s="24"/>
      <c r="N88" s="24"/>
      <c r="O88" s="24"/>
      <c r="P88" s="97" t="str">
        <f t="shared" si="13"/>
        <v/>
      </c>
      <c r="Q88" s="113" t="str">
        <f t="shared" si="14"/>
        <v/>
      </c>
      <c r="R88" s="87"/>
      <c r="S88" s="24"/>
      <c r="T88" s="24"/>
      <c r="U88" s="78" t="str">
        <f t="shared" si="15"/>
        <v/>
      </c>
      <c r="V88" s="24"/>
      <c r="W88" s="24"/>
      <c r="X88" s="24"/>
      <c r="Y88" s="24"/>
      <c r="Z88" s="98" t="str">
        <f t="shared" si="16"/>
        <v/>
      </c>
      <c r="AA88" s="40" t="str">
        <f t="shared" si="22"/>
        <v/>
      </c>
      <c r="AB88" s="87"/>
      <c r="AC88" s="24"/>
      <c r="AD88" s="24"/>
      <c r="AE88" s="79" t="str">
        <f t="shared" si="17"/>
        <v/>
      </c>
      <c r="AF88" s="24"/>
      <c r="AG88" s="24"/>
      <c r="AH88" s="24"/>
      <c r="AI88" s="24"/>
      <c r="AJ88" s="99" t="str">
        <f t="shared" si="18"/>
        <v/>
      </c>
      <c r="AK88" s="31" t="str">
        <f t="shared" si="23"/>
        <v/>
      </c>
      <c r="AN88" s="139" t="str">
        <f>IF($K88="","",VLOOKUP($K88,'ORF Accuracy Value LookUp'!$G$4:$H$104,2,TRUE))</f>
        <v/>
      </c>
      <c r="AO88" s="94" t="str">
        <f t="shared" si="19"/>
        <v/>
      </c>
      <c r="AP88" s="47" t="str">
        <f>IF($U88="","",VLOOKUP($U88,'ORF Accuracy Value LookUp'!$G$4:$H$104,2,TRUE))</f>
        <v/>
      </c>
      <c r="AQ88" s="94" t="str">
        <f t="shared" si="20"/>
        <v/>
      </c>
      <c r="AR88" s="46" t="str">
        <f>IF($AE88="","",VLOOKUP($AE88,'ORF Accuracy Value LookUp'!$G$4:$H$104,2,TRUE))</f>
        <v/>
      </c>
      <c r="AS88" s="140" t="str">
        <f t="shared" si="21"/>
        <v/>
      </c>
    </row>
    <row r="89" spans="1:45">
      <c r="A89" s="10"/>
      <c r="B89" s="12"/>
      <c r="C89" s="13"/>
      <c r="D89" s="14"/>
      <c r="E89" s="10"/>
      <c r="F89" s="11"/>
      <c r="G89" s="15"/>
      <c r="H89" s="87"/>
      <c r="I89" s="24"/>
      <c r="J89" s="24"/>
      <c r="K89" s="114" t="str">
        <f t="shared" si="12"/>
        <v/>
      </c>
      <c r="L89" s="24"/>
      <c r="M89" s="24"/>
      <c r="N89" s="24"/>
      <c r="O89" s="24"/>
      <c r="P89" s="97" t="str">
        <f t="shared" si="13"/>
        <v/>
      </c>
      <c r="Q89" s="113" t="str">
        <f t="shared" si="14"/>
        <v/>
      </c>
      <c r="R89" s="87"/>
      <c r="S89" s="24"/>
      <c r="T89" s="24"/>
      <c r="U89" s="78" t="str">
        <f t="shared" si="15"/>
        <v/>
      </c>
      <c r="V89" s="24"/>
      <c r="W89" s="24"/>
      <c r="X89" s="24"/>
      <c r="Y89" s="24"/>
      <c r="Z89" s="98" t="str">
        <f t="shared" si="16"/>
        <v/>
      </c>
      <c r="AA89" s="40" t="str">
        <f t="shared" si="22"/>
        <v/>
      </c>
      <c r="AB89" s="87"/>
      <c r="AC89" s="24"/>
      <c r="AD89" s="24"/>
      <c r="AE89" s="79" t="str">
        <f t="shared" si="17"/>
        <v/>
      </c>
      <c r="AF89" s="24"/>
      <c r="AG89" s="24"/>
      <c r="AH89" s="24"/>
      <c r="AI89" s="24"/>
      <c r="AJ89" s="99" t="str">
        <f t="shared" si="18"/>
        <v/>
      </c>
      <c r="AK89" s="31" t="str">
        <f t="shared" si="23"/>
        <v/>
      </c>
      <c r="AN89" s="139" t="str">
        <f>IF($K89="","",VLOOKUP($K89,'ORF Accuracy Value LookUp'!$G$4:$H$104,2,TRUE))</f>
        <v/>
      </c>
      <c r="AO89" s="94" t="str">
        <f t="shared" si="19"/>
        <v/>
      </c>
      <c r="AP89" s="47" t="str">
        <f>IF($U89="","",VLOOKUP($U89,'ORF Accuracy Value LookUp'!$G$4:$H$104,2,TRUE))</f>
        <v/>
      </c>
      <c r="AQ89" s="94" t="str">
        <f t="shared" si="20"/>
        <v/>
      </c>
      <c r="AR89" s="46" t="str">
        <f>IF($AE89="","",VLOOKUP($AE89,'ORF Accuracy Value LookUp'!$G$4:$H$104,2,TRUE))</f>
        <v/>
      </c>
      <c r="AS89" s="140" t="str">
        <f t="shared" si="21"/>
        <v/>
      </c>
    </row>
    <row r="90" spans="1:45">
      <c r="A90" s="10"/>
      <c r="B90" s="12"/>
      <c r="C90" s="13"/>
      <c r="D90" s="14"/>
      <c r="E90" s="10"/>
      <c r="F90" s="11"/>
      <c r="G90" s="15"/>
      <c r="H90" s="87"/>
      <c r="I90" s="24"/>
      <c r="J90" s="24"/>
      <c r="K90" s="114" t="str">
        <f t="shared" si="12"/>
        <v/>
      </c>
      <c r="L90" s="24"/>
      <c r="M90" s="24"/>
      <c r="N90" s="24"/>
      <c r="O90" s="24"/>
      <c r="P90" s="97" t="str">
        <f t="shared" si="13"/>
        <v/>
      </c>
      <c r="Q90" s="113" t="str">
        <f t="shared" si="14"/>
        <v/>
      </c>
      <c r="R90" s="87"/>
      <c r="S90" s="24"/>
      <c r="T90" s="24"/>
      <c r="U90" s="78" t="str">
        <f t="shared" si="15"/>
        <v/>
      </c>
      <c r="V90" s="24"/>
      <c r="W90" s="24"/>
      <c r="X90" s="24"/>
      <c r="Y90" s="24"/>
      <c r="Z90" s="98" t="str">
        <f t="shared" si="16"/>
        <v/>
      </c>
      <c r="AA90" s="40" t="str">
        <f t="shared" si="22"/>
        <v/>
      </c>
      <c r="AB90" s="87"/>
      <c r="AC90" s="24"/>
      <c r="AD90" s="24"/>
      <c r="AE90" s="79" t="str">
        <f t="shared" si="17"/>
        <v/>
      </c>
      <c r="AF90" s="24"/>
      <c r="AG90" s="24"/>
      <c r="AH90" s="24"/>
      <c r="AI90" s="24"/>
      <c r="AJ90" s="99" t="str">
        <f t="shared" si="18"/>
        <v/>
      </c>
      <c r="AK90" s="31" t="str">
        <f t="shared" si="23"/>
        <v/>
      </c>
      <c r="AN90" s="139" t="str">
        <f>IF($K90="","",VLOOKUP($K90,'ORF Accuracy Value LookUp'!$G$4:$H$104,2,TRUE))</f>
        <v/>
      </c>
      <c r="AO90" s="94" t="str">
        <f t="shared" si="19"/>
        <v/>
      </c>
      <c r="AP90" s="47" t="str">
        <f>IF($U90="","",VLOOKUP($U90,'ORF Accuracy Value LookUp'!$G$4:$H$104,2,TRUE))</f>
        <v/>
      </c>
      <c r="AQ90" s="94" t="str">
        <f t="shared" si="20"/>
        <v/>
      </c>
      <c r="AR90" s="46" t="str">
        <f>IF($AE90="","",VLOOKUP($AE90,'ORF Accuracy Value LookUp'!$G$4:$H$104,2,TRUE))</f>
        <v/>
      </c>
      <c r="AS90" s="140" t="str">
        <f t="shared" si="21"/>
        <v/>
      </c>
    </row>
    <row r="91" spans="1:45">
      <c r="A91" s="10"/>
      <c r="B91" s="12"/>
      <c r="C91" s="13"/>
      <c r="D91" s="14"/>
      <c r="E91" s="10"/>
      <c r="F91" s="11"/>
      <c r="G91" s="15"/>
      <c r="H91" s="87"/>
      <c r="I91" s="24"/>
      <c r="J91" s="24"/>
      <c r="K91" s="114" t="str">
        <f t="shared" si="12"/>
        <v/>
      </c>
      <c r="L91" s="24"/>
      <c r="M91" s="24"/>
      <c r="N91" s="24"/>
      <c r="O91" s="24"/>
      <c r="P91" s="97" t="str">
        <f t="shared" si="13"/>
        <v/>
      </c>
      <c r="Q91" s="113" t="str">
        <f t="shared" si="14"/>
        <v/>
      </c>
      <c r="R91" s="87"/>
      <c r="S91" s="24"/>
      <c r="T91" s="24"/>
      <c r="U91" s="78" t="str">
        <f t="shared" si="15"/>
        <v/>
      </c>
      <c r="V91" s="24"/>
      <c r="W91" s="24"/>
      <c r="X91" s="24"/>
      <c r="Y91" s="24"/>
      <c r="Z91" s="98" t="str">
        <f t="shared" si="16"/>
        <v/>
      </c>
      <c r="AA91" s="40" t="str">
        <f t="shared" si="22"/>
        <v/>
      </c>
      <c r="AB91" s="87"/>
      <c r="AC91" s="24"/>
      <c r="AD91" s="24"/>
      <c r="AE91" s="79" t="str">
        <f t="shared" si="17"/>
        <v/>
      </c>
      <c r="AF91" s="24"/>
      <c r="AG91" s="24"/>
      <c r="AH91" s="24"/>
      <c r="AI91" s="24"/>
      <c r="AJ91" s="99" t="str">
        <f t="shared" si="18"/>
        <v/>
      </c>
      <c r="AK91" s="31" t="str">
        <f t="shared" si="23"/>
        <v/>
      </c>
      <c r="AN91" s="139" t="str">
        <f>IF($K91="","",VLOOKUP($K91,'ORF Accuracy Value LookUp'!$G$4:$H$104,2,TRUE))</f>
        <v/>
      </c>
      <c r="AO91" s="94" t="str">
        <f t="shared" si="19"/>
        <v/>
      </c>
      <c r="AP91" s="47" t="str">
        <f>IF($U91="","",VLOOKUP($U91,'ORF Accuracy Value LookUp'!$G$4:$H$104,2,TRUE))</f>
        <v/>
      </c>
      <c r="AQ91" s="94" t="str">
        <f t="shared" si="20"/>
        <v/>
      </c>
      <c r="AR91" s="46" t="str">
        <f>IF($AE91="","",VLOOKUP($AE91,'ORF Accuracy Value LookUp'!$G$4:$H$104,2,TRUE))</f>
        <v/>
      </c>
      <c r="AS91" s="140" t="str">
        <f t="shared" si="21"/>
        <v/>
      </c>
    </row>
    <row r="92" spans="1:45">
      <c r="A92" s="10"/>
      <c r="B92" s="12"/>
      <c r="C92" s="13"/>
      <c r="D92" s="14"/>
      <c r="E92" s="10"/>
      <c r="F92" s="11"/>
      <c r="G92" s="15"/>
      <c r="H92" s="87"/>
      <c r="I92" s="24"/>
      <c r="J92" s="24"/>
      <c r="K92" s="114" t="str">
        <f t="shared" si="12"/>
        <v/>
      </c>
      <c r="L92" s="24"/>
      <c r="M92" s="24"/>
      <c r="N92" s="24"/>
      <c r="O92" s="24"/>
      <c r="P92" s="97" t="str">
        <f t="shared" si="13"/>
        <v/>
      </c>
      <c r="Q92" s="113" t="str">
        <f t="shared" si="14"/>
        <v/>
      </c>
      <c r="R92" s="87"/>
      <c r="S92" s="24"/>
      <c r="T92" s="24"/>
      <c r="U92" s="78" t="str">
        <f t="shared" si="15"/>
        <v/>
      </c>
      <c r="V92" s="24"/>
      <c r="W92" s="24"/>
      <c r="X92" s="24"/>
      <c r="Y92" s="24"/>
      <c r="Z92" s="98" t="str">
        <f t="shared" si="16"/>
        <v/>
      </c>
      <c r="AA92" s="40" t="str">
        <f t="shared" si="22"/>
        <v/>
      </c>
      <c r="AB92" s="87"/>
      <c r="AC92" s="24"/>
      <c r="AD92" s="24"/>
      <c r="AE92" s="79" t="str">
        <f t="shared" si="17"/>
        <v/>
      </c>
      <c r="AF92" s="24"/>
      <c r="AG92" s="24"/>
      <c r="AH92" s="24"/>
      <c r="AI92" s="24"/>
      <c r="AJ92" s="99" t="str">
        <f t="shared" si="18"/>
        <v/>
      </c>
      <c r="AK92" s="31" t="str">
        <f t="shared" si="23"/>
        <v/>
      </c>
      <c r="AN92" s="139" t="str">
        <f>IF($K92="","",VLOOKUP($K92,'ORF Accuracy Value LookUp'!$G$4:$H$104,2,TRUE))</f>
        <v/>
      </c>
      <c r="AO92" s="94" t="str">
        <f t="shared" si="19"/>
        <v/>
      </c>
      <c r="AP92" s="47" t="str">
        <f>IF($U92="","",VLOOKUP($U92,'ORF Accuracy Value LookUp'!$G$4:$H$104,2,TRUE))</f>
        <v/>
      </c>
      <c r="AQ92" s="94" t="str">
        <f t="shared" si="20"/>
        <v/>
      </c>
      <c r="AR92" s="46" t="str">
        <f>IF($AE92="","",VLOOKUP($AE92,'ORF Accuracy Value LookUp'!$G$4:$H$104,2,TRUE))</f>
        <v/>
      </c>
      <c r="AS92" s="140" t="str">
        <f t="shared" si="21"/>
        <v/>
      </c>
    </row>
    <row r="93" spans="1:45">
      <c r="A93" s="10"/>
      <c r="B93" s="12"/>
      <c r="C93" s="13"/>
      <c r="D93" s="14"/>
      <c r="E93" s="10"/>
      <c r="F93" s="11"/>
      <c r="G93" s="15"/>
      <c r="H93" s="87"/>
      <c r="I93" s="24"/>
      <c r="J93" s="24"/>
      <c r="K93" s="114" t="str">
        <f t="shared" si="12"/>
        <v/>
      </c>
      <c r="L93" s="24"/>
      <c r="M93" s="24"/>
      <c r="N93" s="24"/>
      <c r="O93" s="24"/>
      <c r="P93" s="97" t="str">
        <f t="shared" si="13"/>
        <v/>
      </c>
      <c r="Q93" s="113" t="str">
        <f t="shared" si="14"/>
        <v/>
      </c>
      <c r="R93" s="87"/>
      <c r="S93" s="24"/>
      <c r="T93" s="24"/>
      <c r="U93" s="78" t="str">
        <f t="shared" si="15"/>
        <v/>
      </c>
      <c r="V93" s="24"/>
      <c r="W93" s="24"/>
      <c r="X93" s="24"/>
      <c r="Y93" s="24"/>
      <c r="Z93" s="98" t="str">
        <f t="shared" si="16"/>
        <v/>
      </c>
      <c r="AA93" s="40" t="str">
        <f t="shared" si="22"/>
        <v/>
      </c>
      <c r="AB93" s="87"/>
      <c r="AC93" s="24"/>
      <c r="AD93" s="24"/>
      <c r="AE93" s="79" t="str">
        <f t="shared" si="17"/>
        <v/>
      </c>
      <c r="AF93" s="24"/>
      <c r="AG93" s="24"/>
      <c r="AH93" s="24"/>
      <c r="AI93" s="24"/>
      <c r="AJ93" s="99" t="str">
        <f t="shared" si="18"/>
        <v/>
      </c>
      <c r="AK93" s="31" t="str">
        <f t="shared" si="23"/>
        <v/>
      </c>
      <c r="AN93" s="139" t="str">
        <f>IF($K93="","",VLOOKUP($K93,'ORF Accuracy Value LookUp'!$G$4:$H$104,2,TRUE))</f>
        <v/>
      </c>
      <c r="AO93" s="94" t="str">
        <f t="shared" si="19"/>
        <v/>
      </c>
      <c r="AP93" s="47" t="str">
        <f>IF($U93="","",VLOOKUP($U93,'ORF Accuracy Value LookUp'!$G$4:$H$104,2,TRUE))</f>
        <v/>
      </c>
      <c r="AQ93" s="94" t="str">
        <f t="shared" si="20"/>
        <v/>
      </c>
      <c r="AR93" s="46" t="str">
        <f>IF($AE93="","",VLOOKUP($AE93,'ORF Accuracy Value LookUp'!$G$4:$H$104,2,TRUE))</f>
        <v/>
      </c>
      <c r="AS93" s="140" t="str">
        <f t="shared" si="21"/>
        <v/>
      </c>
    </row>
    <row r="94" spans="1:45">
      <c r="A94" s="10"/>
      <c r="B94" s="12"/>
      <c r="C94" s="13"/>
      <c r="D94" s="14"/>
      <c r="E94" s="10"/>
      <c r="F94" s="11"/>
      <c r="G94" s="15"/>
      <c r="H94" s="87"/>
      <c r="I94" s="24"/>
      <c r="J94" s="24"/>
      <c r="K94" s="114" t="str">
        <f t="shared" si="12"/>
        <v/>
      </c>
      <c r="L94" s="24"/>
      <c r="M94" s="24"/>
      <c r="N94" s="24"/>
      <c r="O94" s="24"/>
      <c r="P94" s="97" t="str">
        <f t="shared" si="13"/>
        <v/>
      </c>
      <c r="Q94" s="113" t="str">
        <f t="shared" si="14"/>
        <v/>
      </c>
      <c r="R94" s="87"/>
      <c r="S94" s="24"/>
      <c r="T94" s="24"/>
      <c r="U94" s="78" t="str">
        <f t="shared" si="15"/>
        <v/>
      </c>
      <c r="V94" s="24"/>
      <c r="W94" s="24"/>
      <c r="X94" s="24"/>
      <c r="Y94" s="24"/>
      <c r="Z94" s="98" t="str">
        <f t="shared" si="16"/>
        <v/>
      </c>
      <c r="AA94" s="40" t="str">
        <f t="shared" si="22"/>
        <v/>
      </c>
      <c r="AB94" s="87"/>
      <c r="AC94" s="24"/>
      <c r="AD94" s="24"/>
      <c r="AE94" s="79" t="str">
        <f t="shared" si="17"/>
        <v/>
      </c>
      <c r="AF94" s="24"/>
      <c r="AG94" s="24"/>
      <c r="AH94" s="24"/>
      <c r="AI94" s="24"/>
      <c r="AJ94" s="99" t="str">
        <f t="shared" si="18"/>
        <v/>
      </c>
      <c r="AK94" s="31" t="str">
        <f t="shared" si="23"/>
        <v/>
      </c>
      <c r="AN94" s="139" t="str">
        <f>IF($K94="","",VLOOKUP($K94,'ORF Accuracy Value LookUp'!$G$4:$H$104,2,TRUE))</f>
        <v/>
      </c>
      <c r="AO94" s="94" t="str">
        <f t="shared" si="19"/>
        <v/>
      </c>
      <c r="AP94" s="47" t="str">
        <f>IF($U94="","",VLOOKUP($U94,'ORF Accuracy Value LookUp'!$G$4:$H$104,2,TRUE))</f>
        <v/>
      </c>
      <c r="AQ94" s="94" t="str">
        <f t="shared" si="20"/>
        <v/>
      </c>
      <c r="AR94" s="46" t="str">
        <f>IF($AE94="","",VLOOKUP($AE94,'ORF Accuracy Value LookUp'!$G$4:$H$104,2,TRUE))</f>
        <v/>
      </c>
      <c r="AS94" s="140" t="str">
        <f t="shared" si="21"/>
        <v/>
      </c>
    </row>
    <row r="95" spans="1:45">
      <c r="A95" s="10"/>
      <c r="B95" s="12"/>
      <c r="C95" s="13"/>
      <c r="D95" s="14"/>
      <c r="E95" s="10"/>
      <c r="F95" s="11"/>
      <c r="G95" s="15"/>
      <c r="H95" s="87"/>
      <c r="I95" s="24"/>
      <c r="J95" s="24"/>
      <c r="K95" s="114" t="str">
        <f t="shared" si="12"/>
        <v/>
      </c>
      <c r="L95" s="24"/>
      <c r="M95" s="24"/>
      <c r="N95" s="24"/>
      <c r="O95" s="24"/>
      <c r="P95" s="97" t="str">
        <f t="shared" si="13"/>
        <v/>
      </c>
      <c r="Q95" s="113" t="str">
        <f t="shared" si="14"/>
        <v/>
      </c>
      <c r="R95" s="87"/>
      <c r="S95" s="24"/>
      <c r="T95" s="24"/>
      <c r="U95" s="78" t="str">
        <f t="shared" si="15"/>
        <v/>
      </c>
      <c r="V95" s="24"/>
      <c r="W95" s="24"/>
      <c r="X95" s="24"/>
      <c r="Y95" s="24"/>
      <c r="Z95" s="98" t="str">
        <f t="shared" si="16"/>
        <v/>
      </c>
      <c r="AA95" s="40" t="str">
        <f t="shared" si="22"/>
        <v/>
      </c>
      <c r="AB95" s="87"/>
      <c r="AC95" s="24"/>
      <c r="AD95" s="24"/>
      <c r="AE95" s="79" t="str">
        <f t="shared" si="17"/>
        <v/>
      </c>
      <c r="AF95" s="24"/>
      <c r="AG95" s="24"/>
      <c r="AH95" s="24"/>
      <c r="AI95" s="24"/>
      <c r="AJ95" s="99" t="str">
        <f t="shared" si="18"/>
        <v/>
      </c>
      <c r="AK95" s="31" t="str">
        <f t="shared" si="23"/>
        <v/>
      </c>
      <c r="AN95" s="139" t="str">
        <f>IF($K95="","",VLOOKUP($K95,'ORF Accuracy Value LookUp'!$G$4:$H$104,2,TRUE))</f>
        <v/>
      </c>
      <c r="AO95" s="94" t="str">
        <f t="shared" si="19"/>
        <v/>
      </c>
      <c r="AP95" s="47" t="str">
        <f>IF($U95="","",VLOOKUP($U95,'ORF Accuracy Value LookUp'!$G$4:$H$104,2,TRUE))</f>
        <v/>
      </c>
      <c r="AQ95" s="94" t="str">
        <f t="shared" si="20"/>
        <v/>
      </c>
      <c r="AR95" s="46" t="str">
        <f>IF($AE95="","",VLOOKUP($AE95,'ORF Accuracy Value LookUp'!$G$4:$H$104,2,TRUE))</f>
        <v/>
      </c>
      <c r="AS95" s="140" t="str">
        <f t="shared" si="21"/>
        <v/>
      </c>
    </row>
    <row r="96" spans="1:45">
      <c r="A96" s="10"/>
      <c r="B96" s="12"/>
      <c r="C96" s="13"/>
      <c r="D96" s="14"/>
      <c r="E96" s="10"/>
      <c r="F96" s="11"/>
      <c r="G96" s="15"/>
      <c r="H96" s="87"/>
      <c r="I96" s="24"/>
      <c r="J96" s="24"/>
      <c r="K96" s="114" t="str">
        <f t="shared" si="12"/>
        <v/>
      </c>
      <c r="L96" s="24"/>
      <c r="M96" s="24"/>
      <c r="N96" s="24"/>
      <c r="O96" s="24"/>
      <c r="P96" s="97" t="str">
        <f t="shared" si="13"/>
        <v/>
      </c>
      <c r="Q96" s="113" t="str">
        <f t="shared" si="14"/>
        <v/>
      </c>
      <c r="R96" s="87"/>
      <c r="S96" s="24"/>
      <c r="T96" s="24"/>
      <c r="U96" s="78" t="str">
        <f t="shared" si="15"/>
        <v/>
      </c>
      <c r="V96" s="24"/>
      <c r="W96" s="24"/>
      <c r="X96" s="24"/>
      <c r="Y96" s="24"/>
      <c r="Z96" s="98" t="str">
        <f t="shared" si="16"/>
        <v/>
      </c>
      <c r="AA96" s="40" t="str">
        <f t="shared" si="22"/>
        <v/>
      </c>
      <c r="AB96" s="87"/>
      <c r="AC96" s="24"/>
      <c r="AD96" s="24"/>
      <c r="AE96" s="79" t="str">
        <f t="shared" si="17"/>
        <v/>
      </c>
      <c r="AF96" s="24"/>
      <c r="AG96" s="24"/>
      <c r="AH96" s="24"/>
      <c r="AI96" s="24"/>
      <c r="AJ96" s="99" t="str">
        <f t="shared" si="18"/>
        <v/>
      </c>
      <c r="AK96" s="31" t="str">
        <f t="shared" si="23"/>
        <v/>
      </c>
      <c r="AN96" s="139" t="str">
        <f>IF($K96="","",VLOOKUP($K96,'ORF Accuracy Value LookUp'!$G$4:$H$104,2,TRUE))</f>
        <v/>
      </c>
      <c r="AO96" s="94" t="str">
        <f t="shared" si="19"/>
        <v/>
      </c>
      <c r="AP96" s="47" t="str">
        <f>IF($U96="","",VLOOKUP($U96,'ORF Accuracy Value LookUp'!$G$4:$H$104,2,TRUE))</f>
        <v/>
      </c>
      <c r="AQ96" s="94" t="str">
        <f t="shared" si="20"/>
        <v/>
      </c>
      <c r="AR96" s="46" t="str">
        <f>IF($AE96="","",VLOOKUP($AE96,'ORF Accuracy Value LookUp'!$G$4:$H$104,2,TRUE))</f>
        <v/>
      </c>
      <c r="AS96" s="140" t="str">
        <f t="shared" si="21"/>
        <v/>
      </c>
    </row>
    <row r="97" spans="1:45">
      <c r="A97" s="10"/>
      <c r="B97" s="12"/>
      <c r="C97" s="13"/>
      <c r="D97" s="14"/>
      <c r="E97" s="10"/>
      <c r="F97" s="11"/>
      <c r="G97" s="15"/>
      <c r="H97" s="87"/>
      <c r="I97" s="24"/>
      <c r="J97" s="24"/>
      <c r="K97" s="114" t="str">
        <f t="shared" si="12"/>
        <v/>
      </c>
      <c r="L97" s="24"/>
      <c r="M97" s="24"/>
      <c r="N97" s="24"/>
      <c r="O97" s="24"/>
      <c r="P97" s="97" t="str">
        <f t="shared" si="13"/>
        <v/>
      </c>
      <c r="Q97" s="113" t="str">
        <f t="shared" si="14"/>
        <v/>
      </c>
      <c r="R97" s="87"/>
      <c r="S97" s="24"/>
      <c r="T97" s="24"/>
      <c r="U97" s="78" t="str">
        <f t="shared" si="15"/>
        <v/>
      </c>
      <c r="V97" s="24"/>
      <c r="W97" s="24"/>
      <c r="X97" s="24"/>
      <c r="Y97" s="24"/>
      <c r="Z97" s="98" t="str">
        <f t="shared" si="16"/>
        <v/>
      </c>
      <c r="AA97" s="40" t="str">
        <f t="shared" si="22"/>
        <v/>
      </c>
      <c r="AB97" s="87"/>
      <c r="AC97" s="24"/>
      <c r="AD97" s="24"/>
      <c r="AE97" s="79" t="str">
        <f t="shared" si="17"/>
        <v/>
      </c>
      <c r="AF97" s="24"/>
      <c r="AG97" s="24"/>
      <c r="AH97" s="24"/>
      <c r="AI97" s="24"/>
      <c r="AJ97" s="99" t="str">
        <f t="shared" si="18"/>
        <v/>
      </c>
      <c r="AK97" s="31" t="str">
        <f t="shared" si="23"/>
        <v/>
      </c>
      <c r="AN97" s="139" t="str">
        <f>IF($K97="","",VLOOKUP($K97,'ORF Accuracy Value LookUp'!$G$4:$H$104,2,TRUE))</f>
        <v/>
      </c>
      <c r="AO97" s="94" t="str">
        <f t="shared" si="19"/>
        <v/>
      </c>
      <c r="AP97" s="47" t="str">
        <f>IF($U97="","",VLOOKUP($U97,'ORF Accuracy Value LookUp'!$G$4:$H$104,2,TRUE))</f>
        <v/>
      </c>
      <c r="AQ97" s="94" t="str">
        <f t="shared" si="20"/>
        <v/>
      </c>
      <c r="AR97" s="46" t="str">
        <f>IF($AE97="","",VLOOKUP($AE97,'ORF Accuracy Value LookUp'!$G$4:$H$104,2,TRUE))</f>
        <v/>
      </c>
      <c r="AS97" s="140" t="str">
        <f t="shared" si="21"/>
        <v/>
      </c>
    </row>
    <row r="98" spans="1:45">
      <c r="A98" s="10"/>
      <c r="B98" s="12"/>
      <c r="C98" s="13"/>
      <c r="D98" s="14"/>
      <c r="E98" s="10"/>
      <c r="F98" s="11"/>
      <c r="G98" s="15"/>
      <c r="H98" s="87"/>
      <c r="I98" s="24"/>
      <c r="J98" s="24"/>
      <c r="K98" s="114" t="str">
        <f t="shared" si="12"/>
        <v/>
      </c>
      <c r="L98" s="24"/>
      <c r="M98" s="24"/>
      <c r="N98" s="24"/>
      <c r="O98" s="24"/>
      <c r="P98" s="97" t="str">
        <f t="shared" si="13"/>
        <v/>
      </c>
      <c r="Q98" s="113" t="str">
        <f t="shared" si="14"/>
        <v/>
      </c>
      <c r="R98" s="87"/>
      <c r="S98" s="24"/>
      <c r="T98" s="24"/>
      <c r="U98" s="78" t="str">
        <f t="shared" si="15"/>
        <v/>
      </c>
      <c r="V98" s="24"/>
      <c r="W98" s="24"/>
      <c r="X98" s="24"/>
      <c r="Y98" s="24"/>
      <c r="Z98" s="98" t="str">
        <f t="shared" si="16"/>
        <v/>
      </c>
      <c r="AA98" s="40" t="str">
        <f t="shared" si="22"/>
        <v/>
      </c>
      <c r="AB98" s="87"/>
      <c r="AC98" s="24"/>
      <c r="AD98" s="24"/>
      <c r="AE98" s="79" t="str">
        <f t="shared" si="17"/>
        <v/>
      </c>
      <c r="AF98" s="24"/>
      <c r="AG98" s="24"/>
      <c r="AH98" s="24"/>
      <c r="AI98" s="24"/>
      <c r="AJ98" s="99" t="str">
        <f t="shared" si="18"/>
        <v/>
      </c>
      <c r="AK98" s="31" t="str">
        <f t="shared" si="23"/>
        <v/>
      </c>
      <c r="AN98" s="139" t="str">
        <f>IF($K98="","",VLOOKUP($K98,'ORF Accuracy Value LookUp'!$G$4:$H$104,2,TRUE))</f>
        <v/>
      </c>
      <c r="AO98" s="94" t="str">
        <f t="shared" si="19"/>
        <v/>
      </c>
      <c r="AP98" s="47" t="str">
        <f>IF($U98="","",VLOOKUP($U98,'ORF Accuracy Value LookUp'!$G$4:$H$104,2,TRUE))</f>
        <v/>
      </c>
      <c r="AQ98" s="94" t="str">
        <f t="shared" si="20"/>
        <v/>
      </c>
      <c r="AR98" s="46" t="str">
        <f>IF($AE98="","",VLOOKUP($AE98,'ORF Accuracy Value LookUp'!$G$4:$H$104,2,TRUE))</f>
        <v/>
      </c>
      <c r="AS98" s="140" t="str">
        <f t="shared" si="21"/>
        <v/>
      </c>
    </row>
    <row r="99" spans="1:45">
      <c r="A99" s="10"/>
      <c r="B99" s="12"/>
      <c r="C99" s="13"/>
      <c r="D99" s="14"/>
      <c r="E99" s="10"/>
      <c r="F99" s="11"/>
      <c r="G99" s="15"/>
      <c r="H99" s="87"/>
      <c r="I99" s="24"/>
      <c r="J99" s="24"/>
      <c r="K99" s="114" t="str">
        <f t="shared" si="12"/>
        <v/>
      </c>
      <c r="L99" s="24"/>
      <c r="M99" s="24"/>
      <c r="N99" s="24"/>
      <c r="O99" s="24"/>
      <c r="P99" s="97" t="str">
        <f t="shared" si="13"/>
        <v/>
      </c>
      <c r="Q99" s="113" t="str">
        <f t="shared" si="14"/>
        <v/>
      </c>
      <c r="R99" s="87"/>
      <c r="S99" s="24"/>
      <c r="T99" s="24"/>
      <c r="U99" s="78" t="str">
        <f t="shared" si="15"/>
        <v/>
      </c>
      <c r="V99" s="24"/>
      <c r="W99" s="24"/>
      <c r="X99" s="24"/>
      <c r="Y99" s="24"/>
      <c r="Z99" s="98" t="str">
        <f t="shared" si="16"/>
        <v/>
      </c>
      <c r="AA99" s="40" t="str">
        <f t="shared" si="22"/>
        <v/>
      </c>
      <c r="AB99" s="87"/>
      <c r="AC99" s="24"/>
      <c r="AD99" s="24"/>
      <c r="AE99" s="79" t="str">
        <f t="shared" si="17"/>
        <v/>
      </c>
      <c r="AF99" s="24"/>
      <c r="AG99" s="24"/>
      <c r="AH99" s="24"/>
      <c r="AI99" s="24"/>
      <c r="AJ99" s="99" t="str">
        <f t="shared" si="18"/>
        <v/>
      </c>
      <c r="AK99" s="31" t="str">
        <f t="shared" si="23"/>
        <v/>
      </c>
      <c r="AN99" s="139" t="str">
        <f>IF($K99="","",VLOOKUP($K99,'ORF Accuracy Value LookUp'!$G$4:$H$104,2,TRUE))</f>
        <v/>
      </c>
      <c r="AO99" s="94" t="str">
        <f t="shared" si="19"/>
        <v/>
      </c>
      <c r="AP99" s="47" t="str">
        <f>IF($U99="","",VLOOKUP($U99,'ORF Accuracy Value LookUp'!$G$4:$H$104,2,TRUE))</f>
        <v/>
      </c>
      <c r="AQ99" s="94" t="str">
        <f t="shared" si="20"/>
        <v/>
      </c>
      <c r="AR99" s="46" t="str">
        <f>IF($AE99="","",VLOOKUP($AE99,'ORF Accuracy Value LookUp'!$G$4:$H$104,2,TRUE))</f>
        <v/>
      </c>
      <c r="AS99" s="140" t="str">
        <f t="shared" si="21"/>
        <v/>
      </c>
    </row>
    <row r="100" spans="1:45">
      <c r="A100" s="10"/>
      <c r="B100" s="12"/>
      <c r="C100" s="13"/>
      <c r="D100" s="14"/>
      <c r="E100" s="10"/>
      <c r="F100" s="11"/>
      <c r="G100" s="15"/>
      <c r="H100" s="87"/>
      <c r="I100" s="24"/>
      <c r="J100" s="24"/>
      <c r="K100" s="114" t="str">
        <f t="shared" si="12"/>
        <v/>
      </c>
      <c r="L100" s="24"/>
      <c r="M100" s="24"/>
      <c r="N100" s="24"/>
      <c r="O100" s="24"/>
      <c r="P100" s="97" t="str">
        <f t="shared" si="13"/>
        <v/>
      </c>
      <c r="Q100" s="113" t="str">
        <f t="shared" si="14"/>
        <v/>
      </c>
      <c r="R100" s="87"/>
      <c r="S100" s="24"/>
      <c r="T100" s="24"/>
      <c r="U100" s="78" t="str">
        <f t="shared" si="15"/>
        <v/>
      </c>
      <c r="V100" s="24"/>
      <c r="W100" s="24"/>
      <c r="X100" s="24"/>
      <c r="Y100" s="24"/>
      <c r="Z100" s="98" t="str">
        <f t="shared" si="16"/>
        <v/>
      </c>
      <c r="AA100" s="40" t="str">
        <f t="shared" si="22"/>
        <v/>
      </c>
      <c r="AB100" s="87"/>
      <c r="AC100" s="24"/>
      <c r="AD100" s="24"/>
      <c r="AE100" s="79" t="str">
        <f t="shared" si="17"/>
        <v/>
      </c>
      <c r="AF100" s="24"/>
      <c r="AG100" s="24"/>
      <c r="AH100" s="24"/>
      <c r="AI100" s="24"/>
      <c r="AJ100" s="99" t="str">
        <f t="shared" si="18"/>
        <v/>
      </c>
      <c r="AK100" s="31" t="str">
        <f t="shared" si="23"/>
        <v/>
      </c>
      <c r="AN100" s="139" t="str">
        <f>IF($K100="","",VLOOKUP($K100,'ORF Accuracy Value LookUp'!$G$4:$H$104,2,TRUE))</f>
        <v/>
      </c>
      <c r="AO100" s="94" t="str">
        <f t="shared" si="19"/>
        <v/>
      </c>
      <c r="AP100" s="47" t="str">
        <f>IF($U100="","",VLOOKUP($U100,'ORF Accuracy Value LookUp'!$G$4:$H$104,2,TRUE))</f>
        <v/>
      </c>
      <c r="AQ100" s="94" t="str">
        <f t="shared" si="20"/>
        <v/>
      </c>
      <c r="AR100" s="46" t="str">
        <f>IF($AE100="","",VLOOKUP($AE100,'ORF Accuracy Value LookUp'!$G$4:$H$104,2,TRUE))</f>
        <v/>
      </c>
      <c r="AS100" s="140" t="str">
        <f t="shared" si="21"/>
        <v/>
      </c>
    </row>
    <row r="101" spans="1:45">
      <c r="A101" s="10"/>
      <c r="B101" s="12"/>
      <c r="C101" s="13"/>
      <c r="D101" s="14"/>
      <c r="E101" s="10"/>
      <c r="F101" s="11"/>
      <c r="G101" s="15"/>
      <c r="H101" s="87"/>
      <c r="I101" s="24"/>
      <c r="J101" s="24"/>
      <c r="K101" s="114" t="str">
        <f t="shared" si="12"/>
        <v/>
      </c>
      <c r="L101" s="24"/>
      <c r="M101" s="24"/>
      <c r="N101" s="24"/>
      <c r="O101" s="24"/>
      <c r="P101" s="97" t="str">
        <f t="shared" si="13"/>
        <v/>
      </c>
      <c r="Q101" s="113" t="str">
        <f t="shared" si="14"/>
        <v/>
      </c>
      <c r="R101" s="87"/>
      <c r="S101" s="24"/>
      <c r="T101" s="24"/>
      <c r="U101" s="78" t="str">
        <f t="shared" si="15"/>
        <v/>
      </c>
      <c r="V101" s="24"/>
      <c r="W101" s="24"/>
      <c r="X101" s="24"/>
      <c r="Y101" s="24"/>
      <c r="Z101" s="98" t="str">
        <f t="shared" si="16"/>
        <v/>
      </c>
      <c r="AA101" s="40" t="str">
        <f t="shared" si="22"/>
        <v/>
      </c>
      <c r="AB101" s="87"/>
      <c r="AC101" s="24"/>
      <c r="AD101" s="24"/>
      <c r="AE101" s="79" t="str">
        <f t="shared" si="17"/>
        <v/>
      </c>
      <c r="AF101" s="24"/>
      <c r="AG101" s="24"/>
      <c r="AH101" s="24"/>
      <c r="AI101" s="24"/>
      <c r="AJ101" s="99" t="str">
        <f t="shared" si="18"/>
        <v/>
      </c>
      <c r="AK101" s="31" t="str">
        <f t="shared" si="23"/>
        <v/>
      </c>
      <c r="AN101" s="139" t="str">
        <f>IF($K101="","",VLOOKUP($K101,'ORF Accuracy Value LookUp'!$G$4:$H$104,2,TRUE))</f>
        <v/>
      </c>
      <c r="AO101" s="94" t="str">
        <f t="shared" si="19"/>
        <v/>
      </c>
      <c r="AP101" s="47" t="str">
        <f>IF($U101="","",VLOOKUP($U101,'ORF Accuracy Value LookUp'!$G$4:$H$104,2,TRUE))</f>
        <v/>
      </c>
      <c r="AQ101" s="94" t="str">
        <f t="shared" si="20"/>
        <v/>
      </c>
      <c r="AR101" s="46" t="str">
        <f>IF($AE101="","",VLOOKUP($AE101,'ORF Accuracy Value LookUp'!$G$4:$H$104,2,TRUE))</f>
        <v/>
      </c>
      <c r="AS101" s="140" t="str">
        <f t="shared" si="21"/>
        <v/>
      </c>
    </row>
    <row r="102" spans="1:45">
      <c r="A102" s="10"/>
      <c r="B102" s="12"/>
      <c r="C102" s="13"/>
      <c r="D102" s="14"/>
      <c r="E102" s="10"/>
      <c r="F102" s="11"/>
      <c r="G102" s="15"/>
      <c r="H102" s="87"/>
      <c r="I102" s="24"/>
      <c r="J102" s="24"/>
      <c r="K102" s="114" t="str">
        <f t="shared" si="12"/>
        <v/>
      </c>
      <c r="L102" s="24"/>
      <c r="M102" s="24"/>
      <c r="N102" s="24"/>
      <c r="O102" s="24"/>
      <c r="P102" s="97" t="str">
        <f t="shared" si="13"/>
        <v/>
      </c>
      <c r="Q102" s="113" t="str">
        <f t="shared" si="14"/>
        <v/>
      </c>
      <c r="R102" s="87"/>
      <c r="S102" s="24"/>
      <c r="T102" s="24"/>
      <c r="U102" s="78" t="str">
        <f t="shared" si="15"/>
        <v/>
      </c>
      <c r="V102" s="24"/>
      <c r="W102" s="24"/>
      <c r="X102" s="24"/>
      <c r="Y102" s="24"/>
      <c r="Z102" s="98" t="str">
        <f t="shared" si="16"/>
        <v/>
      </c>
      <c r="AA102" s="40" t="str">
        <f t="shared" si="22"/>
        <v/>
      </c>
      <c r="AB102" s="87"/>
      <c r="AC102" s="24"/>
      <c r="AD102" s="24"/>
      <c r="AE102" s="79" t="str">
        <f t="shared" si="17"/>
        <v/>
      </c>
      <c r="AF102" s="24"/>
      <c r="AG102" s="24"/>
      <c r="AH102" s="24"/>
      <c r="AI102" s="24"/>
      <c r="AJ102" s="99" t="str">
        <f t="shared" si="18"/>
        <v/>
      </c>
      <c r="AK102" s="31" t="str">
        <f t="shared" si="23"/>
        <v/>
      </c>
      <c r="AN102" s="139" t="str">
        <f>IF($K102="","",VLOOKUP($K102,'ORF Accuracy Value LookUp'!$G$4:$H$104,2,TRUE))</f>
        <v/>
      </c>
      <c r="AO102" s="94" t="str">
        <f t="shared" si="19"/>
        <v/>
      </c>
      <c r="AP102" s="47" t="str">
        <f>IF($U102="","",VLOOKUP($U102,'ORF Accuracy Value LookUp'!$G$4:$H$104,2,TRUE))</f>
        <v/>
      </c>
      <c r="AQ102" s="94" t="str">
        <f t="shared" si="20"/>
        <v/>
      </c>
      <c r="AR102" s="46" t="str">
        <f>IF($AE102="","",VLOOKUP($AE102,'ORF Accuracy Value LookUp'!$G$4:$H$104,2,TRUE))</f>
        <v/>
      </c>
      <c r="AS102" s="140" t="str">
        <f t="shared" si="21"/>
        <v/>
      </c>
    </row>
    <row r="103" spans="1:45">
      <c r="A103" s="10"/>
      <c r="B103" s="12"/>
      <c r="C103" s="13"/>
      <c r="D103" s="14"/>
      <c r="E103" s="10"/>
      <c r="F103" s="11"/>
      <c r="G103" s="15"/>
      <c r="H103" s="87"/>
      <c r="I103" s="24"/>
      <c r="J103" s="24"/>
      <c r="K103" s="114" t="str">
        <f t="shared" si="12"/>
        <v/>
      </c>
      <c r="L103" s="24"/>
      <c r="M103" s="24"/>
      <c r="N103" s="24"/>
      <c r="O103" s="24"/>
      <c r="P103" s="97" t="str">
        <f t="shared" si="13"/>
        <v/>
      </c>
      <c r="Q103" s="113" t="str">
        <f t="shared" si="14"/>
        <v/>
      </c>
      <c r="R103" s="87"/>
      <c r="S103" s="24"/>
      <c r="T103" s="24"/>
      <c r="U103" s="78" t="str">
        <f t="shared" si="15"/>
        <v/>
      </c>
      <c r="V103" s="24"/>
      <c r="W103" s="24"/>
      <c r="X103" s="24"/>
      <c r="Y103" s="24"/>
      <c r="Z103" s="98" t="str">
        <f t="shared" si="16"/>
        <v/>
      </c>
      <c r="AA103" s="40" t="str">
        <f t="shared" si="22"/>
        <v/>
      </c>
      <c r="AB103" s="87"/>
      <c r="AC103" s="24"/>
      <c r="AD103" s="24"/>
      <c r="AE103" s="79" t="str">
        <f t="shared" si="17"/>
        <v/>
      </c>
      <c r="AF103" s="24"/>
      <c r="AG103" s="24"/>
      <c r="AH103" s="24"/>
      <c r="AI103" s="24"/>
      <c r="AJ103" s="99" t="str">
        <f t="shared" si="18"/>
        <v/>
      </c>
      <c r="AK103" s="31" t="str">
        <f t="shared" si="23"/>
        <v/>
      </c>
      <c r="AN103" s="139" t="str">
        <f>IF($K103="","",VLOOKUP($K103,'ORF Accuracy Value LookUp'!$G$4:$H$104,2,TRUE))</f>
        <v/>
      </c>
      <c r="AO103" s="94" t="str">
        <f t="shared" si="19"/>
        <v/>
      </c>
      <c r="AP103" s="47" t="str">
        <f>IF($U103="","",VLOOKUP($U103,'ORF Accuracy Value LookUp'!$G$4:$H$104,2,TRUE))</f>
        <v/>
      </c>
      <c r="AQ103" s="94" t="str">
        <f t="shared" si="20"/>
        <v/>
      </c>
      <c r="AR103" s="46" t="str">
        <f>IF($AE103="","",VLOOKUP($AE103,'ORF Accuracy Value LookUp'!$G$4:$H$104,2,TRUE))</f>
        <v/>
      </c>
      <c r="AS103" s="140" t="str">
        <f t="shared" si="21"/>
        <v/>
      </c>
    </row>
    <row r="104" spans="1:45">
      <c r="A104" s="10"/>
      <c r="B104" s="12"/>
      <c r="C104" s="13"/>
      <c r="D104" s="14"/>
      <c r="E104" s="10"/>
      <c r="F104" s="11"/>
      <c r="G104" s="15"/>
      <c r="H104" s="87"/>
      <c r="I104" s="24"/>
      <c r="J104" s="24"/>
      <c r="K104" s="114" t="str">
        <f t="shared" si="12"/>
        <v/>
      </c>
      <c r="L104" s="24"/>
      <c r="M104" s="24"/>
      <c r="N104" s="24"/>
      <c r="O104" s="24"/>
      <c r="P104" s="97" t="str">
        <f t="shared" si="13"/>
        <v/>
      </c>
      <c r="Q104" s="113" t="str">
        <f t="shared" si="14"/>
        <v/>
      </c>
      <c r="R104" s="87"/>
      <c r="S104" s="24"/>
      <c r="T104" s="24"/>
      <c r="U104" s="78" t="str">
        <f t="shared" si="15"/>
        <v/>
      </c>
      <c r="V104" s="24"/>
      <c r="W104" s="24"/>
      <c r="X104" s="24"/>
      <c r="Y104" s="24"/>
      <c r="Z104" s="98" t="str">
        <f t="shared" si="16"/>
        <v/>
      </c>
      <c r="AA104" s="40" t="str">
        <f t="shared" si="22"/>
        <v/>
      </c>
      <c r="AB104" s="87"/>
      <c r="AC104" s="24"/>
      <c r="AD104" s="24"/>
      <c r="AE104" s="79" t="str">
        <f t="shared" si="17"/>
        <v/>
      </c>
      <c r="AF104" s="24"/>
      <c r="AG104" s="24"/>
      <c r="AH104" s="24"/>
      <c r="AI104" s="24"/>
      <c r="AJ104" s="99" t="str">
        <f t="shared" si="18"/>
        <v/>
      </c>
      <c r="AK104" s="31" t="str">
        <f t="shared" si="23"/>
        <v/>
      </c>
      <c r="AN104" s="139" t="str">
        <f>IF($K104="","",VLOOKUP($K104,'ORF Accuracy Value LookUp'!$G$4:$H$104,2,TRUE))</f>
        <v/>
      </c>
      <c r="AO104" s="94" t="str">
        <f t="shared" si="19"/>
        <v/>
      </c>
      <c r="AP104" s="47" t="str">
        <f>IF($U104="","",VLOOKUP($U104,'ORF Accuracy Value LookUp'!$G$4:$H$104,2,TRUE))</f>
        <v/>
      </c>
      <c r="AQ104" s="94" t="str">
        <f t="shared" si="20"/>
        <v/>
      </c>
      <c r="AR104" s="46" t="str">
        <f>IF($AE104="","",VLOOKUP($AE104,'ORF Accuracy Value LookUp'!$G$4:$H$104,2,TRUE))</f>
        <v/>
      </c>
      <c r="AS104" s="140" t="str">
        <f t="shared" si="21"/>
        <v/>
      </c>
    </row>
    <row r="105" spans="1:45">
      <c r="A105" s="10"/>
      <c r="B105" s="12"/>
      <c r="C105" s="13"/>
      <c r="D105" s="14"/>
      <c r="E105" s="10"/>
      <c r="F105" s="11"/>
      <c r="G105" s="15"/>
      <c r="H105" s="87"/>
      <c r="I105" s="24"/>
      <c r="J105" s="24"/>
      <c r="K105" s="114" t="str">
        <f t="shared" si="12"/>
        <v/>
      </c>
      <c r="L105" s="24"/>
      <c r="M105" s="24"/>
      <c r="N105" s="24"/>
      <c r="O105" s="24"/>
      <c r="P105" s="97" t="str">
        <f t="shared" si="13"/>
        <v/>
      </c>
      <c r="Q105" s="113" t="str">
        <f t="shared" si="14"/>
        <v/>
      </c>
      <c r="R105" s="87"/>
      <c r="S105" s="24"/>
      <c r="T105" s="24"/>
      <c r="U105" s="78" t="str">
        <f t="shared" si="15"/>
        <v/>
      </c>
      <c r="V105" s="24"/>
      <c r="W105" s="24"/>
      <c r="X105" s="24"/>
      <c r="Y105" s="24"/>
      <c r="Z105" s="98" t="str">
        <f t="shared" si="16"/>
        <v/>
      </c>
      <c r="AA105" s="40" t="str">
        <f t="shared" si="22"/>
        <v/>
      </c>
      <c r="AB105" s="87"/>
      <c r="AC105" s="24"/>
      <c r="AD105" s="24"/>
      <c r="AE105" s="79" t="str">
        <f t="shared" si="17"/>
        <v/>
      </c>
      <c r="AF105" s="24"/>
      <c r="AG105" s="24"/>
      <c r="AH105" s="24"/>
      <c r="AI105" s="24"/>
      <c r="AJ105" s="99" t="str">
        <f t="shared" si="18"/>
        <v/>
      </c>
      <c r="AK105" s="31" t="str">
        <f t="shared" si="23"/>
        <v/>
      </c>
      <c r="AN105" s="139" t="str">
        <f>IF($K105="","",VLOOKUP($K105,'ORF Accuracy Value LookUp'!$G$4:$H$104,2,TRUE))</f>
        <v/>
      </c>
      <c r="AO105" s="94" t="str">
        <f t="shared" si="19"/>
        <v/>
      </c>
      <c r="AP105" s="47" t="str">
        <f>IF($U105="","",VLOOKUP($U105,'ORF Accuracy Value LookUp'!$G$4:$H$104,2,TRUE))</f>
        <v/>
      </c>
      <c r="AQ105" s="94" t="str">
        <f t="shared" si="20"/>
        <v/>
      </c>
      <c r="AR105" s="46" t="str">
        <f>IF($AE105="","",VLOOKUP($AE105,'ORF Accuracy Value LookUp'!$G$4:$H$104,2,TRUE))</f>
        <v/>
      </c>
      <c r="AS105" s="140" t="str">
        <f t="shared" si="21"/>
        <v/>
      </c>
    </row>
    <row r="106" spans="1:45">
      <c r="A106" s="10"/>
      <c r="B106" s="12"/>
      <c r="C106" s="13"/>
      <c r="D106" s="14"/>
      <c r="E106" s="10"/>
      <c r="F106" s="11"/>
      <c r="G106" s="15"/>
      <c r="H106" s="87"/>
      <c r="I106" s="24"/>
      <c r="J106" s="24"/>
      <c r="K106" s="114" t="str">
        <f t="shared" si="12"/>
        <v/>
      </c>
      <c r="L106" s="24"/>
      <c r="M106" s="24"/>
      <c r="N106" s="24"/>
      <c r="O106" s="24"/>
      <c r="P106" s="97" t="str">
        <f t="shared" si="13"/>
        <v/>
      </c>
      <c r="Q106" s="113" t="str">
        <f t="shared" si="14"/>
        <v/>
      </c>
      <c r="R106" s="87"/>
      <c r="S106" s="24"/>
      <c r="T106" s="24"/>
      <c r="U106" s="78" t="str">
        <f t="shared" si="15"/>
        <v/>
      </c>
      <c r="V106" s="24"/>
      <c r="W106" s="24"/>
      <c r="X106" s="24"/>
      <c r="Y106" s="24"/>
      <c r="Z106" s="98" t="str">
        <f t="shared" si="16"/>
        <v/>
      </c>
      <c r="AA106" s="40" t="str">
        <f t="shared" si="22"/>
        <v/>
      </c>
      <c r="AB106" s="87"/>
      <c r="AC106" s="24"/>
      <c r="AD106" s="24"/>
      <c r="AE106" s="79" t="str">
        <f t="shared" si="17"/>
        <v/>
      </c>
      <c r="AF106" s="24"/>
      <c r="AG106" s="24"/>
      <c r="AH106" s="24"/>
      <c r="AI106" s="24"/>
      <c r="AJ106" s="99" t="str">
        <f t="shared" si="18"/>
        <v/>
      </c>
      <c r="AK106" s="31" t="str">
        <f t="shared" si="23"/>
        <v/>
      </c>
      <c r="AN106" s="139" t="str">
        <f>IF($K106="","",VLOOKUP($K106,'ORF Accuracy Value LookUp'!$G$4:$H$104,2,TRUE))</f>
        <v/>
      </c>
      <c r="AO106" s="94" t="str">
        <f t="shared" si="19"/>
        <v/>
      </c>
      <c r="AP106" s="47" t="str">
        <f>IF($U106="","",VLOOKUP($U106,'ORF Accuracy Value LookUp'!$G$4:$H$104,2,TRUE))</f>
        <v/>
      </c>
      <c r="AQ106" s="94" t="str">
        <f t="shared" si="20"/>
        <v/>
      </c>
      <c r="AR106" s="46" t="str">
        <f>IF($AE106="","",VLOOKUP($AE106,'ORF Accuracy Value LookUp'!$G$4:$H$104,2,TRUE))</f>
        <v/>
      </c>
      <c r="AS106" s="140" t="str">
        <f t="shared" si="21"/>
        <v/>
      </c>
    </row>
    <row r="107" spans="1:45">
      <c r="A107" s="10"/>
      <c r="B107" s="12"/>
      <c r="C107" s="13"/>
      <c r="D107" s="14"/>
      <c r="E107" s="10"/>
      <c r="F107" s="11"/>
      <c r="G107" s="15"/>
      <c r="H107" s="87"/>
      <c r="I107" s="24"/>
      <c r="J107" s="24"/>
      <c r="K107" s="114" t="str">
        <f t="shared" si="12"/>
        <v/>
      </c>
      <c r="L107" s="24"/>
      <c r="M107" s="24"/>
      <c r="N107" s="24"/>
      <c r="O107" s="24"/>
      <c r="P107" s="97" t="str">
        <f t="shared" si="13"/>
        <v/>
      </c>
      <c r="Q107" s="113" t="str">
        <f t="shared" si="14"/>
        <v/>
      </c>
      <c r="R107" s="87"/>
      <c r="S107" s="24"/>
      <c r="T107" s="24"/>
      <c r="U107" s="78" t="str">
        <f t="shared" si="15"/>
        <v/>
      </c>
      <c r="V107" s="24"/>
      <c r="W107" s="24"/>
      <c r="X107" s="24"/>
      <c r="Y107" s="24"/>
      <c r="Z107" s="98" t="str">
        <f t="shared" si="16"/>
        <v/>
      </c>
      <c r="AA107" s="40" t="str">
        <f t="shared" si="22"/>
        <v/>
      </c>
      <c r="AB107" s="87"/>
      <c r="AC107" s="24"/>
      <c r="AD107" s="24"/>
      <c r="AE107" s="79" t="str">
        <f t="shared" si="17"/>
        <v/>
      </c>
      <c r="AF107" s="24"/>
      <c r="AG107" s="24"/>
      <c r="AH107" s="24"/>
      <c r="AI107" s="24"/>
      <c r="AJ107" s="99" t="str">
        <f t="shared" si="18"/>
        <v/>
      </c>
      <c r="AK107" s="31" t="str">
        <f t="shared" si="23"/>
        <v/>
      </c>
      <c r="AN107" s="139" t="str">
        <f>IF($K107="","",VLOOKUP($K107,'ORF Accuracy Value LookUp'!$G$4:$H$104,2,TRUE))</f>
        <v/>
      </c>
      <c r="AO107" s="94" t="str">
        <f t="shared" si="19"/>
        <v/>
      </c>
      <c r="AP107" s="47" t="str">
        <f>IF($U107="","",VLOOKUP($U107,'ORF Accuracy Value LookUp'!$G$4:$H$104,2,TRUE))</f>
        <v/>
      </c>
      <c r="AQ107" s="94" t="str">
        <f t="shared" si="20"/>
        <v/>
      </c>
      <c r="AR107" s="46" t="str">
        <f>IF($AE107="","",VLOOKUP($AE107,'ORF Accuracy Value LookUp'!$G$4:$H$104,2,TRUE))</f>
        <v/>
      </c>
      <c r="AS107" s="140" t="str">
        <f t="shared" si="21"/>
        <v/>
      </c>
    </row>
    <row r="108" spans="1:45">
      <c r="A108" s="10"/>
      <c r="B108" s="12"/>
      <c r="C108" s="13"/>
      <c r="D108" s="14"/>
      <c r="E108" s="10"/>
      <c r="F108" s="11"/>
      <c r="G108" s="15"/>
      <c r="H108" s="87"/>
      <c r="I108" s="24"/>
      <c r="J108" s="24"/>
      <c r="K108" s="114" t="str">
        <f t="shared" si="12"/>
        <v/>
      </c>
      <c r="L108" s="24"/>
      <c r="M108" s="24"/>
      <c r="N108" s="24"/>
      <c r="O108" s="24"/>
      <c r="P108" s="97" t="str">
        <f t="shared" si="13"/>
        <v/>
      </c>
      <c r="Q108" s="113" t="str">
        <f t="shared" si="14"/>
        <v/>
      </c>
      <c r="R108" s="87"/>
      <c r="S108" s="24"/>
      <c r="T108" s="24"/>
      <c r="U108" s="78" t="str">
        <f t="shared" si="15"/>
        <v/>
      </c>
      <c r="V108" s="24"/>
      <c r="W108" s="24"/>
      <c r="X108" s="24"/>
      <c r="Y108" s="24"/>
      <c r="Z108" s="98" t="str">
        <f t="shared" si="16"/>
        <v/>
      </c>
      <c r="AA108" s="40" t="str">
        <f t="shared" si="22"/>
        <v/>
      </c>
      <c r="AB108" s="87"/>
      <c r="AC108" s="24"/>
      <c r="AD108" s="24"/>
      <c r="AE108" s="79" t="str">
        <f t="shared" si="17"/>
        <v/>
      </c>
      <c r="AF108" s="24"/>
      <c r="AG108" s="24"/>
      <c r="AH108" s="24"/>
      <c r="AI108" s="24"/>
      <c r="AJ108" s="99" t="str">
        <f t="shared" si="18"/>
        <v/>
      </c>
      <c r="AK108" s="31" t="str">
        <f t="shared" si="23"/>
        <v/>
      </c>
      <c r="AN108" s="139" t="str">
        <f>IF($K108="","",VLOOKUP($K108,'ORF Accuracy Value LookUp'!$G$4:$H$104,2,TRUE))</f>
        <v/>
      </c>
      <c r="AO108" s="94" t="str">
        <f t="shared" si="19"/>
        <v/>
      </c>
      <c r="AP108" s="47" t="str">
        <f>IF($U108="","",VLOOKUP($U108,'ORF Accuracy Value LookUp'!$G$4:$H$104,2,TRUE))</f>
        <v/>
      </c>
      <c r="AQ108" s="94" t="str">
        <f t="shared" si="20"/>
        <v/>
      </c>
      <c r="AR108" s="46" t="str">
        <f>IF($AE108="","",VLOOKUP($AE108,'ORF Accuracy Value LookUp'!$G$4:$H$104,2,TRUE))</f>
        <v/>
      </c>
      <c r="AS108" s="140" t="str">
        <f t="shared" si="21"/>
        <v/>
      </c>
    </row>
    <row r="109" spans="1:45">
      <c r="A109" s="10"/>
      <c r="B109" s="12"/>
      <c r="C109" s="13"/>
      <c r="D109" s="14"/>
      <c r="E109" s="10"/>
      <c r="F109" s="11"/>
      <c r="G109" s="15"/>
      <c r="H109" s="87"/>
      <c r="I109" s="24"/>
      <c r="J109" s="24"/>
      <c r="K109" s="114" t="str">
        <f t="shared" si="12"/>
        <v/>
      </c>
      <c r="L109" s="24"/>
      <c r="M109" s="24"/>
      <c r="N109" s="24"/>
      <c r="O109" s="24"/>
      <c r="P109" s="97" t="str">
        <f t="shared" si="13"/>
        <v/>
      </c>
      <c r="Q109" s="113" t="str">
        <f t="shared" si="14"/>
        <v/>
      </c>
      <c r="R109" s="87"/>
      <c r="S109" s="24"/>
      <c r="T109" s="24"/>
      <c r="U109" s="78" t="str">
        <f t="shared" si="15"/>
        <v/>
      </c>
      <c r="V109" s="24"/>
      <c r="W109" s="24"/>
      <c r="X109" s="24"/>
      <c r="Y109" s="24"/>
      <c r="Z109" s="98" t="str">
        <f t="shared" si="16"/>
        <v/>
      </c>
      <c r="AA109" s="40" t="str">
        <f t="shared" si="22"/>
        <v/>
      </c>
      <c r="AB109" s="87"/>
      <c r="AC109" s="24"/>
      <c r="AD109" s="24"/>
      <c r="AE109" s="79" t="str">
        <f t="shared" si="17"/>
        <v/>
      </c>
      <c r="AF109" s="24"/>
      <c r="AG109" s="24"/>
      <c r="AH109" s="24"/>
      <c r="AI109" s="24"/>
      <c r="AJ109" s="99" t="str">
        <f t="shared" si="18"/>
        <v/>
      </c>
      <c r="AK109" s="31" t="str">
        <f t="shared" si="23"/>
        <v/>
      </c>
      <c r="AN109" s="139" t="str">
        <f>IF($K109="","",VLOOKUP($K109,'ORF Accuracy Value LookUp'!$G$4:$H$104,2,TRUE))</f>
        <v/>
      </c>
      <c r="AO109" s="94" t="str">
        <f t="shared" si="19"/>
        <v/>
      </c>
      <c r="AP109" s="47" t="str">
        <f>IF($U109="","",VLOOKUP($U109,'ORF Accuracy Value LookUp'!$G$4:$H$104,2,TRUE))</f>
        <v/>
      </c>
      <c r="AQ109" s="94" t="str">
        <f t="shared" si="20"/>
        <v/>
      </c>
      <c r="AR109" s="46" t="str">
        <f>IF($AE109="","",VLOOKUP($AE109,'ORF Accuracy Value LookUp'!$G$4:$H$104,2,TRUE))</f>
        <v/>
      </c>
      <c r="AS109" s="140" t="str">
        <f t="shared" si="21"/>
        <v/>
      </c>
    </row>
    <row r="110" spans="1:45">
      <c r="A110" s="10"/>
      <c r="B110" s="12"/>
      <c r="C110" s="13"/>
      <c r="D110" s="14"/>
      <c r="E110" s="10"/>
      <c r="F110" s="11"/>
      <c r="G110" s="15"/>
      <c r="H110" s="87"/>
      <c r="I110" s="24"/>
      <c r="J110" s="24"/>
      <c r="K110" s="114" t="str">
        <f t="shared" si="12"/>
        <v/>
      </c>
      <c r="L110" s="24"/>
      <c r="M110" s="24"/>
      <c r="N110" s="24"/>
      <c r="O110" s="24"/>
      <c r="P110" s="97" t="str">
        <f t="shared" si="13"/>
        <v/>
      </c>
      <c r="Q110" s="113" t="str">
        <f t="shared" si="14"/>
        <v/>
      </c>
      <c r="R110" s="87"/>
      <c r="S110" s="24"/>
      <c r="T110" s="24"/>
      <c r="U110" s="78" t="str">
        <f t="shared" si="15"/>
        <v/>
      </c>
      <c r="V110" s="24"/>
      <c r="W110" s="24"/>
      <c r="X110" s="24"/>
      <c r="Y110" s="24"/>
      <c r="Z110" s="98" t="str">
        <f t="shared" si="16"/>
        <v/>
      </c>
      <c r="AA110" s="40" t="str">
        <f t="shared" si="22"/>
        <v/>
      </c>
      <c r="AB110" s="87"/>
      <c r="AC110" s="24"/>
      <c r="AD110" s="24"/>
      <c r="AE110" s="79" t="str">
        <f t="shared" si="17"/>
        <v/>
      </c>
      <c r="AF110" s="24"/>
      <c r="AG110" s="24"/>
      <c r="AH110" s="24"/>
      <c r="AI110" s="24"/>
      <c r="AJ110" s="99" t="str">
        <f t="shared" si="18"/>
        <v/>
      </c>
      <c r="AK110" s="31" t="str">
        <f t="shared" si="23"/>
        <v/>
      </c>
      <c r="AN110" s="139" t="str">
        <f>IF($K110="","",VLOOKUP($K110,'ORF Accuracy Value LookUp'!$G$4:$H$104,2,TRUE))</f>
        <v/>
      </c>
      <c r="AO110" s="94" t="str">
        <f t="shared" si="19"/>
        <v/>
      </c>
      <c r="AP110" s="47" t="str">
        <f>IF($U110="","",VLOOKUP($U110,'ORF Accuracy Value LookUp'!$G$4:$H$104,2,TRUE))</f>
        <v/>
      </c>
      <c r="AQ110" s="94" t="str">
        <f t="shared" si="20"/>
        <v/>
      </c>
      <c r="AR110" s="46" t="str">
        <f>IF($AE110="","",VLOOKUP($AE110,'ORF Accuracy Value LookUp'!$G$4:$H$104,2,TRUE))</f>
        <v/>
      </c>
      <c r="AS110" s="140" t="str">
        <f t="shared" si="21"/>
        <v/>
      </c>
    </row>
    <row r="111" spans="1:45">
      <c r="A111" s="10"/>
      <c r="B111" s="12"/>
      <c r="C111" s="13"/>
      <c r="D111" s="14"/>
      <c r="E111" s="10"/>
      <c r="F111" s="11"/>
      <c r="G111" s="15"/>
      <c r="H111" s="87"/>
      <c r="I111" s="24"/>
      <c r="J111" s="24"/>
      <c r="K111" s="114" t="str">
        <f t="shared" si="12"/>
        <v/>
      </c>
      <c r="L111" s="24"/>
      <c r="M111" s="24"/>
      <c r="N111" s="24"/>
      <c r="O111" s="24"/>
      <c r="P111" s="97" t="str">
        <f t="shared" si="13"/>
        <v/>
      </c>
      <c r="Q111" s="113" t="str">
        <f t="shared" si="14"/>
        <v/>
      </c>
      <c r="R111" s="87"/>
      <c r="S111" s="24"/>
      <c r="T111" s="24"/>
      <c r="U111" s="78" t="str">
        <f t="shared" si="15"/>
        <v/>
      </c>
      <c r="V111" s="24"/>
      <c r="W111" s="24"/>
      <c r="X111" s="24"/>
      <c r="Y111" s="24"/>
      <c r="Z111" s="98" t="str">
        <f t="shared" si="16"/>
        <v/>
      </c>
      <c r="AA111" s="40" t="str">
        <f t="shared" si="22"/>
        <v/>
      </c>
      <c r="AB111" s="87"/>
      <c r="AC111" s="24"/>
      <c r="AD111" s="24"/>
      <c r="AE111" s="79" t="str">
        <f t="shared" si="17"/>
        <v/>
      </c>
      <c r="AF111" s="24"/>
      <c r="AG111" s="24"/>
      <c r="AH111" s="24"/>
      <c r="AI111" s="24"/>
      <c r="AJ111" s="99" t="str">
        <f t="shared" si="18"/>
        <v/>
      </c>
      <c r="AK111" s="31" t="str">
        <f t="shared" si="23"/>
        <v/>
      </c>
      <c r="AN111" s="139" t="str">
        <f>IF($K111="","",VLOOKUP($K111,'ORF Accuracy Value LookUp'!$G$4:$H$104,2,TRUE))</f>
        <v/>
      </c>
      <c r="AO111" s="94" t="str">
        <f t="shared" si="19"/>
        <v/>
      </c>
      <c r="AP111" s="47" t="str">
        <f>IF($U111="","",VLOOKUP($U111,'ORF Accuracy Value LookUp'!$G$4:$H$104,2,TRUE))</f>
        <v/>
      </c>
      <c r="AQ111" s="94" t="str">
        <f t="shared" si="20"/>
        <v/>
      </c>
      <c r="AR111" s="46" t="str">
        <f>IF($AE111="","",VLOOKUP($AE111,'ORF Accuracy Value LookUp'!$G$4:$H$104,2,TRUE))</f>
        <v/>
      </c>
      <c r="AS111" s="140" t="str">
        <f t="shared" si="21"/>
        <v/>
      </c>
    </row>
    <row r="112" spans="1:45">
      <c r="A112" s="10"/>
      <c r="B112" s="12"/>
      <c r="C112" s="13"/>
      <c r="D112" s="14"/>
      <c r="E112" s="10"/>
      <c r="F112" s="11"/>
      <c r="G112" s="15"/>
      <c r="H112" s="87"/>
      <c r="I112" s="24"/>
      <c r="J112" s="24"/>
      <c r="K112" s="114" t="str">
        <f t="shared" si="12"/>
        <v/>
      </c>
      <c r="L112" s="24"/>
      <c r="M112" s="24"/>
      <c r="N112" s="24"/>
      <c r="O112" s="24"/>
      <c r="P112" s="97" t="str">
        <f t="shared" si="13"/>
        <v/>
      </c>
      <c r="Q112" s="113" t="str">
        <f t="shared" si="14"/>
        <v/>
      </c>
      <c r="R112" s="87"/>
      <c r="S112" s="24"/>
      <c r="T112" s="24"/>
      <c r="U112" s="78" t="str">
        <f t="shared" si="15"/>
        <v/>
      </c>
      <c r="V112" s="24"/>
      <c r="W112" s="24"/>
      <c r="X112" s="24"/>
      <c r="Y112" s="24"/>
      <c r="Z112" s="98" t="str">
        <f t="shared" si="16"/>
        <v/>
      </c>
      <c r="AA112" s="40" t="str">
        <f t="shared" si="22"/>
        <v/>
      </c>
      <c r="AB112" s="87"/>
      <c r="AC112" s="24"/>
      <c r="AD112" s="24"/>
      <c r="AE112" s="79" t="str">
        <f t="shared" si="17"/>
        <v/>
      </c>
      <c r="AF112" s="24"/>
      <c r="AG112" s="24"/>
      <c r="AH112" s="24"/>
      <c r="AI112" s="24"/>
      <c r="AJ112" s="99" t="str">
        <f t="shared" si="18"/>
        <v/>
      </c>
      <c r="AK112" s="31" t="str">
        <f t="shared" si="23"/>
        <v/>
      </c>
      <c r="AN112" s="139" t="str">
        <f>IF($K112="","",VLOOKUP($K112,'ORF Accuracy Value LookUp'!$G$4:$H$104,2,TRUE))</f>
        <v/>
      </c>
      <c r="AO112" s="94" t="str">
        <f t="shared" si="19"/>
        <v/>
      </c>
      <c r="AP112" s="47" t="str">
        <f>IF($U112="","",VLOOKUP($U112,'ORF Accuracy Value LookUp'!$G$4:$H$104,2,TRUE))</f>
        <v/>
      </c>
      <c r="AQ112" s="94" t="str">
        <f t="shared" si="20"/>
        <v/>
      </c>
      <c r="AR112" s="46" t="str">
        <f>IF($AE112="","",VLOOKUP($AE112,'ORF Accuracy Value LookUp'!$G$4:$H$104,2,TRUE))</f>
        <v/>
      </c>
      <c r="AS112" s="140" t="str">
        <f t="shared" si="21"/>
        <v/>
      </c>
    </row>
    <row r="113" spans="1:45">
      <c r="A113" s="10"/>
      <c r="B113" s="12"/>
      <c r="C113" s="13"/>
      <c r="D113" s="14"/>
      <c r="E113" s="10"/>
      <c r="F113" s="11"/>
      <c r="G113" s="15"/>
      <c r="H113" s="87"/>
      <c r="I113" s="24"/>
      <c r="J113" s="24"/>
      <c r="K113" s="114" t="str">
        <f t="shared" si="12"/>
        <v/>
      </c>
      <c r="L113" s="24"/>
      <c r="M113" s="24"/>
      <c r="N113" s="24"/>
      <c r="O113" s="24"/>
      <c r="P113" s="97" t="str">
        <f t="shared" si="13"/>
        <v/>
      </c>
      <c r="Q113" s="113" t="str">
        <f t="shared" si="14"/>
        <v/>
      </c>
      <c r="R113" s="87"/>
      <c r="S113" s="24"/>
      <c r="T113" s="24"/>
      <c r="U113" s="78" t="str">
        <f t="shared" si="15"/>
        <v/>
      </c>
      <c r="V113" s="24"/>
      <c r="W113" s="24"/>
      <c r="X113" s="24"/>
      <c r="Y113" s="24"/>
      <c r="Z113" s="98" t="str">
        <f t="shared" si="16"/>
        <v/>
      </c>
      <c r="AA113" s="40" t="str">
        <f t="shared" si="22"/>
        <v/>
      </c>
      <c r="AB113" s="87"/>
      <c r="AC113" s="24"/>
      <c r="AD113" s="24"/>
      <c r="AE113" s="79" t="str">
        <f t="shared" si="17"/>
        <v/>
      </c>
      <c r="AF113" s="24"/>
      <c r="AG113" s="24"/>
      <c r="AH113" s="24"/>
      <c r="AI113" s="24"/>
      <c r="AJ113" s="99" t="str">
        <f t="shared" si="18"/>
        <v/>
      </c>
      <c r="AK113" s="31" t="str">
        <f t="shared" si="23"/>
        <v/>
      </c>
      <c r="AN113" s="139" t="str">
        <f>IF($K113="","",VLOOKUP($K113,'ORF Accuracy Value LookUp'!$G$4:$H$104,2,TRUE))</f>
        <v/>
      </c>
      <c r="AO113" s="94" t="str">
        <f t="shared" si="19"/>
        <v/>
      </c>
      <c r="AP113" s="47" t="str">
        <f>IF($U113="","",VLOOKUP($U113,'ORF Accuracy Value LookUp'!$G$4:$H$104,2,TRUE))</f>
        <v/>
      </c>
      <c r="AQ113" s="94" t="str">
        <f t="shared" si="20"/>
        <v/>
      </c>
      <c r="AR113" s="46" t="str">
        <f>IF($AE113="","",VLOOKUP($AE113,'ORF Accuracy Value LookUp'!$G$4:$H$104,2,TRUE))</f>
        <v/>
      </c>
      <c r="AS113" s="140" t="str">
        <f t="shared" si="21"/>
        <v/>
      </c>
    </row>
    <row r="114" spans="1:45">
      <c r="A114" s="10"/>
      <c r="B114" s="12"/>
      <c r="C114" s="13"/>
      <c r="D114" s="14"/>
      <c r="E114" s="10"/>
      <c r="F114" s="11"/>
      <c r="G114" s="15"/>
      <c r="H114" s="87"/>
      <c r="I114" s="24"/>
      <c r="J114" s="24"/>
      <c r="K114" s="114" t="str">
        <f t="shared" si="12"/>
        <v/>
      </c>
      <c r="L114" s="24"/>
      <c r="M114" s="24"/>
      <c r="N114" s="24"/>
      <c r="O114" s="24"/>
      <c r="P114" s="97" t="str">
        <f t="shared" si="13"/>
        <v/>
      </c>
      <c r="Q114" s="113" t="str">
        <f t="shared" si="14"/>
        <v/>
      </c>
      <c r="R114" s="87"/>
      <c r="S114" s="24"/>
      <c r="T114" s="24"/>
      <c r="U114" s="78" t="str">
        <f t="shared" si="15"/>
        <v/>
      </c>
      <c r="V114" s="24"/>
      <c r="W114" s="24"/>
      <c r="X114" s="24"/>
      <c r="Y114" s="24"/>
      <c r="Z114" s="98" t="str">
        <f t="shared" si="16"/>
        <v/>
      </c>
      <c r="AA114" s="40" t="str">
        <f t="shared" si="22"/>
        <v/>
      </c>
      <c r="AB114" s="87"/>
      <c r="AC114" s="24"/>
      <c r="AD114" s="24"/>
      <c r="AE114" s="79" t="str">
        <f t="shared" si="17"/>
        <v/>
      </c>
      <c r="AF114" s="24"/>
      <c r="AG114" s="24"/>
      <c r="AH114" s="24"/>
      <c r="AI114" s="24"/>
      <c r="AJ114" s="99" t="str">
        <f t="shared" si="18"/>
        <v/>
      </c>
      <c r="AK114" s="31" t="str">
        <f t="shared" si="23"/>
        <v/>
      </c>
      <c r="AN114" s="139" t="str">
        <f>IF($K114="","",VLOOKUP($K114,'ORF Accuracy Value LookUp'!$G$4:$H$104,2,TRUE))</f>
        <v/>
      </c>
      <c r="AO114" s="94" t="str">
        <f t="shared" si="19"/>
        <v/>
      </c>
      <c r="AP114" s="47" t="str">
        <f>IF($U114="","",VLOOKUP($U114,'ORF Accuracy Value LookUp'!$G$4:$H$104,2,TRUE))</f>
        <v/>
      </c>
      <c r="AQ114" s="94" t="str">
        <f t="shared" si="20"/>
        <v/>
      </c>
      <c r="AR114" s="46" t="str">
        <f>IF($AE114="","",VLOOKUP($AE114,'ORF Accuracy Value LookUp'!$G$4:$H$104,2,TRUE))</f>
        <v/>
      </c>
      <c r="AS114" s="140" t="str">
        <f t="shared" si="21"/>
        <v/>
      </c>
    </row>
    <row r="115" spans="1:45">
      <c r="A115" s="10"/>
      <c r="B115" s="12"/>
      <c r="C115" s="13"/>
      <c r="D115" s="14"/>
      <c r="E115" s="10"/>
      <c r="F115" s="11"/>
      <c r="G115" s="15"/>
      <c r="H115" s="87"/>
      <c r="I115" s="24"/>
      <c r="J115" s="24"/>
      <c r="K115" s="114" t="str">
        <f t="shared" si="12"/>
        <v/>
      </c>
      <c r="L115" s="24"/>
      <c r="M115" s="24"/>
      <c r="N115" s="24"/>
      <c r="O115" s="24"/>
      <c r="P115" s="97" t="str">
        <f t="shared" si="13"/>
        <v/>
      </c>
      <c r="Q115" s="113" t="str">
        <f t="shared" si="14"/>
        <v/>
      </c>
      <c r="R115" s="87"/>
      <c r="S115" s="24"/>
      <c r="T115" s="24"/>
      <c r="U115" s="78" t="str">
        <f t="shared" si="15"/>
        <v/>
      </c>
      <c r="V115" s="24"/>
      <c r="W115" s="24"/>
      <c r="X115" s="24"/>
      <c r="Y115" s="24"/>
      <c r="Z115" s="98" t="str">
        <f t="shared" si="16"/>
        <v/>
      </c>
      <c r="AA115" s="40" t="str">
        <f t="shared" si="22"/>
        <v/>
      </c>
      <c r="AB115" s="87"/>
      <c r="AC115" s="24"/>
      <c r="AD115" s="24"/>
      <c r="AE115" s="79" t="str">
        <f t="shared" si="17"/>
        <v/>
      </c>
      <c r="AF115" s="24"/>
      <c r="AG115" s="24"/>
      <c r="AH115" s="24"/>
      <c r="AI115" s="24"/>
      <c r="AJ115" s="99" t="str">
        <f t="shared" si="18"/>
        <v/>
      </c>
      <c r="AK115" s="31" t="str">
        <f t="shared" si="23"/>
        <v/>
      </c>
      <c r="AN115" s="139" t="str">
        <f>IF($K115="","",VLOOKUP($K115,'ORF Accuracy Value LookUp'!$G$4:$H$104,2,TRUE))</f>
        <v/>
      </c>
      <c r="AO115" s="94" t="str">
        <f t="shared" si="19"/>
        <v/>
      </c>
      <c r="AP115" s="47" t="str">
        <f>IF($U115="","",VLOOKUP($U115,'ORF Accuracy Value LookUp'!$G$4:$H$104,2,TRUE))</f>
        <v/>
      </c>
      <c r="AQ115" s="94" t="str">
        <f t="shared" si="20"/>
        <v/>
      </c>
      <c r="AR115" s="46" t="str">
        <f>IF($AE115="","",VLOOKUP($AE115,'ORF Accuracy Value LookUp'!$G$4:$H$104,2,TRUE))</f>
        <v/>
      </c>
      <c r="AS115" s="140" t="str">
        <f t="shared" si="21"/>
        <v/>
      </c>
    </row>
    <row r="116" spans="1:45">
      <c r="A116" s="10"/>
      <c r="B116" s="12"/>
      <c r="C116" s="13"/>
      <c r="D116" s="14"/>
      <c r="E116" s="10"/>
      <c r="F116" s="11"/>
      <c r="G116" s="15"/>
      <c r="H116" s="87"/>
      <c r="I116" s="24"/>
      <c r="J116" s="24"/>
      <c r="K116" s="114" t="str">
        <f t="shared" si="12"/>
        <v/>
      </c>
      <c r="L116" s="24"/>
      <c r="M116" s="24"/>
      <c r="N116" s="24"/>
      <c r="O116" s="24"/>
      <c r="P116" s="97" t="str">
        <f t="shared" si="13"/>
        <v/>
      </c>
      <c r="Q116" s="113" t="str">
        <f t="shared" si="14"/>
        <v/>
      </c>
      <c r="R116" s="87"/>
      <c r="S116" s="24"/>
      <c r="T116" s="24"/>
      <c r="U116" s="78" t="str">
        <f t="shared" si="15"/>
        <v/>
      </c>
      <c r="V116" s="24"/>
      <c r="W116" s="24"/>
      <c r="X116" s="24"/>
      <c r="Y116" s="24"/>
      <c r="Z116" s="98" t="str">
        <f t="shared" si="16"/>
        <v/>
      </c>
      <c r="AA116" s="40" t="str">
        <f t="shared" si="22"/>
        <v/>
      </c>
      <c r="AB116" s="87"/>
      <c r="AC116" s="24"/>
      <c r="AD116" s="24"/>
      <c r="AE116" s="79" t="str">
        <f t="shared" si="17"/>
        <v/>
      </c>
      <c r="AF116" s="24"/>
      <c r="AG116" s="24"/>
      <c r="AH116" s="24"/>
      <c r="AI116" s="24"/>
      <c r="AJ116" s="99" t="str">
        <f t="shared" si="18"/>
        <v/>
      </c>
      <c r="AK116" s="31" t="str">
        <f t="shared" si="23"/>
        <v/>
      </c>
      <c r="AN116" s="139" t="str">
        <f>IF($K116="","",VLOOKUP($K116,'ORF Accuracy Value LookUp'!$G$4:$H$104,2,TRUE))</f>
        <v/>
      </c>
      <c r="AO116" s="94" t="str">
        <f t="shared" si="19"/>
        <v/>
      </c>
      <c r="AP116" s="47" t="str">
        <f>IF($U116="","",VLOOKUP($U116,'ORF Accuracy Value LookUp'!$G$4:$H$104,2,TRUE))</f>
        <v/>
      </c>
      <c r="AQ116" s="94" t="str">
        <f t="shared" si="20"/>
        <v/>
      </c>
      <c r="AR116" s="46" t="str">
        <f>IF($AE116="","",VLOOKUP($AE116,'ORF Accuracy Value LookUp'!$G$4:$H$104,2,TRUE))</f>
        <v/>
      </c>
      <c r="AS116" s="140" t="str">
        <f t="shared" si="21"/>
        <v/>
      </c>
    </row>
    <row r="117" spans="1:45">
      <c r="A117" s="10"/>
      <c r="B117" s="12"/>
      <c r="C117" s="13"/>
      <c r="D117" s="14"/>
      <c r="E117" s="10"/>
      <c r="F117" s="11"/>
      <c r="G117" s="15"/>
      <c r="H117" s="87"/>
      <c r="I117" s="24"/>
      <c r="J117" s="24"/>
      <c r="K117" s="114" t="str">
        <f t="shared" si="12"/>
        <v/>
      </c>
      <c r="L117" s="24"/>
      <c r="M117" s="24"/>
      <c r="N117" s="24"/>
      <c r="O117" s="24"/>
      <c r="P117" s="97" t="str">
        <f t="shared" si="13"/>
        <v/>
      </c>
      <c r="Q117" s="113" t="str">
        <f t="shared" si="14"/>
        <v/>
      </c>
      <c r="R117" s="87"/>
      <c r="S117" s="24"/>
      <c r="T117" s="24"/>
      <c r="U117" s="78" t="str">
        <f t="shared" si="15"/>
        <v/>
      </c>
      <c r="V117" s="24"/>
      <c r="W117" s="24"/>
      <c r="X117" s="24"/>
      <c r="Y117" s="24"/>
      <c r="Z117" s="98" t="str">
        <f t="shared" si="16"/>
        <v/>
      </c>
      <c r="AA117" s="40" t="str">
        <f t="shared" si="22"/>
        <v/>
      </c>
      <c r="AB117" s="87"/>
      <c r="AC117" s="24"/>
      <c r="AD117" s="24"/>
      <c r="AE117" s="79" t="str">
        <f t="shared" si="17"/>
        <v/>
      </c>
      <c r="AF117" s="24"/>
      <c r="AG117" s="24"/>
      <c r="AH117" s="24"/>
      <c r="AI117" s="24"/>
      <c r="AJ117" s="99" t="str">
        <f t="shared" si="18"/>
        <v/>
      </c>
      <c r="AK117" s="31" t="str">
        <f t="shared" si="23"/>
        <v/>
      </c>
      <c r="AN117" s="139" t="str">
        <f>IF($K117="","",VLOOKUP($K117,'ORF Accuracy Value LookUp'!$G$4:$H$104,2,TRUE))</f>
        <v/>
      </c>
      <c r="AO117" s="94" t="str">
        <f t="shared" si="19"/>
        <v/>
      </c>
      <c r="AP117" s="47" t="str">
        <f>IF($U117="","",VLOOKUP($U117,'ORF Accuracy Value LookUp'!$G$4:$H$104,2,TRUE))</f>
        <v/>
      </c>
      <c r="AQ117" s="94" t="str">
        <f t="shared" si="20"/>
        <v/>
      </c>
      <c r="AR117" s="46" t="str">
        <f>IF($AE117="","",VLOOKUP($AE117,'ORF Accuracy Value LookUp'!$G$4:$H$104,2,TRUE))</f>
        <v/>
      </c>
      <c r="AS117" s="140" t="str">
        <f t="shared" si="21"/>
        <v/>
      </c>
    </row>
    <row r="118" spans="1:45">
      <c r="A118" s="10"/>
      <c r="B118" s="12"/>
      <c r="C118" s="13"/>
      <c r="D118" s="14"/>
      <c r="E118" s="10"/>
      <c r="F118" s="11"/>
      <c r="G118" s="15"/>
      <c r="H118" s="87"/>
      <c r="I118" s="24"/>
      <c r="J118" s="24"/>
      <c r="K118" s="114" t="str">
        <f t="shared" si="12"/>
        <v/>
      </c>
      <c r="L118" s="24"/>
      <c r="M118" s="24"/>
      <c r="N118" s="24"/>
      <c r="O118" s="24"/>
      <c r="P118" s="97" t="str">
        <f t="shared" si="13"/>
        <v/>
      </c>
      <c r="Q118" s="113" t="str">
        <f t="shared" si="14"/>
        <v/>
      </c>
      <c r="R118" s="87"/>
      <c r="S118" s="24"/>
      <c r="T118" s="24"/>
      <c r="U118" s="78" t="str">
        <f t="shared" si="15"/>
        <v/>
      </c>
      <c r="V118" s="24"/>
      <c r="W118" s="24"/>
      <c r="X118" s="24"/>
      <c r="Y118" s="24"/>
      <c r="Z118" s="98" t="str">
        <f t="shared" si="16"/>
        <v/>
      </c>
      <c r="AA118" s="40" t="str">
        <f t="shared" si="22"/>
        <v/>
      </c>
      <c r="AB118" s="87"/>
      <c r="AC118" s="24"/>
      <c r="AD118" s="24"/>
      <c r="AE118" s="79" t="str">
        <f t="shared" si="17"/>
        <v/>
      </c>
      <c r="AF118" s="24"/>
      <c r="AG118" s="24"/>
      <c r="AH118" s="24"/>
      <c r="AI118" s="24"/>
      <c r="AJ118" s="99" t="str">
        <f t="shared" si="18"/>
        <v/>
      </c>
      <c r="AK118" s="31" t="str">
        <f t="shared" si="23"/>
        <v/>
      </c>
      <c r="AN118" s="139" t="str">
        <f>IF($K118="","",VLOOKUP($K118,'ORF Accuracy Value LookUp'!$G$4:$H$104,2,TRUE))</f>
        <v/>
      </c>
      <c r="AO118" s="94" t="str">
        <f t="shared" si="19"/>
        <v/>
      </c>
      <c r="AP118" s="47" t="str">
        <f>IF($U118="","",VLOOKUP($U118,'ORF Accuracy Value LookUp'!$G$4:$H$104,2,TRUE))</f>
        <v/>
      </c>
      <c r="AQ118" s="94" t="str">
        <f t="shared" si="20"/>
        <v/>
      </c>
      <c r="AR118" s="46" t="str">
        <f>IF($AE118="","",VLOOKUP($AE118,'ORF Accuracy Value LookUp'!$G$4:$H$104,2,TRUE))</f>
        <v/>
      </c>
      <c r="AS118" s="140" t="str">
        <f t="shared" si="21"/>
        <v/>
      </c>
    </row>
    <row r="119" spans="1:45">
      <c r="A119" s="10"/>
      <c r="B119" s="12"/>
      <c r="C119" s="13"/>
      <c r="D119" s="14"/>
      <c r="E119" s="10"/>
      <c r="F119" s="11"/>
      <c r="G119" s="15"/>
      <c r="H119" s="87"/>
      <c r="I119" s="24"/>
      <c r="J119" s="24"/>
      <c r="K119" s="114" t="str">
        <f t="shared" si="12"/>
        <v/>
      </c>
      <c r="L119" s="24"/>
      <c r="M119" s="24"/>
      <c r="N119" s="24"/>
      <c r="O119" s="24"/>
      <c r="P119" s="97" t="str">
        <f t="shared" si="13"/>
        <v/>
      </c>
      <c r="Q119" s="113" t="str">
        <f t="shared" si="14"/>
        <v/>
      </c>
      <c r="R119" s="87"/>
      <c r="S119" s="24"/>
      <c r="T119" s="24"/>
      <c r="U119" s="78" t="str">
        <f t="shared" si="15"/>
        <v/>
      </c>
      <c r="V119" s="24"/>
      <c r="W119" s="24"/>
      <c r="X119" s="24"/>
      <c r="Y119" s="24"/>
      <c r="Z119" s="98" t="str">
        <f t="shared" si="16"/>
        <v/>
      </c>
      <c r="AA119" s="40" t="str">
        <f t="shared" si="22"/>
        <v/>
      </c>
      <c r="AB119" s="87"/>
      <c r="AC119" s="24"/>
      <c r="AD119" s="24"/>
      <c r="AE119" s="79" t="str">
        <f t="shared" si="17"/>
        <v/>
      </c>
      <c r="AF119" s="24"/>
      <c r="AG119" s="24"/>
      <c r="AH119" s="24"/>
      <c r="AI119" s="24"/>
      <c r="AJ119" s="99" t="str">
        <f t="shared" si="18"/>
        <v/>
      </c>
      <c r="AK119" s="31" t="str">
        <f t="shared" si="23"/>
        <v/>
      </c>
      <c r="AN119" s="139" t="str">
        <f>IF($K119="","",VLOOKUP($K119,'ORF Accuracy Value LookUp'!$G$4:$H$104,2,TRUE))</f>
        <v/>
      </c>
      <c r="AO119" s="94" t="str">
        <f t="shared" si="19"/>
        <v/>
      </c>
      <c r="AP119" s="47" t="str">
        <f>IF($U119="","",VLOOKUP($U119,'ORF Accuracy Value LookUp'!$G$4:$H$104,2,TRUE))</f>
        <v/>
      </c>
      <c r="AQ119" s="94" t="str">
        <f t="shared" si="20"/>
        <v/>
      </c>
      <c r="AR119" s="46" t="str">
        <f>IF($AE119="","",VLOOKUP($AE119,'ORF Accuracy Value LookUp'!$G$4:$H$104,2,TRUE))</f>
        <v/>
      </c>
      <c r="AS119" s="140" t="str">
        <f t="shared" si="21"/>
        <v/>
      </c>
    </row>
    <row r="120" spans="1:45">
      <c r="A120" s="10"/>
      <c r="B120" s="12"/>
      <c r="C120" s="13"/>
      <c r="D120" s="14"/>
      <c r="E120" s="10"/>
      <c r="F120" s="11"/>
      <c r="G120" s="15"/>
      <c r="H120" s="87"/>
      <c r="I120" s="24"/>
      <c r="J120" s="24"/>
      <c r="K120" s="114" t="str">
        <f t="shared" si="12"/>
        <v/>
      </c>
      <c r="L120" s="24"/>
      <c r="M120" s="24"/>
      <c r="N120" s="24"/>
      <c r="O120" s="24"/>
      <c r="P120" s="97" t="str">
        <f t="shared" si="13"/>
        <v/>
      </c>
      <c r="Q120" s="113" t="str">
        <f t="shared" si="14"/>
        <v/>
      </c>
      <c r="R120" s="87"/>
      <c r="S120" s="24"/>
      <c r="T120" s="24"/>
      <c r="U120" s="78" t="str">
        <f t="shared" si="15"/>
        <v/>
      </c>
      <c r="V120" s="24"/>
      <c r="W120" s="24"/>
      <c r="X120" s="24"/>
      <c r="Y120" s="24"/>
      <c r="Z120" s="98" t="str">
        <f t="shared" si="16"/>
        <v/>
      </c>
      <c r="AA120" s="40" t="str">
        <f t="shared" si="22"/>
        <v/>
      </c>
      <c r="AB120" s="87"/>
      <c r="AC120" s="24"/>
      <c r="AD120" s="24"/>
      <c r="AE120" s="79" t="str">
        <f t="shared" si="17"/>
        <v/>
      </c>
      <c r="AF120" s="24"/>
      <c r="AG120" s="24"/>
      <c r="AH120" s="24"/>
      <c r="AI120" s="24"/>
      <c r="AJ120" s="99" t="str">
        <f t="shared" si="18"/>
        <v/>
      </c>
      <c r="AK120" s="31" t="str">
        <f t="shared" si="23"/>
        <v/>
      </c>
      <c r="AN120" s="139" t="str">
        <f>IF($K120="","",VLOOKUP($K120,'ORF Accuracy Value LookUp'!$G$4:$H$104,2,TRUE))</f>
        <v/>
      </c>
      <c r="AO120" s="94" t="str">
        <f t="shared" si="19"/>
        <v/>
      </c>
      <c r="AP120" s="47" t="str">
        <f>IF($U120="","",VLOOKUP($U120,'ORF Accuracy Value LookUp'!$G$4:$H$104,2,TRUE))</f>
        <v/>
      </c>
      <c r="AQ120" s="94" t="str">
        <f t="shared" si="20"/>
        <v/>
      </c>
      <c r="AR120" s="46" t="str">
        <f>IF($AE120="","",VLOOKUP($AE120,'ORF Accuracy Value LookUp'!$G$4:$H$104,2,TRUE))</f>
        <v/>
      </c>
      <c r="AS120" s="140" t="str">
        <f t="shared" si="21"/>
        <v/>
      </c>
    </row>
    <row r="121" spans="1:45">
      <c r="A121" s="10"/>
      <c r="B121" s="12"/>
      <c r="C121" s="13"/>
      <c r="D121" s="14"/>
      <c r="E121" s="10"/>
      <c r="F121" s="11"/>
      <c r="G121" s="15"/>
      <c r="H121" s="87"/>
      <c r="I121" s="24"/>
      <c r="J121" s="24"/>
      <c r="K121" s="114" t="str">
        <f t="shared" si="12"/>
        <v/>
      </c>
      <c r="L121" s="24"/>
      <c r="M121" s="24"/>
      <c r="N121" s="24"/>
      <c r="O121" s="24"/>
      <c r="P121" s="97" t="str">
        <f t="shared" si="13"/>
        <v/>
      </c>
      <c r="Q121" s="113" t="str">
        <f t="shared" si="14"/>
        <v/>
      </c>
      <c r="R121" s="87"/>
      <c r="S121" s="24"/>
      <c r="T121" s="24"/>
      <c r="U121" s="78" t="str">
        <f t="shared" si="15"/>
        <v/>
      </c>
      <c r="V121" s="24"/>
      <c r="W121" s="24"/>
      <c r="X121" s="24"/>
      <c r="Y121" s="24"/>
      <c r="Z121" s="98" t="str">
        <f t="shared" si="16"/>
        <v/>
      </c>
      <c r="AA121" s="40" t="str">
        <f t="shared" si="22"/>
        <v/>
      </c>
      <c r="AB121" s="87"/>
      <c r="AC121" s="24"/>
      <c r="AD121" s="24"/>
      <c r="AE121" s="79" t="str">
        <f t="shared" si="17"/>
        <v/>
      </c>
      <c r="AF121" s="24"/>
      <c r="AG121" s="24"/>
      <c r="AH121" s="24"/>
      <c r="AI121" s="24"/>
      <c r="AJ121" s="99" t="str">
        <f t="shared" si="18"/>
        <v/>
      </c>
      <c r="AK121" s="31" t="str">
        <f t="shared" si="23"/>
        <v/>
      </c>
      <c r="AN121" s="139" t="str">
        <f>IF($K121="","",VLOOKUP($K121,'ORF Accuracy Value LookUp'!$G$4:$H$104,2,TRUE))</f>
        <v/>
      </c>
      <c r="AO121" s="94" t="str">
        <f t="shared" si="19"/>
        <v/>
      </c>
      <c r="AP121" s="47" t="str">
        <f>IF($U121="","",VLOOKUP($U121,'ORF Accuracy Value LookUp'!$G$4:$H$104,2,TRUE))</f>
        <v/>
      </c>
      <c r="AQ121" s="94" t="str">
        <f t="shared" si="20"/>
        <v/>
      </c>
      <c r="AR121" s="46" t="str">
        <f>IF($AE121="","",VLOOKUP($AE121,'ORF Accuracy Value LookUp'!$G$4:$H$104,2,TRUE))</f>
        <v/>
      </c>
      <c r="AS121" s="140" t="str">
        <f t="shared" si="21"/>
        <v/>
      </c>
    </row>
    <row r="122" spans="1:45">
      <c r="A122" s="10"/>
      <c r="B122" s="12"/>
      <c r="C122" s="13"/>
      <c r="D122" s="14"/>
      <c r="E122" s="10"/>
      <c r="F122" s="11"/>
      <c r="G122" s="15"/>
      <c r="H122" s="87"/>
      <c r="I122" s="24"/>
      <c r="J122" s="24"/>
      <c r="K122" s="114" t="str">
        <f t="shared" si="12"/>
        <v/>
      </c>
      <c r="L122" s="24"/>
      <c r="M122" s="24"/>
      <c r="N122" s="24"/>
      <c r="O122" s="24"/>
      <c r="P122" s="97" t="str">
        <f t="shared" si="13"/>
        <v/>
      </c>
      <c r="Q122" s="113" t="str">
        <f t="shared" si="14"/>
        <v/>
      </c>
      <c r="R122" s="87"/>
      <c r="S122" s="24"/>
      <c r="T122" s="24"/>
      <c r="U122" s="78" t="str">
        <f t="shared" si="15"/>
        <v/>
      </c>
      <c r="V122" s="24"/>
      <c r="W122" s="24"/>
      <c r="X122" s="24"/>
      <c r="Y122" s="24"/>
      <c r="Z122" s="98" t="str">
        <f t="shared" si="16"/>
        <v/>
      </c>
      <c r="AA122" s="40" t="str">
        <f t="shared" si="22"/>
        <v/>
      </c>
      <c r="AB122" s="87"/>
      <c r="AC122" s="24"/>
      <c r="AD122" s="24"/>
      <c r="AE122" s="79" t="str">
        <f t="shared" si="17"/>
        <v/>
      </c>
      <c r="AF122" s="24"/>
      <c r="AG122" s="24"/>
      <c r="AH122" s="24"/>
      <c r="AI122" s="24"/>
      <c r="AJ122" s="99" t="str">
        <f t="shared" si="18"/>
        <v/>
      </c>
      <c r="AK122" s="31" t="str">
        <f t="shared" si="23"/>
        <v/>
      </c>
      <c r="AN122" s="139" t="str">
        <f>IF($K122="","",VLOOKUP($K122,'ORF Accuracy Value LookUp'!$G$4:$H$104,2,TRUE))</f>
        <v/>
      </c>
      <c r="AO122" s="94" t="str">
        <f t="shared" si="19"/>
        <v/>
      </c>
      <c r="AP122" s="47" t="str">
        <f>IF($U122="","",VLOOKUP($U122,'ORF Accuracy Value LookUp'!$G$4:$H$104,2,TRUE))</f>
        <v/>
      </c>
      <c r="AQ122" s="94" t="str">
        <f t="shared" si="20"/>
        <v/>
      </c>
      <c r="AR122" s="46" t="str">
        <f>IF($AE122="","",VLOOKUP($AE122,'ORF Accuracy Value LookUp'!$G$4:$H$104,2,TRUE))</f>
        <v/>
      </c>
      <c r="AS122" s="140" t="str">
        <f t="shared" si="21"/>
        <v/>
      </c>
    </row>
    <row r="123" spans="1:45">
      <c r="A123" s="10"/>
      <c r="B123" s="12"/>
      <c r="C123" s="13"/>
      <c r="D123" s="14"/>
      <c r="E123" s="10"/>
      <c r="F123" s="11"/>
      <c r="G123" s="15"/>
      <c r="H123" s="87"/>
      <c r="I123" s="24"/>
      <c r="J123" s="24"/>
      <c r="K123" s="114" t="str">
        <f t="shared" si="12"/>
        <v/>
      </c>
      <c r="L123" s="24"/>
      <c r="M123" s="24"/>
      <c r="N123" s="24"/>
      <c r="O123" s="24"/>
      <c r="P123" s="97" t="str">
        <f t="shared" si="13"/>
        <v/>
      </c>
      <c r="Q123" s="113" t="str">
        <f t="shared" si="14"/>
        <v/>
      </c>
      <c r="R123" s="87"/>
      <c r="S123" s="24"/>
      <c r="T123" s="24"/>
      <c r="U123" s="78" t="str">
        <f t="shared" si="15"/>
        <v/>
      </c>
      <c r="V123" s="24"/>
      <c r="W123" s="24"/>
      <c r="X123" s="24"/>
      <c r="Y123" s="24"/>
      <c r="Z123" s="98" t="str">
        <f t="shared" si="16"/>
        <v/>
      </c>
      <c r="AA123" s="40" t="str">
        <f t="shared" si="22"/>
        <v/>
      </c>
      <c r="AB123" s="87"/>
      <c r="AC123" s="24"/>
      <c r="AD123" s="24"/>
      <c r="AE123" s="79" t="str">
        <f t="shared" si="17"/>
        <v/>
      </c>
      <c r="AF123" s="24"/>
      <c r="AG123" s="24"/>
      <c r="AH123" s="24"/>
      <c r="AI123" s="24"/>
      <c r="AJ123" s="99" t="str">
        <f t="shared" si="18"/>
        <v/>
      </c>
      <c r="AK123" s="31" t="str">
        <f t="shared" si="23"/>
        <v/>
      </c>
      <c r="AN123" s="139" t="str">
        <f>IF($K123="","",VLOOKUP($K123,'ORF Accuracy Value LookUp'!$G$4:$H$104,2,TRUE))</f>
        <v/>
      </c>
      <c r="AO123" s="94" t="str">
        <f t="shared" si="19"/>
        <v/>
      </c>
      <c r="AP123" s="47" t="str">
        <f>IF($U123="","",VLOOKUP($U123,'ORF Accuracy Value LookUp'!$G$4:$H$104,2,TRUE))</f>
        <v/>
      </c>
      <c r="AQ123" s="94" t="str">
        <f t="shared" si="20"/>
        <v/>
      </c>
      <c r="AR123" s="46" t="str">
        <f>IF($AE123="","",VLOOKUP($AE123,'ORF Accuracy Value LookUp'!$G$4:$H$104,2,TRUE))</f>
        <v/>
      </c>
      <c r="AS123" s="140" t="str">
        <f t="shared" si="21"/>
        <v/>
      </c>
    </row>
    <row r="124" spans="1:45">
      <c r="A124" s="10"/>
      <c r="B124" s="12"/>
      <c r="C124" s="13"/>
      <c r="D124" s="14"/>
      <c r="E124" s="10"/>
      <c r="F124" s="11"/>
      <c r="G124" s="15"/>
      <c r="H124" s="87"/>
      <c r="I124" s="24"/>
      <c r="J124" s="24"/>
      <c r="K124" s="114" t="str">
        <f t="shared" si="12"/>
        <v/>
      </c>
      <c r="L124" s="24"/>
      <c r="M124" s="24"/>
      <c r="N124" s="24"/>
      <c r="O124" s="24"/>
      <c r="P124" s="97" t="str">
        <f t="shared" si="13"/>
        <v/>
      </c>
      <c r="Q124" s="113" t="str">
        <f t="shared" si="14"/>
        <v/>
      </c>
      <c r="R124" s="87"/>
      <c r="S124" s="24"/>
      <c r="T124" s="24"/>
      <c r="U124" s="78" t="str">
        <f t="shared" si="15"/>
        <v/>
      </c>
      <c r="V124" s="24"/>
      <c r="W124" s="24"/>
      <c r="X124" s="24"/>
      <c r="Y124" s="24"/>
      <c r="Z124" s="98" t="str">
        <f t="shared" si="16"/>
        <v/>
      </c>
      <c r="AA124" s="40" t="str">
        <f t="shared" si="22"/>
        <v/>
      </c>
      <c r="AB124" s="87"/>
      <c r="AC124" s="24"/>
      <c r="AD124" s="24"/>
      <c r="AE124" s="79" t="str">
        <f t="shared" si="17"/>
        <v/>
      </c>
      <c r="AF124" s="24"/>
      <c r="AG124" s="24"/>
      <c r="AH124" s="24"/>
      <c r="AI124" s="24"/>
      <c r="AJ124" s="99" t="str">
        <f t="shared" si="18"/>
        <v/>
      </c>
      <c r="AK124" s="31" t="str">
        <f t="shared" si="23"/>
        <v/>
      </c>
      <c r="AN124" s="139" t="str">
        <f>IF($K124="","",VLOOKUP($K124,'ORF Accuracy Value LookUp'!$G$4:$H$104,2,TRUE))</f>
        <v/>
      </c>
      <c r="AO124" s="94" t="str">
        <f t="shared" si="19"/>
        <v/>
      </c>
      <c r="AP124" s="47" t="str">
        <f>IF($U124="","",VLOOKUP($U124,'ORF Accuracy Value LookUp'!$G$4:$H$104,2,TRUE))</f>
        <v/>
      </c>
      <c r="AQ124" s="94" t="str">
        <f t="shared" si="20"/>
        <v/>
      </c>
      <c r="AR124" s="46" t="str">
        <f>IF($AE124="","",VLOOKUP($AE124,'ORF Accuracy Value LookUp'!$G$4:$H$104,2,TRUE))</f>
        <v/>
      </c>
      <c r="AS124" s="140" t="str">
        <f t="shared" si="21"/>
        <v/>
      </c>
    </row>
    <row r="125" spans="1:45">
      <c r="A125" s="10"/>
      <c r="B125" s="12"/>
      <c r="C125" s="13"/>
      <c r="D125" s="14"/>
      <c r="E125" s="10"/>
      <c r="F125" s="11"/>
      <c r="G125" s="15"/>
      <c r="H125" s="87"/>
      <c r="I125" s="24"/>
      <c r="J125" s="24"/>
      <c r="K125" s="114" t="str">
        <f t="shared" si="12"/>
        <v/>
      </c>
      <c r="L125" s="24"/>
      <c r="M125" s="24"/>
      <c r="N125" s="24"/>
      <c r="O125" s="24"/>
      <c r="P125" s="97" t="str">
        <f t="shared" si="13"/>
        <v/>
      </c>
      <c r="Q125" s="113" t="str">
        <f t="shared" si="14"/>
        <v/>
      </c>
      <c r="R125" s="87"/>
      <c r="S125" s="24"/>
      <c r="T125" s="24"/>
      <c r="U125" s="78" t="str">
        <f t="shared" si="15"/>
        <v/>
      </c>
      <c r="V125" s="24"/>
      <c r="W125" s="24"/>
      <c r="X125" s="24"/>
      <c r="Y125" s="24"/>
      <c r="Z125" s="98" t="str">
        <f t="shared" si="16"/>
        <v/>
      </c>
      <c r="AA125" s="40" t="str">
        <f t="shared" si="22"/>
        <v/>
      </c>
      <c r="AB125" s="87"/>
      <c r="AC125" s="24"/>
      <c r="AD125" s="24"/>
      <c r="AE125" s="79" t="str">
        <f t="shared" si="17"/>
        <v/>
      </c>
      <c r="AF125" s="24"/>
      <c r="AG125" s="24"/>
      <c r="AH125" s="24"/>
      <c r="AI125" s="24"/>
      <c r="AJ125" s="99" t="str">
        <f t="shared" si="18"/>
        <v/>
      </c>
      <c r="AK125" s="31" t="str">
        <f t="shared" si="23"/>
        <v/>
      </c>
      <c r="AN125" s="139" t="str">
        <f>IF($K125="","",VLOOKUP($K125,'ORF Accuracy Value LookUp'!$G$4:$H$104,2,TRUE))</f>
        <v/>
      </c>
      <c r="AO125" s="94" t="str">
        <f t="shared" si="19"/>
        <v/>
      </c>
      <c r="AP125" s="47" t="str">
        <f>IF($U125="","",VLOOKUP($U125,'ORF Accuracy Value LookUp'!$G$4:$H$104,2,TRUE))</f>
        <v/>
      </c>
      <c r="AQ125" s="94" t="str">
        <f t="shared" si="20"/>
        <v/>
      </c>
      <c r="AR125" s="46" t="str">
        <f>IF($AE125="","",VLOOKUP($AE125,'ORF Accuracy Value LookUp'!$G$4:$H$104,2,TRUE))</f>
        <v/>
      </c>
      <c r="AS125" s="140" t="str">
        <f t="shared" si="21"/>
        <v/>
      </c>
    </row>
    <row r="126" spans="1:45">
      <c r="A126" s="10"/>
      <c r="B126" s="12"/>
      <c r="C126" s="13"/>
      <c r="D126" s="14"/>
      <c r="E126" s="10"/>
      <c r="F126" s="11"/>
      <c r="G126" s="15"/>
      <c r="H126" s="87"/>
      <c r="I126" s="24"/>
      <c r="J126" s="24"/>
      <c r="K126" s="114" t="str">
        <f t="shared" si="12"/>
        <v/>
      </c>
      <c r="L126" s="24"/>
      <c r="M126" s="24"/>
      <c r="N126" s="24"/>
      <c r="O126" s="24"/>
      <c r="P126" s="97" t="str">
        <f t="shared" si="13"/>
        <v/>
      </c>
      <c r="Q126" s="113" t="str">
        <f t="shared" si="14"/>
        <v/>
      </c>
      <c r="R126" s="87"/>
      <c r="S126" s="24"/>
      <c r="T126" s="24"/>
      <c r="U126" s="78" t="str">
        <f t="shared" si="15"/>
        <v/>
      </c>
      <c r="V126" s="24"/>
      <c r="W126" s="24"/>
      <c r="X126" s="24"/>
      <c r="Y126" s="24"/>
      <c r="Z126" s="98" t="str">
        <f t="shared" si="16"/>
        <v/>
      </c>
      <c r="AA126" s="40" t="str">
        <f t="shared" si="22"/>
        <v/>
      </c>
      <c r="AB126" s="87"/>
      <c r="AC126" s="24"/>
      <c r="AD126" s="24"/>
      <c r="AE126" s="79" t="str">
        <f t="shared" si="17"/>
        <v/>
      </c>
      <c r="AF126" s="24"/>
      <c r="AG126" s="24"/>
      <c r="AH126" s="24"/>
      <c r="AI126" s="24"/>
      <c r="AJ126" s="99" t="str">
        <f t="shared" si="18"/>
        <v/>
      </c>
      <c r="AK126" s="31" t="str">
        <f t="shared" si="23"/>
        <v/>
      </c>
      <c r="AN126" s="139" t="str">
        <f>IF($K126="","",VLOOKUP($K126,'ORF Accuracy Value LookUp'!$G$4:$H$104,2,TRUE))</f>
        <v/>
      </c>
      <c r="AO126" s="94" t="str">
        <f t="shared" si="19"/>
        <v/>
      </c>
      <c r="AP126" s="47" t="str">
        <f>IF($U126="","",VLOOKUP($U126,'ORF Accuracy Value LookUp'!$G$4:$H$104,2,TRUE))</f>
        <v/>
      </c>
      <c r="AQ126" s="94" t="str">
        <f t="shared" si="20"/>
        <v/>
      </c>
      <c r="AR126" s="46" t="str">
        <f>IF($AE126="","",VLOOKUP($AE126,'ORF Accuracy Value LookUp'!$G$4:$H$104,2,TRUE))</f>
        <v/>
      </c>
      <c r="AS126" s="140" t="str">
        <f t="shared" si="21"/>
        <v/>
      </c>
    </row>
    <row r="127" spans="1:45">
      <c r="A127" s="10"/>
      <c r="B127" s="12"/>
      <c r="C127" s="13"/>
      <c r="D127" s="14"/>
      <c r="E127" s="10"/>
      <c r="F127" s="11"/>
      <c r="G127" s="15"/>
      <c r="H127" s="87"/>
      <c r="I127" s="24"/>
      <c r="J127" s="24"/>
      <c r="K127" s="114" t="str">
        <f t="shared" si="12"/>
        <v/>
      </c>
      <c r="L127" s="24"/>
      <c r="M127" s="24"/>
      <c r="N127" s="24"/>
      <c r="O127" s="24"/>
      <c r="P127" s="97" t="str">
        <f t="shared" si="13"/>
        <v/>
      </c>
      <c r="Q127" s="113" t="str">
        <f t="shared" si="14"/>
        <v/>
      </c>
      <c r="R127" s="87"/>
      <c r="S127" s="24"/>
      <c r="T127" s="24"/>
      <c r="U127" s="78" t="str">
        <f t="shared" si="15"/>
        <v/>
      </c>
      <c r="V127" s="24"/>
      <c r="W127" s="24"/>
      <c r="X127" s="24"/>
      <c r="Y127" s="24"/>
      <c r="Z127" s="98" t="str">
        <f t="shared" si="16"/>
        <v/>
      </c>
      <c r="AA127" s="40" t="str">
        <f t="shared" si="22"/>
        <v/>
      </c>
      <c r="AB127" s="87"/>
      <c r="AC127" s="24"/>
      <c r="AD127" s="24"/>
      <c r="AE127" s="79" t="str">
        <f t="shared" si="17"/>
        <v/>
      </c>
      <c r="AF127" s="24"/>
      <c r="AG127" s="24"/>
      <c r="AH127" s="24"/>
      <c r="AI127" s="24"/>
      <c r="AJ127" s="99" t="str">
        <f t="shared" si="18"/>
        <v/>
      </c>
      <c r="AK127" s="31" t="str">
        <f t="shared" si="23"/>
        <v/>
      </c>
      <c r="AN127" s="139" t="str">
        <f>IF($K127="","",VLOOKUP($K127,'ORF Accuracy Value LookUp'!$G$4:$H$104,2,TRUE))</f>
        <v/>
      </c>
      <c r="AO127" s="94" t="str">
        <f t="shared" si="19"/>
        <v/>
      </c>
      <c r="AP127" s="47" t="str">
        <f>IF($U127="","",VLOOKUP($U127,'ORF Accuracy Value LookUp'!$G$4:$H$104,2,TRUE))</f>
        <v/>
      </c>
      <c r="AQ127" s="94" t="str">
        <f t="shared" si="20"/>
        <v/>
      </c>
      <c r="AR127" s="46" t="str">
        <f>IF($AE127="","",VLOOKUP($AE127,'ORF Accuracy Value LookUp'!$G$4:$H$104,2,TRUE))</f>
        <v/>
      </c>
      <c r="AS127" s="140" t="str">
        <f t="shared" si="21"/>
        <v/>
      </c>
    </row>
    <row r="128" spans="1:45">
      <c r="A128" s="10"/>
      <c r="B128" s="12"/>
      <c r="C128" s="13"/>
      <c r="D128" s="14"/>
      <c r="E128" s="10"/>
      <c r="F128" s="11"/>
      <c r="G128" s="15"/>
      <c r="H128" s="87"/>
      <c r="I128" s="24"/>
      <c r="J128" s="24"/>
      <c r="K128" s="114" t="str">
        <f t="shared" si="12"/>
        <v/>
      </c>
      <c r="L128" s="24"/>
      <c r="M128" s="24"/>
      <c r="N128" s="24"/>
      <c r="O128" s="24"/>
      <c r="P128" s="97" t="str">
        <f t="shared" si="13"/>
        <v/>
      </c>
      <c r="Q128" s="113" t="str">
        <f t="shared" si="14"/>
        <v/>
      </c>
      <c r="R128" s="87"/>
      <c r="S128" s="24"/>
      <c r="T128" s="24"/>
      <c r="U128" s="78" t="str">
        <f t="shared" si="15"/>
        <v/>
      </c>
      <c r="V128" s="24"/>
      <c r="W128" s="24"/>
      <c r="X128" s="24"/>
      <c r="Y128" s="24"/>
      <c r="Z128" s="98" t="str">
        <f t="shared" si="16"/>
        <v/>
      </c>
      <c r="AA128" s="40" t="str">
        <f t="shared" si="22"/>
        <v/>
      </c>
      <c r="AB128" s="87"/>
      <c r="AC128" s="24"/>
      <c r="AD128" s="24"/>
      <c r="AE128" s="79" t="str">
        <f t="shared" si="17"/>
        <v/>
      </c>
      <c r="AF128" s="24"/>
      <c r="AG128" s="24"/>
      <c r="AH128" s="24"/>
      <c r="AI128" s="24"/>
      <c r="AJ128" s="99" t="str">
        <f t="shared" si="18"/>
        <v/>
      </c>
      <c r="AK128" s="31" t="str">
        <f t="shared" si="23"/>
        <v/>
      </c>
      <c r="AN128" s="139" t="str">
        <f>IF($K128="","",VLOOKUP($K128,'ORF Accuracy Value LookUp'!$G$4:$H$104,2,TRUE))</f>
        <v/>
      </c>
      <c r="AO128" s="94" t="str">
        <f t="shared" si="19"/>
        <v/>
      </c>
      <c r="AP128" s="47" t="str">
        <f>IF($U128="","",VLOOKUP($U128,'ORF Accuracy Value LookUp'!$G$4:$H$104,2,TRUE))</f>
        <v/>
      </c>
      <c r="AQ128" s="94" t="str">
        <f t="shared" si="20"/>
        <v/>
      </c>
      <c r="AR128" s="46" t="str">
        <f>IF($AE128="","",VLOOKUP($AE128,'ORF Accuracy Value LookUp'!$G$4:$H$104,2,TRUE))</f>
        <v/>
      </c>
      <c r="AS128" s="140" t="str">
        <f t="shared" si="21"/>
        <v/>
      </c>
    </row>
    <row r="129" spans="1:45">
      <c r="A129" s="10"/>
      <c r="B129" s="12"/>
      <c r="C129" s="13"/>
      <c r="D129" s="14"/>
      <c r="E129" s="10"/>
      <c r="F129" s="11"/>
      <c r="G129" s="15"/>
      <c r="H129" s="87"/>
      <c r="I129" s="24"/>
      <c r="J129" s="24"/>
      <c r="K129" s="114" t="str">
        <f t="shared" si="12"/>
        <v/>
      </c>
      <c r="L129" s="24"/>
      <c r="M129" s="24"/>
      <c r="N129" s="24"/>
      <c r="O129" s="24"/>
      <c r="P129" s="97" t="str">
        <f t="shared" si="13"/>
        <v/>
      </c>
      <c r="Q129" s="113" t="str">
        <f t="shared" si="14"/>
        <v/>
      </c>
      <c r="R129" s="87"/>
      <c r="S129" s="24"/>
      <c r="T129" s="24"/>
      <c r="U129" s="78" t="str">
        <f t="shared" si="15"/>
        <v/>
      </c>
      <c r="V129" s="24"/>
      <c r="W129" s="24"/>
      <c r="X129" s="24"/>
      <c r="Y129" s="24"/>
      <c r="Z129" s="98" t="str">
        <f t="shared" si="16"/>
        <v/>
      </c>
      <c r="AA129" s="40" t="str">
        <f t="shared" si="22"/>
        <v/>
      </c>
      <c r="AB129" s="87"/>
      <c r="AC129" s="24"/>
      <c r="AD129" s="24"/>
      <c r="AE129" s="79" t="str">
        <f t="shared" si="17"/>
        <v/>
      </c>
      <c r="AF129" s="24"/>
      <c r="AG129" s="24"/>
      <c r="AH129" s="24"/>
      <c r="AI129" s="24"/>
      <c r="AJ129" s="99" t="str">
        <f t="shared" si="18"/>
        <v/>
      </c>
      <c r="AK129" s="31" t="str">
        <f t="shared" si="23"/>
        <v/>
      </c>
      <c r="AN129" s="139" t="str">
        <f>IF($K129="","",VLOOKUP($K129,'ORF Accuracy Value LookUp'!$G$4:$H$104,2,TRUE))</f>
        <v/>
      </c>
      <c r="AO129" s="94" t="str">
        <f t="shared" si="19"/>
        <v/>
      </c>
      <c r="AP129" s="47" t="str">
        <f>IF($U129="","",VLOOKUP($U129,'ORF Accuracy Value LookUp'!$G$4:$H$104,2,TRUE))</f>
        <v/>
      </c>
      <c r="AQ129" s="94" t="str">
        <f t="shared" si="20"/>
        <v/>
      </c>
      <c r="AR129" s="46" t="str">
        <f>IF($AE129="","",VLOOKUP($AE129,'ORF Accuracy Value LookUp'!$G$4:$H$104,2,TRUE))</f>
        <v/>
      </c>
      <c r="AS129" s="140" t="str">
        <f t="shared" si="21"/>
        <v/>
      </c>
    </row>
    <row r="130" spans="1:45">
      <c r="A130" s="10"/>
      <c r="B130" s="12"/>
      <c r="C130" s="13"/>
      <c r="D130" s="14"/>
      <c r="E130" s="10"/>
      <c r="F130" s="11"/>
      <c r="G130" s="15"/>
      <c r="H130" s="87"/>
      <c r="I130" s="24"/>
      <c r="J130" s="24"/>
      <c r="K130" s="114" t="str">
        <f t="shared" si="12"/>
        <v/>
      </c>
      <c r="L130" s="24"/>
      <c r="M130" s="24"/>
      <c r="N130" s="24"/>
      <c r="O130" s="24"/>
      <c r="P130" s="97" t="str">
        <f t="shared" si="13"/>
        <v/>
      </c>
      <c r="Q130" s="113" t="str">
        <f t="shared" si="14"/>
        <v/>
      </c>
      <c r="R130" s="87"/>
      <c r="S130" s="24"/>
      <c r="T130" s="24"/>
      <c r="U130" s="78" t="str">
        <f t="shared" si="15"/>
        <v/>
      </c>
      <c r="V130" s="24"/>
      <c r="W130" s="24"/>
      <c r="X130" s="24"/>
      <c r="Y130" s="24"/>
      <c r="Z130" s="98" t="str">
        <f t="shared" si="16"/>
        <v/>
      </c>
      <c r="AA130" s="40" t="str">
        <f t="shared" si="22"/>
        <v/>
      </c>
      <c r="AB130" s="87"/>
      <c r="AC130" s="24"/>
      <c r="AD130" s="24"/>
      <c r="AE130" s="79" t="str">
        <f t="shared" si="17"/>
        <v/>
      </c>
      <c r="AF130" s="24"/>
      <c r="AG130" s="24"/>
      <c r="AH130" s="24"/>
      <c r="AI130" s="24"/>
      <c r="AJ130" s="99" t="str">
        <f t="shared" si="18"/>
        <v/>
      </c>
      <c r="AK130" s="31" t="str">
        <f t="shared" si="23"/>
        <v/>
      </c>
      <c r="AN130" s="139" t="str">
        <f>IF($K130="","",VLOOKUP($K130,'ORF Accuracy Value LookUp'!$G$4:$H$104,2,TRUE))</f>
        <v/>
      </c>
      <c r="AO130" s="94" t="str">
        <f t="shared" si="19"/>
        <v/>
      </c>
      <c r="AP130" s="47" t="str">
        <f>IF($U130="","",VLOOKUP($U130,'ORF Accuracy Value LookUp'!$G$4:$H$104,2,TRUE))</f>
        <v/>
      </c>
      <c r="AQ130" s="94" t="str">
        <f t="shared" si="20"/>
        <v/>
      </c>
      <c r="AR130" s="46" t="str">
        <f>IF($AE130="","",VLOOKUP($AE130,'ORF Accuracy Value LookUp'!$G$4:$H$104,2,TRUE))</f>
        <v/>
      </c>
      <c r="AS130" s="140" t="str">
        <f t="shared" si="21"/>
        <v/>
      </c>
    </row>
    <row r="131" spans="1:45">
      <c r="A131" s="10"/>
      <c r="B131" s="12"/>
      <c r="C131" s="13"/>
      <c r="D131" s="14"/>
      <c r="E131" s="10"/>
      <c r="F131" s="11"/>
      <c r="G131" s="15"/>
      <c r="H131" s="87"/>
      <c r="I131" s="24"/>
      <c r="J131" s="24"/>
      <c r="K131" s="114" t="str">
        <f t="shared" si="12"/>
        <v/>
      </c>
      <c r="L131" s="24"/>
      <c r="M131" s="24"/>
      <c r="N131" s="24"/>
      <c r="O131" s="24"/>
      <c r="P131" s="97" t="str">
        <f t="shared" si="13"/>
        <v/>
      </c>
      <c r="Q131" s="113" t="str">
        <f t="shared" si="14"/>
        <v/>
      </c>
      <c r="R131" s="87"/>
      <c r="S131" s="24"/>
      <c r="T131" s="24"/>
      <c r="U131" s="78" t="str">
        <f t="shared" si="15"/>
        <v/>
      </c>
      <c r="V131" s="24"/>
      <c r="W131" s="24"/>
      <c r="X131" s="24"/>
      <c r="Y131" s="24"/>
      <c r="Z131" s="98" t="str">
        <f t="shared" si="16"/>
        <v/>
      </c>
      <c r="AA131" s="40" t="str">
        <f t="shared" si="22"/>
        <v/>
      </c>
      <c r="AB131" s="87"/>
      <c r="AC131" s="24"/>
      <c r="AD131" s="24"/>
      <c r="AE131" s="79" t="str">
        <f t="shared" si="17"/>
        <v/>
      </c>
      <c r="AF131" s="24"/>
      <c r="AG131" s="24"/>
      <c r="AH131" s="24"/>
      <c r="AI131" s="24"/>
      <c r="AJ131" s="99" t="str">
        <f t="shared" si="18"/>
        <v/>
      </c>
      <c r="AK131" s="31" t="str">
        <f t="shared" si="23"/>
        <v/>
      </c>
      <c r="AN131" s="139" t="str">
        <f>IF($K131="","",VLOOKUP($K131,'ORF Accuracy Value LookUp'!$G$4:$H$104,2,TRUE))</f>
        <v/>
      </c>
      <c r="AO131" s="94" t="str">
        <f t="shared" si="19"/>
        <v/>
      </c>
      <c r="AP131" s="47" t="str">
        <f>IF($U131="","",VLOOKUP($U131,'ORF Accuracy Value LookUp'!$G$4:$H$104,2,TRUE))</f>
        <v/>
      </c>
      <c r="AQ131" s="94" t="str">
        <f t="shared" si="20"/>
        <v/>
      </c>
      <c r="AR131" s="46" t="str">
        <f>IF($AE131="","",VLOOKUP($AE131,'ORF Accuracy Value LookUp'!$G$4:$H$104,2,TRUE))</f>
        <v/>
      </c>
      <c r="AS131" s="140" t="str">
        <f t="shared" si="21"/>
        <v/>
      </c>
    </row>
    <row r="132" spans="1:45">
      <c r="A132" s="10"/>
      <c r="B132" s="12"/>
      <c r="C132" s="13"/>
      <c r="D132" s="14"/>
      <c r="E132" s="10"/>
      <c r="F132" s="11"/>
      <c r="G132" s="15"/>
      <c r="H132" s="87"/>
      <c r="I132" s="24"/>
      <c r="J132" s="24"/>
      <c r="K132" s="114" t="str">
        <f t="shared" si="12"/>
        <v/>
      </c>
      <c r="L132" s="24"/>
      <c r="M132" s="24"/>
      <c r="N132" s="24"/>
      <c r="O132" s="24"/>
      <c r="P132" s="97" t="str">
        <f t="shared" si="13"/>
        <v/>
      </c>
      <c r="Q132" s="113" t="str">
        <f t="shared" si="14"/>
        <v/>
      </c>
      <c r="R132" s="87"/>
      <c r="S132" s="24"/>
      <c r="T132" s="24"/>
      <c r="U132" s="78" t="str">
        <f t="shared" si="15"/>
        <v/>
      </c>
      <c r="V132" s="24"/>
      <c r="W132" s="24"/>
      <c r="X132" s="24"/>
      <c r="Y132" s="24"/>
      <c r="Z132" s="98" t="str">
        <f t="shared" si="16"/>
        <v/>
      </c>
      <c r="AA132" s="40" t="str">
        <f t="shared" si="22"/>
        <v/>
      </c>
      <c r="AB132" s="87"/>
      <c r="AC132" s="24"/>
      <c r="AD132" s="24"/>
      <c r="AE132" s="79" t="str">
        <f t="shared" si="17"/>
        <v/>
      </c>
      <c r="AF132" s="24"/>
      <c r="AG132" s="24"/>
      <c r="AH132" s="24"/>
      <c r="AI132" s="24"/>
      <c r="AJ132" s="99" t="str">
        <f t="shared" si="18"/>
        <v/>
      </c>
      <c r="AK132" s="31" t="str">
        <f t="shared" si="23"/>
        <v/>
      </c>
      <c r="AN132" s="139" t="str">
        <f>IF($K132="","",VLOOKUP($K132,'ORF Accuracy Value LookUp'!$G$4:$H$104,2,TRUE))</f>
        <v/>
      </c>
      <c r="AO132" s="94" t="str">
        <f t="shared" si="19"/>
        <v/>
      </c>
      <c r="AP132" s="47" t="str">
        <f>IF($U132="","",VLOOKUP($U132,'ORF Accuracy Value LookUp'!$G$4:$H$104,2,TRUE))</f>
        <v/>
      </c>
      <c r="AQ132" s="94" t="str">
        <f t="shared" si="20"/>
        <v/>
      </c>
      <c r="AR132" s="46" t="str">
        <f>IF($AE132="","",VLOOKUP($AE132,'ORF Accuracy Value LookUp'!$G$4:$H$104,2,TRUE))</f>
        <v/>
      </c>
      <c r="AS132" s="140" t="str">
        <f t="shared" si="21"/>
        <v/>
      </c>
    </row>
    <row r="133" spans="1:45">
      <c r="A133" s="10"/>
      <c r="B133" s="12"/>
      <c r="C133" s="13"/>
      <c r="D133" s="14"/>
      <c r="E133" s="10"/>
      <c r="F133" s="11"/>
      <c r="G133" s="15"/>
      <c r="H133" s="87"/>
      <c r="I133" s="24"/>
      <c r="J133" s="24"/>
      <c r="K133" s="114" t="str">
        <f t="shared" si="12"/>
        <v/>
      </c>
      <c r="L133" s="24"/>
      <c r="M133" s="24"/>
      <c r="N133" s="24"/>
      <c r="O133" s="24"/>
      <c r="P133" s="97" t="str">
        <f t="shared" si="13"/>
        <v/>
      </c>
      <c r="Q133" s="113" t="str">
        <f t="shared" si="14"/>
        <v/>
      </c>
      <c r="R133" s="87"/>
      <c r="S133" s="24"/>
      <c r="T133" s="24"/>
      <c r="U133" s="78" t="str">
        <f t="shared" si="15"/>
        <v/>
      </c>
      <c r="V133" s="24"/>
      <c r="W133" s="24"/>
      <c r="X133" s="24"/>
      <c r="Y133" s="24"/>
      <c r="Z133" s="98" t="str">
        <f t="shared" si="16"/>
        <v/>
      </c>
      <c r="AA133" s="40" t="str">
        <f t="shared" si="22"/>
        <v/>
      </c>
      <c r="AB133" s="87"/>
      <c r="AC133" s="24"/>
      <c r="AD133" s="24"/>
      <c r="AE133" s="79" t="str">
        <f t="shared" si="17"/>
        <v/>
      </c>
      <c r="AF133" s="24"/>
      <c r="AG133" s="24"/>
      <c r="AH133" s="24"/>
      <c r="AI133" s="24"/>
      <c r="AJ133" s="99" t="str">
        <f t="shared" si="18"/>
        <v/>
      </c>
      <c r="AK133" s="31" t="str">
        <f t="shared" si="23"/>
        <v/>
      </c>
      <c r="AN133" s="139" t="str">
        <f>IF($K133="","",VLOOKUP($K133,'ORF Accuracy Value LookUp'!$G$4:$H$104,2,TRUE))</f>
        <v/>
      </c>
      <c r="AO133" s="94" t="str">
        <f t="shared" si="19"/>
        <v/>
      </c>
      <c r="AP133" s="47" t="str">
        <f>IF($U133="","",VLOOKUP($U133,'ORF Accuracy Value LookUp'!$G$4:$H$104,2,TRUE))</f>
        <v/>
      </c>
      <c r="AQ133" s="94" t="str">
        <f t="shared" si="20"/>
        <v/>
      </c>
      <c r="AR133" s="46" t="str">
        <f>IF($AE133="","",VLOOKUP($AE133,'ORF Accuracy Value LookUp'!$G$4:$H$104,2,TRUE))</f>
        <v/>
      </c>
      <c r="AS133" s="140" t="str">
        <f t="shared" si="21"/>
        <v/>
      </c>
    </row>
    <row r="134" spans="1:45">
      <c r="A134" s="10"/>
      <c r="B134" s="12"/>
      <c r="C134" s="13"/>
      <c r="D134" s="14"/>
      <c r="E134" s="10"/>
      <c r="F134" s="11"/>
      <c r="G134" s="15"/>
      <c r="H134" s="87"/>
      <c r="I134" s="24"/>
      <c r="J134" s="24"/>
      <c r="K134" s="114" t="str">
        <f t="shared" si="12"/>
        <v/>
      </c>
      <c r="L134" s="24"/>
      <c r="M134" s="24"/>
      <c r="N134" s="24"/>
      <c r="O134" s="24"/>
      <c r="P134" s="97" t="str">
        <f t="shared" si="13"/>
        <v/>
      </c>
      <c r="Q134" s="113" t="str">
        <f t="shared" si="14"/>
        <v/>
      </c>
      <c r="R134" s="87"/>
      <c r="S134" s="24"/>
      <c r="T134" s="24"/>
      <c r="U134" s="78" t="str">
        <f t="shared" si="15"/>
        <v/>
      </c>
      <c r="V134" s="24"/>
      <c r="W134" s="24"/>
      <c r="X134" s="24"/>
      <c r="Y134" s="24"/>
      <c r="Z134" s="98" t="str">
        <f t="shared" si="16"/>
        <v/>
      </c>
      <c r="AA134" s="40" t="str">
        <f t="shared" si="22"/>
        <v/>
      </c>
      <c r="AB134" s="87"/>
      <c r="AC134" s="24"/>
      <c r="AD134" s="24"/>
      <c r="AE134" s="79" t="str">
        <f t="shared" si="17"/>
        <v/>
      </c>
      <c r="AF134" s="24"/>
      <c r="AG134" s="24"/>
      <c r="AH134" s="24"/>
      <c r="AI134" s="24"/>
      <c r="AJ134" s="99" t="str">
        <f t="shared" si="18"/>
        <v/>
      </c>
      <c r="AK134" s="31" t="str">
        <f t="shared" si="23"/>
        <v/>
      </c>
      <c r="AN134" s="139" t="str">
        <f>IF($K134="","",VLOOKUP($K134,'ORF Accuracy Value LookUp'!$G$4:$H$104,2,TRUE))</f>
        <v/>
      </c>
      <c r="AO134" s="94" t="str">
        <f t="shared" si="19"/>
        <v/>
      </c>
      <c r="AP134" s="47" t="str">
        <f>IF($U134="","",VLOOKUP($U134,'ORF Accuracy Value LookUp'!$G$4:$H$104,2,TRUE))</f>
        <v/>
      </c>
      <c r="AQ134" s="94" t="str">
        <f t="shared" si="20"/>
        <v/>
      </c>
      <c r="AR134" s="46" t="str">
        <f>IF($AE134="","",VLOOKUP($AE134,'ORF Accuracy Value LookUp'!$G$4:$H$104,2,TRUE))</f>
        <v/>
      </c>
      <c r="AS134" s="140" t="str">
        <f t="shared" si="21"/>
        <v/>
      </c>
    </row>
    <row r="135" spans="1:45">
      <c r="A135" s="10"/>
      <c r="B135" s="12"/>
      <c r="C135" s="13"/>
      <c r="D135" s="14"/>
      <c r="E135" s="10"/>
      <c r="F135" s="11"/>
      <c r="G135" s="15"/>
      <c r="H135" s="87"/>
      <c r="I135" s="24"/>
      <c r="J135" s="24"/>
      <c r="K135" s="114" t="str">
        <f t="shared" si="12"/>
        <v/>
      </c>
      <c r="L135" s="24"/>
      <c r="M135" s="24"/>
      <c r="N135" s="24"/>
      <c r="O135" s="24"/>
      <c r="P135" s="97" t="str">
        <f t="shared" si="13"/>
        <v/>
      </c>
      <c r="Q135" s="113" t="str">
        <f t="shared" si="14"/>
        <v/>
      </c>
      <c r="R135" s="87"/>
      <c r="S135" s="24"/>
      <c r="T135" s="24"/>
      <c r="U135" s="78" t="str">
        <f t="shared" si="15"/>
        <v/>
      </c>
      <c r="V135" s="24"/>
      <c r="W135" s="24"/>
      <c r="X135" s="24"/>
      <c r="Y135" s="24"/>
      <c r="Z135" s="98" t="str">
        <f t="shared" si="16"/>
        <v/>
      </c>
      <c r="AA135" s="40" t="str">
        <f t="shared" si="22"/>
        <v/>
      </c>
      <c r="AB135" s="87"/>
      <c r="AC135" s="24"/>
      <c r="AD135" s="24"/>
      <c r="AE135" s="79" t="str">
        <f t="shared" si="17"/>
        <v/>
      </c>
      <c r="AF135" s="24"/>
      <c r="AG135" s="24"/>
      <c r="AH135" s="24"/>
      <c r="AI135" s="24"/>
      <c r="AJ135" s="99" t="str">
        <f t="shared" si="18"/>
        <v/>
      </c>
      <c r="AK135" s="31" t="str">
        <f t="shared" si="23"/>
        <v/>
      </c>
      <c r="AN135" s="139" t="str">
        <f>IF($K135="","",VLOOKUP($K135,'ORF Accuracy Value LookUp'!$G$4:$H$104,2,TRUE))</f>
        <v/>
      </c>
      <c r="AO135" s="94" t="str">
        <f t="shared" si="19"/>
        <v/>
      </c>
      <c r="AP135" s="47" t="str">
        <f>IF($U135="","",VLOOKUP($U135,'ORF Accuracy Value LookUp'!$G$4:$H$104,2,TRUE))</f>
        <v/>
      </c>
      <c r="AQ135" s="94" t="str">
        <f t="shared" si="20"/>
        <v/>
      </c>
      <c r="AR135" s="46" t="str">
        <f>IF($AE135="","",VLOOKUP($AE135,'ORF Accuracy Value LookUp'!$G$4:$H$104,2,TRUE))</f>
        <v/>
      </c>
      <c r="AS135" s="140" t="str">
        <f t="shared" si="21"/>
        <v/>
      </c>
    </row>
    <row r="136" spans="1:45">
      <c r="A136" s="10"/>
      <c r="B136" s="9"/>
      <c r="C136" s="9"/>
      <c r="D136" s="9"/>
      <c r="E136" s="10"/>
      <c r="F136" s="11"/>
      <c r="G136" s="15"/>
      <c r="H136" s="88"/>
      <c r="I136" s="24"/>
      <c r="J136" s="24"/>
      <c r="K136" s="114" t="str">
        <f t="shared" ref="K136:K199" si="24">IF($I136="","",SUM($I136/($I136+$J136)))</f>
        <v/>
      </c>
      <c r="L136" s="24"/>
      <c r="M136" s="24"/>
      <c r="N136" s="24"/>
      <c r="O136" s="24"/>
      <c r="P136" s="97" t="str">
        <f t="shared" ref="P136:P199" si="25">IF($AO136&gt;0,$AO136,0)</f>
        <v/>
      </c>
      <c r="Q136" s="113" t="str">
        <f t="shared" ref="Q136:Q199" si="26">IF($B136="","",SUM($I136+$AN136+($L136*2)+($P136*2)))</f>
        <v/>
      </c>
      <c r="R136" s="88"/>
      <c r="S136" s="24"/>
      <c r="T136" s="24"/>
      <c r="U136" s="78" t="str">
        <f t="shared" ref="U136:U199" si="27">IF($S136="","",SUM($S136/($S136+$T136)))</f>
        <v/>
      </c>
      <c r="V136" s="24"/>
      <c r="W136" s="24"/>
      <c r="X136" s="24"/>
      <c r="Y136" s="24"/>
      <c r="Z136" s="98" t="str">
        <f t="shared" ref="Z136:Z199" si="28">IF($AQ136&gt;0,$AQ136,0)</f>
        <v/>
      </c>
      <c r="AA136" s="40" t="str">
        <f t="shared" si="22"/>
        <v/>
      </c>
      <c r="AB136" s="88"/>
      <c r="AC136" s="24"/>
      <c r="AD136" s="24"/>
      <c r="AE136" s="79" t="str">
        <f t="shared" ref="AE136:AE199" si="29">IF($AC136="","",SUM($AC136/($AC136+$AD136)))</f>
        <v/>
      </c>
      <c r="AF136" s="24"/>
      <c r="AG136" s="24"/>
      <c r="AH136" s="24"/>
      <c r="AI136" s="24"/>
      <c r="AJ136" s="99" t="str">
        <f t="shared" ref="AJ136:AJ199" si="30">IF($AS136&gt;0,$AS136,0)</f>
        <v/>
      </c>
      <c r="AK136" s="31" t="str">
        <f t="shared" si="23"/>
        <v/>
      </c>
      <c r="AN136" s="139" t="str">
        <f>IF($K136="","",VLOOKUP($K136,'ORF Accuracy Value LookUp'!$G$4:$H$104,2,TRUE))</f>
        <v/>
      </c>
      <c r="AO136" s="94" t="str">
        <f t="shared" ref="AO136:AO199" si="31">IF($N136="","",($N136-($O136/2)))</f>
        <v/>
      </c>
      <c r="AP136" s="47" t="str">
        <f>IF($U136="","",VLOOKUP($U136,'ORF Accuracy Value LookUp'!$G$4:$H$104,2,TRUE))</f>
        <v/>
      </c>
      <c r="AQ136" s="94" t="str">
        <f t="shared" ref="AQ136:AQ199" si="32">IF($X136="","",$X136-($Y136/2))</f>
        <v/>
      </c>
      <c r="AR136" s="46" t="str">
        <f>IF($AE136="","",VLOOKUP($AE136,'ORF Accuracy Value LookUp'!$G$4:$H$104,2,TRUE))</f>
        <v/>
      </c>
      <c r="AS136" s="140" t="str">
        <f t="shared" ref="AS136:AS199" si="33">IF($AH136="","",$AH136-($AI136/2))</f>
        <v/>
      </c>
    </row>
    <row r="137" spans="1:45">
      <c r="A137" s="10"/>
      <c r="B137" s="9"/>
      <c r="C137" s="9"/>
      <c r="D137" s="9"/>
      <c r="E137" s="10"/>
      <c r="F137" s="11"/>
      <c r="G137" s="15"/>
      <c r="H137" s="88"/>
      <c r="I137" s="24"/>
      <c r="J137" s="24"/>
      <c r="K137" s="114" t="str">
        <f t="shared" si="24"/>
        <v/>
      </c>
      <c r="L137" s="24"/>
      <c r="M137" s="24"/>
      <c r="N137" s="24"/>
      <c r="O137" s="24"/>
      <c r="P137" s="97" t="str">
        <f t="shared" si="25"/>
        <v/>
      </c>
      <c r="Q137" s="113" t="str">
        <f t="shared" si="26"/>
        <v/>
      </c>
      <c r="R137" s="88"/>
      <c r="S137" s="24"/>
      <c r="T137" s="24"/>
      <c r="U137" s="78" t="str">
        <f t="shared" si="27"/>
        <v/>
      </c>
      <c r="V137" s="24"/>
      <c r="W137" s="24"/>
      <c r="X137" s="24"/>
      <c r="Y137" s="24"/>
      <c r="Z137" s="98" t="str">
        <f t="shared" si="28"/>
        <v/>
      </c>
      <c r="AA137" s="40" t="str">
        <f t="shared" ref="AA137:AA200" si="34">IF($R137="","",SUM($S137+$AP137+($V137*2)+($Z137*4)))</f>
        <v/>
      </c>
      <c r="AB137" s="88"/>
      <c r="AC137" s="24"/>
      <c r="AD137" s="24"/>
      <c r="AE137" s="79" t="str">
        <f t="shared" si="29"/>
        <v/>
      </c>
      <c r="AF137" s="24"/>
      <c r="AG137" s="24"/>
      <c r="AH137" s="24"/>
      <c r="AI137" s="24"/>
      <c r="AJ137" s="99" t="str">
        <f t="shared" si="30"/>
        <v/>
      </c>
      <c r="AK137" s="31" t="str">
        <f t="shared" ref="AK137:AK200" si="35">IF($AB137="","",SUM($AC137+$AR137+($AF137*2)+($AJ137*4)))</f>
        <v/>
      </c>
      <c r="AN137" s="139" t="str">
        <f>IF($K137="","",VLOOKUP($K137,'ORF Accuracy Value LookUp'!$G$4:$H$104,2,TRUE))</f>
        <v/>
      </c>
      <c r="AO137" s="94" t="str">
        <f t="shared" si="31"/>
        <v/>
      </c>
      <c r="AP137" s="47" t="str">
        <f>IF($U137="","",VLOOKUP($U137,'ORF Accuracy Value LookUp'!$G$4:$H$104,2,TRUE))</f>
        <v/>
      </c>
      <c r="AQ137" s="94" t="str">
        <f t="shared" si="32"/>
        <v/>
      </c>
      <c r="AR137" s="46" t="str">
        <f>IF($AE137="","",VLOOKUP($AE137,'ORF Accuracy Value LookUp'!$G$4:$H$104,2,TRUE))</f>
        <v/>
      </c>
      <c r="AS137" s="140" t="str">
        <f t="shared" si="33"/>
        <v/>
      </c>
    </row>
    <row r="138" spans="1:45">
      <c r="A138" s="10"/>
      <c r="B138" s="9"/>
      <c r="C138" s="9"/>
      <c r="D138" s="9"/>
      <c r="E138" s="10"/>
      <c r="F138" s="11"/>
      <c r="G138" s="15"/>
      <c r="H138" s="88"/>
      <c r="I138" s="24"/>
      <c r="J138" s="24"/>
      <c r="K138" s="114" t="str">
        <f t="shared" si="24"/>
        <v/>
      </c>
      <c r="L138" s="24"/>
      <c r="M138" s="24"/>
      <c r="N138" s="24"/>
      <c r="O138" s="24"/>
      <c r="P138" s="97" t="str">
        <f t="shared" si="25"/>
        <v/>
      </c>
      <c r="Q138" s="113" t="str">
        <f t="shared" si="26"/>
        <v/>
      </c>
      <c r="R138" s="88"/>
      <c r="S138" s="24"/>
      <c r="T138" s="24"/>
      <c r="U138" s="78" t="str">
        <f t="shared" si="27"/>
        <v/>
      </c>
      <c r="V138" s="24"/>
      <c r="W138" s="24"/>
      <c r="X138" s="24"/>
      <c r="Y138" s="24"/>
      <c r="Z138" s="98" t="str">
        <f t="shared" si="28"/>
        <v/>
      </c>
      <c r="AA138" s="40" t="str">
        <f t="shared" si="34"/>
        <v/>
      </c>
      <c r="AB138" s="88"/>
      <c r="AC138" s="24"/>
      <c r="AD138" s="24"/>
      <c r="AE138" s="79" t="str">
        <f t="shared" si="29"/>
        <v/>
      </c>
      <c r="AF138" s="24"/>
      <c r="AG138" s="24"/>
      <c r="AH138" s="24"/>
      <c r="AI138" s="24"/>
      <c r="AJ138" s="99" t="str">
        <f t="shared" si="30"/>
        <v/>
      </c>
      <c r="AK138" s="31" t="str">
        <f t="shared" si="35"/>
        <v/>
      </c>
      <c r="AN138" s="139" t="str">
        <f>IF($K138="","",VLOOKUP($K138,'ORF Accuracy Value LookUp'!$G$4:$H$104,2,TRUE))</f>
        <v/>
      </c>
      <c r="AO138" s="94" t="str">
        <f t="shared" si="31"/>
        <v/>
      </c>
      <c r="AP138" s="47" t="str">
        <f>IF($U138="","",VLOOKUP($U138,'ORF Accuracy Value LookUp'!$G$4:$H$104,2,TRUE))</f>
        <v/>
      </c>
      <c r="AQ138" s="94" t="str">
        <f t="shared" si="32"/>
        <v/>
      </c>
      <c r="AR138" s="46" t="str">
        <f>IF($AE138="","",VLOOKUP($AE138,'ORF Accuracy Value LookUp'!$G$4:$H$104,2,TRUE))</f>
        <v/>
      </c>
      <c r="AS138" s="140" t="str">
        <f t="shared" si="33"/>
        <v/>
      </c>
    </row>
    <row r="139" spans="1:45">
      <c r="A139" s="10"/>
      <c r="B139" s="9"/>
      <c r="C139" s="9"/>
      <c r="D139" s="9"/>
      <c r="E139" s="10"/>
      <c r="F139" s="11"/>
      <c r="G139" s="15"/>
      <c r="H139" s="88"/>
      <c r="I139" s="24"/>
      <c r="J139" s="24"/>
      <c r="K139" s="114" t="str">
        <f t="shared" si="24"/>
        <v/>
      </c>
      <c r="L139" s="24"/>
      <c r="M139" s="24"/>
      <c r="N139" s="24"/>
      <c r="O139" s="24"/>
      <c r="P139" s="97" t="str">
        <f t="shared" si="25"/>
        <v/>
      </c>
      <c r="Q139" s="113" t="str">
        <f t="shared" si="26"/>
        <v/>
      </c>
      <c r="R139" s="88"/>
      <c r="S139" s="24"/>
      <c r="T139" s="24"/>
      <c r="U139" s="78" t="str">
        <f t="shared" si="27"/>
        <v/>
      </c>
      <c r="V139" s="24"/>
      <c r="W139" s="24"/>
      <c r="X139" s="24"/>
      <c r="Y139" s="24"/>
      <c r="Z139" s="98" t="str">
        <f t="shared" si="28"/>
        <v/>
      </c>
      <c r="AA139" s="40" t="str">
        <f t="shared" si="34"/>
        <v/>
      </c>
      <c r="AB139" s="88"/>
      <c r="AC139" s="24"/>
      <c r="AD139" s="24"/>
      <c r="AE139" s="79" t="str">
        <f t="shared" si="29"/>
        <v/>
      </c>
      <c r="AF139" s="24"/>
      <c r="AG139" s="24"/>
      <c r="AH139" s="24"/>
      <c r="AI139" s="24"/>
      <c r="AJ139" s="99" t="str">
        <f t="shared" si="30"/>
        <v/>
      </c>
      <c r="AK139" s="31" t="str">
        <f t="shared" si="35"/>
        <v/>
      </c>
      <c r="AN139" s="139" t="str">
        <f>IF($K139="","",VLOOKUP($K139,'ORF Accuracy Value LookUp'!$G$4:$H$104,2,TRUE))</f>
        <v/>
      </c>
      <c r="AO139" s="94" t="str">
        <f t="shared" si="31"/>
        <v/>
      </c>
      <c r="AP139" s="47" t="str">
        <f>IF($U139="","",VLOOKUP($U139,'ORF Accuracy Value LookUp'!$G$4:$H$104,2,TRUE))</f>
        <v/>
      </c>
      <c r="AQ139" s="94" t="str">
        <f t="shared" si="32"/>
        <v/>
      </c>
      <c r="AR139" s="46" t="str">
        <f>IF($AE139="","",VLOOKUP($AE139,'ORF Accuracy Value LookUp'!$G$4:$H$104,2,TRUE))</f>
        <v/>
      </c>
      <c r="AS139" s="140" t="str">
        <f t="shared" si="33"/>
        <v/>
      </c>
    </row>
    <row r="140" spans="1:45">
      <c r="A140" s="10"/>
      <c r="B140" s="9"/>
      <c r="C140" s="9"/>
      <c r="D140" s="9"/>
      <c r="E140" s="10"/>
      <c r="F140" s="11"/>
      <c r="G140" s="15"/>
      <c r="H140" s="88"/>
      <c r="I140" s="24"/>
      <c r="J140" s="24"/>
      <c r="K140" s="114" t="str">
        <f t="shared" si="24"/>
        <v/>
      </c>
      <c r="L140" s="24"/>
      <c r="M140" s="24"/>
      <c r="N140" s="24"/>
      <c r="O140" s="24"/>
      <c r="P140" s="97" t="str">
        <f t="shared" si="25"/>
        <v/>
      </c>
      <c r="Q140" s="113" t="str">
        <f t="shared" si="26"/>
        <v/>
      </c>
      <c r="R140" s="88"/>
      <c r="S140" s="24"/>
      <c r="T140" s="24"/>
      <c r="U140" s="78" t="str">
        <f t="shared" si="27"/>
        <v/>
      </c>
      <c r="V140" s="24"/>
      <c r="W140" s="24"/>
      <c r="X140" s="24"/>
      <c r="Y140" s="24"/>
      <c r="Z140" s="98" t="str">
        <f t="shared" si="28"/>
        <v/>
      </c>
      <c r="AA140" s="40" t="str">
        <f t="shared" si="34"/>
        <v/>
      </c>
      <c r="AB140" s="88"/>
      <c r="AC140" s="24"/>
      <c r="AD140" s="24"/>
      <c r="AE140" s="79" t="str">
        <f t="shared" si="29"/>
        <v/>
      </c>
      <c r="AF140" s="24"/>
      <c r="AG140" s="24"/>
      <c r="AH140" s="24"/>
      <c r="AI140" s="24"/>
      <c r="AJ140" s="99" t="str">
        <f t="shared" si="30"/>
        <v/>
      </c>
      <c r="AK140" s="31" t="str">
        <f t="shared" si="35"/>
        <v/>
      </c>
      <c r="AN140" s="139" t="str">
        <f>IF($K140="","",VLOOKUP($K140,'ORF Accuracy Value LookUp'!$G$4:$H$104,2,TRUE))</f>
        <v/>
      </c>
      <c r="AO140" s="94" t="str">
        <f t="shared" si="31"/>
        <v/>
      </c>
      <c r="AP140" s="47" t="str">
        <f>IF($U140="","",VLOOKUP($U140,'ORF Accuracy Value LookUp'!$G$4:$H$104,2,TRUE))</f>
        <v/>
      </c>
      <c r="AQ140" s="94" t="str">
        <f t="shared" si="32"/>
        <v/>
      </c>
      <c r="AR140" s="46" t="str">
        <f>IF($AE140="","",VLOOKUP($AE140,'ORF Accuracy Value LookUp'!$G$4:$H$104,2,TRUE))</f>
        <v/>
      </c>
      <c r="AS140" s="140" t="str">
        <f t="shared" si="33"/>
        <v/>
      </c>
    </row>
    <row r="141" spans="1:45">
      <c r="A141" s="10"/>
      <c r="B141" s="9"/>
      <c r="C141" s="9"/>
      <c r="D141" s="9"/>
      <c r="E141" s="10"/>
      <c r="F141" s="11"/>
      <c r="G141" s="15"/>
      <c r="H141" s="88"/>
      <c r="I141" s="24"/>
      <c r="J141" s="24"/>
      <c r="K141" s="114" t="str">
        <f t="shared" si="24"/>
        <v/>
      </c>
      <c r="L141" s="24"/>
      <c r="M141" s="24"/>
      <c r="N141" s="24"/>
      <c r="O141" s="24"/>
      <c r="P141" s="97" t="str">
        <f t="shared" si="25"/>
        <v/>
      </c>
      <c r="Q141" s="113" t="str">
        <f t="shared" si="26"/>
        <v/>
      </c>
      <c r="R141" s="88"/>
      <c r="S141" s="24"/>
      <c r="T141" s="24"/>
      <c r="U141" s="78" t="str">
        <f t="shared" si="27"/>
        <v/>
      </c>
      <c r="V141" s="24"/>
      <c r="W141" s="24"/>
      <c r="X141" s="24"/>
      <c r="Y141" s="24"/>
      <c r="Z141" s="98" t="str">
        <f t="shared" si="28"/>
        <v/>
      </c>
      <c r="AA141" s="40" t="str">
        <f t="shared" si="34"/>
        <v/>
      </c>
      <c r="AB141" s="88"/>
      <c r="AC141" s="24"/>
      <c r="AD141" s="24"/>
      <c r="AE141" s="79" t="str">
        <f t="shared" si="29"/>
        <v/>
      </c>
      <c r="AF141" s="24"/>
      <c r="AG141" s="24"/>
      <c r="AH141" s="24"/>
      <c r="AI141" s="24"/>
      <c r="AJ141" s="99" t="str">
        <f t="shared" si="30"/>
        <v/>
      </c>
      <c r="AK141" s="31" t="str">
        <f t="shared" si="35"/>
        <v/>
      </c>
      <c r="AN141" s="139" t="str">
        <f>IF($K141="","",VLOOKUP($K141,'ORF Accuracy Value LookUp'!$G$4:$H$104,2,TRUE))</f>
        <v/>
      </c>
      <c r="AO141" s="94" t="str">
        <f t="shared" si="31"/>
        <v/>
      </c>
      <c r="AP141" s="47" t="str">
        <f>IF($U141="","",VLOOKUP($U141,'ORF Accuracy Value LookUp'!$G$4:$H$104,2,TRUE))</f>
        <v/>
      </c>
      <c r="AQ141" s="94" t="str">
        <f t="shared" si="32"/>
        <v/>
      </c>
      <c r="AR141" s="46" t="str">
        <f>IF($AE141="","",VLOOKUP($AE141,'ORF Accuracy Value LookUp'!$G$4:$H$104,2,TRUE))</f>
        <v/>
      </c>
      <c r="AS141" s="140" t="str">
        <f t="shared" si="33"/>
        <v/>
      </c>
    </row>
    <row r="142" spans="1:45">
      <c r="A142" s="10"/>
      <c r="B142" s="9"/>
      <c r="C142" s="9"/>
      <c r="D142" s="9"/>
      <c r="E142" s="10"/>
      <c r="F142" s="11"/>
      <c r="G142" s="15"/>
      <c r="H142" s="88"/>
      <c r="I142" s="24"/>
      <c r="J142" s="24"/>
      <c r="K142" s="114" t="str">
        <f t="shared" si="24"/>
        <v/>
      </c>
      <c r="L142" s="24"/>
      <c r="M142" s="24"/>
      <c r="N142" s="24"/>
      <c r="O142" s="24"/>
      <c r="P142" s="97" t="str">
        <f t="shared" si="25"/>
        <v/>
      </c>
      <c r="Q142" s="113" t="str">
        <f t="shared" si="26"/>
        <v/>
      </c>
      <c r="R142" s="88"/>
      <c r="S142" s="24"/>
      <c r="T142" s="24"/>
      <c r="U142" s="78" t="str">
        <f t="shared" si="27"/>
        <v/>
      </c>
      <c r="V142" s="24"/>
      <c r="W142" s="24"/>
      <c r="X142" s="24"/>
      <c r="Y142" s="24"/>
      <c r="Z142" s="98" t="str">
        <f t="shared" si="28"/>
        <v/>
      </c>
      <c r="AA142" s="40" t="str">
        <f t="shared" si="34"/>
        <v/>
      </c>
      <c r="AB142" s="88"/>
      <c r="AC142" s="24"/>
      <c r="AD142" s="24"/>
      <c r="AE142" s="79" t="str">
        <f t="shared" si="29"/>
        <v/>
      </c>
      <c r="AF142" s="24"/>
      <c r="AG142" s="24"/>
      <c r="AH142" s="24"/>
      <c r="AI142" s="24"/>
      <c r="AJ142" s="99" t="str">
        <f t="shared" si="30"/>
        <v/>
      </c>
      <c r="AK142" s="31" t="str">
        <f t="shared" si="35"/>
        <v/>
      </c>
      <c r="AN142" s="139" t="str">
        <f>IF($K142="","",VLOOKUP($K142,'ORF Accuracy Value LookUp'!$G$4:$H$104,2,TRUE))</f>
        <v/>
      </c>
      <c r="AO142" s="94" t="str">
        <f t="shared" si="31"/>
        <v/>
      </c>
      <c r="AP142" s="47" t="str">
        <f>IF($U142="","",VLOOKUP($U142,'ORF Accuracy Value LookUp'!$G$4:$H$104,2,TRUE))</f>
        <v/>
      </c>
      <c r="AQ142" s="94" t="str">
        <f t="shared" si="32"/>
        <v/>
      </c>
      <c r="AR142" s="46" t="str">
        <f>IF($AE142="","",VLOOKUP($AE142,'ORF Accuracy Value LookUp'!$G$4:$H$104,2,TRUE))</f>
        <v/>
      </c>
      <c r="AS142" s="140" t="str">
        <f t="shared" si="33"/>
        <v/>
      </c>
    </row>
    <row r="143" spans="1:45">
      <c r="A143" s="10"/>
      <c r="B143" s="9"/>
      <c r="C143" s="9"/>
      <c r="D143" s="9"/>
      <c r="E143" s="10"/>
      <c r="F143" s="11"/>
      <c r="G143" s="15"/>
      <c r="H143" s="88"/>
      <c r="I143" s="24"/>
      <c r="J143" s="24"/>
      <c r="K143" s="114" t="str">
        <f t="shared" si="24"/>
        <v/>
      </c>
      <c r="L143" s="24"/>
      <c r="M143" s="24"/>
      <c r="N143" s="24"/>
      <c r="O143" s="24"/>
      <c r="P143" s="97" t="str">
        <f t="shared" si="25"/>
        <v/>
      </c>
      <c r="Q143" s="113" t="str">
        <f t="shared" si="26"/>
        <v/>
      </c>
      <c r="R143" s="88"/>
      <c r="S143" s="24"/>
      <c r="T143" s="24"/>
      <c r="U143" s="78" t="str">
        <f t="shared" si="27"/>
        <v/>
      </c>
      <c r="V143" s="24"/>
      <c r="W143" s="24"/>
      <c r="X143" s="24"/>
      <c r="Y143" s="24"/>
      <c r="Z143" s="98" t="str">
        <f t="shared" si="28"/>
        <v/>
      </c>
      <c r="AA143" s="40" t="str">
        <f t="shared" si="34"/>
        <v/>
      </c>
      <c r="AB143" s="88"/>
      <c r="AC143" s="24"/>
      <c r="AD143" s="24"/>
      <c r="AE143" s="79" t="str">
        <f t="shared" si="29"/>
        <v/>
      </c>
      <c r="AF143" s="24"/>
      <c r="AG143" s="24"/>
      <c r="AH143" s="24"/>
      <c r="AI143" s="24"/>
      <c r="AJ143" s="99" t="str">
        <f t="shared" si="30"/>
        <v/>
      </c>
      <c r="AK143" s="31" t="str">
        <f t="shared" si="35"/>
        <v/>
      </c>
      <c r="AN143" s="139" t="str">
        <f>IF($K143="","",VLOOKUP($K143,'ORF Accuracy Value LookUp'!$G$4:$H$104,2,TRUE))</f>
        <v/>
      </c>
      <c r="AO143" s="94" t="str">
        <f t="shared" si="31"/>
        <v/>
      </c>
      <c r="AP143" s="47" t="str">
        <f>IF($U143="","",VLOOKUP($U143,'ORF Accuracy Value LookUp'!$G$4:$H$104,2,TRUE))</f>
        <v/>
      </c>
      <c r="AQ143" s="94" t="str">
        <f t="shared" si="32"/>
        <v/>
      </c>
      <c r="AR143" s="46" t="str">
        <f>IF($AE143="","",VLOOKUP($AE143,'ORF Accuracy Value LookUp'!$G$4:$H$104,2,TRUE))</f>
        <v/>
      </c>
      <c r="AS143" s="140" t="str">
        <f t="shared" si="33"/>
        <v/>
      </c>
    </row>
    <row r="144" spans="1:45">
      <c r="A144" s="10"/>
      <c r="B144" s="9"/>
      <c r="C144" s="9"/>
      <c r="D144" s="9"/>
      <c r="E144" s="10"/>
      <c r="F144" s="11"/>
      <c r="G144" s="15"/>
      <c r="H144" s="88"/>
      <c r="I144" s="24"/>
      <c r="J144" s="24"/>
      <c r="K144" s="114" t="str">
        <f t="shared" si="24"/>
        <v/>
      </c>
      <c r="L144" s="24"/>
      <c r="M144" s="24"/>
      <c r="N144" s="24"/>
      <c r="O144" s="24"/>
      <c r="P144" s="97" t="str">
        <f t="shared" si="25"/>
        <v/>
      </c>
      <c r="Q144" s="113" t="str">
        <f t="shared" si="26"/>
        <v/>
      </c>
      <c r="R144" s="88"/>
      <c r="S144" s="24"/>
      <c r="T144" s="24"/>
      <c r="U144" s="78" t="str">
        <f t="shared" si="27"/>
        <v/>
      </c>
      <c r="V144" s="24"/>
      <c r="W144" s="24"/>
      <c r="X144" s="24"/>
      <c r="Y144" s="24"/>
      <c r="Z144" s="98" t="str">
        <f t="shared" si="28"/>
        <v/>
      </c>
      <c r="AA144" s="40" t="str">
        <f t="shared" si="34"/>
        <v/>
      </c>
      <c r="AB144" s="88"/>
      <c r="AC144" s="24"/>
      <c r="AD144" s="24"/>
      <c r="AE144" s="79" t="str">
        <f t="shared" si="29"/>
        <v/>
      </c>
      <c r="AF144" s="24"/>
      <c r="AG144" s="24"/>
      <c r="AH144" s="24"/>
      <c r="AI144" s="24"/>
      <c r="AJ144" s="99" t="str">
        <f t="shared" si="30"/>
        <v/>
      </c>
      <c r="AK144" s="31" t="str">
        <f t="shared" si="35"/>
        <v/>
      </c>
      <c r="AN144" s="139" t="str">
        <f>IF($K144="","",VLOOKUP($K144,'ORF Accuracy Value LookUp'!$G$4:$H$104,2,TRUE))</f>
        <v/>
      </c>
      <c r="AO144" s="94" t="str">
        <f t="shared" si="31"/>
        <v/>
      </c>
      <c r="AP144" s="47" t="str">
        <f>IF($U144="","",VLOOKUP($U144,'ORF Accuracy Value LookUp'!$G$4:$H$104,2,TRUE))</f>
        <v/>
      </c>
      <c r="AQ144" s="94" t="str">
        <f t="shared" si="32"/>
        <v/>
      </c>
      <c r="AR144" s="46" t="str">
        <f>IF($AE144="","",VLOOKUP($AE144,'ORF Accuracy Value LookUp'!$G$4:$H$104,2,TRUE))</f>
        <v/>
      </c>
      <c r="AS144" s="140" t="str">
        <f t="shared" si="33"/>
        <v/>
      </c>
    </row>
    <row r="145" spans="1:45">
      <c r="A145" s="10"/>
      <c r="B145" s="9"/>
      <c r="C145" s="9"/>
      <c r="D145" s="9"/>
      <c r="E145" s="10"/>
      <c r="F145" s="11"/>
      <c r="G145" s="15"/>
      <c r="H145" s="88"/>
      <c r="I145" s="24"/>
      <c r="J145" s="24"/>
      <c r="K145" s="114" t="str">
        <f t="shared" si="24"/>
        <v/>
      </c>
      <c r="L145" s="24"/>
      <c r="M145" s="24"/>
      <c r="N145" s="24"/>
      <c r="O145" s="24"/>
      <c r="P145" s="97" t="str">
        <f t="shared" si="25"/>
        <v/>
      </c>
      <c r="Q145" s="113" t="str">
        <f t="shared" si="26"/>
        <v/>
      </c>
      <c r="R145" s="88"/>
      <c r="S145" s="24"/>
      <c r="T145" s="24"/>
      <c r="U145" s="78" t="str">
        <f t="shared" si="27"/>
        <v/>
      </c>
      <c r="V145" s="24"/>
      <c r="W145" s="24"/>
      <c r="X145" s="24"/>
      <c r="Y145" s="24"/>
      <c r="Z145" s="98" t="str">
        <f t="shared" si="28"/>
        <v/>
      </c>
      <c r="AA145" s="40" t="str">
        <f t="shared" si="34"/>
        <v/>
      </c>
      <c r="AB145" s="88"/>
      <c r="AC145" s="24"/>
      <c r="AD145" s="24"/>
      <c r="AE145" s="79" t="str">
        <f t="shared" si="29"/>
        <v/>
      </c>
      <c r="AF145" s="24"/>
      <c r="AG145" s="24"/>
      <c r="AH145" s="24"/>
      <c r="AI145" s="24"/>
      <c r="AJ145" s="99" t="str">
        <f t="shared" si="30"/>
        <v/>
      </c>
      <c r="AK145" s="31" t="str">
        <f t="shared" si="35"/>
        <v/>
      </c>
      <c r="AN145" s="139" t="str">
        <f>IF($K145="","",VLOOKUP($K145,'ORF Accuracy Value LookUp'!$G$4:$H$104,2,TRUE))</f>
        <v/>
      </c>
      <c r="AO145" s="94" t="str">
        <f t="shared" si="31"/>
        <v/>
      </c>
      <c r="AP145" s="47" t="str">
        <f>IF($U145="","",VLOOKUP($U145,'ORF Accuracy Value LookUp'!$G$4:$H$104,2,TRUE))</f>
        <v/>
      </c>
      <c r="AQ145" s="94" t="str">
        <f t="shared" si="32"/>
        <v/>
      </c>
      <c r="AR145" s="46" t="str">
        <f>IF($AE145="","",VLOOKUP($AE145,'ORF Accuracy Value LookUp'!$G$4:$H$104,2,TRUE))</f>
        <v/>
      </c>
      <c r="AS145" s="140" t="str">
        <f t="shared" si="33"/>
        <v/>
      </c>
    </row>
    <row r="146" spans="1:45">
      <c r="A146" s="10"/>
      <c r="B146" s="9"/>
      <c r="C146" s="9"/>
      <c r="D146" s="9"/>
      <c r="E146" s="10"/>
      <c r="F146" s="11"/>
      <c r="G146" s="15"/>
      <c r="H146" s="88"/>
      <c r="I146" s="24"/>
      <c r="J146" s="24"/>
      <c r="K146" s="114" t="str">
        <f t="shared" si="24"/>
        <v/>
      </c>
      <c r="L146" s="24"/>
      <c r="M146" s="24"/>
      <c r="N146" s="24"/>
      <c r="O146" s="24"/>
      <c r="P146" s="97" t="str">
        <f t="shared" si="25"/>
        <v/>
      </c>
      <c r="Q146" s="113" t="str">
        <f t="shared" si="26"/>
        <v/>
      </c>
      <c r="R146" s="88"/>
      <c r="S146" s="24"/>
      <c r="T146" s="24"/>
      <c r="U146" s="78" t="str">
        <f t="shared" si="27"/>
        <v/>
      </c>
      <c r="V146" s="24"/>
      <c r="W146" s="24"/>
      <c r="X146" s="24"/>
      <c r="Y146" s="24"/>
      <c r="Z146" s="98" t="str">
        <f t="shared" si="28"/>
        <v/>
      </c>
      <c r="AA146" s="40" t="str">
        <f t="shared" si="34"/>
        <v/>
      </c>
      <c r="AB146" s="88"/>
      <c r="AC146" s="24"/>
      <c r="AD146" s="24"/>
      <c r="AE146" s="79" t="str">
        <f t="shared" si="29"/>
        <v/>
      </c>
      <c r="AF146" s="24"/>
      <c r="AG146" s="24"/>
      <c r="AH146" s="24"/>
      <c r="AI146" s="24"/>
      <c r="AJ146" s="99" t="str">
        <f t="shared" si="30"/>
        <v/>
      </c>
      <c r="AK146" s="31" t="str">
        <f t="shared" si="35"/>
        <v/>
      </c>
      <c r="AN146" s="139" t="str">
        <f>IF($K146="","",VLOOKUP($K146,'ORF Accuracy Value LookUp'!$G$4:$H$104,2,TRUE))</f>
        <v/>
      </c>
      <c r="AO146" s="94" t="str">
        <f t="shared" si="31"/>
        <v/>
      </c>
      <c r="AP146" s="47" t="str">
        <f>IF($U146="","",VLOOKUP($U146,'ORF Accuracy Value LookUp'!$G$4:$H$104,2,TRUE))</f>
        <v/>
      </c>
      <c r="AQ146" s="94" t="str">
        <f t="shared" si="32"/>
        <v/>
      </c>
      <c r="AR146" s="46" t="str">
        <f>IF($AE146="","",VLOOKUP($AE146,'ORF Accuracy Value LookUp'!$G$4:$H$104,2,TRUE))</f>
        <v/>
      </c>
      <c r="AS146" s="140" t="str">
        <f t="shared" si="33"/>
        <v/>
      </c>
    </row>
    <row r="147" spans="1:45">
      <c r="A147" s="10"/>
      <c r="B147" s="9"/>
      <c r="C147" s="9"/>
      <c r="D147" s="9"/>
      <c r="E147" s="10"/>
      <c r="F147" s="11"/>
      <c r="G147" s="15"/>
      <c r="H147" s="88"/>
      <c r="I147" s="24"/>
      <c r="J147" s="24"/>
      <c r="K147" s="114" t="str">
        <f t="shared" si="24"/>
        <v/>
      </c>
      <c r="L147" s="24"/>
      <c r="M147" s="24"/>
      <c r="N147" s="24"/>
      <c r="O147" s="24"/>
      <c r="P147" s="97" t="str">
        <f t="shared" si="25"/>
        <v/>
      </c>
      <c r="Q147" s="113" t="str">
        <f t="shared" si="26"/>
        <v/>
      </c>
      <c r="R147" s="88"/>
      <c r="S147" s="24"/>
      <c r="T147" s="24"/>
      <c r="U147" s="78" t="str">
        <f t="shared" si="27"/>
        <v/>
      </c>
      <c r="V147" s="24"/>
      <c r="W147" s="24"/>
      <c r="X147" s="24"/>
      <c r="Y147" s="24"/>
      <c r="Z147" s="98" t="str">
        <f t="shared" si="28"/>
        <v/>
      </c>
      <c r="AA147" s="40" t="str">
        <f t="shared" si="34"/>
        <v/>
      </c>
      <c r="AB147" s="88"/>
      <c r="AC147" s="24"/>
      <c r="AD147" s="24"/>
      <c r="AE147" s="79" t="str">
        <f t="shared" si="29"/>
        <v/>
      </c>
      <c r="AF147" s="24"/>
      <c r="AG147" s="24"/>
      <c r="AH147" s="24"/>
      <c r="AI147" s="24"/>
      <c r="AJ147" s="99" t="str">
        <f t="shared" si="30"/>
        <v/>
      </c>
      <c r="AK147" s="31" t="str">
        <f t="shared" si="35"/>
        <v/>
      </c>
      <c r="AN147" s="139" t="str">
        <f>IF($K147="","",VLOOKUP($K147,'ORF Accuracy Value LookUp'!$G$4:$H$104,2,TRUE))</f>
        <v/>
      </c>
      <c r="AO147" s="94" t="str">
        <f t="shared" si="31"/>
        <v/>
      </c>
      <c r="AP147" s="47" t="str">
        <f>IF($U147="","",VLOOKUP($U147,'ORF Accuracy Value LookUp'!$G$4:$H$104,2,TRUE))</f>
        <v/>
      </c>
      <c r="AQ147" s="94" t="str">
        <f t="shared" si="32"/>
        <v/>
      </c>
      <c r="AR147" s="46" t="str">
        <f>IF($AE147="","",VLOOKUP($AE147,'ORF Accuracy Value LookUp'!$G$4:$H$104,2,TRUE))</f>
        <v/>
      </c>
      <c r="AS147" s="140" t="str">
        <f t="shared" si="33"/>
        <v/>
      </c>
    </row>
    <row r="148" spans="1:45">
      <c r="A148" s="10"/>
      <c r="B148" s="9"/>
      <c r="C148" s="9"/>
      <c r="D148" s="9"/>
      <c r="E148" s="10"/>
      <c r="F148" s="11"/>
      <c r="G148" s="15"/>
      <c r="H148" s="88"/>
      <c r="I148" s="24"/>
      <c r="J148" s="24"/>
      <c r="K148" s="114" t="str">
        <f t="shared" si="24"/>
        <v/>
      </c>
      <c r="L148" s="24"/>
      <c r="M148" s="24"/>
      <c r="N148" s="24"/>
      <c r="O148" s="24"/>
      <c r="P148" s="97" t="str">
        <f t="shared" si="25"/>
        <v/>
      </c>
      <c r="Q148" s="113" t="str">
        <f t="shared" si="26"/>
        <v/>
      </c>
      <c r="R148" s="88"/>
      <c r="S148" s="24"/>
      <c r="T148" s="24"/>
      <c r="U148" s="78" t="str">
        <f t="shared" si="27"/>
        <v/>
      </c>
      <c r="V148" s="24"/>
      <c r="W148" s="24"/>
      <c r="X148" s="24"/>
      <c r="Y148" s="24"/>
      <c r="Z148" s="98" t="str">
        <f t="shared" si="28"/>
        <v/>
      </c>
      <c r="AA148" s="40" t="str">
        <f t="shared" si="34"/>
        <v/>
      </c>
      <c r="AB148" s="88"/>
      <c r="AC148" s="24"/>
      <c r="AD148" s="24"/>
      <c r="AE148" s="79" t="str">
        <f t="shared" si="29"/>
        <v/>
      </c>
      <c r="AF148" s="24"/>
      <c r="AG148" s="24"/>
      <c r="AH148" s="24"/>
      <c r="AI148" s="24"/>
      <c r="AJ148" s="99" t="str">
        <f t="shared" si="30"/>
        <v/>
      </c>
      <c r="AK148" s="31" t="str">
        <f t="shared" si="35"/>
        <v/>
      </c>
      <c r="AN148" s="139" t="str">
        <f>IF($K148="","",VLOOKUP($K148,'ORF Accuracy Value LookUp'!$G$4:$H$104,2,TRUE))</f>
        <v/>
      </c>
      <c r="AO148" s="94" t="str">
        <f t="shared" si="31"/>
        <v/>
      </c>
      <c r="AP148" s="47" t="str">
        <f>IF($U148="","",VLOOKUP($U148,'ORF Accuracy Value LookUp'!$G$4:$H$104,2,TRUE))</f>
        <v/>
      </c>
      <c r="AQ148" s="94" t="str">
        <f t="shared" si="32"/>
        <v/>
      </c>
      <c r="AR148" s="46" t="str">
        <f>IF($AE148="","",VLOOKUP($AE148,'ORF Accuracy Value LookUp'!$G$4:$H$104,2,TRUE))</f>
        <v/>
      </c>
      <c r="AS148" s="140" t="str">
        <f t="shared" si="33"/>
        <v/>
      </c>
    </row>
    <row r="149" spans="1:45">
      <c r="A149" s="10"/>
      <c r="B149" s="9"/>
      <c r="C149" s="9"/>
      <c r="D149" s="9"/>
      <c r="E149" s="10"/>
      <c r="F149" s="11"/>
      <c r="G149" s="15"/>
      <c r="H149" s="88"/>
      <c r="I149" s="24"/>
      <c r="J149" s="24"/>
      <c r="K149" s="114" t="str">
        <f t="shared" si="24"/>
        <v/>
      </c>
      <c r="L149" s="24"/>
      <c r="M149" s="24"/>
      <c r="N149" s="24"/>
      <c r="O149" s="24"/>
      <c r="P149" s="97" t="str">
        <f t="shared" si="25"/>
        <v/>
      </c>
      <c r="Q149" s="113" t="str">
        <f t="shared" si="26"/>
        <v/>
      </c>
      <c r="R149" s="88"/>
      <c r="S149" s="24"/>
      <c r="T149" s="24"/>
      <c r="U149" s="78" t="str">
        <f t="shared" si="27"/>
        <v/>
      </c>
      <c r="V149" s="24"/>
      <c r="W149" s="24"/>
      <c r="X149" s="24"/>
      <c r="Y149" s="24"/>
      <c r="Z149" s="98" t="str">
        <f t="shared" si="28"/>
        <v/>
      </c>
      <c r="AA149" s="40" t="str">
        <f t="shared" si="34"/>
        <v/>
      </c>
      <c r="AB149" s="88"/>
      <c r="AC149" s="24"/>
      <c r="AD149" s="24"/>
      <c r="AE149" s="79" t="str">
        <f t="shared" si="29"/>
        <v/>
      </c>
      <c r="AF149" s="24"/>
      <c r="AG149" s="24"/>
      <c r="AH149" s="24"/>
      <c r="AI149" s="24"/>
      <c r="AJ149" s="99" t="str">
        <f t="shared" si="30"/>
        <v/>
      </c>
      <c r="AK149" s="31" t="str">
        <f t="shared" si="35"/>
        <v/>
      </c>
      <c r="AN149" s="139" t="str">
        <f>IF($K149="","",VLOOKUP($K149,'ORF Accuracy Value LookUp'!$G$4:$H$104,2,TRUE))</f>
        <v/>
      </c>
      <c r="AO149" s="94" t="str">
        <f t="shared" si="31"/>
        <v/>
      </c>
      <c r="AP149" s="47" t="str">
        <f>IF($U149="","",VLOOKUP($U149,'ORF Accuracy Value LookUp'!$G$4:$H$104,2,TRUE))</f>
        <v/>
      </c>
      <c r="AQ149" s="94" t="str">
        <f t="shared" si="32"/>
        <v/>
      </c>
      <c r="AR149" s="46" t="str">
        <f>IF($AE149="","",VLOOKUP($AE149,'ORF Accuracy Value LookUp'!$G$4:$H$104,2,TRUE))</f>
        <v/>
      </c>
      <c r="AS149" s="140" t="str">
        <f t="shared" si="33"/>
        <v/>
      </c>
    </row>
    <row r="150" spans="1:45">
      <c r="A150" s="10"/>
      <c r="B150" s="9"/>
      <c r="C150" s="9"/>
      <c r="D150" s="9"/>
      <c r="E150" s="10"/>
      <c r="F150" s="11"/>
      <c r="G150" s="15"/>
      <c r="H150" s="88"/>
      <c r="I150" s="24"/>
      <c r="J150" s="24"/>
      <c r="K150" s="114" t="str">
        <f t="shared" si="24"/>
        <v/>
      </c>
      <c r="L150" s="24"/>
      <c r="M150" s="24"/>
      <c r="N150" s="24"/>
      <c r="O150" s="24"/>
      <c r="P150" s="97" t="str">
        <f t="shared" si="25"/>
        <v/>
      </c>
      <c r="Q150" s="113" t="str">
        <f t="shared" si="26"/>
        <v/>
      </c>
      <c r="R150" s="88"/>
      <c r="S150" s="24"/>
      <c r="T150" s="24"/>
      <c r="U150" s="78" t="str">
        <f t="shared" si="27"/>
        <v/>
      </c>
      <c r="V150" s="24"/>
      <c r="W150" s="24"/>
      <c r="X150" s="24"/>
      <c r="Y150" s="24"/>
      <c r="Z150" s="98" t="str">
        <f t="shared" si="28"/>
        <v/>
      </c>
      <c r="AA150" s="40" t="str">
        <f t="shared" si="34"/>
        <v/>
      </c>
      <c r="AB150" s="88"/>
      <c r="AC150" s="24"/>
      <c r="AD150" s="24"/>
      <c r="AE150" s="79" t="str">
        <f t="shared" si="29"/>
        <v/>
      </c>
      <c r="AF150" s="24"/>
      <c r="AG150" s="24"/>
      <c r="AH150" s="24"/>
      <c r="AI150" s="24"/>
      <c r="AJ150" s="99" t="str">
        <f t="shared" si="30"/>
        <v/>
      </c>
      <c r="AK150" s="31" t="str">
        <f t="shared" si="35"/>
        <v/>
      </c>
      <c r="AN150" s="139" t="str">
        <f>IF($K150="","",VLOOKUP($K150,'ORF Accuracy Value LookUp'!$G$4:$H$104,2,TRUE))</f>
        <v/>
      </c>
      <c r="AO150" s="94" t="str">
        <f t="shared" si="31"/>
        <v/>
      </c>
      <c r="AP150" s="47" t="str">
        <f>IF($U150="","",VLOOKUP($U150,'ORF Accuracy Value LookUp'!$G$4:$H$104,2,TRUE))</f>
        <v/>
      </c>
      <c r="AQ150" s="94" t="str">
        <f t="shared" si="32"/>
        <v/>
      </c>
      <c r="AR150" s="46" t="str">
        <f>IF($AE150="","",VLOOKUP($AE150,'ORF Accuracy Value LookUp'!$G$4:$H$104,2,TRUE))</f>
        <v/>
      </c>
      <c r="AS150" s="140" t="str">
        <f t="shared" si="33"/>
        <v/>
      </c>
    </row>
    <row r="151" spans="1:45">
      <c r="A151" s="10"/>
      <c r="B151" s="9"/>
      <c r="C151" s="9"/>
      <c r="D151" s="9"/>
      <c r="E151" s="10"/>
      <c r="F151" s="11"/>
      <c r="G151" s="15"/>
      <c r="H151" s="88"/>
      <c r="I151" s="24"/>
      <c r="J151" s="24"/>
      <c r="K151" s="114" t="str">
        <f t="shared" si="24"/>
        <v/>
      </c>
      <c r="L151" s="24"/>
      <c r="M151" s="24"/>
      <c r="N151" s="24"/>
      <c r="O151" s="24"/>
      <c r="P151" s="97" t="str">
        <f t="shared" si="25"/>
        <v/>
      </c>
      <c r="Q151" s="113" t="str">
        <f t="shared" si="26"/>
        <v/>
      </c>
      <c r="R151" s="88"/>
      <c r="S151" s="24"/>
      <c r="T151" s="24"/>
      <c r="U151" s="78" t="str">
        <f t="shared" si="27"/>
        <v/>
      </c>
      <c r="V151" s="24"/>
      <c r="W151" s="24"/>
      <c r="X151" s="24"/>
      <c r="Y151" s="24"/>
      <c r="Z151" s="98" t="str">
        <f t="shared" si="28"/>
        <v/>
      </c>
      <c r="AA151" s="40" t="str">
        <f t="shared" si="34"/>
        <v/>
      </c>
      <c r="AB151" s="88"/>
      <c r="AC151" s="24"/>
      <c r="AD151" s="24"/>
      <c r="AE151" s="79" t="str">
        <f t="shared" si="29"/>
        <v/>
      </c>
      <c r="AF151" s="24"/>
      <c r="AG151" s="24"/>
      <c r="AH151" s="24"/>
      <c r="AI151" s="24"/>
      <c r="AJ151" s="99" t="str">
        <f t="shared" si="30"/>
        <v/>
      </c>
      <c r="AK151" s="31" t="str">
        <f t="shared" si="35"/>
        <v/>
      </c>
      <c r="AN151" s="139" t="str">
        <f>IF($K151="","",VLOOKUP($K151,'ORF Accuracy Value LookUp'!$G$4:$H$104,2,TRUE))</f>
        <v/>
      </c>
      <c r="AO151" s="94" t="str">
        <f t="shared" si="31"/>
        <v/>
      </c>
      <c r="AP151" s="47" t="str">
        <f>IF($U151="","",VLOOKUP($U151,'ORF Accuracy Value LookUp'!$G$4:$H$104,2,TRUE))</f>
        <v/>
      </c>
      <c r="AQ151" s="94" t="str">
        <f t="shared" si="32"/>
        <v/>
      </c>
      <c r="AR151" s="46" t="str">
        <f>IF($AE151="","",VLOOKUP($AE151,'ORF Accuracy Value LookUp'!$G$4:$H$104,2,TRUE))</f>
        <v/>
      </c>
      <c r="AS151" s="140" t="str">
        <f t="shared" si="33"/>
        <v/>
      </c>
    </row>
    <row r="152" spans="1:45">
      <c r="A152" s="10"/>
      <c r="B152" s="9"/>
      <c r="C152" s="9"/>
      <c r="D152" s="9"/>
      <c r="E152" s="10"/>
      <c r="F152" s="11"/>
      <c r="G152" s="15"/>
      <c r="H152" s="88"/>
      <c r="I152" s="24"/>
      <c r="J152" s="24"/>
      <c r="K152" s="114" t="str">
        <f t="shared" si="24"/>
        <v/>
      </c>
      <c r="L152" s="24"/>
      <c r="M152" s="24"/>
      <c r="N152" s="24"/>
      <c r="O152" s="24"/>
      <c r="P152" s="97" t="str">
        <f t="shared" si="25"/>
        <v/>
      </c>
      <c r="Q152" s="113" t="str">
        <f t="shared" si="26"/>
        <v/>
      </c>
      <c r="R152" s="88"/>
      <c r="S152" s="24"/>
      <c r="T152" s="24"/>
      <c r="U152" s="78" t="str">
        <f t="shared" si="27"/>
        <v/>
      </c>
      <c r="V152" s="24"/>
      <c r="W152" s="24"/>
      <c r="X152" s="24"/>
      <c r="Y152" s="24"/>
      <c r="Z152" s="98" t="str">
        <f t="shared" si="28"/>
        <v/>
      </c>
      <c r="AA152" s="40" t="str">
        <f t="shared" si="34"/>
        <v/>
      </c>
      <c r="AB152" s="88"/>
      <c r="AC152" s="24"/>
      <c r="AD152" s="24"/>
      <c r="AE152" s="79" t="str">
        <f t="shared" si="29"/>
        <v/>
      </c>
      <c r="AF152" s="24"/>
      <c r="AG152" s="24"/>
      <c r="AH152" s="24"/>
      <c r="AI152" s="24"/>
      <c r="AJ152" s="99" t="str">
        <f t="shared" si="30"/>
        <v/>
      </c>
      <c r="AK152" s="31" t="str">
        <f t="shared" si="35"/>
        <v/>
      </c>
      <c r="AN152" s="139" t="str">
        <f>IF($K152="","",VLOOKUP($K152,'ORF Accuracy Value LookUp'!$G$4:$H$104,2,TRUE))</f>
        <v/>
      </c>
      <c r="AO152" s="94" t="str">
        <f t="shared" si="31"/>
        <v/>
      </c>
      <c r="AP152" s="47" t="str">
        <f>IF($U152="","",VLOOKUP($U152,'ORF Accuracy Value LookUp'!$G$4:$H$104,2,TRUE))</f>
        <v/>
      </c>
      <c r="AQ152" s="94" t="str">
        <f t="shared" si="32"/>
        <v/>
      </c>
      <c r="AR152" s="46" t="str">
        <f>IF($AE152="","",VLOOKUP($AE152,'ORF Accuracy Value LookUp'!$G$4:$H$104,2,TRUE))</f>
        <v/>
      </c>
      <c r="AS152" s="140" t="str">
        <f t="shared" si="33"/>
        <v/>
      </c>
    </row>
    <row r="153" spans="1:45">
      <c r="A153" s="10"/>
      <c r="B153" s="9"/>
      <c r="C153" s="9"/>
      <c r="D153" s="9"/>
      <c r="E153" s="10"/>
      <c r="F153" s="11"/>
      <c r="G153" s="15"/>
      <c r="H153" s="88"/>
      <c r="I153" s="24"/>
      <c r="J153" s="24"/>
      <c r="K153" s="114" t="str">
        <f t="shared" si="24"/>
        <v/>
      </c>
      <c r="L153" s="24"/>
      <c r="M153" s="24"/>
      <c r="N153" s="24"/>
      <c r="O153" s="24"/>
      <c r="P153" s="97" t="str">
        <f t="shared" si="25"/>
        <v/>
      </c>
      <c r="Q153" s="113" t="str">
        <f t="shared" si="26"/>
        <v/>
      </c>
      <c r="R153" s="88"/>
      <c r="S153" s="24"/>
      <c r="T153" s="24"/>
      <c r="U153" s="78" t="str">
        <f t="shared" si="27"/>
        <v/>
      </c>
      <c r="V153" s="24"/>
      <c r="W153" s="24"/>
      <c r="X153" s="24"/>
      <c r="Y153" s="24"/>
      <c r="Z153" s="98" t="str">
        <f t="shared" si="28"/>
        <v/>
      </c>
      <c r="AA153" s="40" t="str">
        <f t="shared" si="34"/>
        <v/>
      </c>
      <c r="AB153" s="88"/>
      <c r="AC153" s="24"/>
      <c r="AD153" s="24"/>
      <c r="AE153" s="79" t="str">
        <f t="shared" si="29"/>
        <v/>
      </c>
      <c r="AF153" s="24"/>
      <c r="AG153" s="24"/>
      <c r="AH153" s="24"/>
      <c r="AI153" s="24"/>
      <c r="AJ153" s="99" t="str">
        <f t="shared" si="30"/>
        <v/>
      </c>
      <c r="AK153" s="31" t="str">
        <f t="shared" si="35"/>
        <v/>
      </c>
      <c r="AN153" s="139" t="str">
        <f>IF($K153="","",VLOOKUP($K153,'ORF Accuracy Value LookUp'!$G$4:$H$104,2,TRUE))</f>
        <v/>
      </c>
      <c r="AO153" s="94" t="str">
        <f t="shared" si="31"/>
        <v/>
      </c>
      <c r="AP153" s="47" t="str">
        <f>IF($U153="","",VLOOKUP($U153,'ORF Accuracy Value LookUp'!$G$4:$H$104,2,TRUE))</f>
        <v/>
      </c>
      <c r="AQ153" s="94" t="str">
        <f t="shared" si="32"/>
        <v/>
      </c>
      <c r="AR153" s="46" t="str">
        <f>IF($AE153="","",VLOOKUP($AE153,'ORF Accuracy Value LookUp'!$G$4:$H$104,2,TRUE))</f>
        <v/>
      </c>
      <c r="AS153" s="140" t="str">
        <f t="shared" si="33"/>
        <v/>
      </c>
    </row>
    <row r="154" spans="1:45">
      <c r="A154" s="10"/>
      <c r="B154" s="9"/>
      <c r="C154" s="9"/>
      <c r="D154" s="9"/>
      <c r="E154" s="10"/>
      <c r="F154" s="11"/>
      <c r="G154" s="15"/>
      <c r="H154" s="88"/>
      <c r="I154" s="24"/>
      <c r="J154" s="24"/>
      <c r="K154" s="114" t="str">
        <f t="shared" si="24"/>
        <v/>
      </c>
      <c r="L154" s="24"/>
      <c r="M154" s="24"/>
      <c r="N154" s="24"/>
      <c r="O154" s="24"/>
      <c r="P154" s="97" t="str">
        <f t="shared" si="25"/>
        <v/>
      </c>
      <c r="Q154" s="113" t="str">
        <f t="shared" si="26"/>
        <v/>
      </c>
      <c r="R154" s="88"/>
      <c r="S154" s="24"/>
      <c r="T154" s="24"/>
      <c r="U154" s="78" t="str">
        <f t="shared" si="27"/>
        <v/>
      </c>
      <c r="V154" s="24"/>
      <c r="W154" s="24"/>
      <c r="X154" s="24"/>
      <c r="Y154" s="24"/>
      <c r="Z154" s="98" t="str">
        <f t="shared" si="28"/>
        <v/>
      </c>
      <c r="AA154" s="40" t="str">
        <f t="shared" si="34"/>
        <v/>
      </c>
      <c r="AB154" s="88"/>
      <c r="AC154" s="24"/>
      <c r="AD154" s="24"/>
      <c r="AE154" s="79" t="str">
        <f t="shared" si="29"/>
        <v/>
      </c>
      <c r="AF154" s="24"/>
      <c r="AG154" s="24"/>
      <c r="AH154" s="24"/>
      <c r="AI154" s="24"/>
      <c r="AJ154" s="99" t="str">
        <f t="shared" si="30"/>
        <v/>
      </c>
      <c r="AK154" s="31" t="str">
        <f t="shared" si="35"/>
        <v/>
      </c>
      <c r="AN154" s="139" t="str">
        <f>IF($K154="","",VLOOKUP($K154,'ORF Accuracy Value LookUp'!$G$4:$H$104,2,TRUE))</f>
        <v/>
      </c>
      <c r="AO154" s="94" t="str">
        <f t="shared" si="31"/>
        <v/>
      </c>
      <c r="AP154" s="47" t="str">
        <f>IF($U154="","",VLOOKUP($U154,'ORF Accuracy Value LookUp'!$G$4:$H$104,2,TRUE))</f>
        <v/>
      </c>
      <c r="AQ154" s="94" t="str">
        <f t="shared" si="32"/>
        <v/>
      </c>
      <c r="AR154" s="46" t="str">
        <f>IF($AE154="","",VLOOKUP($AE154,'ORF Accuracy Value LookUp'!$G$4:$H$104,2,TRUE))</f>
        <v/>
      </c>
      <c r="AS154" s="140" t="str">
        <f t="shared" si="33"/>
        <v/>
      </c>
    </row>
    <row r="155" spans="1:45">
      <c r="A155" s="10"/>
      <c r="B155" s="9"/>
      <c r="C155" s="9"/>
      <c r="D155" s="9"/>
      <c r="E155" s="10"/>
      <c r="F155" s="11"/>
      <c r="G155" s="15"/>
      <c r="H155" s="88"/>
      <c r="I155" s="24"/>
      <c r="J155" s="24"/>
      <c r="K155" s="114" t="str">
        <f t="shared" si="24"/>
        <v/>
      </c>
      <c r="L155" s="24"/>
      <c r="M155" s="24"/>
      <c r="N155" s="24"/>
      <c r="O155" s="24"/>
      <c r="P155" s="97" t="str">
        <f t="shared" si="25"/>
        <v/>
      </c>
      <c r="Q155" s="113" t="str">
        <f t="shared" si="26"/>
        <v/>
      </c>
      <c r="R155" s="88"/>
      <c r="S155" s="24"/>
      <c r="T155" s="24"/>
      <c r="U155" s="78" t="str">
        <f t="shared" si="27"/>
        <v/>
      </c>
      <c r="V155" s="24"/>
      <c r="W155" s="24"/>
      <c r="X155" s="24"/>
      <c r="Y155" s="24"/>
      <c r="Z155" s="98" t="str">
        <f t="shared" si="28"/>
        <v/>
      </c>
      <c r="AA155" s="40" t="str">
        <f t="shared" si="34"/>
        <v/>
      </c>
      <c r="AB155" s="88"/>
      <c r="AC155" s="24"/>
      <c r="AD155" s="24"/>
      <c r="AE155" s="79" t="str">
        <f t="shared" si="29"/>
        <v/>
      </c>
      <c r="AF155" s="24"/>
      <c r="AG155" s="24"/>
      <c r="AH155" s="24"/>
      <c r="AI155" s="24"/>
      <c r="AJ155" s="99" t="str">
        <f t="shared" si="30"/>
        <v/>
      </c>
      <c r="AK155" s="31" t="str">
        <f t="shared" si="35"/>
        <v/>
      </c>
      <c r="AN155" s="139" t="str">
        <f>IF($K155="","",VLOOKUP($K155,'ORF Accuracy Value LookUp'!$G$4:$H$104,2,TRUE))</f>
        <v/>
      </c>
      <c r="AO155" s="94" t="str">
        <f t="shared" si="31"/>
        <v/>
      </c>
      <c r="AP155" s="47" t="str">
        <f>IF($U155="","",VLOOKUP($U155,'ORF Accuracy Value LookUp'!$G$4:$H$104,2,TRUE))</f>
        <v/>
      </c>
      <c r="AQ155" s="94" t="str">
        <f t="shared" si="32"/>
        <v/>
      </c>
      <c r="AR155" s="46" t="str">
        <f>IF($AE155="","",VLOOKUP($AE155,'ORF Accuracy Value LookUp'!$G$4:$H$104,2,TRUE))</f>
        <v/>
      </c>
      <c r="AS155" s="140" t="str">
        <f t="shared" si="33"/>
        <v/>
      </c>
    </row>
    <row r="156" spans="1:45">
      <c r="A156" s="10"/>
      <c r="B156" s="9"/>
      <c r="C156" s="9"/>
      <c r="D156" s="9"/>
      <c r="E156" s="10"/>
      <c r="F156" s="11"/>
      <c r="G156" s="15"/>
      <c r="H156" s="88"/>
      <c r="I156" s="24"/>
      <c r="J156" s="24"/>
      <c r="K156" s="114" t="str">
        <f t="shared" si="24"/>
        <v/>
      </c>
      <c r="L156" s="24"/>
      <c r="M156" s="24"/>
      <c r="N156" s="24"/>
      <c r="O156" s="24"/>
      <c r="P156" s="97" t="str">
        <f t="shared" si="25"/>
        <v/>
      </c>
      <c r="Q156" s="113" t="str">
        <f t="shared" si="26"/>
        <v/>
      </c>
      <c r="R156" s="88"/>
      <c r="S156" s="24"/>
      <c r="T156" s="24"/>
      <c r="U156" s="78" t="str">
        <f t="shared" si="27"/>
        <v/>
      </c>
      <c r="V156" s="24"/>
      <c r="W156" s="24"/>
      <c r="X156" s="24"/>
      <c r="Y156" s="24"/>
      <c r="Z156" s="98" t="str">
        <f t="shared" si="28"/>
        <v/>
      </c>
      <c r="AA156" s="40" t="str">
        <f t="shared" si="34"/>
        <v/>
      </c>
      <c r="AB156" s="88"/>
      <c r="AC156" s="24"/>
      <c r="AD156" s="24"/>
      <c r="AE156" s="79" t="str">
        <f t="shared" si="29"/>
        <v/>
      </c>
      <c r="AF156" s="24"/>
      <c r="AG156" s="24"/>
      <c r="AH156" s="24"/>
      <c r="AI156" s="24"/>
      <c r="AJ156" s="99" t="str">
        <f t="shared" si="30"/>
        <v/>
      </c>
      <c r="AK156" s="31" t="str">
        <f t="shared" si="35"/>
        <v/>
      </c>
      <c r="AN156" s="139" t="str">
        <f>IF($K156="","",VLOOKUP($K156,'ORF Accuracy Value LookUp'!$G$4:$H$104,2,TRUE))</f>
        <v/>
      </c>
      <c r="AO156" s="94" t="str">
        <f t="shared" si="31"/>
        <v/>
      </c>
      <c r="AP156" s="47" t="str">
        <f>IF($U156="","",VLOOKUP($U156,'ORF Accuracy Value LookUp'!$G$4:$H$104,2,TRUE))</f>
        <v/>
      </c>
      <c r="AQ156" s="94" t="str">
        <f t="shared" si="32"/>
        <v/>
      </c>
      <c r="AR156" s="46" t="str">
        <f>IF($AE156="","",VLOOKUP($AE156,'ORF Accuracy Value LookUp'!$G$4:$H$104,2,TRUE))</f>
        <v/>
      </c>
      <c r="AS156" s="140" t="str">
        <f t="shared" si="33"/>
        <v/>
      </c>
    </row>
    <row r="157" spans="1:45">
      <c r="A157" s="10"/>
      <c r="B157" s="9"/>
      <c r="C157" s="9"/>
      <c r="D157" s="9"/>
      <c r="E157" s="10"/>
      <c r="F157" s="11"/>
      <c r="G157" s="15"/>
      <c r="H157" s="88"/>
      <c r="I157" s="24"/>
      <c r="J157" s="24"/>
      <c r="K157" s="114" t="str">
        <f t="shared" si="24"/>
        <v/>
      </c>
      <c r="L157" s="24"/>
      <c r="M157" s="24"/>
      <c r="N157" s="24"/>
      <c r="O157" s="24"/>
      <c r="P157" s="97" t="str">
        <f t="shared" si="25"/>
        <v/>
      </c>
      <c r="Q157" s="113" t="str">
        <f t="shared" si="26"/>
        <v/>
      </c>
      <c r="R157" s="88"/>
      <c r="S157" s="24"/>
      <c r="T157" s="24"/>
      <c r="U157" s="78" t="str">
        <f t="shared" si="27"/>
        <v/>
      </c>
      <c r="V157" s="24"/>
      <c r="W157" s="24"/>
      <c r="X157" s="24"/>
      <c r="Y157" s="24"/>
      <c r="Z157" s="98" t="str">
        <f t="shared" si="28"/>
        <v/>
      </c>
      <c r="AA157" s="40" t="str">
        <f t="shared" si="34"/>
        <v/>
      </c>
      <c r="AB157" s="88"/>
      <c r="AC157" s="24"/>
      <c r="AD157" s="24"/>
      <c r="AE157" s="79" t="str">
        <f t="shared" si="29"/>
        <v/>
      </c>
      <c r="AF157" s="24"/>
      <c r="AG157" s="24"/>
      <c r="AH157" s="24"/>
      <c r="AI157" s="24"/>
      <c r="AJ157" s="99" t="str">
        <f t="shared" si="30"/>
        <v/>
      </c>
      <c r="AK157" s="31" t="str">
        <f t="shared" si="35"/>
        <v/>
      </c>
      <c r="AN157" s="139" t="str">
        <f>IF($K157="","",VLOOKUP($K157,'ORF Accuracy Value LookUp'!$G$4:$H$104,2,TRUE))</f>
        <v/>
      </c>
      <c r="AO157" s="94" t="str">
        <f t="shared" si="31"/>
        <v/>
      </c>
      <c r="AP157" s="47" t="str">
        <f>IF($U157="","",VLOOKUP($U157,'ORF Accuracy Value LookUp'!$G$4:$H$104,2,TRUE))</f>
        <v/>
      </c>
      <c r="AQ157" s="94" t="str">
        <f t="shared" si="32"/>
        <v/>
      </c>
      <c r="AR157" s="46" t="str">
        <f>IF($AE157="","",VLOOKUP($AE157,'ORF Accuracy Value LookUp'!$G$4:$H$104,2,TRUE))</f>
        <v/>
      </c>
      <c r="AS157" s="140" t="str">
        <f t="shared" si="33"/>
        <v/>
      </c>
    </row>
    <row r="158" spans="1:45">
      <c r="A158" s="10"/>
      <c r="B158" s="9"/>
      <c r="C158" s="9"/>
      <c r="D158" s="9"/>
      <c r="E158" s="10"/>
      <c r="F158" s="11"/>
      <c r="G158" s="15"/>
      <c r="H158" s="88"/>
      <c r="I158" s="24"/>
      <c r="J158" s="24"/>
      <c r="K158" s="114" t="str">
        <f t="shared" si="24"/>
        <v/>
      </c>
      <c r="L158" s="24"/>
      <c r="M158" s="24"/>
      <c r="N158" s="24"/>
      <c r="O158" s="24"/>
      <c r="P158" s="97" t="str">
        <f t="shared" si="25"/>
        <v/>
      </c>
      <c r="Q158" s="113" t="str">
        <f t="shared" si="26"/>
        <v/>
      </c>
      <c r="R158" s="88"/>
      <c r="S158" s="24"/>
      <c r="T158" s="24"/>
      <c r="U158" s="78" t="str">
        <f t="shared" si="27"/>
        <v/>
      </c>
      <c r="V158" s="24"/>
      <c r="W158" s="24"/>
      <c r="X158" s="24"/>
      <c r="Y158" s="24"/>
      <c r="Z158" s="98" t="str">
        <f t="shared" si="28"/>
        <v/>
      </c>
      <c r="AA158" s="40" t="str">
        <f t="shared" si="34"/>
        <v/>
      </c>
      <c r="AB158" s="88"/>
      <c r="AC158" s="24"/>
      <c r="AD158" s="24"/>
      <c r="AE158" s="79" t="str">
        <f t="shared" si="29"/>
        <v/>
      </c>
      <c r="AF158" s="24"/>
      <c r="AG158" s="24"/>
      <c r="AH158" s="24"/>
      <c r="AI158" s="24"/>
      <c r="AJ158" s="99" t="str">
        <f t="shared" si="30"/>
        <v/>
      </c>
      <c r="AK158" s="31" t="str">
        <f t="shared" si="35"/>
        <v/>
      </c>
      <c r="AN158" s="139" t="str">
        <f>IF($K158="","",VLOOKUP($K158,'ORF Accuracy Value LookUp'!$G$4:$H$104,2,TRUE))</f>
        <v/>
      </c>
      <c r="AO158" s="94" t="str">
        <f t="shared" si="31"/>
        <v/>
      </c>
      <c r="AP158" s="47" t="str">
        <f>IF($U158="","",VLOOKUP($U158,'ORF Accuracy Value LookUp'!$G$4:$H$104,2,TRUE))</f>
        <v/>
      </c>
      <c r="AQ158" s="94" t="str">
        <f t="shared" si="32"/>
        <v/>
      </c>
      <c r="AR158" s="46" t="str">
        <f>IF($AE158="","",VLOOKUP($AE158,'ORF Accuracy Value LookUp'!$G$4:$H$104,2,TRUE))</f>
        <v/>
      </c>
      <c r="AS158" s="140" t="str">
        <f t="shared" si="33"/>
        <v/>
      </c>
    </row>
    <row r="159" spans="1:45">
      <c r="A159" s="10"/>
      <c r="B159" s="9"/>
      <c r="C159" s="9"/>
      <c r="D159" s="9"/>
      <c r="E159" s="10"/>
      <c r="F159" s="11"/>
      <c r="G159" s="15"/>
      <c r="H159" s="88"/>
      <c r="I159" s="24"/>
      <c r="J159" s="24"/>
      <c r="K159" s="114" t="str">
        <f t="shared" si="24"/>
        <v/>
      </c>
      <c r="L159" s="24"/>
      <c r="M159" s="24"/>
      <c r="N159" s="24"/>
      <c r="O159" s="24"/>
      <c r="P159" s="97" t="str">
        <f t="shared" si="25"/>
        <v/>
      </c>
      <c r="Q159" s="113" t="str">
        <f t="shared" si="26"/>
        <v/>
      </c>
      <c r="R159" s="88"/>
      <c r="S159" s="24"/>
      <c r="T159" s="24"/>
      <c r="U159" s="78" t="str">
        <f t="shared" si="27"/>
        <v/>
      </c>
      <c r="V159" s="24"/>
      <c r="W159" s="24"/>
      <c r="X159" s="24"/>
      <c r="Y159" s="24"/>
      <c r="Z159" s="98" t="str">
        <f t="shared" si="28"/>
        <v/>
      </c>
      <c r="AA159" s="40" t="str">
        <f t="shared" si="34"/>
        <v/>
      </c>
      <c r="AB159" s="88"/>
      <c r="AC159" s="24"/>
      <c r="AD159" s="24"/>
      <c r="AE159" s="79" t="str">
        <f t="shared" si="29"/>
        <v/>
      </c>
      <c r="AF159" s="24"/>
      <c r="AG159" s="24"/>
      <c r="AH159" s="24"/>
      <c r="AI159" s="24"/>
      <c r="AJ159" s="99" t="str">
        <f t="shared" si="30"/>
        <v/>
      </c>
      <c r="AK159" s="31" t="str">
        <f t="shared" si="35"/>
        <v/>
      </c>
      <c r="AN159" s="139" t="str">
        <f>IF($K159="","",VLOOKUP($K159,'ORF Accuracy Value LookUp'!$G$4:$H$104,2,TRUE))</f>
        <v/>
      </c>
      <c r="AO159" s="94" t="str">
        <f t="shared" si="31"/>
        <v/>
      </c>
      <c r="AP159" s="47" t="str">
        <f>IF($U159="","",VLOOKUP($U159,'ORF Accuracy Value LookUp'!$G$4:$H$104,2,TRUE))</f>
        <v/>
      </c>
      <c r="AQ159" s="94" t="str">
        <f t="shared" si="32"/>
        <v/>
      </c>
      <c r="AR159" s="46" t="str">
        <f>IF($AE159="","",VLOOKUP($AE159,'ORF Accuracy Value LookUp'!$G$4:$H$104,2,TRUE))</f>
        <v/>
      </c>
      <c r="AS159" s="140" t="str">
        <f t="shared" si="33"/>
        <v/>
      </c>
    </row>
    <row r="160" spans="1:45">
      <c r="A160" s="10"/>
      <c r="B160" s="9"/>
      <c r="C160" s="9"/>
      <c r="D160" s="9"/>
      <c r="E160" s="10"/>
      <c r="F160" s="11"/>
      <c r="G160" s="15"/>
      <c r="H160" s="88"/>
      <c r="I160" s="24"/>
      <c r="J160" s="24"/>
      <c r="K160" s="114" t="str">
        <f t="shared" si="24"/>
        <v/>
      </c>
      <c r="L160" s="24"/>
      <c r="M160" s="24"/>
      <c r="N160" s="24"/>
      <c r="O160" s="24"/>
      <c r="P160" s="97" t="str">
        <f t="shared" si="25"/>
        <v/>
      </c>
      <c r="Q160" s="113" t="str">
        <f t="shared" si="26"/>
        <v/>
      </c>
      <c r="R160" s="88"/>
      <c r="S160" s="24"/>
      <c r="T160" s="24"/>
      <c r="U160" s="78" t="str">
        <f t="shared" si="27"/>
        <v/>
      </c>
      <c r="V160" s="24"/>
      <c r="W160" s="24"/>
      <c r="X160" s="24"/>
      <c r="Y160" s="24"/>
      <c r="Z160" s="98" t="str">
        <f t="shared" si="28"/>
        <v/>
      </c>
      <c r="AA160" s="40" t="str">
        <f t="shared" si="34"/>
        <v/>
      </c>
      <c r="AB160" s="88"/>
      <c r="AC160" s="24"/>
      <c r="AD160" s="24"/>
      <c r="AE160" s="79" t="str">
        <f t="shared" si="29"/>
        <v/>
      </c>
      <c r="AF160" s="24"/>
      <c r="AG160" s="24"/>
      <c r="AH160" s="24"/>
      <c r="AI160" s="24"/>
      <c r="AJ160" s="99" t="str">
        <f t="shared" si="30"/>
        <v/>
      </c>
      <c r="AK160" s="31" t="str">
        <f t="shared" si="35"/>
        <v/>
      </c>
      <c r="AN160" s="139" t="str">
        <f>IF($K160="","",VLOOKUP($K160,'ORF Accuracy Value LookUp'!$G$4:$H$104,2,TRUE))</f>
        <v/>
      </c>
      <c r="AO160" s="94" t="str">
        <f t="shared" si="31"/>
        <v/>
      </c>
      <c r="AP160" s="47" t="str">
        <f>IF($U160="","",VLOOKUP($U160,'ORF Accuracy Value LookUp'!$G$4:$H$104,2,TRUE))</f>
        <v/>
      </c>
      <c r="AQ160" s="94" t="str">
        <f t="shared" si="32"/>
        <v/>
      </c>
      <c r="AR160" s="46" t="str">
        <f>IF($AE160="","",VLOOKUP($AE160,'ORF Accuracy Value LookUp'!$G$4:$H$104,2,TRUE))</f>
        <v/>
      </c>
      <c r="AS160" s="140" t="str">
        <f t="shared" si="33"/>
        <v/>
      </c>
    </row>
    <row r="161" spans="1:45">
      <c r="A161" s="10"/>
      <c r="B161" s="9"/>
      <c r="C161" s="9"/>
      <c r="D161" s="9"/>
      <c r="E161" s="10"/>
      <c r="F161" s="11"/>
      <c r="G161" s="15"/>
      <c r="H161" s="88"/>
      <c r="I161" s="24"/>
      <c r="J161" s="24"/>
      <c r="K161" s="114" t="str">
        <f t="shared" si="24"/>
        <v/>
      </c>
      <c r="L161" s="24"/>
      <c r="M161" s="24"/>
      <c r="N161" s="24"/>
      <c r="O161" s="24"/>
      <c r="P161" s="97" t="str">
        <f t="shared" si="25"/>
        <v/>
      </c>
      <c r="Q161" s="113" t="str">
        <f t="shared" si="26"/>
        <v/>
      </c>
      <c r="R161" s="88"/>
      <c r="S161" s="24"/>
      <c r="T161" s="24"/>
      <c r="U161" s="78" t="str">
        <f t="shared" si="27"/>
        <v/>
      </c>
      <c r="V161" s="24"/>
      <c r="W161" s="24"/>
      <c r="X161" s="24"/>
      <c r="Y161" s="24"/>
      <c r="Z161" s="98" t="str">
        <f t="shared" si="28"/>
        <v/>
      </c>
      <c r="AA161" s="40" t="str">
        <f t="shared" si="34"/>
        <v/>
      </c>
      <c r="AB161" s="88"/>
      <c r="AC161" s="24"/>
      <c r="AD161" s="24"/>
      <c r="AE161" s="79" t="str">
        <f t="shared" si="29"/>
        <v/>
      </c>
      <c r="AF161" s="24"/>
      <c r="AG161" s="24"/>
      <c r="AH161" s="24"/>
      <c r="AI161" s="24"/>
      <c r="AJ161" s="99" t="str">
        <f t="shared" si="30"/>
        <v/>
      </c>
      <c r="AK161" s="31" t="str">
        <f t="shared" si="35"/>
        <v/>
      </c>
      <c r="AN161" s="139" t="str">
        <f>IF($K161="","",VLOOKUP($K161,'ORF Accuracy Value LookUp'!$G$4:$H$104,2,TRUE))</f>
        <v/>
      </c>
      <c r="AO161" s="94" t="str">
        <f t="shared" si="31"/>
        <v/>
      </c>
      <c r="AP161" s="47" t="str">
        <f>IF($U161="","",VLOOKUP($U161,'ORF Accuracy Value LookUp'!$G$4:$H$104,2,TRUE))</f>
        <v/>
      </c>
      <c r="AQ161" s="94" t="str">
        <f t="shared" si="32"/>
        <v/>
      </c>
      <c r="AR161" s="46" t="str">
        <f>IF($AE161="","",VLOOKUP($AE161,'ORF Accuracy Value LookUp'!$G$4:$H$104,2,TRUE))</f>
        <v/>
      </c>
      <c r="AS161" s="140" t="str">
        <f t="shared" si="33"/>
        <v/>
      </c>
    </row>
    <row r="162" spans="1:45">
      <c r="A162" s="10"/>
      <c r="B162" s="9"/>
      <c r="C162" s="9"/>
      <c r="D162" s="9"/>
      <c r="E162" s="10"/>
      <c r="F162" s="11"/>
      <c r="G162" s="15"/>
      <c r="H162" s="88"/>
      <c r="I162" s="24"/>
      <c r="J162" s="24"/>
      <c r="K162" s="114" t="str">
        <f t="shared" si="24"/>
        <v/>
      </c>
      <c r="L162" s="24"/>
      <c r="M162" s="24"/>
      <c r="N162" s="24"/>
      <c r="O162" s="24"/>
      <c r="P162" s="97" t="str">
        <f t="shared" si="25"/>
        <v/>
      </c>
      <c r="Q162" s="113" t="str">
        <f t="shared" si="26"/>
        <v/>
      </c>
      <c r="R162" s="88"/>
      <c r="S162" s="24"/>
      <c r="T162" s="24"/>
      <c r="U162" s="78" t="str">
        <f t="shared" si="27"/>
        <v/>
      </c>
      <c r="V162" s="24"/>
      <c r="W162" s="24"/>
      <c r="X162" s="24"/>
      <c r="Y162" s="24"/>
      <c r="Z162" s="98" t="str">
        <f t="shared" si="28"/>
        <v/>
      </c>
      <c r="AA162" s="40" t="str">
        <f t="shared" si="34"/>
        <v/>
      </c>
      <c r="AB162" s="88"/>
      <c r="AC162" s="24"/>
      <c r="AD162" s="24"/>
      <c r="AE162" s="79" t="str">
        <f t="shared" si="29"/>
        <v/>
      </c>
      <c r="AF162" s="24"/>
      <c r="AG162" s="24"/>
      <c r="AH162" s="24"/>
      <c r="AI162" s="24"/>
      <c r="AJ162" s="99" t="str">
        <f t="shared" si="30"/>
        <v/>
      </c>
      <c r="AK162" s="31" t="str">
        <f t="shared" si="35"/>
        <v/>
      </c>
      <c r="AN162" s="139" t="str">
        <f>IF($K162="","",VLOOKUP($K162,'ORF Accuracy Value LookUp'!$G$4:$H$104,2,TRUE))</f>
        <v/>
      </c>
      <c r="AO162" s="94" t="str">
        <f t="shared" si="31"/>
        <v/>
      </c>
      <c r="AP162" s="47" t="str">
        <f>IF($U162="","",VLOOKUP($U162,'ORF Accuracy Value LookUp'!$G$4:$H$104,2,TRUE))</f>
        <v/>
      </c>
      <c r="AQ162" s="94" t="str">
        <f t="shared" si="32"/>
        <v/>
      </c>
      <c r="AR162" s="46" t="str">
        <f>IF($AE162="","",VLOOKUP($AE162,'ORF Accuracy Value LookUp'!$G$4:$H$104,2,TRUE))</f>
        <v/>
      </c>
      <c r="AS162" s="140" t="str">
        <f t="shared" si="33"/>
        <v/>
      </c>
    </row>
    <row r="163" spans="1:45">
      <c r="A163" s="10"/>
      <c r="B163" s="9"/>
      <c r="C163" s="9"/>
      <c r="D163" s="9"/>
      <c r="E163" s="10"/>
      <c r="F163" s="11"/>
      <c r="G163" s="15"/>
      <c r="H163" s="88"/>
      <c r="I163" s="24"/>
      <c r="J163" s="24"/>
      <c r="K163" s="114" t="str">
        <f t="shared" si="24"/>
        <v/>
      </c>
      <c r="L163" s="24"/>
      <c r="M163" s="24"/>
      <c r="N163" s="24"/>
      <c r="O163" s="24"/>
      <c r="P163" s="97" t="str">
        <f t="shared" si="25"/>
        <v/>
      </c>
      <c r="Q163" s="113" t="str">
        <f t="shared" si="26"/>
        <v/>
      </c>
      <c r="R163" s="88"/>
      <c r="S163" s="24"/>
      <c r="T163" s="24"/>
      <c r="U163" s="78" t="str">
        <f t="shared" si="27"/>
        <v/>
      </c>
      <c r="V163" s="24"/>
      <c r="W163" s="24"/>
      <c r="X163" s="24"/>
      <c r="Y163" s="24"/>
      <c r="Z163" s="98" t="str">
        <f t="shared" si="28"/>
        <v/>
      </c>
      <c r="AA163" s="40" t="str">
        <f t="shared" si="34"/>
        <v/>
      </c>
      <c r="AB163" s="88"/>
      <c r="AC163" s="24"/>
      <c r="AD163" s="24"/>
      <c r="AE163" s="79" t="str">
        <f t="shared" si="29"/>
        <v/>
      </c>
      <c r="AF163" s="24"/>
      <c r="AG163" s="24"/>
      <c r="AH163" s="24"/>
      <c r="AI163" s="24"/>
      <c r="AJ163" s="99" t="str">
        <f t="shared" si="30"/>
        <v/>
      </c>
      <c r="AK163" s="31" t="str">
        <f t="shared" si="35"/>
        <v/>
      </c>
      <c r="AN163" s="139" t="str">
        <f>IF($K163="","",VLOOKUP($K163,'ORF Accuracy Value LookUp'!$G$4:$H$104,2,TRUE))</f>
        <v/>
      </c>
      <c r="AO163" s="94" t="str">
        <f t="shared" si="31"/>
        <v/>
      </c>
      <c r="AP163" s="47" t="str">
        <f>IF($U163="","",VLOOKUP($U163,'ORF Accuracy Value LookUp'!$G$4:$H$104,2,TRUE))</f>
        <v/>
      </c>
      <c r="AQ163" s="94" t="str">
        <f t="shared" si="32"/>
        <v/>
      </c>
      <c r="AR163" s="46" t="str">
        <f>IF($AE163="","",VLOOKUP($AE163,'ORF Accuracy Value LookUp'!$G$4:$H$104,2,TRUE))</f>
        <v/>
      </c>
      <c r="AS163" s="140" t="str">
        <f t="shared" si="33"/>
        <v/>
      </c>
    </row>
    <row r="164" spans="1:45">
      <c r="A164" s="10"/>
      <c r="B164" s="9"/>
      <c r="C164" s="9"/>
      <c r="D164" s="9"/>
      <c r="E164" s="10"/>
      <c r="F164" s="11"/>
      <c r="G164" s="15"/>
      <c r="H164" s="88"/>
      <c r="I164" s="24"/>
      <c r="J164" s="24"/>
      <c r="K164" s="114" t="str">
        <f t="shared" si="24"/>
        <v/>
      </c>
      <c r="L164" s="24"/>
      <c r="M164" s="24"/>
      <c r="N164" s="24"/>
      <c r="O164" s="24"/>
      <c r="P164" s="97" t="str">
        <f t="shared" si="25"/>
        <v/>
      </c>
      <c r="Q164" s="113" t="str">
        <f t="shared" si="26"/>
        <v/>
      </c>
      <c r="R164" s="88"/>
      <c r="S164" s="24"/>
      <c r="T164" s="24"/>
      <c r="U164" s="78" t="str">
        <f t="shared" si="27"/>
        <v/>
      </c>
      <c r="V164" s="24"/>
      <c r="W164" s="24"/>
      <c r="X164" s="24"/>
      <c r="Y164" s="24"/>
      <c r="Z164" s="98" t="str">
        <f t="shared" si="28"/>
        <v/>
      </c>
      <c r="AA164" s="40" t="str">
        <f t="shared" si="34"/>
        <v/>
      </c>
      <c r="AB164" s="88"/>
      <c r="AC164" s="24"/>
      <c r="AD164" s="24"/>
      <c r="AE164" s="79" t="str">
        <f t="shared" si="29"/>
        <v/>
      </c>
      <c r="AF164" s="24"/>
      <c r="AG164" s="24"/>
      <c r="AH164" s="24"/>
      <c r="AI164" s="24"/>
      <c r="AJ164" s="99" t="str">
        <f t="shared" si="30"/>
        <v/>
      </c>
      <c r="AK164" s="31" t="str">
        <f t="shared" si="35"/>
        <v/>
      </c>
      <c r="AN164" s="139" t="str">
        <f>IF($K164="","",VLOOKUP($K164,'ORF Accuracy Value LookUp'!$G$4:$H$104,2,TRUE))</f>
        <v/>
      </c>
      <c r="AO164" s="94" t="str">
        <f t="shared" si="31"/>
        <v/>
      </c>
      <c r="AP164" s="47" t="str">
        <f>IF($U164="","",VLOOKUP($U164,'ORF Accuracy Value LookUp'!$G$4:$H$104,2,TRUE))</f>
        <v/>
      </c>
      <c r="AQ164" s="94" t="str">
        <f t="shared" si="32"/>
        <v/>
      </c>
      <c r="AR164" s="46" t="str">
        <f>IF($AE164="","",VLOOKUP($AE164,'ORF Accuracy Value LookUp'!$G$4:$H$104,2,TRUE))</f>
        <v/>
      </c>
      <c r="AS164" s="140" t="str">
        <f t="shared" si="33"/>
        <v/>
      </c>
    </row>
    <row r="165" spans="1:45">
      <c r="A165" s="10"/>
      <c r="B165" s="9"/>
      <c r="C165" s="9"/>
      <c r="D165" s="9"/>
      <c r="E165" s="10"/>
      <c r="F165" s="11"/>
      <c r="G165" s="15"/>
      <c r="H165" s="88"/>
      <c r="I165" s="24"/>
      <c r="J165" s="24"/>
      <c r="K165" s="114" t="str">
        <f t="shared" si="24"/>
        <v/>
      </c>
      <c r="L165" s="24"/>
      <c r="M165" s="24"/>
      <c r="N165" s="24"/>
      <c r="O165" s="24"/>
      <c r="P165" s="97" t="str">
        <f t="shared" si="25"/>
        <v/>
      </c>
      <c r="Q165" s="113" t="str">
        <f t="shared" si="26"/>
        <v/>
      </c>
      <c r="R165" s="88"/>
      <c r="S165" s="24"/>
      <c r="T165" s="24"/>
      <c r="U165" s="78" t="str">
        <f t="shared" si="27"/>
        <v/>
      </c>
      <c r="V165" s="24"/>
      <c r="W165" s="24"/>
      <c r="X165" s="24"/>
      <c r="Y165" s="24"/>
      <c r="Z165" s="98" t="str">
        <f t="shared" si="28"/>
        <v/>
      </c>
      <c r="AA165" s="40" t="str">
        <f t="shared" si="34"/>
        <v/>
      </c>
      <c r="AB165" s="88"/>
      <c r="AC165" s="24"/>
      <c r="AD165" s="24"/>
      <c r="AE165" s="79" t="str">
        <f t="shared" si="29"/>
        <v/>
      </c>
      <c r="AF165" s="24"/>
      <c r="AG165" s="24"/>
      <c r="AH165" s="24"/>
      <c r="AI165" s="24"/>
      <c r="AJ165" s="99" t="str">
        <f t="shared" si="30"/>
        <v/>
      </c>
      <c r="AK165" s="31" t="str">
        <f t="shared" si="35"/>
        <v/>
      </c>
      <c r="AN165" s="139" t="str">
        <f>IF($K165="","",VLOOKUP($K165,'ORF Accuracy Value LookUp'!$G$4:$H$104,2,TRUE))</f>
        <v/>
      </c>
      <c r="AO165" s="94" t="str">
        <f t="shared" si="31"/>
        <v/>
      </c>
      <c r="AP165" s="47" t="str">
        <f>IF($U165="","",VLOOKUP($U165,'ORF Accuracy Value LookUp'!$G$4:$H$104,2,TRUE))</f>
        <v/>
      </c>
      <c r="AQ165" s="94" t="str">
        <f t="shared" si="32"/>
        <v/>
      </c>
      <c r="AR165" s="46" t="str">
        <f>IF($AE165="","",VLOOKUP($AE165,'ORF Accuracy Value LookUp'!$G$4:$H$104,2,TRUE))</f>
        <v/>
      </c>
      <c r="AS165" s="140" t="str">
        <f t="shared" si="33"/>
        <v/>
      </c>
    </row>
    <row r="166" spans="1:45">
      <c r="A166" s="10"/>
      <c r="B166" s="9"/>
      <c r="C166" s="9"/>
      <c r="D166" s="9"/>
      <c r="E166" s="10"/>
      <c r="F166" s="11"/>
      <c r="G166" s="15"/>
      <c r="H166" s="88"/>
      <c r="I166" s="24"/>
      <c r="J166" s="24"/>
      <c r="K166" s="114" t="str">
        <f t="shared" si="24"/>
        <v/>
      </c>
      <c r="L166" s="24"/>
      <c r="M166" s="24"/>
      <c r="N166" s="24"/>
      <c r="O166" s="24"/>
      <c r="P166" s="97" t="str">
        <f t="shared" si="25"/>
        <v/>
      </c>
      <c r="Q166" s="113" t="str">
        <f t="shared" si="26"/>
        <v/>
      </c>
      <c r="R166" s="88"/>
      <c r="S166" s="24"/>
      <c r="T166" s="24"/>
      <c r="U166" s="78" t="str">
        <f t="shared" si="27"/>
        <v/>
      </c>
      <c r="V166" s="24"/>
      <c r="W166" s="24"/>
      <c r="X166" s="24"/>
      <c r="Y166" s="24"/>
      <c r="Z166" s="98" t="str">
        <f t="shared" si="28"/>
        <v/>
      </c>
      <c r="AA166" s="40" t="str">
        <f t="shared" si="34"/>
        <v/>
      </c>
      <c r="AB166" s="88"/>
      <c r="AC166" s="24"/>
      <c r="AD166" s="24"/>
      <c r="AE166" s="79" t="str">
        <f t="shared" si="29"/>
        <v/>
      </c>
      <c r="AF166" s="24"/>
      <c r="AG166" s="24"/>
      <c r="AH166" s="24"/>
      <c r="AI166" s="24"/>
      <c r="AJ166" s="99" t="str">
        <f t="shared" si="30"/>
        <v/>
      </c>
      <c r="AK166" s="31" t="str">
        <f t="shared" si="35"/>
        <v/>
      </c>
      <c r="AN166" s="139" t="str">
        <f>IF($K166="","",VLOOKUP($K166,'ORF Accuracy Value LookUp'!$G$4:$H$104,2,TRUE))</f>
        <v/>
      </c>
      <c r="AO166" s="94" t="str">
        <f t="shared" si="31"/>
        <v/>
      </c>
      <c r="AP166" s="47" t="str">
        <f>IF($U166="","",VLOOKUP($U166,'ORF Accuracy Value LookUp'!$G$4:$H$104,2,TRUE))</f>
        <v/>
      </c>
      <c r="AQ166" s="94" t="str">
        <f t="shared" si="32"/>
        <v/>
      </c>
      <c r="AR166" s="46" t="str">
        <f>IF($AE166="","",VLOOKUP($AE166,'ORF Accuracy Value LookUp'!$G$4:$H$104,2,TRUE))</f>
        <v/>
      </c>
      <c r="AS166" s="140" t="str">
        <f t="shared" si="33"/>
        <v/>
      </c>
    </row>
    <row r="167" spans="1:45">
      <c r="A167" s="10"/>
      <c r="B167" s="9"/>
      <c r="C167" s="9"/>
      <c r="D167" s="9"/>
      <c r="E167" s="10"/>
      <c r="F167" s="11"/>
      <c r="G167" s="15"/>
      <c r="H167" s="88"/>
      <c r="I167" s="24"/>
      <c r="J167" s="24"/>
      <c r="K167" s="114" t="str">
        <f t="shared" si="24"/>
        <v/>
      </c>
      <c r="L167" s="24"/>
      <c r="M167" s="24"/>
      <c r="N167" s="24"/>
      <c r="O167" s="24"/>
      <c r="P167" s="97" t="str">
        <f t="shared" si="25"/>
        <v/>
      </c>
      <c r="Q167" s="113" t="str">
        <f t="shared" si="26"/>
        <v/>
      </c>
      <c r="R167" s="88"/>
      <c r="S167" s="24"/>
      <c r="T167" s="24"/>
      <c r="U167" s="78" t="str">
        <f t="shared" si="27"/>
        <v/>
      </c>
      <c r="V167" s="24"/>
      <c r="W167" s="24"/>
      <c r="X167" s="24"/>
      <c r="Y167" s="24"/>
      <c r="Z167" s="98" t="str">
        <f t="shared" si="28"/>
        <v/>
      </c>
      <c r="AA167" s="40" t="str">
        <f t="shared" si="34"/>
        <v/>
      </c>
      <c r="AB167" s="88"/>
      <c r="AC167" s="24"/>
      <c r="AD167" s="24"/>
      <c r="AE167" s="79" t="str">
        <f t="shared" si="29"/>
        <v/>
      </c>
      <c r="AF167" s="24"/>
      <c r="AG167" s="24"/>
      <c r="AH167" s="24"/>
      <c r="AI167" s="24"/>
      <c r="AJ167" s="99" t="str">
        <f t="shared" si="30"/>
        <v/>
      </c>
      <c r="AK167" s="31" t="str">
        <f t="shared" si="35"/>
        <v/>
      </c>
      <c r="AN167" s="139" t="str">
        <f>IF($K167="","",VLOOKUP($K167,'ORF Accuracy Value LookUp'!$G$4:$H$104,2,TRUE))</f>
        <v/>
      </c>
      <c r="AO167" s="94" t="str">
        <f t="shared" si="31"/>
        <v/>
      </c>
      <c r="AP167" s="47" t="str">
        <f>IF($U167="","",VLOOKUP($U167,'ORF Accuracy Value LookUp'!$G$4:$H$104,2,TRUE))</f>
        <v/>
      </c>
      <c r="AQ167" s="94" t="str">
        <f t="shared" si="32"/>
        <v/>
      </c>
      <c r="AR167" s="46" t="str">
        <f>IF($AE167="","",VLOOKUP($AE167,'ORF Accuracy Value LookUp'!$G$4:$H$104,2,TRUE))</f>
        <v/>
      </c>
      <c r="AS167" s="140" t="str">
        <f t="shared" si="33"/>
        <v/>
      </c>
    </row>
    <row r="168" spans="1:45">
      <c r="A168" s="10"/>
      <c r="B168" s="9"/>
      <c r="C168" s="9"/>
      <c r="D168" s="9"/>
      <c r="E168" s="10"/>
      <c r="F168" s="11"/>
      <c r="G168" s="15"/>
      <c r="H168" s="88"/>
      <c r="I168" s="24"/>
      <c r="J168" s="24"/>
      <c r="K168" s="114" t="str">
        <f t="shared" si="24"/>
        <v/>
      </c>
      <c r="L168" s="24"/>
      <c r="M168" s="24"/>
      <c r="N168" s="24"/>
      <c r="O168" s="24"/>
      <c r="P168" s="97" t="str">
        <f t="shared" si="25"/>
        <v/>
      </c>
      <c r="Q168" s="113" t="str">
        <f t="shared" si="26"/>
        <v/>
      </c>
      <c r="R168" s="88"/>
      <c r="S168" s="24"/>
      <c r="T168" s="24"/>
      <c r="U168" s="78" t="str">
        <f t="shared" si="27"/>
        <v/>
      </c>
      <c r="V168" s="24"/>
      <c r="W168" s="24"/>
      <c r="X168" s="24"/>
      <c r="Y168" s="24"/>
      <c r="Z168" s="98" t="str">
        <f t="shared" si="28"/>
        <v/>
      </c>
      <c r="AA168" s="40" t="str">
        <f t="shared" si="34"/>
        <v/>
      </c>
      <c r="AB168" s="88"/>
      <c r="AC168" s="24"/>
      <c r="AD168" s="24"/>
      <c r="AE168" s="79" t="str">
        <f t="shared" si="29"/>
        <v/>
      </c>
      <c r="AF168" s="24"/>
      <c r="AG168" s="24"/>
      <c r="AH168" s="24"/>
      <c r="AI168" s="24"/>
      <c r="AJ168" s="99" t="str">
        <f t="shared" si="30"/>
        <v/>
      </c>
      <c r="AK168" s="31" t="str">
        <f t="shared" si="35"/>
        <v/>
      </c>
      <c r="AN168" s="139" t="str">
        <f>IF($K168="","",VLOOKUP($K168,'ORF Accuracy Value LookUp'!$G$4:$H$104,2,TRUE))</f>
        <v/>
      </c>
      <c r="AO168" s="94" t="str">
        <f t="shared" si="31"/>
        <v/>
      </c>
      <c r="AP168" s="47" t="str">
        <f>IF($U168="","",VLOOKUP($U168,'ORF Accuracy Value LookUp'!$G$4:$H$104,2,TRUE))</f>
        <v/>
      </c>
      <c r="AQ168" s="94" t="str">
        <f t="shared" si="32"/>
        <v/>
      </c>
      <c r="AR168" s="46" t="str">
        <f>IF($AE168="","",VLOOKUP($AE168,'ORF Accuracy Value LookUp'!$G$4:$H$104,2,TRUE))</f>
        <v/>
      </c>
      <c r="AS168" s="140" t="str">
        <f t="shared" si="33"/>
        <v/>
      </c>
    </row>
    <row r="169" spans="1:45">
      <c r="A169" s="10"/>
      <c r="B169" s="9"/>
      <c r="C169" s="9"/>
      <c r="D169" s="9"/>
      <c r="E169" s="10"/>
      <c r="F169" s="11"/>
      <c r="G169" s="15"/>
      <c r="H169" s="88"/>
      <c r="I169" s="24"/>
      <c r="J169" s="24"/>
      <c r="K169" s="114" t="str">
        <f t="shared" si="24"/>
        <v/>
      </c>
      <c r="L169" s="24"/>
      <c r="M169" s="24"/>
      <c r="N169" s="24"/>
      <c r="O169" s="24"/>
      <c r="P169" s="97" t="str">
        <f t="shared" si="25"/>
        <v/>
      </c>
      <c r="Q169" s="113" t="str">
        <f t="shared" si="26"/>
        <v/>
      </c>
      <c r="R169" s="88"/>
      <c r="S169" s="24"/>
      <c r="T169" s="24"/>
      <c r="U169" s="78" t="str">
        <f t="shared" si="27"/>
        <v/>
      </c>
      <c r="V169" s="24"/>
      <c r="W169" s="24"/>
      <c r="X169" s="24"/>
      <c r="Y169" s="24"/>
      <c r="Z169" s="98" t="str">
        <f t="shared" si="28"/>
        <v/>
      </c>
      <c r="AA169" s="40" t="str">
        <f t="shared" si="34"/>
        <v/>
      </c>
      <c r="AB169" s="88"/>
      <c r="AC169" s="24"/>
      <c r="AD169" s="24"/>
      <c r="AE169" s="79" t="str">
        <f t="shared" si="29"/>
        <v/>
      </c>
      <c r="AF169" s="24"/>
      <c r="AG169" s="24"/>
      <c r="AH169" s="24"/>
      <c r="AI169" s="24"/>
      <c r="AJ169" s="99" t="str">
        <f t="shared" si="30"/>
        <v/>
      </c>
      <c r="AK169" s="31" t="str">
        <f t="shared" si="35"/>
        <v/>
      </c>
      <c r="AN169" s="139" t="str">
        <f>IF($K169="","",VLOOKUP($K169,'ORF Accuracy Value LookUp'!$G$4:$H$104,2,TRUE))</f>
        <v/>
      </c>
      <c r="AO169" s="94" t="str">
        <f t="shared" si="31"/>
        <v/>
      </c>
      <c r="AP169" s="47" t="str">
        <f>IF($U169="","",VLOOKUP($U169,'ORF Accuracy Value LookUp'!$G$4:$H$104,2,TRUE))</f>
        <v/>
      </c>
      <c r="AQ169" s="94" t="str">
        <f t="shared" si="32"/>
        <v/>
      </c>
      <c r="AR169" s="46" t="str">
        <f>IF($AE169="","",VLOOKUP($AE169,'ORF Accuracy Value LookUp'!$G$4:$H$104,2,TRUE))</f>
        <v/>
      </c>
      <c r="AS169" s="140" t="str">
        <f t="shared" si="33"/>
        <v/>
      </c>
    </row>
    <row r="170" spans="1:45">
      <c r="A170" s="10"/>
      <c r="B170" s="9"/>
      <c r="C170" s="9"/>
      <c r="D170" s="9"/>
      <c r="E170" s="10"/>
      <c r="F170" s="11"/>
      <c r="G170" s="15"/>
      <c r="H170" s="88"/>
      <c r="I170" s="24"/>
      <c r="J170" s="24"/>
      <c r="K170" s="114" t="str">
        <f t="shared" si="24"/>
        <v/>
      </c>
      <c r="L170" s="24"/>
      <c r="M170" s="24"/>
      <c r="N170" s="24"/>
      <c r="O170" s="24"/>
      <c r="P170" s="97" t="str">
        <f t="shared" si="25"/>
        <v/>
      </c>
      <c r="Q170" s="113" t="str">
        <f t="shared" si="26"/>
        <v/>
      </c>
      <c r="R170" s="88"/>
      <c r="S170" s="24"/>
      <c r="T170" s="24"/>
      <c r="U170" s="78" t="str">
        <f t="shared" si="27"/>
        <v/>
      </c>
      <c r="V170" s="24"/>
      <c r="W170" s="24"/>
      <c r="X170" s="24"/>
      <c r="Y170" s="24"/>
      <c r="Z170" s="98" t="str">
        <f t="shared" si="28"/>
        <v/>
      </c>
      <c r="AA170" s="40" t="str">
        <f t="shared" si="34"/>
        <v/>
      </c>
      <c r="AB170" s="88"/>
      <c r="AC170" s="24"/>
      <c r="AD170" s="24"/>
      <c r="AE170" s="79" t="str">
        <f t="shared" si="29"/>
        <v/>
      </c>
      <c r="AF170" s="24"/>
      <c r="AG170" s="24"/>
      <c r="AH170" s="24"/>
      <c r="AI170" s="24"/>
      <c r="AJ170" s="99" t="str">
        <f t="shared" si="30"/>
        <v/>
      </c>
      <c r="AK170" s="31" t="str">
        <f t="shared" si="35"/>
        <v/>
      </c>
      <c r="AN170" s="139" t="str">
        <f>IF($K170="","",VLOOKUP($K170,'ORF Accuracy Value LookUp'!$G$4:$H$104,2,TRUE))</f>
        <v/>
      </c>
      <c r="AO170" s="94" t="str">
        <f t="shared" si="31"/>
        <v/>
      </c>
      <c r="AP170" s="47" t="str">
        <f>IF($U170="","",VLOOKUP($U170,'ORF Accuracy Value LookUp'!$G$4:$H$104,2,TRUE))</f>
        <v/>
      </c>
      <c r="AQ170" s="94" t="str">
        <f t="shared" si="32"/>
        <v/>
      </c>
      <c r="AR170" s="46" t="str">
        <f>IF($AE170="","",VLOOKUP($AE170,'ORF Accuracy Value LookUp'!$G$4:$H$104,2,TRUE))</f>
        <v/>
      </c>
      <c r="AS170" s="140" t="str">
        <f t="shared" si="33"/>
        <v/>
      </c>
    </row>
    <row r="171" spans="1:45">
      <c r="A171" s="10"/>
      <c r="B171" s="9"/>
      <c r="C171" s="9"/>
      <c r="D171" s="9"/>
      <c r="E171" s="10"/>
      <c r="F171" s="11"/>
      <c r="G171" s="15"/>
      <c r="H171" s="88"/>
      <c r="I171" s="24"/>
      <c r="J171" s="24"/>
      <c r="K171" s="114" t="str">
        <f t="shared" si="24"/>
        <v/>
      </c>
      <c r="L171" s="24"/>
      <c r="M171" s="24"/>
      <c r="N171" s="24"/>
      <c r="O171" s="24"/>
      <c r="P171" s="97" t="str">
        <f t="shared" si="25"/>
        <v/>
      </c>
      <c r="Q171" s="113" t="str">
        <f t="shared" si="26"/>
        <v/>
      </c>
      <c r="R171" s="88"/>
      <c r="S171" s="24"/>
      <c r="T171" s="24"/>
      <c r="U171" s="78" t="str">
        <f t="shared" si="27"/>
        <v/>
      </c>
      <c r="V171" s="24"/>
      <c r="W171" s="24"/>
      <c r="X171" s="24"/>
      <c r="Y171" s="24"/>
      <c r="Z171" s="98" t="str">
        <f t="shared" si="28"/>
        <v/>
      </c>
      <c r="AA171" s="40" t="str">
        <f t="shared" si="34"/>
        <v/>
      </c>
      <c r="AB171" s="88"/>
      <c r="AC171" s="24"/>
      <c r="AD171" s="24"/>
      <c r="AE171" s="79" t="str">
        <f t="shared" si="29"/>
        <v/>
      </c>
      <c r="AF171" s="24"/>
      <c r="AG171" s="24"/>
      <c r="AH171" s="24"/>
      <c r="AI171" s="24"/>
      <c r="AJ171" s="99" t="str">
        <f t="shared" si="30"/>
        <v/>
      </c>
      <c r="AK171" s="31" t="str">
        <f t="shared" si="35"/>
        <v/>
      </c>
      <c r="AN171" s="139" t="str">
        <f>IF($K171="","",VLOOKUP($K171,'ORF Accuracy Value LookUp'!$G$4:$H$104,2,TRUE))</f>
        <v/>
      </c>
      <c r="AO171" s="94" t="str">
        <f t="shared" si="31"/>
        <v/>
      </c>
      <c r="AP171" s="47" t="str">
        <f>IF($U171="","",VLOOKUP($U171,'ORF Accuracy Value LookUp'!$G$4:$H$104,2,TRUE))</f>
        <v/>
      </c>
      <c r="AQ171" s="94" t="str">
        <f t="shared" si="32"/>
        <v/>
      </c>
      <c r="AR171" s="46" t="str">
        <f>IF($AE171="","",VLOOKUP($AE171,'ORF Accuracy Value LookUp'!$G$4:$H$104,2,TRUE))</f>
        <v/>
      </c>
      <c r="AS171" s="140" t="str">
        <f t="shared" si="33"/>
        <v/>
      </c>
    </row>
    <row r="172" spans="1:45">
      <c r="A172" s="10"/>
      <c r="B172" s="9"/>
      <c r="C172" s="9"/>
      <c r="D172" s="9"/>
      <c r="E172" s="10"/>
      <c r="F172" s="11"/>
      <c r="G172" s="15"/>
      <c r="H172" s="88"/>
      <c r="I172" s="24"/>
      <c r="J172" s="24"/>
      <c r="K172" s="114" t="str">
        <f t="shared" si="24"/>
        <v/>
      </c>
      <c r="L172" s="24"/>
      <c r="M172" s="24"/>
      <c r="N172" s="24"/>
      <c r="O172" s="24"/>
      <c r="P172" s="97" t="str">
        <f t="shared" si="25"/>
        <v/>
      </c>
      <c r="Q172" s="113" t="str">
        <f t="shared" si="26"/>
        <v/>
      </c>
      <c r="R172" s="88"/>
      <c r="S172" s="24"/>
      <c r="T172" s="24"/>
      <c r="U172" s="78" t="str">
        <f t="shared" si="27"/>
        <v/>
      </c>
      <c r="V172" s="24"/>
      <c r="W172" s="24"/>
      <c r="X172" s="24"/>
      <c r="Y172" s="24"/>
      <c r="Z172" s="98" t="str">
        <f t="shared" si="28"/>
        <v/>
      </c>
      <c r="AA172" s="40" t="str">
        <f t="shared" si="34"/>
        <v/>
      </c>
      <c r="AB172" s="88"/>
      <c r="AC172" s="24"/>
      <c r="AD172" s="24"/>
      <c r="AE172" s="79" t="str">
        <f t="shared" si="29"/>
        <v/>
      </c>
      <c r="AF172" s="24"/>
      <c r="AG172" s="24"/>
      <c r="AH172" s="24"/>
      <c r="AI172" s="24"/>
      <c r="AJ172" s="99" t="str">
        <f t="shared" si="30"/>
        <v/>
      </c>
      <c r="AK172" s="31" t="str">
        <f t="shared" si="35"/>
        <v/>
      </c>
      <c r="AN172" s="139" t="str">
        <f>IF($K172="","",VLOOKUP($K172,'ORF Accuracy Value LookUp'!$G$4:$H$104,2,TRUE))</f>
        <v/>
      </c>
      <c r="AO172" s="94" t="str">
        <f t="shared" si="31"/>
        <v/>
      </c>
      <c r="AP172" s="47" t="str">
        <f>IF($U172="","",VLOOKUP($U172,'ORF Accuracy Value LookUp'!$G$4:$H$104,2,TRUE))</f>
        <v/>
      </c>
      <c r="AQ172" s="94" t="str">
        <f t="shared" si="32"/>
        <v/>
      </c>
      <c r="AR172" s="46" t="str">
        <f>IF($AE172="","",VLOOKUP($AE172,'ORF Accuracy Value LookUp'!$G$4:$H$104,2,TRUE))</f>
        <v/>
      </c>
      <c r="AS172" s="140" t="str">
        <f t="shared" si="33"/>
        <v/>
      </c>
    </row>
    <row r="173" spans="1:45">
      <c r="A173" s="10"/>
      <c r="B173" s="9"/>
      <c r="C173" s="9"/>
      <c r="D173" s="9"/>
      <c r="E173" s="10"/>
      <c r="F173" s="11"/>
      <c r="G173" s="15"/>
      <c r="H173" s="88"/>
      <c r="I173" s="24"/>
      <c r="J173" s="24"/>
      <c r="K173" s="114" t="str">
        <f t="shared" si="24"/>
        <v/>
      </c>
      <c r="L173" s="24"/>
      <c r="M173" s="24"/>
      <c r="N173" s="24"/>
      <c r="O173" s="24"/>
      <c r="P173" s="97" t="str">
        <f t="shared" si="25"/>
        <v/>
      </c>
      <c r="Q173" s="113" t="str">
        <f t="shared" si="26"/>
        <v/>
      </c>
      <c r="R173" s="88"/>
      <c r="S173" s="24"/>
      <c r="T173" s="24"/>
      <c r="U173" s="78" t="str">
        <f t="shared" si="27"/>
        <v/>
      </c>
      <c r="V173" s="24"/>
      <c r="W173" s="24"/>
      <c r="X173" s="24"/>
      <c r="Y173" s="24"/>
      <c r="Z173" s="98" t="str">
        <f t="shared" si="28"/>
        <v/>
      </c>
      <c r="AA173" s="40" t="str">
        <f t="shared" si="34"/>
        <v/>
      </c>
      <c r="AB173" s="88"/>
      <c r="AC173" s="24"/>
      <c r="AD173" s="24"/>
      <c r="AE173" s="79" t="str">
        <f t="shared" si="29"/>
        <v/>
      </c>
      <c r="AF173" s="24"/>
      <c r="AG173" s="24"/>
      <c r="AH173" s="24"/>
      <c r="AI173" s="24"/>
      <c r="AJ173" s="99" t="str">
        <f t="shared" si="30"/>
        <v/>
      </c>
      <c r="AK173" s="31" t="str">
        <f t="shared" si="35"/>
        <v/>
      </c>
      <c r="AN173" s="139" t="str">
        <f>IF($K173="","",VLOOKUP($K173,'ORF Accuracy Value LookUp'!$G$4:$H$104,2,TRUE))</f>
        <v/>
      </c>
      <c r="AO173" s="94" t="str">
        <f t="shared" si="31"/>
        <v/>
      </c>
      <c r="AP173" s="47" t="str">
        <f>IF($U173="","",VLOOKUP($U173,'ORF Accuracy Value LookUp'!$G$4:$H$104,2,TRUE))</f>
        <v/>
      </c>
      <c r="AQ173" s="94" t="str">
        <f t="shared" si="32"/>
        <v/>
      </c>
      <c r="AR173" s="46" t="str">
        <f>IF($AE173="","",VLOOKUP($AE173,'ORF Accuracy Value LookUp'!$G$4:$H$104,2,TRUE))</f>
        <v/>
      </c>
      <c r="AS173" s="140" t="str">
        <f t="shared" si="33"/>
        <v/>
      </c>
    </row>
    <row r="174" spans="1:45">
      <c r="A174" s="10"/>
      <c r="B174" s="9"/>
      <c r="C174" s="9"/>
      <c r="D174" s="9"/>
      <c r="E174" s="10"/>
      <c r="F174" s="11"/>
      <c r="G174" s="15"/>
      <c r="H174" s="88"/>
      <c r="I174" s="24"/>
      <c r="J174" s="24"/>
      <c r="K174" s="114" t="str">
        <f t="shared" si="24"/>
        <v/>
      </c>
      <c r="L174" s="24"/>
      <c r="M174" s="24"/>
      <c r="N174" s="24"/>
      <c r="O174" s="24"/>
      <c r="P174" s="97" t="str">
        <f t="shared" si="25"/>
        <v/>
      </c>
      <c r="Q174" s="113" t="str">
        <f t="shared" si="26"/>
        <v/>
      </c>
      <c r="R174" s="88"/>
      <c r="S174" s="24"/>
      <c r="T174" s="24"/>
      <c r="U174" s="78" t="str">
        <f t="shared" si="27"/>
        <v/>
      </c>
      <c r="V174" s="24"/>
      <c r="W174" s="24"/>
      <c r="X174" s="24"/>
      <c r="Y174" s="24"/>
      <c r="Z174" s="98" t="str">
        <f t="shared" si="28"/>
        <v/>
      </c>
      <c r="AA174" s="40" t="str">
        <f t="shared" si="34"/>
        <v/>
      </c>
      <c r="AB174" s="88"/>
      <c r="AC174" s="24"/>
      <c r="AD174" s="24"/>
      <c r="AE174" s="79" t="str">
        <f t="shared" si="29"/>
        <v/>
      </c>
      <c r="AF174" s="24"/>
      <c r="AG174" s="24"/>
      <c r="AH174" s="24"/>
      <c r="AI174" s="24"/>
      <c r="AJ174" s="99" t="str">
        <f t="shared" si="30"/>
        <v/>
      </c>
      <c r="AK174" s="31" t="str">
        <f t="shared" si="35"/>
        <v/>
      </c>
      <c r="AN174" s="139" t="str">
        <f>IF($K174="","",VLOOKUP($K174,'ORF Accuracy Value LookUp'!$G$4:$H$104,2,TRUE))</f>
        <v/>
      </c>
      <c r="AO174" s="94" t="str">
        <f t="shared" si="31"/>
        <v/>
      </c>
      <c r="AP174" s="47" t="str">
        <f>IF($U174="","",VLOOKUP($U174,'ORF Accuracy Value LookUp'!$G$4:$H$104,2,TRUE))</f>
        <v/>
      </c>
      <c r="AQ174" s="94" t="str">
        <f t="shared" si="32"/>
        <v/>
      </c>
      <c r="AR174" s="46" t="str">
        <f>IF($AE174="","",VLOOKUP($AE174,'ORF Accuracy Value LookUp'!$G$4:$H$104,2,TRUE))</f>
        <v/>
      </c>
      <c r="AS174" s="140" t="str">
        <f t="shared" si="33"/>
        <v/>
      </c>
    </row>
    <row r="175" spans="1:45">
      <c r="A175" s="10"/>
      <c r="B175" s="9"/>
      <c r="C175" s="9"/>
      <c r="D175" s="9"/>
      <c r="E175" s="10"/>
      <c r="F175" s="11"/>
      <c r="G175" s="15"/>
      <c r="H175" s="88"/>
      <c r="I175" s="24"/>
      <c r="J175" s="24"/>
      <c r="K175" s="114" t="str">
        <f t="shared" si="24"/>
        <v/>
      </c>
      <c r="L175" s="24"/>
      <c r="M175" s="24"/>
      <c r="N175" s="24"/>
      <c r="O175" s="24"/>
      <c r="P175" s="97" t="str">
        <f t="shared" si="25"/>
        <v/>
      </c>
      <c r="Q175" s="113" t="str">
        <f t="shared" si="26"/>
        <v/>
      </c>
      <c r="R175" s="88"/>
      <c r="S175" s="24"/>
      <c r="T175" s="24"/>
      <c r="U175" s="78" t="str">
        <f t="shared" si="27"/>
        <v/>
      </c>
      <c r="V175" s="24"/>
      <c r="W175" s="24"/>
      <c r="X175" s="24"/>
      <c r="Y175" s="24"/>
      <c r="Z175" s="98" t="str">
        <f t="shared" si="28"/>
        <v/>
      </c>
      <c r="AA175" s="40" t="str">
        <f t="shared" si="34"/>
        <v/>
      </c>
      <c r="AB175" s="88"/>
      <c r="AC175" s="24"/>
      <c r="AD175" s="24"/>
      <c r="AE175" s="79" t="str">
        <f t="shared" si="29"/>
        <v/>
      </c>
      <c r="AF175" s="24"/>
      <c r="AG175" s="24"/>
      <c r="AH175" s="24"/>
      <c r="AI175" s="24"/>
      <c r="AJ175" s="99" t="str">
        <f t="shared" si="30"/>
        <v/>
      </c>
      <c r="AK175" s="31" t="str">
        <f t="shared" si="35"/>
        <v/>
      </c>
      <c r="AN175" s="139" t="str">
        <f>IF($K175="","",VLOOKUP($K175,'ORF Accuracy Value LookUp'!$G$4:$H$104,2,TRUE))</f>
        <v/>
      </c>
      <c r="AO175" s="94" t="str">
        <f t="shared" si="31"/>
        <v/>
      </c>
      <c r="AP175" s="47" t="str">
        <f>IF($U175="","",VLOOKUP($U175,'ORF Accuracy Value LookUp'!$G$4:$H$104,2,TRUE))</f>
        <v/>
      </c>
      <c r="AQ175" s="94" t="str">
        <f t="shared" si="32"/>
        <v/>
      </c>
      <c r="AR175" s="46" t="str">
        <f>IF($AE175="","",VLOOKUP($AE175,'ORF Accuracy Value LookUp'!$G$4:$H$104,2,TRUE))</f>
        <v/>
      </c>
      <c r="AS175" s="140" t="str">
        <f t="shared" si="33"/>
        <v/>
      </c>
    </row>
    <row r="176" spans="1:45">
      <c r="A176" s="10"/>
      <c r="B176" s="9"/>
      <c r="C176" s="9"/>
      <c r="D176" s="9"/>
      <c r="E176" s="10"/>
      <c r="F176" s="11"/>
      <c r="G176" s="15"/>
      <c r="H176" s="88"/>
      <c r="I176" s="24"/>
      <c r="J176" s="24"/>
      <c r="K176" s="114" t="str">
        <f t="shared" si="24"/>
        <v/>
      </c>
      <c r="L176" s="24"/>
      <c r="M176" s="24"/>
      <c r="N176" s="24"/>
      <c r="O176" s="24"/>
      <c r="P176" s="97" t="str">
        <f t="shared" si="25"/>
        <v/>
      </c>
      <c r="Q176" s="113" t="str">
        <f t="shared" si="26"/>
        <v/>
      </c>
      <c r="R176" s="88"/>
      <c r="S176" s="24"/>
      <c r="T176" s="24"/>
      <c r="U176" s="78" t="str">
        <f t="shared" si="27"/>
        <v/>
      </c>
      <c r="V176" s="24"/>
      <c r="W176" s="24"/>
      <c r="X176" s="24"/>
      <c r="Y176" s="24"/>
      <c r="Z176" s="98" t="str">
        <f t="shared" si="28"/>
        <v/>
      </c>
      <c r="AA176" s="40" t="str">
        <f t="shared" si="34"/>
        <v/>
      </c>
      <c r="AB176" s="88"/>
      <c r="AC176" s="24"/>
      <c r="AD176" s="24"/>
      <c r="AE176" s="79" t="str">
        <f t="shared" si="29"/>
        <v/>
      </c>
      <c r="AF176" s="24"/>
      <c r="AG176" s="24"/>
      <c r="AH176" s="24"/>
      <c r="AI176" s="24"/>
      <c r="AJ176" s="99" t="str">
        <f t="shared" si="30"/>
        <v/>
      </c>
      <c r="AK176" s="31" t="str">
        <f t="shared" si="35"/>
        <v/>
      </c>
      <c r="AN176" s="139" t="str">
        <f>IF($K176="","",VLOOKUP($K176,'ORF Accuracy Value LookUp'!$G$4:$H$104,2,TRUE))</f>
        <v/>
      </c>
      <c r="AO176" s="94" t="str">
        <f t="shared" si="31"/>
        <v/>
      </c>
      <c r="AP176" s="47" t="str">
        <f>IF($U176="","",VLOOKUP($U176,'ORF Accuracy Value LookUp'!$G$4:$H$104,2,TRUE))</f>
        <v/>
      </c>
      <c r="AQ176" s="94" t="str">
        <f t="shared" si="32"/>
        <v/>
      </c>
      <c r="AR176" s="46" t="str">
        <f>IF($AE176="","",VLOOKUP($AE176,'ORF Accuracy Value LookUp'!$G$4:$H$104,2,TRUE))</f>
        <v/>
      </c>
      <c r="AS176" s="140" t="str">
        <f t="shared" si="33"/>
        <v/>
      </c>
    </row>
    <row r="177" spans="1:45">
      <c r="A177" s="10"/>
      <c r="B177" s="9"/>
      <c r="C177" s="9"/>
      <c r="D177" s="9"/>
      <c r="E177" s="10"/>
      <c r="F177" s="11"/>
      <c r="G177" s="15"/>
      <c r="H177" s="88"/>
      <c r="I177" s="24"/>
      <c r="J177" s="24"/>
      <c r="K177" s="114" t="str">
        <f t="shared" si="24"/>
        <v/>
      </c>
      <c r="L177" s="24"/>
      <c r="M177" s="24"/>
      <c r="N177" s="24"/>
      <c r="O177" s="24"/>
      <c r="P177" s="97" t="str">
        <f t="shared" si="25"/>
        <v/>
      </c>
      <c r="Q177" s="113" t="str">
        <f t="shared" si="26"/>
        <v/>
      </c>
      <c r="R177" s="88"/>
      <c r="S177" s="24"/>
      <c r="T177" s="24"/>
      <c r="U177" s="78" t="str">
        <f t="shared" si="27"/>
        <v/>
      </c>
      <c r="V177" s="24"/>
      <c r="W177" s="24"/>
      <c r="X177" s="24"/>
      <c r="Y177" s="24"/>
      <c r="Z177" s="98" t="str">
        <f t="shared" si="28"/>
        <v/>
      </c>
      <c r="AA177" s="40" t="str">
        <f t="shared" si="34"/>
        <v/>
      </c>
      <c r="AB177" s="88"/>
      <c r="AC177" s="24"/>
      <c r="AD177" s="24"/>
      <c r="AE177" s="79" t="str">
        <f t="shared" si="29"/>
        <v/>
      </c>
      <c r="AF177" s="24"/>
      <c r="AG177" s="24"/>
      <c r="AH177" s="24"/>
      <c r="AI177" s="24"/>
      <c r="AJ177" s="99" t="str">
        <f t="shared" si="30"/>
        <v/>
      </c>
      <c r="AK177" s="31" t="str">
        <f t="shared" si="35"/>
        <v/>
      </c>
      <c r="AN177" s="139" t="str">
        <f>IF($K177="","",VLOOKUP($K177,'ORF Accuracy Value LookUp'!$G$4:$H$104,2,TRUE))</f>
        <v/>
      </c>
      <c r="AO177" s="94" t="str">
        <f t="shared" si="31"/>
        <v/>
      </c>
      <c r="AP177" s="47" t="str">
        <f>IF($U177="","",VLOOKUP($U177,'ORF Accuracy Value LookUp'!$G$4:$H$104,2,TRUE))</f>
        <v/>
      </c>
      <c r="AQ177" s="94" t="str">
        <f t="shared" si="32"/>
        <v/>
      </c>
      <c r="AR177" s="46" t="str">
        <f>IF($AE177="","",VLOOKUP($AE177,'ORF Accuracy Value LookUp'!$G$4:$H$104,2,TRUE))</f>
        <v/>
      </c>
      <c r="AS177" s="140" t="str">
        <f t="shared" si="33"/>
        <v/>
      </c>
    </row>
    <row r="178" spans="1:45">
      <c r="A178" s="10"/>
      <c r="B178" s="9"/>
      <c r="C178" s="9"/>
      <c r="D178" s="9"/>
      <c r="E178" s="10"/>
      <c r="F178" s="11"/>
      <c r="G178" s="15"/>
      <c r="H178" s="88"/>
      <c r="I178" s="24"/>
      <c r="J178" s="24"/>
      <c r="K178" s="114" t="str">
        <f t="shared" si="24"/>
        <v/>
      </c>
      <c r="L178" s="24"/>
      <c r="M178" s="24"/>
      <c r="N178" s="24"/>
      <c r="O178" s="24"/>
      <c r="P178" s="97" t="str">
        <f t="shared" si="25"/>
        <v/>
      </c>
      <c r="Q178" s="113" t="str">
        <f t="shared" si="26"/>
        <v/>
      </c>
      <c r="R178" s="88"/>
      <c r="S178" s="24"/>
      <c r="T178" s="24"/>
      <c r="U178" s="78" t="str">
        <f t="shared" si="27"/>
        <v/>
      </c>
      <c r="V178" s="24"/>
      <c r="W178" s="24"/>
      <c r="X178" s="24"/>
      <c r="Y178" s="24"/>
      <c r="Z178" s="98" t="str">
        <f t="shared" si="28"/>
        <v/>
      </c>
      <c r="AA178" s="40" t="str">
        <f t="shared" si="34"/>
        <v/>
      </c>
      <c r="AB178" s="88"/>
      <c r="AC178" s="24"/>
      <c r="AD178" s="24"/>
      <c r="AE178" s="79" t="str">
        <f t="shared" si="29"/>
        <v/>
      </c>
      <c r="AF178" s="24"/>
      <c r="AG178" s="24"/>
      <c r="AH178" s="24"/>
      <c r="AI178" s="24"/>
      <c r="AJ178" s="99" t="str">
        <f t="shared" si="30"/>
        <v/>
      </c>
      <c r="AK178" s="31" t="str">
        <f t="shared" si="35"/>
        <v/>
      </c>
      <c r="AN178" s="139" t="str">
        <f>IF($K178="","",VLOOKUP($K178,'ORF Accuracy Value LookUp'!$G$4:$H$104,2,TRUE))</f>
        <v/>
      </c>
      <c r="AO178" s="94" t="str">
        <f t="shared" si="31"/>
        <v/>
      </c>
      <c r="AP178" s="47" t="str">
        <f>IF($U178="","",VLOOKUP($U178,'ORF Accuracy Value LookUp'!$G$4:$H$104,2,TRUE))</f>
        <v/>
      </c>
      <c r="AQ178" s="94" t="str">
        <f t="shared" si="32"/>
        <v/>
      </c>
      <c r="AR178" s="46" t="str">
        <f>IF($AE178="","",VLOOKUP($AE178,'ORF Accuracy Value LookUp'!$G$4:$H$104,2,TRUE))</f>
        <v/>
      </c>
      <c r="AS178" s="140" t="str">
        <f t="shared" si="33"/>
        <v/>
      </c>
    </row>
    <row r="179" spans="1:45">
      <c r="A179" s="10"/>
      <c r="B179" s="9"/>
      <c r="C179" s="9"/>
      <c r="D179" s="9"/>
      <c r="E179" s="10"/>
      <c r="F179" s="11"/>
      <c r="G179" s="15"/>
      <c r="H179" s="88"/>
      <c r="I179" s="24"/>
      <c r="J179" s="24"/>
      <c r="K179" s="114" t="str">
        <f t="shared" si="24"/>
        <v/>
      </c>
      <c r="L179" s="24"/>
      <c r="M179" s="24"/>
      <c r="N179" s="24"/>
      <c r="O179" s="24"/>
      <c r="P179" s="97" t="str">
        <f t="shared" si="25"/>
        <v/>
      </c>
      <c r="Q179" s="113" t="str">
        <f t="shared" si="26"/>
        <v/>
      </c>
      <c r="R179" s="88"/>
      <c r="S179" s="24"/>
      <c r="T179" s="24"/>
      <c r="U179" s="78" t="str">
        <f t="shared" si="27"/>
        <v/>
      </c>
      <c r="V179" s="24"/>
      <c r="W179" s="24"/>
      <c r="X179" s="24"/>
      <c r="Y179" s="24"/>
      <c r="Z179" s="98" t="str">
        <f t="shared" si="28"/>
        <v/>
      </c>
      <c r="AA179" s="40" t="str">
        <f t="shared" si="34"/>
        <v/>
      </c>
      <c r="AB179" s="88"/>
      <c r="AC179" s="24"/>
      <c r="AD179" s="24"/>
      <c r="AE179" s="79" t="str">
        <f t="shared" si="29"/>
        <v/>
      </c>
      <c r="AF179" s="24"/>
      <c r="AG179" s="24"/>
      <c r="AH179" s="24"/>
      <c r="AI179" s="24"/>
      <c r="AJ179" s="99" t="str">
        <f t="shared" si="30"/>
        <v/>
      </c>
      <c r="AK179" s="31" t="str">
        <f t="shared" si="35"/>
        <v/>
      </c>
      <c r="AN179" s="139" t="str">
        <f>IF($K179="","",VLOOKUP($K179,'ORF Accuracy Value LookUp'!$G$4:$H$104,2,TRUE))</f>
        <v/>
      </c>
      <c r="AO179" s="94" t="str">
        <f t="shared" si="31"/>
        <v/>
      </c>
      <c r="AP179" s="47" t="str">
        <f>IF($U179="","",VLOOKUP($U179,'ORF Accuracy Value LookUp'!$G$4:$H$104,2,TRUE))</f>
        <v/>
      </c>
      <c r="AQ179" s="94" t="str">
        <f t="shared" si="32"/>
        <v/>
      </c>
      <c r="AR179" s="46" t="str">
        <f>IF($AE179="","",VLOOKUP($AE179,'ORF Accuracy Value LookUp'!$G$4:$H$104,2,TRUE))</f>
        <v/>
      </c>
      <c r="AS179" s="140" t="str">
        <f t="shared" si="33"/>
        <v/>
      </c>
    </row>
    <row r="180" spans="1:45">
      <c r="A180" s="10"/>
      <c r="B180" s="9"/>
      <c r="C180" s="9"/>
      <c r="D180" s="9"/>
      <c r="E180" s="10"/>
      <c r="F180" s="11"/>
      <c r="G180" s="15"/>
      <c r="H180" s="88"/>
      <c r="I180" s="24"/>
      <c r="J180" s="24"/>
      <c r="K180" s="114" t="str">
        <f t="shared" si="24"/>
        <v/>
      </c>
      <c r="L180" s="24"/>
      <c r="M180" s="24"/>
      <c r="N180" s="24"/>
      <c r="O180" s="24"/>
      <c r="P180" s="97" t="str">
        <f t="shared" si="25"/>
        <v/>
      </c>
      <c r="Q180" s="113" t="str">
        <f t="shared" si="26"/>
        <v/>
      </c>
      <c r="R180" s="88"/>
      <c r="S180" s="24"/>
      <c r="T180" s="24"/>
      <c r="U180" s="78" t="str">
        <f t="shared" si="27"/>
        <v/>
      </c>
      <c r="V180" s="24"/>
      <c r="W180" s="24"/>
      <c r="X180" s="24"/>
      <c r="Y180" s="24"/>
      <c r="Z180" s="98" t="str">
        <f t="shared" si="28"/>
        <v/>
      </c>
      <c r="AA180" s="40" t="str">
        <f t="shared" si="34"/>
        <v/>
      </c>
      <c r="AB180" s="88"/>
      <c r="AC180" s="24"/>
      <c r="AD180" s="24"/>
      <c r="AE180" s="79" t="str">
        <f t="shared" si="29"/>
        <v/>
      </c>
      <c r="AF180" s="24"/>
      <c r="AG180" s="24"/>
      <c r="AH180" s="24"/>
      <c r="AI180" s="24"/>
      <c r="AJ180" s="99" t="str">
        <f t="shared" si="30"/>
        <v/>
      </c>
      <c r="AK180" s="31" t="str">
        <f t="shared" si="35"/>
        <v/>
      </c>
      <c r="AN180" s="139" t="str">
        <f>IF($K180="","",VLOOKUP($K180,'ORF Accuracy Value LookUp'!$G$4:$H$104,2,TRUE))</f>
        <v/>
      </c>
      <c r="AO180" s="94" t="str">
        <f t="shared" si="31"/>
        <v/>
      </c>
      <c r="AP180" s="47" t="str">
        <f>IF($U180="","",VLOOKUP($U180,'ORF Accuracy Value LookUp'!$G$4:$H$104,2,TRUE))</f>
        <v/>
      </c>
      <c r="AQ180" s="94" t="str">
        <f t="shared" si="32"/>
        <v/>
      </c>
      <c r="AR180" s="46" t="str">
        <f>IF($AE180="","",VLOOKUP($AE180,'ORF Accuracy Value LookUp'!$G$4:$H$104,2,TRUE))</f>
        <v/>
      </c>
      <c r="AS180" s="140" t="str">
        <f t="shared" si="33"/>
        <v/>
      </c>
    </row>
    <row r="181" spans="1:45">
      <c r="A181" s="10"/>
      <c r="B181" s="9"/>
      <c r="C181" s="9"/>
      <c r="D181" s="9"/>
      <c r="E181" s="10"/>
      <c r="F181" s="11"/>
      <c r="G181" s="15"/>
      <c r="H181" s="88"/>
      <c r="I181" s="24"/>
      <c r="J181" s="24"/>
      <c r="K181" s="114" t="str">
        <f t="shared" si="24"/>
        <v/>
      </c>
      <c r="L181" s="24"/>
      <c r="M181" s="24"/>
      <c r="N181" s="24"/>
      <c r="O181" s="24"/>
      <c r="P181" s="97" t="str">
        <f t="shared" si="25"/>
        <v/>
      </c>
      <c r="Q181" s="113" t="str">
        <f t="shared" si="26"/>
        <v/>
      </c>
      <c r="R181" s="88"/>
      <c r="S181" s="24"/>
      <c r="T181" s="24"/>
      <c r="U181" s="78" t="str">
        <f t="shared" si="27"/>
        <v/>
      </c>
      <c r="V181" s="24"/>
      <c r="W181" s="24"/>
      <c r="X181" s="24"/>
      <c r="Y181" s="24"/>
      <c r="Z181" s="98" t="str">
        <f t="shared" si="28"/>
        <v/>
      </c>
      <c r="AA181" s="40" t="str">
        <f t="shared" si="34"/>
        <v/>
      </c>
      <c r="AB181" s="88"/>
      <c r="AC181" s="24"/>
      <c r="AD181" s="24"/>
      <c r="AE181" s="79" t="str">
        <f t="shared" si="29"/>
        <v/>
      </c>
      <c r="AF181" s="24"/>
      <c r="AG181" s="24"/>
      <c r="AH181" s="24"/>
      <c r="AI181" s="24"/>
      <c r="AJ181" s="99" t="str">
        <f t="shared" si="30"/>
        <v/>
      </c>
      <c r="AK181" s="31" t="str">
        <f t="shared" si="35"/>
        <v/>
      </c>
      <c r="AN181" s="139" t="str">
        <f>IF($K181="","",VLOOKUP($K181,'ORF Accuracy Value LookUp'!$G$4:$H$104,2,TRUE))</f>
        <v/>
      </c>
      <c r="AO181" s="94" t="str">
        <f t="shared" si="31"/>
        <v/>
      </c>
      <c r="AP181" s="47" t="str">
        <f>IF($U181="","",VLOOKUP($U181,'ORF Accuracy Value LookUp'!$G$4:$H$104,2,TRUE))</f>
        <v/>
      </c>
      <c r="AQ181" s="94" t="str">
        <f t="shared" si="32"/>
        <v/>
      </c>
      <c r="AR181" s="46" t="str">
        <f>IF($AE181="","",VLOOKUP($AE181,'ORF Accuracy Value LookUp'!$G$4:$H$104,2,TRUE))</f>
        <v/>
      </c>
      <c r="AS181" s="140" t="str">
        <f t="shared" si="33"/>
        <v/>
      </c>
    </row>
    <row r="182" spans="1:45">
      <c r="A182" s="10"/>
      <c r="B182" s="9"/>
      <c r="C182" s="9"/>
      <c r="D182" s="9"/>
      <c r="E182" s="10"/>
      <c r="F182" s="11"/>
      <c r="G182" s="15"/>
      <c r="H182" s="88"/>
      <c r="I182" s="24"/>
      <c r="J182" s="24"/>
      <c r="K182" s="114" t="str">
        <f t="shared" si="24"/>
        <v/>
      </c>
      <c r="L182" s="24"/>
      <c r="M182" s="24"/>
      <c r="N182" s="24"/>
      <c r="O182" s="24"/>
      <c r="P182" s="97" t="str">
        <f t="shared" si="25"/>
        <v/>
      </c>
      <c r="Q182" s="113" t="str">
        <f t="shared" si="26"/>
        <v/>
      </c>
      <c r="R182" s="88"/>
      <c r="S182" s="24"/>
      <c r="T182" s="24"/>
      <c r="U182" s="78" t="str">
        <f t="shared" si="27"/>
        <v/>
      </c>
      <c r="V182" s="24"/>
      <c r="W182" s="24"/>
      <c r="X182" s="24"/>
      <c r="Y182" s="24"/>
      <c r="Z182" s="98" t="str">
        <f t="shared" si="28"/>
        <v/>
      </c>
      <c r="AA182" s="40" t="str">
        <f t="shared" si="34"/>
        <v/>
      </c>
      <c r="AB182" s="88"/>
      <c r="AC182" s="24"/>
      <c r="AD182" s="24"/>
      <c r="AE182" s="79" t="str">
        <f t="shared" si="29"/>
        <v/>
      </c>
      <c r="AF182" s="24"/>
      <c r="AG182" s="24"/>
      <c r="AH182" s="24"/>
      <c r="AI182" s="24"/>
      <c r="AJ182" s="99" t="str">
        <f t="shared" si="30"/>
        <v/>
      </c>
      <c r="AK182" s="31" t="str">
        <f t="shared" si="35"/>
        <v/>
      </c>
      <c r="AN182" s="139" t="str">
        <f>IF($K182="","",VLOOKUP($K182,'ORF Accuracy Value LookUp'!$G$4:$H$104,2,TRUE))</f>
        <v/>
      </c>
      <c r="AO182" s="94" t="str">
        <f t="shared" si="31"/>
        <v/>
      </c>
      <c r="AP182" s="47" t="str">
        <f>IF($U182="","",VLOOKUP($U182,'ORF Accuracy Value LookUp'!$G$4:$H$104,2,TRUE))</f>
        <v/>
      </c>
      <c r="AQ182" s="94" t="str">
        <f t="shared" si="32"/>
        <v/>
      </c>
      <c r="AR182" s="46" t="str">
        <f>IF($AE182="","",VLOOKUP($AE182,'ORF Accuracy Value LookUp'!$G$4:$H$104,2,TRUE))</f>
        <v/>
      </c>
      <c r="AS182" s="140" t="str">
        <f t="shared" si="33"/>
        <v/>
      </c>
    </row>
    <row r="183" spans="1:45">
      <c r="A183" s="10"/>
      <c r="B183" s="9"/>
      <c r="C183" s="9"/>
      <c r="D183" s="9"/>
      <c r="E183" s="10"/>
      <c r="F183" s="11"/>
      <c r="G183" s="15"/>
      <c r="H183" s="88"/>
      <c r="I183" s="24"/>
      <c r="J183" s="24"/>
      <c r="K183" s="114" t="str">
        <f t="shared" si="24"/>
        <v/>
      </c>
      <c r="L183" s="24"/>
      <c r="M183" s="24"/>
      <c r="N183" s="24"/>
      <c r="O183" s="24"/>
      <c r="P183" s="97" t="str">
        <f t="shared" si="25"/>
        <v/>
      </c>
      <c r="Q183" s="113" t="str">
        <f t="shared" si="26"/>
        <v/>
      </c>
      <c r="R183" s="88"/>
      <c r="S183" s="24"/>
      <c r="T183" s="24"/>
      <c r="U183" s="78" t="str">
        <f t="shared" si="27"/>
        <v/>
      </c>
      <c r="V183" s="24"/>
      <c r="W183" s="24"/>
      <c r="X183" s="24"/>
      <c r="Y183" s="24"/>
      <c r="Z183" s="98" t="str">
        <f t="shared" si="28"/>
        <v/>
      </c>
      <c r="AA183" s="40" t="str">
        <f t="shared" si="34"/>
        <v/>
      </c>
      <c r="AB183" s="88"/>
      <c r="AC183" s="24"/>
      <c r="AD183" s="24"/>
      <c r="AE183" s="79" t="str">
        <f t="shared" si="29"/>
        <v/>
      </c>
      <c r="AF183" s="24"/>
      <c r="AG183" s="24"/>
      <c r="AH183" s="24"/>
      <c r="AI183" s="24"/>
      <c r="AJ183" s="99" t="str">
        <f t="shared" si="30"/>
        <v/>
      </c>
      <c r="AK183" s="31" t="str">
        <f t="shared" si="35"/>
        <v/>
      </c>
      <c r="AN183" s="139" t="str">
        <f>IF($K183="","",VLOOKUP($K183,'ORF Accuracy Value LookUp'!$G$4:$H$104,2,TRUE))</f>
        <v/>
      </c>
      <c r="AO183" s="94" t="str">
        <f t="shared" si="31"/>
        <v/>
      </c>
      <c r="AP183" s="47" t="str">
        <f>IF($U183="","",VLOOKUP($U183,'ORF Accuracy Value LookUp'!$G$4:$H$104,2,TRUE))</f>
        <v/>
      </c>
      <c r="AQ183" s="94" t="str">
        <f t="shared" si="32"/>
        <v/>
      </c>
      <c r="AR183" s="46" t="str">
        <f>IF($AE183="","",VLOOKUP($AE183,'ORF Accuracy Value LookUp'!$G$4:$H$104,2,TRUE))</f>
        <v/>
      </c>
      <c r="AS183" s="140" t="str">
        <f t="shared" si="33"/>
        <v/>
      </c>
    </row>
    <row r="184" spans="1:45">
      <c r="A184" s="10"/>
      <c r="B184" s="9"/>
      <c r="C184" s="9"/>
      <c r="D184" s="9"/>
      <c r="E184" s="10"/>
      <c r="F184" s="11"/>
      <c r="G184" s="15"/>
      <c r="H184" s="88"/>
      <c r="I184" s="24"/>
      <c r="J184" s="24"/>
      <c r="K184" s="114" t="str">
        <f t="shared" si="24"/>
        <v/>
      </c>
      <c r="L184" s="24"/>
      <c r="M184" s="24"/>
      <c r="N184" s="24"/>
      <c r="O184" s="24"/>
      <c r="P184" s="97" t="str">
        <f t="shared" si="25"/>
        <v/>
      </c>
      <c r="Q184" s="113" t="str">
        <f t="shared" si="26"/>
        <v/>
      </c>
      <c r="R184" s="88"/>
      <c r="S184" s="24"/>
      <c r="T184" s="24"/>
      <c r="U184" s="78" t="str">
        <f t="shared" si="27"/>
        <v/>
      </c>
      <c r="V184" s="24"/>
      <c r="W184" s="24"/>
      <c r="X184" s="24"/>
      <c r="Y184" s="24"/>
      <c r="Z184" s="98" t="str">
        <f t="shared" si="28"/>
        <v/>
      </c>
      <c r="AA184" s="40" t="str">
        <f t="shared" si="34"/>
        <v/>
      </c>
      <c r="AB184" s="88"/>
      <c r="AC184" s="24"/>
      <c r="AD184" s="24"/>
      <c r="AE184" s="79" t="str">
        <f t="shared" si="29"/>
        <v/>
      </c>
      <c r="AF184" s="24"/>
      <c r="AG184" s="24"/>
      <c r="AH184" s="24"/>
      <c r="AI184" s="24"/>
      <c r="AJ184" s="99" t="str">
        <f t="shared" si="30"/>
        <v/>
      </c>
      <c r="AK184" s="31" t="str">
        <f t="shared" si="35"/>
        <v/>
      </c>
      <c r="AN184" s="139" t="str">
        <f>IF($K184="","",VLOOKUP($K184,'ORF Accuracy Value LookUp'!$G$4:$H$104,2,TRUE))</f>
        <v/>
      </c>
      <c r="AO184" s="94" t="str">
        <f t="shared" si="31"/>
        <v/>
      </c>
      <c r="AP184" s="47" t="str">
        <f>IF($U184="","",VLOOKUP($U184,'ORF Accuracy Value LookUp'!$G$4:$H$104,2,TRUE))</f>
        <v/>
      </c>
      <c r="AQ184" s="94" t="str">
        <f t="shared" si="32"/>
        <v/>
      </c>
      <c r="AR184" s="46" t="str">
        <f>IF($AE184="","",VLOOKUP($AE184,'ORF Accuracy Value LookUp'!$G$4:$H$104,2,TRUE))</f>
        <v/>
      </c>
      <c r="AS184" s="140" t="str">
        <f t="shared" si="33"/>
        <v/>
      </c>
    </row>
    <row r="185" spans="1:45">
      <c r="A185" s="10"/>
      <c r="B185" s="9"/>
      <c r="C185" s="9"/>
      <c r="D185" s="9"/>
      <c r="E185" s="10"/>
      <c r="F185" s="11"/>
      <c r="G185" s="15"/>
      <c r="H185" s="88"/>
      <c r="I185" s="24"/>
      <c r="J185" s="24"/>
      <c r="K185" s="114" t="str">
        <f t="shared" si="24"/>
        <v/>
      </c>
      <c r="L185" s="24"/>
      <c r="M185" s="24"/>
      <c r="N185" s="24"/>
      <c r="O185" s="24"/>
      <c r="P185" s="97" t="str">
        <f t="shared" si="25"/>
        <v/>
      </c>
      <c r="Q185" s="113" t="str">
        <f t="shared" si="26"/>
        <v/>
      </c>
      <c r="R185" s="88"/>
      <c r="S185" s="24"/>
      <c r="T185" s="24"/>
      <c r="U185" s="78" t="str">
        <f t="shared" si="27"/>
        <v/>
      </c>
      <c r="V185" s="24"/>
      <c r="W185" s="24"/>
      <c r="X185" s="24"/>
      <c r="Y185" s="24"/>
      <c r="Z185" s="98" t="str">
        <f t="shared" si="28"/>
        <v/>
      </c>
      <c r="AA185" s="40" t="str">
        <f t="shared" si="34"/>
        <v/>
      </c>
      <c r="AB185" s="88"/>
      <c r="AC185" s="24"/>
      <c r="AD185" s="24"/>
      <c r="AE185" s="79" t="str">
        <f t="shared" si="29"/>
        <v/>
      </c>
      <c r="AF185" s="24"/>
      <c r="AG185" s="24"/>
      <c r="AH185" s="24"/>
      <c r="AI185" s="24"/>
      <c r="AJ185" s="99" t="str">
        <f t="shared" si="30"/>
        <v/>
      </c>
      <c r="AK185" s="31" t="str">
        <f t="shared" si="35"/>
        <v/>
      </c>
      <c r="AN185" s="139" t="str">
        <f>IF($K185="","",VLOOKUP($K185,'ORF Accuracy Value LookUp'!$G$4:$H$104,2,TRUE))</f>
        <v/>
      </c>
      <c r="AO185" s="94" t="str">
        <f t="shared" si="31"/>
        <v/>
      </c>
      <c r="AP185" s="47" t="str">
        <f>IF($U185="","",VLOOKUP($U185,'ORF Accuracy Value LookUp'!$G$4:$H$104,2,TRUE))</f>
        <v/>
      </c>
      <c r="AQ185" s="94" t="str">
        <f t="shared" si="32"/>
        <v/>
      </c>
      <c r="AR185" s="46" t="str">
        <f>IF($AE185="","",VLOOKUP($AE185,'ORF Accuracy Value LookUp'!$G$4:$H$104,2,TRUE))</f>
        <v/>
      </c>
      <c r="AS185" s="140" t="str">
        <f t="shared" si="33"/>
        <v/>
      </c>
    </row>
    <row r="186" spans="1:45">
      <c r="A186" s="10"/>
      <c r="B186" s="9"/>
      <c r="C186" s="9"/>
      <c r="D186" s="9"/>
      <c r="E186" s="10"/>
      <c r="F186" s="11"/>
      <c r="G186" s="15"/>
      <c r="H186" s="88"/>
      <c r="I186" s="24"/>
      <c r="J186" s="24"/>
      <c r="K186" s="114" t="str">
        <f t="shared" si="24"/>
        <v/>
      </c>
      <c r="L186" s="24"/>
      <c r="M186" s="24"/>
      <c r="N186" s="24"/>
      <c r="O186" s="24"/>
      <c r="P186" s="97" t="str">
        <f t="shared" si="25"/>
        <v/>
      </c>
      <c r="Q186" s="113" t="str">
        <f t="shared" si="26"/>
        <v/>
      </c>
      <c r="R186" s="88"/>
      <c r="S186" s="24"/>
      <c r="T186" s="24"/>
      <c r="U186" s="78" t="str">
        <f t="shared" si="27"/>
        <v/>
      </c>
      <c r="V186" s="24"/>
      <c r="W186" s="24"/>
      <c r="X186" s="24"/>
      <c r="Y186" s="24"/>
      <c r="Z186" s="98" t="str">
        <f t="shared" si="28"/>
        <v/>
      </c>
      <c r="AA186" s="40" t="str">
        <f t="shared" si="34"/>
        <v/>
      </c>
      <c r="AB186" s="88"/>
      <c r="AC186" s="24"/>
      <c r="AD186" s="24"/>
      <c r="AE186" s="79" t="str">
        <f t="shared" si="29"/>
        <v/>
      </c>
      <c r="AF186" s="24"/>
      <c r="AG186" s="24"/>
      <c r="AH186" s="24"/>
      <c r="AI186" s="24"/>
      <c r="AJ186" s="99" t="str">
        <f t="shared" si="30"/>
        <v/>
      </c>
      <c r="AK186" s="31" t="str">
        <f t="shared" si="35"/>
        <v/>
      </c>
      <c r="AN186" s="139" t="str">
        <f>IF($K186="","",VLOOKUP($K186,'ORF Accuracy Value LookUp'!$G$4:$H$104,2,TRUE))</f>
        <v/>
      </c>
      <c r="AO186" s="94" t="str">
        <f t="shared" si="31"/>
        <v/>
      </c>
      <c r="AP186" s="47" t="str">
        <f>IF($U186="","",VLOOKUP($U186,'ORF Accuracy Value LookUp'!$G$4:$H$104,2,TRUE))</f>
        <v/>
      </c>
      <c r="AQ186" s="94" t="str">
        <f t="shared" si="32"/>
        <v/>
      </c>
      <c r="AR186" s="46" t="str">
        <f>IF($AE186="","",VLOOKUP($AE186,'ORF Accuracy Value LookUp'!$G$4:$H$104,2,TRUE))</f>
        <v/>
      </c>
      <c r="AS186" s="140" t="str">
        <f t="shared" si="33"/>
        <v/>
      </c>
    </row>
    <row r="187" spans="1:45">
      <c r="A187" s="10"/>
      <c r="B187" s="9"/>
      <c r="C187" s="9"/>
      <c r="D187" s="9"/>
      <c r="E187" s="10"/>
      <c r="F187" s="11"/>
      <c r="G187" s="15"/>
      <c r="H187" s="88"/>
      <c r="I187" s="24"/>
      <c r="J187" s="24"/>
      <c r="K187" s="114" t="str">
        <f t="shared" si="24"/>
        <v/>
      </c>
      <c r="L187" s="24"/>
      <c r="M187" s="24"/>
      <c r="N187" s="24"/>
      <c r="O187" s="24"/>
      <c r="P187" s="97" t="str">
        <f t="shared" si="25"/>
        <v/>
      </c>
      <c r="Q187" s="113" t="str">
        <f t="shared" si="26"/>
        <v/>
      </c>
      <c r="R187" s="88"/>
      <c r="S187" s="24"/>
      <c r="T187" s="24"/>
      <c r="U187" s="78" t="str">
        <f t="shared" si="27"/>
        <v/>
      </c>
      <c r="V187" s="24"/>
      <c r="W187" s="24"/>
      <c r="X187" s="24"/>
      <c r="Y187" s="24"/>
      <c r="Z187" s="98" t="str">
        <f t="shared" si="28"/>
        <v/>
      </c>
      <c r="AA187" s="40" t="str">
        <f t="shared" si="34"/>
        <v/>
      </c>
      <c r="AB187" s="88"/>
      <c r="AC187" s="24"/>
      <c r="AD187" s="24"/>
      <c r="AE187" s="79" t="str">
        <f t="shared" si="29"/>
        <v/>
      </c>
      <c r="AF187" s="24"/>
      <c r="AG187" s="24"/>
      <c r="AH187" s="24"/>
      <c r="AI187" s="24"/>
      <c r="AJ187" s="99" t="str">
        <f t="shared" si="30"/>
        <v/>
      </c>
      <c r="AK187" s="31" t="str">
        <f t="shared" si="35"/>
        <v/>
      </c>
      <c r="AN187" s="139" t="str">
        <f>IF($K187="","",VLOOKUP($K187,'ORF Accuracy Value LookUp'!$G$4:$H$104,2,TRUE))</f>
        <v/>
      </c>
      <c r="AO187" s="94" t="str">
        <f t="shared" si="31"/>
        <v/>
      </c>
      <c r="AP187" s="47" t="str">
        <f>IF($U187="","",VLOOKUP($U187,'ORF Accuracy Value LookUp'!$G$4:$H$104,2,TRUE))</f>
        <v/>
      </c>
      <c r="AQ187" s="94" t="str">
        <f t="shared" si="32"/>
        <v/>
      </c>
      <c r="AR187" s="46" t="str">
        <f>IF($AE187="","",VLOOKUP($AE187,'ORF Accuracy Value LookUp'!$G$4:$H$104,2,TRUE))</f>
        <v/>
      </c>
      <c r="AS187" s="140" t="str">
        <f t="shared" si="33"/>
        <v/>
      </c>
    </row>
    <row r="188" spans="1:45">
      <c r="A188" s="10"/>
      <c r="B188" s="9"/>
      <c r="C188" s="9"/>
      <c r="D188" s="9"/>
      <c r="E188" s="10"/>
      <c r="F188" s="11"/>
      <c r="G188" s="15"/>
      <c r="H188" s="88"/>
      <c r="I188" s="24"/>
      <c r="J188" s="24"/>
      <c r="K188" s="114" t="str">
        <f t="shared" si="24"/>
        <v/>
      </c>
      <c r="L188" s="24"/>
      <c r="M188" s="24"/>
      <c r="N188" s="24"/>
      <c r="O188" s="24"/>
      <c r="P188" s="97" t="str">
        <f t="shared" si="25"/>
        <v/>
      </c>
      <c r="Q188" s="113" t="str">
        <f t="shared" si="26"/>
        <v/>
      </c>
      <c r="R188" s="88"/>
      <c r="S188" s="24"/>
      <c r="T188" s="24"/>
      <c r="U188" s="78" t="str">
        <f t="shared" si="27"/>
        <v/>
      </c>
      <c r="V188" s="24"/>
      <c r="W188" s="24"/>
      <c r="X188" s="24"/>
      <c r="Y188" s="24"/>
      <c r="Z188" s="98" t="str">
        <f t="shared" si="28"/>
        <v/>
      </c>
      <c r="AA188" s="40" t="str">
        <f t="shared" si="34"/>
        <v/>
      </c>
      <c r="AB188" s="88"/>
      <c r="AC188" s="24"/>
      <c r="AD188" s="24"/>
      <c r="AE188" s="79" t="str">
        <f t="shared" si="29"/>
        <v/>
      </c>
      <c r="AF188" s="24"/>
      <c r="AG188" s="24"/>
      <c r="AH188" s="24"/>
      <c r="AI188" s="24"/>
      <c r="AJ188" s="99" t="str">
        <f t="shared" si="30"/>
        <v/>
      </c>
      <c r="AK188" s="31" t="str">
        <f t="shared" si="35"/>
        <v/>
      </c>
      <c r="AN188" s="139" t="str">
        <f>IF($K188="","",VLOOKUP($K188,'ORF Accuracy Value LookUp'!$G$4:$H$104,2,TRUE))</f>
        <v/>
      </c>
      <c r="AO188" s="94" t="str">
        <f t="shared" si="31"/>
        <v/>
      </c>
      <c r="AP188" s="47" t="str">
        <f>IF($U188="","",VLOOKUP($U188,'ORF Accuracy Value LookUp'!$G$4:$H$104,2,TRUE))</f>
        <v/>
      </c>
      <c r="AQ188" s="94" t="str">
        <f t="shared" si="32"/>
        <v/>
      </c>
      <c r="AR188" s="46" t="str">
        <f>IF($AE188="","",VLOOKUP($AE188,'ORF Accuracy Value LookUp'!$G$4:$H$104,2,TRUE))</f>
        <v/>
      </c>
      <c r="AS188" s="140" t="str">
        <f t="shared" si="33"/>
        <v/>
      </c>
    </row>
    <row r="189" spans="1:45">
      <c r="A189" s="10"/>
      <c r="B189" s="9"/>
      <c r="C189" s="9"/>
      <c r="D189" s="9"/>
      <c r="E189" s="10"/>
      <c r="F189" s="11"/>
      <c r="G189" s="15"/>
      <c r="H189" s="88"/>
      <c r="I189" s="24"/>
      <c r="J189" s="24"/>
      <c r="K189" s="114" t="str">
        <f t="shared" si="24"/>
        <v/>
      </c>
      <c r="L189" s="24"/>
      <c r="M189" s="24"/>
      <c r="N189" s="24"/>
      <c r="O189" s="24"/>
      <c r="P189" s="97" t="str">
        <f t="shared" si="25"/>
        <v/>
      </c>
      <c r="Q189" s="113" t="str">
        <f t="shared" si="26"/>
        <v/>
      </c>
      <c r="R189" s="88"/>
      <c r="S189" s="24"/>
      <c r="T189" s="24"/>
      <c r="U189" s="78" t="str">
        <f t="shared" si="27"/>
        <v/>
      </c>
      <c r="V189" s="24"/>
      <c r="W189" s="24"/>
      <c r="X189" s="24"/>
      <c r="Y189" s="24"/>
      <c r="Z189" s="98" t="str">
        <f t="shared" si="28"/>
        <v/>
      </c>
      <c r="AA189" s="40" t="str">
        <f t="shared" si="34"/>
        <v/>
      </c>
      <c r="AB189" s="88"/>
      <c r="AC189" s="24"/>
      <c r="AD189" s="24"/>
      <c r="AE189" s="79" t="str">
        <f t="shared" si="29"/>
        <v/>
      </c>
      <c r="AF189" s="24"/>
      <c r="AG189" s="24"/>
      <c r="AH189" s="24"/>
      <c r="AI189" s="24"/>
      <c r="AJ189" s="99" t="str">
        <f t="shared" si="30"/>
        <v/>
      </c>
      <c r="AK189" s="31" t="str">
        <f t="shared" si="35"/>
        <v/>
      </c>
      <c r="AN189" s="139" t="str">
        <f>IF($K189="","",VLOOKUP($K189,'ORF Accuracy Value LookUp'!$G$4:$H$104,2,TRUE))</f>
        <v/>
      </c>
      <c r="AO189" s="94" t="str">
        <f t="shared" si="31"/>
        <v/>
      </c>
      <c r="AP189" s="47" t="str">
        <f>IF($U189="","",VLOOKUP($U189,'ORF Accuracy Value LookUp'!$G$4:$H$104,2,TRUE))</f>
        <v/>
      </c>
      <c r="AQ189" s="94" t="str">
        <f t="shared" si="32"/>
        <v/>
      </c>
      <c r="AR189" s="46" t="str">
        <f>IF($AE189="","",VLOOKUP($AE189,'ORF Accuracy Value LookUp'!$G$4:$H$104,2,TRUE))</f>
        <v/>
      </c>
      <c r="AS189" s="140" t="str">
        <f t="shared" si="33"/>
        <v/>
      </c>
    </row>
    <row r="190" spans="1:45">
      <c r="A190" s="10"/>
      <c r="B190" s="9"/>
      <c r="C190" s="9"/>
      <c r="D190" s="9"/>
      <c r="E190" s="10"/>
      <c r="F190" s="11"/>
      <c r="G190" s="15"/>
      <c r="H190" s="88"/>
      <c r="I190" s="24"/>
      <c r="J190" s="24"/>
      <c r="K190" s="114" t="str">
        <f t="shared" si="24"/>
        <v/>
      </c>
      <c r="L190" s="24"/>
      <c r="M190" s="24"/>
      <c r="N190" s="24"/>
      <c r="O190" s="24"/>
      <c r="P190" s="97" t="str">
        <f t="shared" si="25"/>
        <v/>
      </c>
      <c r="Q190" s="113" t="str">
        <f t="shared" si="26"/>
        <v/>
      </c>
      <c r="R190" s="88"/>
      <c r="S190" s="24"/>
      <c r="T190" s="24"/>
      <c r="U190" s="78" t="str">
        <f t="shared" si="27"/>
        <v/>
      </c>
      <c r="V190" s="24"/>
      <c r="W190" s="24"/>
      <c r="X190" s="24"/>
      <c r="Y190" s="24"/>
      <c r="Z190" s="98" t="str">
        <f t="shared" si="28"/>
        <v/>
      </c>
      <c r="AA190" s="40" t="str">
        <f t="shared" si="34"/>
        <v/>
      </c>
      <c r="AB190" s="88"/>
      <c r="AC190" s="24"/>
      <c r="AD190" s="24"/>
      <c r="AE190" s="79" t="str">
        <f t="shared" si="29"/>
        <v/>
      </c>
      <c r="AF190" s="24"/>
      <c r="AG190" s="24"/>
      <c r="AH190" s="24"/>
      <c r="AI190" s="24"/>
      <c r="AJ190" s="99" t="str">
        <f t="shared" si="30"/>
        <v/>
      </c>
      <c r="AK190" s="31" t="str">
        <f t="shared" si="35"/>
        <v/>
      </c>
      <c r="AN190" s="139" t="str">
        <f>IF($K190="","",VLOOKUP($K190,'ORF Accuracy Value LookUp'!$G$4:$H$104,2,TRUE))</f>
        <v/>
      </c>
      <c r="AO190" s="94" t="str">
        <f t="shared" si="31"/>
        <v/>
      </c>
      <c r="AP190" s="47" t="str">
        <f>IF($U190="","",VLOOKUP($U190,'ORF Accuracy Value LookUp'!$G$4:$H$104,2,TRUE))</f>
        <v/>
      </c>
      <c r="AQ190" s="94" t="str">
        <f t="shared" si="32"/>
        <v/>
      </c>
      <c r="AR190" s="46" t="str">
        <f>IF($AE190="","",VLOOKUP($AE190,'ORF Accuracy Value LookUp'!$G$4:$H$104,2,TRUE))</f>
        <v/>
      </c>
      <c r="AS190" s="140" t="str">
        <f t="shared" si="33"/>
        <v/>
      </c>
    </row>
    <row r="191" spans="1:45">
      <c r="A191" s="10"/>
      <c r="B191" s="9"/>
      <c r="C191" s="9"/>
      <c r="D191" s="9"/>
      <c r="E191" s="10"/>
      <c r="F191" s="11"/>
      <c r="G191" s="15"/>
      <c r="H191" s="88"/>
      <c r="I191" s="24"/>
      <c r="J191" s="24"/>
      <c r="K191" s="114" t="str">
        <f t="shared" si="24"/>
        <v/>
      </c>
      <c r="L191" s="24"/>
      <c r="M191" s="24"/>
      <c r="N191" s="24"/>
      <c r="O191" s="24"/>
      <c r="P191" s="97" t="str">
        <f t="shared" si="25"/>
        <v/>
      </c>
      <c r="Q191" s="113" t="str">
        <f t="shared" si="26"/>
        <v/>
      </c>
      <c r="R191" s="88"/>
      <c r="S191" s="24"/>
      <c r="T191" s="24"/>
      <c r="U191" s="78" t="str">
        <f t="shared" si="27"/>
        <v/>
      </c>
      <c r="V191" s="24"/>
      <c r="W191" s="24"/>
      <c r="X191" s="24"/>
      <c r="Y191" s="24"/>
      <c r="Z191" s="98" t="str">
        <f t="shared" si="28"/>
        <v/>
      </c>
      <c r="AA191" s="40" t="str">
        <f t="shared" si="34"/>
        <v/>
      </c>
      <c r="AB191" s="88"/>
      <c r="AC191" s="24"/>
      <c r="AD191" s="24"/>
      <c r="AE191" s="79" t="str">
        <f t="shared" si="29"/>
        <v/>
      </c>
      <c r="AF191" s="24"/>
      <c r="AG191" s="24"/>
      <c r="AH191" s="24"/>
      <c r="AI191" s="24"/>
      <c r="AJ191" s="99" t="str">
        <f t="shared" si="30"/>
        <v/>
      </c>
      <c r="AK191" s="31" t="str">
        <f t="shared" si="35"/>
        <v/>
      </c>
      <c r="AN191" s="139" t="str">
        <f>IF($K191="","",VLOOKUP($K191,'ORF Accuracy Value LookUp'!$G$4:$H$104,2,TRUE))</f>
        <v/>
      </c>
      <c r="AO191" s="94" t="str">
        <f t="shared" si="31"/>
        <v/>
      </c>
      <c r="AP191" s="47" t="str">
        <f>IF($U191="","",VLOOKUP($U191,'ORF Accuracy Value LookUp'!$G$4:$H$104,2,TRUE))</f>
        <v/>
      </c>
      <c r="AQ191" s="94" t="str">
        <f t="shared" si="32"/>
        <v/>
      </c>
      <c r="AR191" s="46" t="str">
        <f>IF($AE191="","",VLOOKUP($AE191,'ORF Accuracy Value LookUp'!$G$4:$H$104,2,TRUE))</f>
        <v/>
      </c>
      <c r="AS191" s="140" t="str">
        <f t="shared" si="33"/>
        <v/>
      </c>
    </row>
    <row r="192" spans="1:45">
      <c r="A192" s="10"/>
      <c r="B192" s="9"/>
      <c r="C192" s="9"/>
      <c r="D192" s="9"/>
      <c r="E192" s="10"/>
      <c r="F192" s="11"/>
      <c r="G192" s="15"/>
      <c r="H192" s="88"/>
      <c r="I192" s="24"/>
      <c r="J192" s="24"/>
      <c r="K192" s="114" t="str">
        <f t="shared" si="24"/>
        <v/>
      </c>
      <c r="L192" s="24"/>
      <c r="M192" s="24"/>
      <c r="N192" s="24"/>
      <c r="O192" s="24"/>
      <c r="P192" s="97" t="str">
        <f t="shared" si="25"/>
        <v/>
      </c>
      <c r="Q192" s="113" t="str">
        <f t="shared" si="26"/>
        <v/>
      </c>
      <c r="R192" s="88"/>
      <c r="S192" s="24"/>
      <c r="T192" s="24"/>
      <c r="U192" s="78" t="str">
        <f t="shared" si="27"/>
        <v/>
      </c>
      <c r="V192" s="24"/>
      <c r="W192" s="24"/>
      <c r="X192" s="24"/>
      <c r="Y192" s="24"/>
      <c r="Z192" s="98" t="str">
        <f t="shared" si="28"/>
        <v/>
      </c>
      <c r="AA192" s="40" t="str">
        <f t="shared" si="34"/>
        <v/>
      </c>
      <c r="AB192" s="88"/>
      <c r="AC192" s="24"/>
      <c r="AD192" s="24"/>
      <c r="AE192" s="79" t="str">
        <f t="shared" si="29"/>
        <v/>
      </c>
      <c r="AF192" s="24"/>
      <c r="AG192" s="24"/>
      <c r="AH192" s="24"/>
      <c r="AI192" s="24"/>
      <c r="AJ192" s="99" t="str">
        <f t="shared" si="30"/>
        <v/>
      </c>
      <c r="AK192" s="31" t="str">
        <f t="shared" si="35"/>
        <v/>
      </c>
      <c r="AN192" s="139" t="str">
        <f>IF($K192="","",VLOOKUP($K192,'ORF Accuracy Value LookUp'!$G$4:$H$104,2,TRUE))</f>
        <v/>
      </c>
      <c r="AO192" s="94" t="str">
        <f t="shared" si="31"/>
        <v/>
      </c>
      <c r="AP192" s="47" t="str">
        <f>IF($U192="","",VLOOKUP($U192,'ORF Accuracy Value LookUp'!$G$4:$H$104,2,TRUE))</f>
        <v/>
      </c>
      <c r="AQ192" s="94" t="str">
        <f t="shared" si="32"/>
        <v/>
      </c>
      <c r="AR192" s="46" t="str">
        <f>IF($AE192="","",VLOOKUP($AE192,'ORF Accuracy Value LookUp'!$G$4:$H$104,2,TRUE))</f>
        <v/>
      </c>
      <c r="AS192" s="140" t="str">
        <f t="shared" si="33"/>
        <v/>
      </c>
    </row>
    <row r="193" spans="1:45">
      <c r="A193" s="10"/>
      <c r="B193" s="9"/>
      <c r="C193" s="9"/>
      <c r="D193" s="9"/>
      <c r="E193" s="10"/>
      <c r="F193" s="11"/>
      <c r="G193" s="15"/>
      <c r="H193" s="88"/>
      <c r="I193" s="24"/>
      <c r="J193" s="24"/>
      <c r="K193" s="114" t="str">
        <f t="shared" si="24"/>
        <v/>
      </c>
      <c r="L193" s="24"/>
      <c r="M193" s="24"/>
      <c r="N193" s="24"/>
      <c r="O193" s="24"/>
      <c r="P193" s="97" t="str">
        <f t="shared" si="25"/>
        <v/>
      </c>
      <c r="Q193" s="113" t="str">
        <f t="shared" si="26"/>
        <v/>
      </c>
      <c r="R193" s="88"/>
      <c r="S193" s="24"/>
      <c r="T193" s="24"/>
      <c r="U193" s="78" t="str">
        <f t="shared" si="27"/>
        <v/>
      </c>
      <c r="V193" s="24"/>
      <c r="W193" s="24"/>
      <c r="X193" s="24"/>
      <c r="Y193" s="24"/>
      <c r="Z193" s="98" t="str">
        <f t="shared" si="28"/>
        <v/>
      </c>
      <c r="AA193" s="40" t="str">
        <f t="shared" si="34"/>
        <v/>
      </c>
      <c r="AB193" s="88"/>
      <c r="AC193" s="24"/>
      <c r="AD193" s="24"/>
      <c r="AE193" s="79" t="str">
        <f t="shared" si="29"/>
        <v/>
      </c>
      <c r="AF193" s="24"/>
      <c r="AG193" s="24"/>
      <c r="AH193" s="24"/>
      <c r="AI193" s="24"/>
      <c r="AJ193" s="99" t="str">
        <f t="shared" si="30"/>
        <v/>
      </c>
      <c r="AK193" s="31" t="str">
        <f t="shared" si="35"/>
        <v/>
      </c>
      <c r="AN193" s="139" t="str">
        <f>IF($K193="","",VLOOKUP($K193,'ORF Accuracy Value LookUp'!$G$4:$H$104,2,TRUE))</f>
        <v/>
      </c>
      <c r="AO193" s="94" t="str">
        <f t="shared" si="31"/>
        <v/>
      </c>
      <c r="AP193" s="47" t="str">
        <f>IF($U193="","",VLOOKUP($U193,'ORF Accuracy Value LookUp'!$G$4:$H$104,2,TRUE))</f>
        <v/>
      </c>
      <c r="AQ193" s="94" t="str">
        <f t="shared" si="32"/>
        <v/>
      </c>
      <c r="AR193" s="46" t="str">
        <f>IF($AE193="","",VLOOKUP($AE193,'ORF Accuracy Value LookUp'!$G$4:$H$104,2,TRUE))</f>
        <v/>
      </c>
      <c r="AS193" s="140" t="str">
        <f t="shared" si="33"/>
        <v/>
      </c>
    </row>
    <row r="194" spans="1:45">
      <c r="A194" s="10"/>
      <c r="B194" s="9"/>
      <c r="C194" s="9"/>
      <c r="D194" s="9"/>
      <c r="E194" s="10"/>
      <c r="F194" s="11"/>
      <c r="G194" s="15"/>
      <c r="H194" s="88"/>
      <c r="I194" s="24"/>
      <c r="J194" s="24"/>
      <c r="K194" s="114" t="str">
        <f t="shared" si="24"/>
        <v/>
      </c>
      <c r="L194" s="24"/>
      <c r="M194" s="24"/>
      <c r="N194" s="24"/>
      <c r="O194" s="24"/>
      <c r="P194" s="97" t="str">
        <f t="shared" si="25"/>
        <v/>
      </c>
      <c r="Q194" s="113" t="str">
        <f t="shared" si="26"/>
        <v/>
      </c>
      <c r="R194" s="88"/>
      <c r="S194" s="24"/>
      <c r="T194" s="24"/>
      <c r="U194" s="78" t="str">
        <f t="shared" si="27"/>
        <v/>
      </c>
      <c r="V194" s="24"/>
      <c r="W194" s="24"/>
      <c r="X194" s="24"/>
      <c r="Y194" s="24"/>
      <c r="Z194" s="98" t="str">
        <f t="shared" si="28"/>
        <v/>
      </c>
      <c r="AA194" s="40" t="str">
        <f t="shared" si="34"/>
        <v/>
      </c>
      <c r="AB194" s="88"/>
      <c r="AC194" s="24"/>
      <c r="AD194" s="24"/>
      <c r="AE194" s="79" t="str">
        <f t="shared" si="29"/>
        <v/>
      </c>
      <c r="AF194" s="24"/>
      <c r="AG194" s="24"/>
      <c r="AH194" s="24"/>
      <c r="AI194" s="24"/>
      <c r="AJ194" s="99" t="str">
        <f t="shared" si="30"/>
        <v/>
      </c>
      <c r="AK194" s="31" t="str">
        <f t="shared" si="35"/>
        <v/>
      </c>
      <c r="AN194" s="139" t="str">
        <f>IF($K194="","",VLOOKUP($K194,'ORF Accuracy Value LookUp'!$G$4:$H$104,2,TRUE))</f>
        <v/>
      </c>
      <c r="AO194" s="94" t="str">
        <f t="shared" si="31"/>
        <v/>
      </c>
      <c r="AP194" s="47" t="str">
        <f>IF($U194="","",VLOOKUP($U194,'ORF Accuracy Value LookUp'!$G$4:$H$104,2,TRUE))</f>
        <v/>
      </c>
      <c r="AQ194" s="94" t="str">
        <f t="shared" si="32"/>
        <v/>
      </c>
      <c r="AR194" s="46" t="str">
        <f>IF($AE194="","",VLOOKUP($AE194,'ORF Accuracy Value LookUp'!$G$4:$H$104,2,TRUE))</f>
        <v/>
      </c>
      <c r="AS194" s="140" t="str">
        <f t="shared" si="33"/>
        <v/>
      </c>
    </row>
    <row r="195" spans="1:45">
      <c r="A195" s="10"/>
      <c r="B195" s="9"/>
      <c r="C195" s="9"/>
      <c r="D195" s="9"/>
      <c r="E195" s="10"/>
      <c r="F195" s="11"/>
      <c r="G195" s="15"/>
      <c r="H195" s="88"/>
      <c r="I195" s="24"/>
      <c r="J195" s="24"/>
      <c r="K195" s="114" t="str">
        <f t="shared" si="24"/>
        <v/>
      </c>
      <c r="L195" s="24"/>
      <c r="M195" s="24"/>
      <c r="N195" s="24"/>
      <c r="O195" s="24"/>
      <c r="P195" s="97" t="str">
        <f t="shared" si="25"/>
        <v/>
      </c>
      <c r="Q195" s="113" t="str">
        <f t="shared" si="26"/>
        <v/>
      </c>
      <c r="R195" s="88"/>
      <c r="S195" s="24"/>
      <c r="T195" s="24"/>
      <c r="U195" s="78" t="str">
        <f t="shared" si="27"/>
        <v/>
      </c>
      <c r="V195" s="24"/>
      <c r="W195" s="24"/>
      <c r="X195" s="24"/>
      <c r="Y195" s="24"/>
      <c r="Z195" s="98" t="str">
        <f t="shared" si="28"/>
        <v/>
      </c>
      <c r="AA195" s="40" t="str">
        <f t="shared" si="34"/>
        <v/>
      </c>
      <c r="AB195" s="88"/>
      <c r="AC195" s="24"/>
      <c r="AD195" s="24"/>
      <c r="AE195" s="79" t="str">
        <f t="shared" si="29"/>
        <v/>
      </c>
      <c r="AF195" s="24"/>
      <c r="AG195" s="24"/>
      <c r="AH195" s="24"/>
      <c r="AI195" s="24"/>
      <c r="AJ195" s="99" t="str">
        <f t="shared" si="30"/>
        <v/>
      </c>
      <c r="AK195" s="31" t="str">
        <f t="shared" si="35"/>
        <v/>
      </c>
      <c r="AN195" s="139" t="str">
        <f>IF($K195="","",VLOOKUP($K195,'ORF Accuracy Value LookUp'!$G$4:$H$104,2,TRUE))</f>
        <v/>
      </c>
      <c r="AO195" s="94" t="str">
        <f t="shared" si="31"/>
        <v/>
      </c>
      <c r="AP195" s="47" t="str">
        <f>IF($U195="","",VLOOKUP($U195,'ORF Accuracy Value LookUp'!$G$4:$H$104,2,TRUE))</f>
        <v/>
      </c>
      <c r="AQ195" s="94" t="str">
        <f t="shared" si="32"/>
        <v/>
      </c>
      <c r="AR195" s="46" t="str">
        <f>IF($AE195="","",VLOOKUP($AE195,'ORF Accuracy Value LookUp'!$G$4:$H$104,2,TRUE))</f>
        <v/>
      </c>
      <c r="AS195" s="140" t="str">
        <f t="shared" si="33"/>
        <v/>
      </c>
    </row>
    <row r="196" spans="1:45">
      <c r="A196" s="10"/>
      <c r="B196" s="9"/>
      <c r="C196" s="9"/>
      <c r="D196" s="9"/>
      <c r="E196" s="10"/>
      <c r="F196" s="11"/>
      <c r="G196" s="15"/>
      <c r="H196" s="88"/>
      <c r="I196" s="24"/>
      <c r="J196" s="24"/>
      <c r="K196" s="114" t="str">
        <f t="shared" si="24"/>
        <v/>
      </c>
      <c r="L196" s="24"/>
      <c r="M196" s="24"/>
      <c r="N196" s="24"/>
      <c r="O196" s="24"/>
      <c r="P196" s="97" t="str">
        <f t="shared" si="25"/>
        <v/>
      </c>
      <c r="Q196" s="113" t="str">
        <f t="shared" si="26"/>
        <v/>
      </c>
      <c r="R196" s="88"/>
      <c r="S196" s="24"/>
      <c r="T196" s="24"/>
      <c r="U196" s="78" t="str">
        <f t="shared" si="27"/>
        <v/>
      </c>
      <c r="V196" s="24"/>
      <c r="W196" s="24"/>
      <c r="X196" s="24"/>
      <c r="Y196" s="24"/>
      <c r="Z196" s="98" t="str">
        <f t="shared" si="28"/>
        <v/>
      </c>
      <c r="AA196" s="40" t="str">
        <f t="shared" si="34"/>
        <v/>
      </c>
      <c r="AB196" s="88"/>
      <c r="AC196" s="24"/>
      <c r="AD196" s="24"/>
      <c r="AE196" s="79" t="str">
        <f t="shared" si="29"/>
        <v/>
      </c>
      <c r="AF196" s="24"/>
      <c r="AG196" s="24"/>
      <c r="AH196" s="24"/>
      <c r="AI196" s="24"/>
      <c r="AJ196" s="99" t="str">
        <f t="shared" si="30"/>
        <v/>
      </c>
      <c r="AK196" s="31" t="str">
        <f t="shared" si="35"/>
        <v/>
      </c>
      <c r="AN196" s="139" t="str">
        <f>IF($K196="","",VLOOKUP($K196,'ORF Accuracy Value LookUp'!$G$4:$H$104,2,TRUE))</f>
        <v/>
      </c>
      <c r="AO196" s="94" t="str">
        <f t="shared" si="31"/>
        <v/>
      </c>
      <c r="AP196" s="47" t="str">
        <f>IF($U196="","",VLOOKUP($U196,'ORF Accuracy Value LookUp'!$G$4:$H$104,2,TRUE))</f>
        <v/>
      </c>
      <c r="AQ196" s="94" t="str">
        <f t="shared" si="32"/>
        <v/>
      </c>
      <c r="AR196" s="46" t="str">
        <f>IF($AE196="","",VLOOKUP($AE196,'ORF Accuracy Value LookUp'!$G$4:$H$104,2,TRUE))</f>
        <v/>
      </c>
      <c r="AS196" s="140" t="str">
        <f t="shared" si="33"/>
        <v/>
      </c>
    </row>
    <row r="197" spans="1:45">
      <c r="A197" s="10"/>
      <c r="B197" s="9"/>
      <c r="C197" s="9"/>
      <c r="D197" s="9"/>
      <c r="E197" s="10"/>
      <c r="F197" s="11"/>
      <c r="G197" s="15"/>
      <c r="H197" s="88"/>
      <c r="I197" s="24"/>
      <c r="J197" s="24"/>
      <c r="K197" s="114" t="str">
        <f t="shared" si="24"/>
        <v/>
      </c>
      <c r="L197" s="24"/>
      <c r="M197" s="24"/>
      <c r="N197" s="24"/>
      <c r="O197" s="24"/>
      <c r="P197" s="97" t="str">
        <f t="shared" si="25"/>
        <v/>
      </c>
      <c r="Q197" s="113" t="str">
        <f t="shared" si="26"/>
        <v/>
      </c>
      <c r="R197" s="88"/>
      <c r="S197" s="24"/>
      <c r="T197" s="24"/>
      <c r="U197" s="78" t="str">
        <f t="shared" si="27"/>
        <v/>
      </c>
      <c r="V197" s="24"/>
      <c r="W197" s="24"/>
      <c r="X197" s="24"/>
      <c r="Y197" s="24"/>
      <c r="Z197" s="98" t="str">
        <f t="shared" si="28"/>
        <v/>
      </c>
      <c r="AA197" s="40" t="str">
        <f t="shared" si="34"/>
        <v/>
      </c>
      <c r="AB197" s="88"/>
      <c r="AC197" s="24"/>
      <c r="AD197" s="24"/>
      <c r="AE197" s="79" t="str">
        <f t="shared" si="29"/>
        <v/>
      </c>
      <c r="AF197" s="24"/>
      <c r="AG197" s="24"/>
      <c r="AH197" s="24"/>
      <c r="AI197" s="24"/>
      <c r="AJ197" s="99" t="str">
        <f t="shared" si="30"/>
        <v/>
      </c>
      <c r="AK197" s="31" t="str">
        <f t="shared" si="35"/>
        <v/>
      </c>
      <c r="AN197" s="139" t="str">
        <f>IF($K197="","",VLOOKUP($K197,'ORF Accuracy Value LookUp'!$G$4:$H$104,2,TRUE))</f>
        <v/>
      </c>
      <c r="AO197" s="94" t="str">
        <f t="shared" si="31"/>
        <v/>
      </c>
      <c r="AP197" s="47" t="str">
        <f>IF($U197="","",VLOOKUP($U197,'ORF Accuracy Value LookUp'!$G$4:$H$104,2,TRUE))</f>
        <v/>
      </c>
      <c r="AQ197" s="94" t="str">
        <f t="shared" si="32"/>
        <v/>
      </c>
      <c r="AR197" s="46" t="str">
        <f>IF($AE197="","",VLOOKUP($AE197,'ORF Accuracy Value LookUp'!$G$4:$H$104,2,TRUE))</f>
        <v/>
      </c>
      <c r="AS197" s="140" t="str">
        <f t="shared" si="33"/>
        <v/>
      </c>
    </row>
    <row r="198" spans="1:45">
      <c r="A198" s="10"/>
      <c r="B198" s="9"/>
      <c r="C198" s="9"/>
      <c r="D198" s="9"/>
      <c r="E198" s="10"/>
      <c r="F198" s="11"/>
      <c r="G198" s="15"/>
      <c r="H198" s="88"/>
      <c r="I198" s="24"/>
      <c r="J198" s="24"/>
      <c r="K198" s="114" t="str">
        <f t="shared" si="24"/>
        <v/>
      </c>
      <c r="L198" s="24"/>
      <c r="M198" s="24"/>
      <c r="N198" s="24"/>
      <c r="O198" s="24"/>
      <c r="P198" s="97" t="str">
        <f t="shared" si="25"/>
        <v/>
      </c>
      <c r="Q198" s="113" t="str">
        <f t="shared" si="26"/>
        <v/>
      </c>
      <c r="R198" s="88"/>
      <c r="S198" s="24"/>
      <c r="T198" s="24"/>
      <c r="U198" s="78" t="str">
        <f t="shared" si="27"/>
        <v/>
      </c>
      <c r="V198" s="24"/>
      <c r="W198" s="24"/>
      <c r="X198" s="24"/>
      <c r="Y198" s="24"/>
      <c r="Z198" s="98" t="str">
        <f t="shared" si="28"/>
        <v/>
      </c>
      <c r="AA198" s="40" t="str">
        <f t="shared" si="34"/>
        <v/>
      </c>
      <c r="AB198" s="88"/>
      <c r="AC198" s="24"/>
      <c r="AD198" s="24"/>
      <c r="AE198" s="79" t="str">
        <f t="shared" si="29"/>
        <v/>
      </c>
      <c r="AF198" s="24"/>
      <c r="AG198" s="24"/>
      <c r="AH198" s="24"/>
      <c r="AI198" s="24"/>
      <c r="AJ198" s="99" t="str">
        <f t="shared" si="30"/>
        <v/>
      </c>
      <c r="AK198" s="31" t="str">
        <f t="shared" si="35"/>
        <v/>
      </c>
      <c r="AN198" s="139" t="str">
        <f>IF($K198="","",VLOOKUP($K198,'ORF Accuracy Value LookUp'!$G$4:$H$104,2,TRUE))</f>
        <v/>
      </c>
      <c r="AO198" s="94" t="str">
        <f t="shared" si="31"/>
        <v/>
      </c>
      <c r="AP198" s="47" t="str">
        <f>IF($U198="","",VLOOKUP($U198,'ORF Accuracy Value LookUp'!$G$4:$H$104,2,TRUE))</f>
        <v/>
      </c>
      <c r="AQ198" s="94" t="str">
        <f t="shared" si="32"/>
        <v/>
      </c>
      <c r="AR198" s="46" t="str">
        <f>IF($AE198="","",VLOOKUP($AE198,'ORF Accuracy Value LookUp'!$G$4:$H$104,2,TRUE))</f>
        <v/>
      </c>
      <c r="AS198" s="140" t="str">
        <f t="shared" si="33"/>
        <v/>
      </c>
    </row>
    <row r="199" spans="1:45">
      <c r="A199" s="10"/>
      <c r="B199" s="9"/>
      <c r="C199" s="9"/>
      <c r="D199" s="9"/>
      <c r="E199" s="10"/>
      <c r="F199" s="11"/>
      <c r="G199" s="15"/>
      <c r="H199" s="88"/>
      <c r="I199" s="24"/>
      <c r="J199" s="24"/>
      <c r="K199" s="114" t="str">
        <f t="shared" si="24"/>
        <v/>
      </c>
      <c r="L199" s="24"/>
      <c r="M199" s="24"/>
      <c r="N199" s="24"/>
      <c r="O199" s="24"/>
      <c r="P199" s="97" t="str">
        <f t="shared" si="25"/>
        <v/>
      </c>
      <c r="Q199" s="113" t="str">
        <f t="shared" si="26"/>
        <v/>
      </c>
      <c r="R199" s="88"/>
      <c r="S199" s="24"/>
      <c r="T199" s="24"/>
      <c r="U199" s="78" t="str">
        <f t="shared" si="27"/>
        <v/>
      </c>
      <c r="V199" s="24"/>
      <c r="W199" s="24"/>
      <c r="X199" s="24"/>
      <c r="Y199" s="24"/>
      <c r="Z199" s="98" t="str">
        <f t="shared" si="28"/>
        <v/>
      </c>
      <c r="AA199" s="40" t="str">
        <f t="shared" si="34"/>
        <v/>
      </c>
      <c r="AB199" s="88"/>
      <c r="AC199" s="24"/>
      <c r="AD199" s="24"/>
      <c r="AE199" s="79" t="str">
        <f t="shared" si="29"/>
        <v/>
      </c>
      <c r="AF199" s="24"/>
      <c r="AG199" s="24"/>
      <c r="AH199" s="24"/>
      <c r="AI199" s="24"/>
      <c r="AJ199" s="99" t="str">
        <f t="shared" si="30"/>
        <v/>
      </c>
      <c r="AK199" s="31" t="str">
        <f t="shared" si="35"/>
        <v/>
      </c>
      <c r="AN199" s="139" t="str">
        <f>IF($K199="","",VLOOKUP($K199,'ORF Accuracy Value LookUp'!$G$4:$H$104,2,TRUE))</f>
        <v/>
      </c>
      <c r="AO199" s="94" t="str">
        <f t="shared" si="31"/>
        <v/>
      </c>
      <c r="AP199" s="47" t="str">
        <f>IF($U199="","",VLOOKUP($U199,'ORF Accuracy Value LookUp'!$G$4:$H$104,2,TRUE))</f>
        <v/>
      </c>
      <c r="AQ199" s="94" t="str">
        <f t="shared" si="32"/>
        <v/>
      </c>
      <c r="AR199" s="46" t="str">
        <f>IF($AE199="","",VLOOKUP($AE199,'ORF Accuracy Value LookUp'!$G$4:$H$104,2,TRUE))</f>
        <v/>
      </c>
      <c r="AS199" s="140" t="str">
        <f t="shared" si="33"/>
        <v/>
      </c>
    </row>
    <row r="200" spans="1:45">
      <c r="A200" s="10"/>
      <c r="B200" s="9"/>
      <c r="C200" s="9"/>
      <c r="D200" s="9"/>
      <c r="E200" s="10"/>
      <c r="F200" s="11"/>
      <c r="G200" s="15"/>
      <c r="H200" s="88"/>
      <c r="I200" s="24"/>
      <c r="J200" s="24"/>
      <c r="K200" s="114" t="str">
        <f t="shared" ref="K200:K263" si="36">IF($I200="","",SUM($I200/($I200+$J200)))</f>
        <v/>
      </c>
      <c r="L200" s="24"/>
      <c r="M200" s="24"/>
      <c r="N200" s="24"/>
      <c r="O200" s="24"/>
      <c r="P200" s="97" t="str">
        <f t="shared" ref="P200:P263" si="37">IF($AO200&gt;0,$AO200,0)</f>
        <v/>
      </c>
      <c r="Q200" s="113" t="str">
        <f t="shared" ref="Q200:Q263" si="38">IF($B200="","",SUM($I200+$AN200+($L200*2)+($P200*2)))</f>
        <v/>
      </c>
      <c r="R200" s="88"/>
      <c r="S200" s="24"/>
      <c r="T200" s="24"/>
      <c r="U200" s="78" t="str">
        <f t="shared" ref="U200:U263" si="39">IF($S200="","",SUM($S200/($S200+$T200)))</f>
        <v/>
      </c>
      <c r="V200" s="24"/>
      <c r="W200" s="24"/>
      <c r="X200" s="24"/>
      <c r="Y200" s="24"/>
      <c r="Z200" s="98" t="str">
        <f t="shared" ref="Z200:Z263" si="40">IF($AQ200&gt;0,$AQ200,0)</f>
        <v/>
      </c>
      <c r="AA200" s="40" t="str">
        <f t="shared" si="34"/>
        <v/>
      </c>
      <c r="AB200" s="88"/>
      <c r="AC200" s="24"/>
      <c r="AD200" s="24"/>
      <c r="AE200" s="79" t="str">
        <f t="shared" ref="AE200:AE263" si="41">IF($AC200="","",SUM($AC200/($AC200+$AD200)))</f>
        <v/>
      </c>
      <c r="AF200" s="24"/>
      <c r="AG200" s="24"/>
      <c r="AH200" s="24"/>
      <c r="AI200" s="24"/>
      <c r="AJ200" s="99" t="str">
        <f t="shared" ref="AJ200:AJ263" si="42">IF($AS200&gt;0,$AS200,0)</f>
        <v/>
      </c>
      <c r="AK200" s="31" t="str">
        <f t="shared" si="35"/>
        <v/>
      </c>
      <c r="AN200" s="139" t="str">
        <f>IF($K200="","",VLOOKUP($K200,'ORF Accuracy Value LookUp'!$G$4:$H$104,2,TRUE))</f>
        <v/>
      </c>
      <c r="AO200" s="94" t="str">
        <f t="shared" ref="AO200:AO263" si="43">IF($N200="","",($N200-($O200/2)))</f>
        <v/>
      </c>
      <c r="AP200" s="47" t="str">
        <f>IF($U200="","",VLOOKUP($U200,'ORF Accuracy Value LookUp'!$G$4:$H$104,2,TRUE))</f>
        <v/>
      </c>
      <c r="AQ200" s="94" t="str">
        <f t="shared" ref="AQ200:AQ263" si="44">IF($X200="","",$X200-($Y200/2))</f>
        <v/>
      </c>
      <c r="AR200" s="46" t="str">
        <f>IF($AE200="","",VLOOKUP($AE200,'ORF Accuracy Value LookUp'!$G$4:$H$104,2,TRUE))</f>
        <v/>
      </c>
      <c r="AS200" s="140" t="str">
        <f t="shared" ref="AS200:AS263" si="45">IF($AH200="","",$AH200-($AI200/2))</f>
        <v/>
      </c>
    </row>
    <row r="201" spans="1:45">
      <c r="A201" s="10"/>
      <c r="B201" s="9"/>
      <c r="C201" s="9"/>
      <c r="D201" s="9"/>
      <c r="E201" s="10"/>
      <c r="F201" s="11"/>
      <c r="G201" s="15"/>
      <c r="H201" s="88"/>
      <c r="I201" s="24"/>
      <c r="J201" s="24"/>
      <c r="K201" s="114" t="str">
        <f t="shared" si="36"/>
        <v/>
      </c>
      <c r="L201" s="24"/>
      <c r="M201" s="24"/>
      <c r="N201" s="24"/>
      <c r="O201" s="24"/>
      <c r="P201" s="97" t="str">
        <f t="shared" si="37"/>
        <v/>
      </c>
      <c r="Q201" s="113" t="str">
        <f t="shared" si="38"/>
        <v/>
      </c>
      <c r="R201" s="88"/>
      <c r="S201" s="24"/>
      <c r="T201" s="24"/>
      <c r="U201" s="78" t="str">
        <f t="shared" si="39"/>
        <v/>
      </c>
      <c r="V201" s="24"/>
      <c r="W201" s="24"/>
      <c r="X201" s="24"/>
      <c r="Y201" s="24"/>
      <c r="Z201" s="98" t="str">
        <f t="shared" si="40"/>
        <v/>
      </c>
      <c r="AA201" s="40" t="str">
        <f t="shared" ref="AA201:AA264" si="46">IF($R201="","",SUM($S201+$AP201+($V201*2)+($Z201*4)))</f>
        <v/>
      </c>
      <c r="AB201" s="88"/>
      <c r="AC201" s="24"/>
      <c r="AD201" s="24"/>
      <c r="AE201" s="79" t="str">
        <f t="shared" si="41"/>
        <v/>
      </c>
      <c r="AF201" s="24"/>
      <c r="AG201" s="24"/>
      <c r="AH201" s="24"/>
      <c r="AI201" s="24"/>
      <c r="AJ201" s="99" t="str">
        <f t="shared" si="42"/>
        <v/>
      </c>
      <c r="AK201" s="31" t="str">
        <f t="shared" ref="AK201:AK264" si="47">IF($AB201="","",SUM($AC201+$AR201+($AF201*2)+($AJ201*4)))</f>
        <v/>
      </c>
      <c r="AN201" s="139" t="str">
        <f>IF($K201="","",VLOOKUP($K201,'ORF Accuracy Value LookUp'!$G$4:$H$104,2,TRUE))</f>
        <v/>
      </c>
      <c r="AO201" s="94" t="str">
        <f t="shared" si="43"/>
        <v/>
      </c>
      <c r="AP201" s="47" t="str">
        <f>IF($U201="","",VLOOKUP($U201,'ORF Accuracy Value LookUp'!$G$4:$H$104,2,TRUE))</f>
        <v/>
      </c>
      <c r="AQ201" s="94" t="str">
        <f t="shared" si="44"/>
        <v/>
      </c>
      <c r="AR201" s="46" t="str">
        <f>IF($AE201="","",VLOOKUP($AE201,'ORF Accuracy Value LookUp'!$G$4:$H$104,2,TRUE))</f>
        <v/>
      </c>
      <c r="AS201" s="140" t="str">
        <f t="shared" si="45"/>
        <v/>
      </c>
    </row>
    <row r="202" spans="1:45">
      <c r="A202" s="10"/>
      <c r="B202" s="9"/>
      <c r="C202" s="9"/>
      <c r="D202" s="9"/>
      <c r="E202" s="10"/>
      <c r="F202" s="11"/>
      <c r="G202" s="15"/>
      <c r="H202" s="88"/>
      <c r="I202" s="24"/>
      <c r="J202" s="24"/>
      <c r="K202" s="114" t="str">
        <f t="shared" si="36"/>
        <v/>
      </c>
      <c r="L202" s="24"/>
      <c r="M202" s="24"/>
      <c r="N202" s="24"/>
      <c r="O202" s="24"/>
      <c r="P202" s="97" t="str">
        <f t="shared" si="37"/>
        <v/>
      </c>
      <c r="Q202" s="113" t="str">
        <f t="shared" si="38"/>
        <v/>
      </c>
      <c r="R202" s="88"/>
      <c r="S202" s="24"/>
      <c r="T202" s="24"/>
      <c r="U202" s="78" t="str">
        <f t="shared" si="39"/>
        <v/>
      </c>
      <c r="V202" s="24"/>
      <c r="W202" s="24"/>
      <c r="X202" s="24"/>
      <c r="Y202" s="24"/>
      <c r="Z202" s="98" t="str">
        <f t="shared" si="40"/>
        <v/>
      </c>
      <c r="AA202" s="40" t="str">
        <f t="shared" si="46"/>
        <v/>
      </c>
      <c r="AB202" s="88"/>
      <c r="AC202" s="24"/>
      <c r="AD202" s="24"/>
      <c r="AE202" s="79" t="str">
        <f t="shared" si="41"/>
        <v/>
      </c>
      <c r="AF202" s="24"/>
      <c r="AG202" s="24"/>
      <c r="AH202" s="24"/>
      <c r="AI202" s="24"/>
      <c r="AJ202" s="99" t="str">
        <f t="shared" si="42"/>
        <v/>
      </c>
      <c r="AK202" s="31" t="str">
        <f t="shared" si="47"/>
        <v/>
      </c>
      <c r="AN202" s="139" t="str">
        <f>IF($K202="","",VLOOKUP($K202,'ORF Accuracy Value LookUp'!$G$4:$H$104,2,TRUE))</f>
        <v/>
      </c>
      <c r="AO202" s="94" t="str">
        <f t="shared" si="43"/>
        <v/>
      </c>
      <c r="AP202" s="47" t="str">
        <f>IF($U202="","",VLOOKUP($U202,'ORF Accuracy Value LookUp'!$G$4:$H$104,2,TRUE))</f>
        <v/>
      </c>
      <c r="AQ202" s="94" t="str">
        <f t="shared" si="44"/>
        <v/>
      </c>
      <c r="AR202" s="46" t="str">
        <f>IF($AE202="","",VLOOKUP($AE202,'ORF Accuracy Value LookUp'!$G$4:$H$104,2,TRUE))</f>
        <v/>
      </c>
      <c r="AS202" s="140" t="str">
        <f t="shared" si="45"/>
        <v/>
      </c>
    </row>
    <row r="203" spans="1:45">
      <c r="A203" s="10"/>
      <c r="B203" s="9"/>
      <c r="C203" s="9"/>
      <c r="D203" s="9"/>
      <c r="E203" s="10"/>
      <c r="F203" s="11"/>
      <c r="G203" s="15"/>
      <c r="H203" s="88"/>
      <c r="I203" s="24"/>
      <c r="J203" s="24"/>
      <c r="K203" s="114" t="str">
        <f t="shared" si="36"/>
        <v/>
      </c>
      <c r="L203" s="24"/>
      <c r="M203" s="24"/>
      <c r="N203" s="24"/>
      <c r="O203" s="24"/>
      <c r="P203" s="97" t="str">
        <f t="shared" si="37"/>
        <v/>
      </c>
      <c r="Q203" s="113" t="str">
        <f t="shared" si="38"/>
        <v/>
      </c>
      <c r="R203" s="88"/>
      <c r="S203" s="24"/>
      <c r="T203" s="24"/>
      <c r="U203" s="78" t="str">
        <f t="shared" si="39"/>
        <v/>
      </c>
      <c r="V203" s="24"/>
      <c r="W203" s="24"/>
      <c r="X203" s="24"/>
      <c r="Y203" s="24"/>
      <c r="Z203" s="98" t="str">
        <f t="shared" si="40"/>
        <v/>
      </c>
      <c r="AA203" s="40" t="str">
        <f t="shared" si="46"/>
        <v/>
      </c>
      <c r="AB203" s="88"/>
      <c r="AC203" s="24"/>
      <c r="AD203" s="24"/>
      <c r="AE203" s="79" t="str">
        <f t="shared" si="41"/>
        <v/>
      </c>
      <c r="AF203" s="24"/>
      <c r="AG203" s="24"/>
      <c r="AH203" s="24"/>
      <c r="AI203" s="24"/>
      <c r="AJ203" s="99" t="str">
        <f t="shared" si="42"/>
        <v/>
      </c>
      <c r="AK203" s="31" t="str">
        <f t="shared" si="47"/>
        <v/>
      </c>
      <c r="AN203" s="139" t="str">
        <f>IF($K203="","",VLOOKUP($K203,'ORF Accuracy Value LookUp'!$G$4:$H$104,2,TRUE))</f>
        <v/>
      </c>
      <c r="AO203" s="94" t="str">
        <f t="shared" si="43"/>
        <v/>
      </c>
      <c r="AP203" s="47" t="str">
        <f>IF($U203="","",VLOOKUP($U203,'ORF Accuracy Value LookUp'!$G$4:$H$104,2,TRUE))</f>
        <v/>
      </c>
      <c r="AQ203" s="94" t="str">
        <f t="shared" si="44"/>
        <v/>
      </c>
      <c r="AR203" s="46" t="str">
        <f>IF($AE203="","",VLOOKUP($AE203,'ORF Accuracy Value LookUp'!$G$4:$H$104,2,TRUE))</f>
        <v/>
      </c>
      <c r="AS203" s="140" t="str">
        <f t="shared" si="45"/>
        <v/>
      </c>
    </row>
    <row r="204" spans="1:45">
      <c r="A204" s="10"/>
      <c r="B204" s="9"/>
      <c r="C204" s="9"/>
      <c r="D204" s="9"/>
      <c r="E204" s="10"/>
      <c r="F204" s="11"/>
      <c r="G204" s="15"/>
      <c r="H204" s="88"/>
      <c r="I204" s="24"/>
      <c r="J204" s="24"/>
      <c r="K204" s="114" t="str">
        <f t="shared" si="36"/>
        <v/>
      </c>
      <c r="L204" s="24"/>
      <c r="M204" s="24"/>
      <c r="N204" s="24"/>
      <c r="O204" s="24"/>
      <c r="P204" s="97" t="str">
        <f t="shared" si="37"/>
        <v/>
      </c>
      <c r="Q204" s="113" t="str">
        <f t="shared" si="38"/>
        <v/>
      </c>
      <c r="R204" s="88"/>
      <c r="S204" s="24"/>
      <c r="T204" s="24"/>
      <c r="U204" s="78" t="str">
        <f t="shared" si="39"/>
        <v/>
      </c>
      <c r="V204" s="24"/>
      <c r="W204" s="24"/>
      <c r="X204" s="24"/>
      <c r="Y204" s="24"/>
      <c r="Z204" s="98" t="str">
        <f t="shared" si="40"/>
        <v/>
      </c>
      <c r="AA204" s="40" t="str">
        <f t="shared" si="46"/>
        <v/>
      </c>
      <c r="AB204" s="88"/>
      <c r="AC204" s="24"/>
      <c r="AD204" s="24"/>
      <c r="AE204" s="79" t="str">
        <f t="shared" si="41"/>
        <v/>
      </c>
      <c r="AF204" s="24"/>
      <c r="AG204" s="24"/>
      <c r="AH204" s="24"/>
      <c r="AI204" s="24"/>
      <c r="AJ204" s="99" t="str">
        <f t="shared" si="42"/>
        <v/>
      </c>
      <c r="AK204" s="31" t="str">
        <f t="shared" si="47"/>
        <v/>
      </c>
      <c r="AN204" s="139" t="str">
        <f>IF($K204="","",VLOOKUP($K204,'ORF Accuracy Value LookUp'!$G$4:$H$104,2,TRUE))</f>
        <v/>
      </c>
      <c r="AO204" s="94" t="str">
        <f t="shared" si="43"/>
        <v/>
      </c>
      <c r="AP204" s="47" t="str">
        <f>IF($U204="","",VLOOKUP($U204,'ORF Accuracy Value LookUp'!$G$4:$H$104,2,TRUE))</f>
        <v/>
      </c>
      <c r="AQ204" s="94" t="str">
        <f t="shared" si="44"/>
        <v/>
      </c>
      <c r="AR204" s="46" t="str">
        <f>IF($AE204="","",VLOOKUP($AE204,'ORF Accuracy Value LookUp'!$G$4:$H$104,2,TRUE))</f>
        <v/>
      </c>
      <c r="AS204" s="140" t="str">
        <f t="shared" si="45"/>
        <v/>
      </c>
    </row>
    <row r="205" spans="1:45">
      <c r="A205" s="10"/>
      <c r="B205" s="9"/>
      <c r="C205" s="9"/>
      <c r="D205" s="9"/>
      <c r="E205" s="10"/>
      <c r="F205" s="11"/>
      <c r="G205" s="15"/>
      <c r="H205" s="88"/>
      <c r="I205" s="24"/>
      <c r="J205" s="24"/>
      <c r="K205" s="114" t="str">
        <f t="shared" si="36"/>
        <v/>
      </c>
      <c r="L205" s="24"/>
      <c r="M205" s="24"/>
      <c r="N205" s="24"/>
      <c r="O205" s="24"/>
      <c r="P205" s="97" t="str">
        <f t="shared" si="37"/>
        <v/>
      </c>
      <c r="Q205" s="113" t="str">
        <f t="shared" si="38"/>
        <v/>
      </c>
      <c r="R205" s="88"/>
      <c r="S205" s="24"/>
      <c r="T205" s="24"/>
      <c r="U205" s="78" t="str">
        <f t="shared" si="39"/>
        <v/>
      </c>
      <c r="V205" s="24"/>
      <c r="W205" s="24"/>
      <c r="X205" s="24"/>
      <c r="Y205" s="24"/>
      <c r="Z205" s="98" t="str">
        <f t="shared" si="40"/>
        <v/>
      </c>
      <c r="AA205" s="40" t="str">
        <f t="shared" si="46"/>
        <v/>
      </c>
      <c r="AB205" s="88"/>
      <c r="AC205" s="24"/>
      <c r="AD205" s="24"/>
      <c r="AE205" s="79" t="str">
        <f t="shared" si="41"/>
        <v/>
      </c>
      <c r="AF205" s="24"/>
      <c r="AG205" s="24"/>
      <c r="AH205" s="24"/>
      <c r="AI205" s="24"/>
      <c r="AJ205" s="99" t="str">
        <f t="shared" si="42"/>
        <v/>
      </c>
      <c r="AK205" s="31" t="str">
        <f t="shared" si="47"/>
        <v/>
      </c>
      <c r="AN205" s="139" t="str">
        <f>IF($K205="","",VLOOKUP($K205,'ORF Accuracy Value LookUp'!$G$4:$H$104,2,TRUE))</f>
        <v/>
      </c>
      <c r="AO205" s="94" t="str">
        <f t="shared" si="43"/>
        <v/>
      </c>
      <c r="AP205" s="47" t="str">
        <f>IF($U205="","",VLOOKUP($U205,'ORF Accuracy Value LookUp'!$G$4:$H$104,2,TRUE))</f>
        <v/>
      </c>
      <c r="AQ205" s="94" t="str">
        <f t="shared" si="44"/>
        <v/>
      </c>
      <c r="AR205" s="46" t="str">
        <f>IF($AE205="","",VLOOKUP($AE205,'ORF Accuracy Value LookUp'!$G$4:$H$104,2,TRUE))</f>
        <v/>
      </c>
      <c r="AS205" s="140" t="str">
        <f t="shared" si="45"/>
        <v/>
      </c>
    </row>
    <row r="206" spans="1:45">
      <c r="A206" s="10"/>
      <c r="B206" s="9"/>
      <c r="C206" s="9"/>
      <c r="D206" s="9"/>
      <c r="E206" s="10"/>
      <c r="F206" s="11"/>
      <c r="G206" s="15"/>
      <c r="H206" s="88"/>
      <c r="I206" s="24"/>
      <c r="J206" s="24"/>
      <c r="K206" s="114" t="str">
        <f t="shared" si="36"/>
        <v/>
      </c>
      <c r="L206" s="24"/>
      <c r="M206" s="24"/>
      <c r="N206" s="24"/>
      <c r="O206" s="24"/>
      <c r="P206" s="97" t="str">
        <f t="shared" si="37"/>
        <v/>
      </c>
      <c r="Q206" s="113" t="str">
        <f t="shared" si="38"/>
        <v/>
      </c>
      <c r="R206" s="88"/>
      <c r="S206" s="24"/>
      <c r="T206" s="24"/>
      <c r="U206" s="78" t="str">
        <f t="shared" si="39"/>
        <v/>
      </c>
      <c r="V206" s="24"/>
      <c r="W206" s="24"/>
      <c r="X206" s="24"/>
      <c r="Y206" s="24"/>
      <c r="Z206" s="98" t="str">
        <f t="shared" si="40"/>
        <v/>
      </c>
      <c r="AA206" s="40" t="str">
        <f t="shared" si="46"/>
        <v/>
      </c>
      <c r="AB206" s="88"/>
      <c r="AC206" s="24"/>
      <c r="AD206" s="24"/>
      <c r="AE206" s="79" t="str">
        <f t="shared" si="41"/>
        <v/>
      </c>
      <c r="AF206" s="24"/>
      <c r="AG206" s="24"/>
      <c r="AH206" s="24"/>
      <c r="AI206" s="24"/>
      <c r="AJ206" s="99" t="str">
        <f t="shared" si="42"/>
        <v/>
      </c>
      <c r="AK206" s="31" t="str">
        <f t="shared" si="47"/>
        <v/>
      </c>
      <c r="AN206" s="139" t="str">
        <f>IF($K206="","",VLOOKUP($K206,'ORF Accuracy Value LookUp'!$G$4:$H$104,2,TRUE))</f>
        <v/>
      </c>
      <c r="AO206" s="94" t="str">
        <f t="shared" si="43"/>
        <v/>
      </c>
      <c r="AP206" s="47" t="str">
        <f>IF($U206="","",VLOOKUP($U206,'ORF Accuracy Value LookUp'!$G$4:$H$104,2,TRUE))</f>
        <v/>
      </c>
      <c r="AQ206" s="94" t="str">
        <f t="shared" si="44"/>
        <v/>
      </c>
      <c r="AR206" s="46" t="str">
        <f>IF($AE206="","",VLOOKUP($AE206,'ORF Accuracy Value LookUp'!$G$4:$H$104,2,TRUE))</f>
        <v/>
      </c>
      <c r="AS206" s="140" t="str">
        <f t="shared" si="45"/>
        <v/>
      </c>
    </row>
    <row r="207" spans="1:45">
      <c r="A207" s="10"/>
      <c r="B207" s="9"/>
      <c r="C207" s="9"/>
      <c r="D207" s="9"/>
      <c r="E207" s="10"/>
      <c r="F207" s="11"/>
      <c r="G207" s="15"/>
      <c r="H207" s="88"/>
      <c r="I207" s="24"/>
      <c r="J207" s="24"/>
      <c r="K207" s="114" t="str">
        <f t="shared" si="36"/>
        <v/>
      </c>
      <c r="L207" s="24"/>
      <c r="M207" s="24"/>
      <c r="N207" s="24"/>
      <c r="O207" s="24"/>
      <c r="P207" s="97" t="str">
        <f t="shared" si="37"/>
        <v/>
      </c>
      <c r="Q207" s="113" t="str">
        <f t="shared" si="38"/>
        <v/>
      </c>
      <c r="R207" s="88"/>
      <c r="S207" s="24"/>
      <c r="T207" s="24"/>
      <c r="U207" s="78" t="str">
        <f t="shared" si="39"/>
        <v/>
      </c>
      <c r="V207" s="24"/>
      <c r="W207" s="24"/>
      <c r="X207" s="24"/>
      <c r="Y207" s="24"/>
      <c r="Z207" s="98" t="str">
        <f t="shared" si="40"/>
        <v/>
      </c>
      <c r="AA207" s="40" t="str">
        <f t="shared" si="46"/>
        <v/>
      </c>
      <c r="AB207" s="88"/>
      <c r="AC207" s="24"/>
      <c r="AD207" s="24"/>
      <c r="AE207" s="79" t="str">
        <f t="shared" si="41"/>
        <v/>
      </c>
      <c r="AF207" s="24"/>
      <c r="AG207" s="24"/>
      <c r="AH207" s="24"/>
      <c r="AI207" s="24"/>
      <c r="AJ207" s="99" t="str">
        <f t="shared" si="42"/>
        <v/>
      </c>
      <c r="AK207" s="31" t="str">
        <f t="shared" si="47"/>
        <v/>
      </c>
      <c r="AN207" s="139" t="str">
        <f>IF($K207="","",VLOOKUP($K207,'ORF Accuracy Value LookUp'!$G$4:$H$104,2,TRUE))</f>
        <v/>
      </c>
      <c r="AO207" s="94" t="str">
        <f t="shared" si="43"/>
        <v/>
      </c>
      <c r="AP207" s="47" t="str">
        <f>IF($U207="","",VLOOKUP($U207,'ORF Accuracy Value LookUp'!$G$4:$H$104,2,TRUE))</f>
        <v/>
      </c>
      <c r="AQ207" s="94" t="str">
        <f t="shared" si="44"/>
        <v/>
      </c>
      <c r="AR207" s="46" t="str">
        <f>IF($AE207="","",VLOOKUP($AE207,'ORF Accuracy Value LookUp'!$G$4:$H$104,2,TRUE))</f>
        <v/>
      </c>
      <c r="AS207" s="140" t="str">
        <f t="shared" si="45"/>
        <v/>
      </c>
    </row>
    <row r="208" spans="1:45">
      <c r="A208" s="10"/>
      <c r="B208" s="9"/>
      <c r="C208" s="9"/>
      <c r="D208" s="9"/>
      <c r="E208" s="10"/>
      <c r="F208" s="11"/>
      <c r="G208" s="15"/>
      <c r="H208" s="88"/>
      <c r="I208" s="24"/>
      <c r="J208" s="24"/>
      <c r="K208" s="114" t="str">
        <f t="shared" si="36"/>
        <v/>
      </c>
      <c r="L208" s="24"/>
      <c r="M208" s="24"/>
      <c r="N208" s="24"/>
      <c r="O208" s="24"/>
      <c r="P208" s="97" t="str">
        <f t="shared" si="37"/>
        <v/>
      </c>
      <c r="Q208" s="113" t="str">
        <f t="shared" si="38"/>
        <v/>
      </c>
      <c r="R208" s="88"/>
      <c r="S208" s="24"/>
      <c r="T208" s="24"/>
      <c r="U208" s="78" t="str">
        <f t="shared" si="39"/>
        <v/>
      </c>
      <c r="V208" s="24"/>
      <c r="W208" s="24"/>
      <c r="X208" s="24"/>
      <c r="Y208" s="24"/>
      <c r="Z208" s="98" t="str">
        <f t="shared" si="40"/>
        <v/>
      </c>
      <c r="AA208" s="40" t="str">
        <f t="shared" si="46"/>
        <v/>
      </c>
      <c r="AB208" s="88"/>
      <c r="AC208" s="24"/>
      <c r="AD208" s="24"/>
      <c r="AE208" s="79" t="str">
        <f t="shared" si="41"/>
        <v/>
      </c>
      <c r="AF208" s="24"/>
      <c r="AG208" s="24"/>
      <c r="AH208" s="24"/>
      <c r="AI208" s="24"/>
      <c r="AJ208" s="99" t="str">
        <f t="shared" si="42"/>
        <v/>
      </c>
      <c r="AK208" s="31" t="str">
        <f t="shared" si="47"/>
        <v/>
      </c>
      <c r="AN208" s="139" t="str">
        <f>IF($K208="","",VLOOKUP($K208,'ORF Accuracy Value LookUp'!$G$4:$H$104,2,TRUE))</f>
        <v/>
      </c>
      <c r="AO208" s="94" t="str">
        <f t="shared" si="43"/>
        <v/>
      </c>
      <c r="AP208" s="47" t="str">
        <f>IF($U208="","",VLOOKUP($U208,'ORF Accuracy Value LookUp'!$G$4:$H$104,2,TRUE))</f>
        <v/>
      </c>
      <c r="AQ208" s="94" t="str">
        <f t="shared" si="44"/>
        <v/>
      </c>
      <c r="AR208" s="46" t="str">
        <f>IF($AE208="","",VLOOKUP($AE208,'ORF Accuracy Value LookUp'!$G$4:$H$104,2,TRUE))</f>
        <v/>
      </c>
      <c r="AS208" s="140" t="str">
        <f t="shared" si="45"/>
        <v/>
      </c>
    </row>
    <row r="209" spans="1:45">
      <c r="A209" s="10"/>
      <c r="B209" s="9"/>
      <c r="C209" s="9"/>
      <c r="D209" s="9"/>
      <c r="E209" s="10"/>
      <c r="F209" s="11"/>
      <c r="G209" s="15"/>
      <c r="H209" s="88"/>
      <c r="I209" s="24"/>
      <c r="J209" s="24"/>
      <c r="K209" s="114" t="str">
        <f t="shared" si="36"/>
        <v/>
      </c>
      <c r="L209" s="24"/>
      <c r="M209" s="24"/>
      <c r="N209" s="24"/>
      <c r="O209" s="24"/>
      <c r="P209" s="97" t="str">
        <f t="shared" si="37"/>
        <v/>
      </c>
      <c r="Q209" s="113" t="str">
        <f t="shared" si="38"/>
        <v/>
      </c>
      <c r="R209" s="88"/>
      <c r="S209" s="24"/>
      <c r="T209" s="24"/>
      <c r="U209" s="78" t="str">
        <f t="shared" si="39"/>
        <v/>
      </c>
      <c r="V209" s="24"/>
      <c r="W209" s="24"/>
      <c r="X209" s="24"/>
      <c r="Y209" s="24"/>
      <c r="Z209" s="98" t="str">
        <f t="shared" si="40"/>
        <v/>
      </c>
      <c r="AA209" s="40" t="str">
        <f t="shared" si="46"/>
        <v/>
      </c>
      <c r="AB209" s="88"/>
      <c r="AC209" s="24"/>
      <c r="AD209" s="24"/>
      <c r="AE209" s="79" t="str">
        <f t="shared" si="41"/>
        <v/>
      </c>
      <c r="AF209" s="24"/>
      <c r="AG209" s="24"/>
      <c r="AH209" s="24"/>
      <c r="AI209" s="24"/>
      <c r="AJ209" s="99" t="str">
        <f t="shared" si="42"/>
        <v/>
      </c>
      <c r="AK209" s="31" t="str">
        <f t="shared" si="47"/>
        <v/>
      </c>
      <c r="AN209" s="139" t="str">
        <f>IF($K209="","",VLOOKUP($K209,'ORF Accuracy Value LookUp'!$G$4:$H$104,2,TRUE))</f>
        <v/>
      </c>
      <c r="AO209" s="94" t="str">
        <f t="shared" si="43"/>
        <v/>
      </c>
      <c r="AP209" s="47" t="str">
        <f>IF($U209="","",VLOOKUP($U209,'ORF Accuracy Value LookUp'!$G$4:$H$104,2,TRUE))</f>
        <v/>
      </c>
      <c r="AQ209" s="94" t="str">
        <f t="shared" si="44"/>
        <v/>
      </c>
      <c r="AR209" s="46" t="str">
        <f>IF($AE209="","",VLOOKUP($AE209,'ORF Accuracy Value LookUp'!$G$4:$H$104,2,TRUE))</f>
        <v/>
      </c>
      <c r="AS209" s="140" t="str">
        <f t="shared" si="45"/>
        <v/>
      </c>
    </row>
    <row r="210" spans="1:45">
      <c r="A210" s="10"/>
      <c r="B210" s="9"/>
      <c r="C210" s="9"/>
      <c r="D210" s="9"/>
      <c r="E210" s="10"/>
      <c r="F210" s="11"/>
      <c r="G210" s="15"/>
      <c r="H210" s="88"/>
      <c r="I210" s="24"/>
      <c r="J210" s="24"/>
      <c r="K210" s="114" t="str">
        <f t="shared" si="36"/>
        <v/>
      </c>
      <c r="L210" s="24"/>
      <c r="M210" s="24"/>
      <c r="N210" s="24"/>
      <c r="O210" s="24"/>
      <c r="P210" s="97" t="str">
        <f t="shared" si="37"/>
        <v/>
      </c>
      <c r="Q210" s="113" t="str">
        <f t="shared" si="38"/>
        <v/>
      </c>
      <c r="R210" s="88"/>
      <c r="S210" s="24"/>
      <c r="T210" s="24"/>
      <c r="U210" s="78" t="str">
        <f t="shared" si="39"/>
        <v/>
      </c>
      <c r="V210" s="24"/>
      <c r="W210" s="24"/>
      <c r="X210" s="24"/>
      <c r="Y210" s="24"/>
      <c r="Z210" s="98" t="str">
        <f t="shared" si="40"/>
        <v/>
      </c>
      <c r="AA210" s="40" t="str">
        <f t="shared" si="46"/>
        <v/>
      </c>
      <c r="AB210" s="88"/>
      <c r="AC210" s="24"/>
      <c r="AD210" s="24"/>
      <c r="AE210" s="79" t="str">
        <f t="shared" si="41"/>
        <v/>
      </c>
      <c r="AF210" s="24"/>
      <c r="AG210" s="24"/>
      <c r="AH210" s="24"/>
      <c r="AI210" s="24"/>
      <c r="AJ210" s="99" t="str">
        <f t="shared" si="42"/>
        <v/>
      </c>
      <c r="AK210" s="31" t="str">
        <f t="shared" si="47"/>
        <v/>
      </c>
      <c r="AN210" s="139" t="str">
        <f>IF($K210="","",VLOOKUP($K210,'ORF Accuracy Value LookUp'!$G$4:$H$104,2,TRUE))</f>
        <v/>
      </c>
      <c r="AO210" s="94" t="str">
        <f t="shared" si="43"/>
        <v/>
      </c>
      <c r="AP210" s="47" t="str">
        <f>IF($U210="","",VLOOKUP($U210,'ORF Accuracy Value LookUp'!$G$4:$H$104,2,TRUE))</f>
        <v/>
      </c>
      <c r="AQ210" s="94" t="str">
        <f t="shared" si="44"/>
        <v/>
      </c>
      <c r="AR210" s="46" t="str">
        <f>IF($AE210="","",VLOOKUP($AE210,'ORF Accuracy Value LookUp'!$G$4:$H$104,2,TRUE))</f>
        <v/>
      </c>
      <c r="AS210" s="140" t="str">
        <f t="shared" si="45"/>
        <v/>
      </c>
    </row>
    <row r="211" spans="1:45">
      <c r="A211" s="10"/>
      <c r="B211" s="9"/>
      <c r="C211" s="9"/>
      <c r="D211" s="9"/>
      <c r="E211" s="10"/>
      <c r="F211" s="11"/>
      <c r="G211" s="15"/>
      <c r="H211" s="88"/>
      <c r="I211" s="24"/>
      <c r="J211" s="24"/>
      <c r="K211" s="114" t="str">
        <f t="shared" si="36"/>
        <v/>
      </c>
      <c r="L211" s="24"/>
      <c r="M211" s="24"/>
      <c r="N211" s="24"/>
      <c r="O211" s="24"/>
      <c r="P211" s="97" t="str">
        <f t="shared" si="37"/>
        <v/>
      </c>
      <c r="Q211" s="113" t="str">
        <f t="shared" si="38"/>
        <v/>
      </c>
      <c r="R211" s="88"/>
      <c r="S211" s="24"/>
      <c r="T211" s="24"/>
      <c r="U211" s="78" t="str">
        <f t="shared" si="39"/>
        <v/>
      </c>
      <c r="V211" s="24"/>
      <c r="W211" s="24"/>
      <c r="X211" s="24"/>
      <c r="Y211" s="24"/>
      <c r="Z211" s="98" t="str">
        <f t="shared" si="40"/>
        <v/>
      </c>
      <c r="AA211" s="40" t="str">
        <f t="shared" si="46"/>
        <v/>
      </c>
      <c r="AB211" s="88"/>
      <c r="AC211" s="24"/>
      <c r="AD211" s="24"/>
      <c r="AE211" s="79" t="str">
        <f t="shared" si="41"/>
        <v/>
      </c>
      <c r="AF211" s="24"/>
      <c r="AG211" s="24"/>
      <c r="AH211" s="24"/>
      <c r="AI211" s="24"/>
      <c r="AJ211" s="99" t="str">
        <f t="shared" si="42"/>
        <v/>
      </c>
      <c r="AK211" s="31" t="str">
        <f t="shared" si="47"/>
        <v/>
      </c>
      <c r="AN211" s="139" t="str">
        <f>IF($K211="","",VLOOKUP($K211,'ORF Accuracy Value LookUp'!$G$4:$H$104,2,TRUE))</f>
        <v/>
      </c>
      <c r="AO211" s="94" t="str">
        <f t="shared" si="43"/>
        <v/>
      </c>
      <c r="AP211" s="47" t="str">
        <f>IF($U211="","",VLOOKUP($U211,'ORF Accuracy Value LookUp'!$G$4:$H$104,2,TRUE))</f>
        <v/>
      </c>
      <c r="AQ211" s="94" t="str">
        <f t="shared" si="44"/>
        <v/>
      </c>
      <c r="AR211" s="46" t="str">
        <f>IF($AE211="","",VLOOKUP($AE211,'ORF Accuracy Value LookUp'!$G$4:$H$104,2,TRUE))</f>
        <v/>
      </c>
      <c r="AS211" s="140" t="str">
        <f t="shared" si="45"/>
        <v/>
      </c>
    </row>
    <row r="212" spans="1:45">
      <c r="A212" s="10"/>
      <c r="B212" s="9"/>
      <c r="C212" s="9"/>
      <c r="D212" s="9"/>
      <c r="E212" s="10"/>
      <c r="F212" s="11"/>
      <c r="G212" s="15"/>
      <c r="H212" s="88"/>
      <c r="I212" s="24"/>
      <c r="J212" s="24"/>
      <c r="K212" s="114" t="str">
        <f t="shared" si="36"/>
        <v/>
      </c>
      <c r="L212" s="24"/>
      <c r="M212" s="24"/>
      <c r="N212" s="24"/>
      <c r="O212" s="24"/>
      <c r="P212" s="97" t="str">
        <f t="shared" si="37"/>
        <v/>
      </c>
      <c r="Q212" s="113" t="str">
        <f t="shared" si="38"/>
        <v/>
      </c>
      <c r="R212" s="88"/>
      <c r="S212" s="24"/>
      <c r="T212" s="24"/>
      <c r="U212" s="78" t="str">
        <f t="shared" si="39"/>
        <v/>
      </c>
      <c r="V212" s="24"/>
      <c r="W212" s="24"/>
      <c r="X212" s="24"/>
      <c r="Y212" s="24"/>
      <c r="Z212" s="98" t="str">
        <f t="shared" si="40"/>
        <v/>
      </c>
      <c r="AA212" s="40" t="str">
        <f t="shared" si="46"/>
        <v/>
      </c>
      <c r="AB212" s="88"/>
      <c r="AC212" s="24"/>
      <c r="AD212" s="24"/>
      <c r="AE212" s="79" t="str">
        <f t="shared" si="41"/>
        <v/>
      </c>
      <c r="AF212" s="24"/>
      <c r="AG212" s="24"/>
      <c r="AH212" s="24"/>
      <c r="AI212" s="24"/>
      <c r="AJ212" s="99" t="str">
        <f t="shared" si="42"/>
        <v/>
      </c>
      <c r="AK212" s="31" t="str">
        <f t="shared" si="47"/>
        <v/>
      </c>
      <c r="AN212" s="139" t="str">
        <f>IF($K212="","",VLOOKUP($K212,'ORF Accuracy Value LookUp'!$G$4:$H$104,2,TRUE))</f>
        <v/>
      </c>
      <c r="AO212" s="94" t="str">
        <f t="shared" si="43"/>
        <v/>
      </c>
      <c r="AP212" s="47" t="str">
        <f>IF($U212="","",VLOOKUP($U212,'ORF Accuracy Value LookUp'!$G$4:$H$104,2,TRUE))</f>
        <v/>
      </c>
      <c r="AQ212" s="94" t="str">
        <f t="shared" si="44"/>
        <v/>
      </c>
      <c r="AR212" s="46" t="str">
        <f>IF($AE212="","",VLOOKUP($AE212,'ORF Accuracy Value LookUp'!$G$4:$H$104,2,TRUE))</f>
        <v/>
      </c>
      <c r="AS212" s="140" t="str">
        <f t="shared" si="45"/>
        <v/>
      </c>
    </row>
    <row r="213" spans="1:45">
      <c r="A213" s="10"/>
      <c r="B213" s="9"/>
      <c r="C213" s="9"/>
      <c r="D213" s="9"/>
      <c r="E213" s="10"/>
      <c r="F213" s="11"/>
      <c r="G213" s="15"/>
      <c r="H213" s="88"/>
      <c r="I213" s="24"/>
      <c r="J213" s="24"/>
      <c r="K213" s="114" t="str">
        <f t="shared" si="36"/>
        <v/>
      </c>
      <c r="L213" s="24"/>
      <c r="M213" s="24"/>
      <c r="N213" s="24"/>
      <c r="O213" s="24"/>
      <c r="P213" s="97" t="str">
        <f t="shared" si="37"/>
        <v/>
      </c>
      <c r="Q213" s="113" t="str">
        <f t="shared" si="38"/>
        <v/>
      </c>
      <c r="R213" s="88"/>
      <c r="S213" s="24"/>
      <c r="T213" s="24"/>
      <c r="U213" s="78" t="str">
        <f t="shared" si="39"/>
        <v/>
      </c>
      <c r="V213" s="24"/>
      <c r="W213" s="24"/>
      <c r="X213" s="24"/>
      <c r="Y213" s="24"/>
      <c r="Z213" s="98" t="str">
        <f t="shared" si="40"/>
        <v/>
      </c>
      <c r="AA213" s="40" t="str">
        <f t="shared" si="46"/>
        <v/>
      </c>
      <c r="AB213" s="88"/>
      <c r="AC213" s="24"/>
      <c r="AD213" s="24"/>
      <c r="AE213" s="79" t="str">
        <f t="shared" si="41"/>
        <v/>
      </c>
      <c r="AF213" s="24"/>
      <c r="AG213" s="24"/>
      <c r="AH213" s="24"/>
      <c r="AI213" s="24"/>
      <c r="AJ213" s="99" t="str">
        <f t="shared" si="42"/>
        <v/>
      </c>
      <c r="AK213" s="31" t="str">
        <f t="shared" si="47"/>
        <v/>
      </c>
      <c r="AN213" s="139" t="str">
        <f>IF($K213="","",VLOOKUP($K213,'ORF Accuracy Value LookUp'!$G$4:$H$104,2,TRUE))</f>
        <v/>
      </c>
      <c r="AO213" s="94" t="str">
        <f t="shared" si="43"/>
        <v/>
      </c>
      <c r="AP213" s="47" t="str">
        <f>IF($U213="","",VLOOKUP($U213,'ORF Accuracy Value LookUp'!$G$4:$H$104,2,TRUE))</f>
        <v/>
      </c>
      <c r="AQ213" s="94" t="str">
        <f t="shared" si="44"/>
        <v/>
      </c>
      <c r="AR213" s="46" t="str">
        <f>IF($AE213="","",VLOOKUP($AE213,'ORF Accuracy Value LookUp'!$G$4:$H$104,2,TRUE))</f>
        <v/>
      </c>
      <c r="AS213" s="140" t="str">
        <f t="shared" si="45"/>
        <v/>
      </c>
    </row>
    <row r="214" spans="1:45">
      <c r="A214" s="10"/>
      <c r="B214" s="9"/>
      <c r="C214" s="9"/>
      <c r="D214" s="9"/>
      <c r="E214" s="10"/>
      <c r="F214" s="11"/>
      <c r="G214" s="15"/>
      <c r="H214" s="88"/>
      <c r="I214" s="24"/>
      <c r="J214" s="24"/>
      <c r="K214" s="114" t="str">
        <f t="shared" si="36"/>
        <v/>
      </c>
      <c r="L214" s="24"/>
      <c r="M214" s="24"/>
      <c r="N214" s="24"/>
      <c r="O214" s="24"/>
      <c r="P214" s="97" t="str">
        <f t="shared" si="37"/>
        <v/>
      </c>
      <c r="Q214" s="113" t="str">
        <f t="shared" si="38"/>
        <v/>
      </c>
      <c r="R214" s="88"/>
      <c r="S214" s="24"/>
      <c r="T214" s="24"/>
      <c r="U214" s="78" t="str">
        <f t="shared" si="39"/>
        <v/>
      </c>
      <c r="V214" s="24"/>
      <c r="W214" s="24"/>
      <c r="X214" s="24"/>
      <c r="Y214" s="24"/>
      <c r="Z214" s="98" t="str">
        <f t="shared" si="40"/>
        <v/>
      </c>
      <c r="AA214" s="40" t="str">
        <f t="shared" si="46"/>
        <v/>
      </c>
      <c r="AB214" s="88"/>
      <c r="AC214" s="24"/>
      <c r="AD214" s="24"/>
      <c r="AE214" s="79" t="str">
        <f t="shared" si="41"/>
        <v/>
      </c>
      <c r="AF214" s="24"/>
      <c r="AG214" s="24"/>
      <c r="AH214" s="24"/>
      <c r="AI214" s="24"/>
      <c r="AJ214" s="99" t="str">
        <f t="shared" si="42"/>
        <v/>
      </c>
      <c r="AK214" s="31" t="str">
        <f t="shared" si="47"/>
        <v/>
      </c>
      <c r="AN214" s="139" t="str">
        <f>IF($K214="","",VLOOKUP($K214,'ORF Accuracy Value LookUp'!$G$4:$H$104,2,TRUE))</f>
        <v/>
      </c>
      <c r="AO214" s="94" t="str">
        <f t="shared" si="43"/>
        <v/>
      </c>
      <c r="AP214" s="47" t="str">
        <f>IF($U214="","",VLOOKUP($U214,'ORF Accuracy Value LookUp'!$G$4:$H$104,2,TRUE))</f>
        <v/>
      </c>
      <c r="AQ214" s="94" t="str">
        <f t="shared" si="44"/>
        <v/>
      </c>
      <c r="AR214" s="46" t="str">
        <f>IF($AE214="","",VLOOKUP($AE214,'ORF Accuracy Value LookUp'!$G$4:$H$104,2,TRUE))</f>
        <v/>
      </c>
      <c r="AS214" s="140" t="str">
        <f t="shared" si="45"/>
        <v/>
      </c>
    </row>
    <row r="215" spans="1:45">
      <c r="A215" s="10"/>
      <c r="B215" s="9"/>
      <c r="C215" s="9"/>
      <c r="D215" s="9"/>
      <c r="E215" s="10"/>
      <c r="F215" s="11"/>
      <c r="G215" s="15"/>
      <c r="H215" s="88"/>
      <c r="I215" s="24"/>
      <c r="J215" s="24"/>
      <c r="K215" s="114" t="str">
        <f t="shared" si="36"/>
        <v/>
      </c>
      <c r="L215" s="24"/>
      <c r="M215" s="24"/>
      <c r="N215" s="24"/>
      <c r="O215" s="24"/>
      <c r="P215" s="97" t="str">
        <f t="shared" si="37"/>
        <v/>
      </c>
      <c r="Q215" s="113" t="str">
        <f t="shared" si="38"/>
        <v/>
      </c>
      <c r="R215" s="88"/>
      <c r="S215" s="24"/>
      <c r="T215" s="24"/>
      <c r="U215" s="78" t="str">
        <f t="shared" si="39"/>
        <v/>
      </c>
      <c r="V215" s="24"/>
      <c r="W215" s="24"/>
      <c r="X215" s="24"/>
      <c r="Y215" s="24"/>
      <c r="Z215" s="98" t="str">
        <f t="shared" si="40"/>
        <v/>
      </c>
      <c r="AA215" s="40" t="str">
        <f t="shared" si="46"/>
        <v/>
      </c>
      <c r="AB215" s="88"/>
      <c r="AC215" s="24"/>
      <c r="AD215" s="24"/>
      <c r="AE215" s="79" t="str">
        <f t="shared" si="41"/>
        <v/>
      </c>
      <c r="AF215" s="24"/>
      <c r="AG215" s="24"/>
      <c r="AH215" s="24"/>
      <c r="AI215" s="24"/>
      <c r="AJ215" s="99" t="str">
        <f t="shared" si="42"/>
        <v/>
      </c>
      <c r="AK215" s="31" t="str">
        <f t="shared" si="47"/>
        <v/>
      </c>
      <c r="AN215" s="139" t="str">
        <f>IF($K215="","",VLOOKUP($K215,'ORF Accuracy Value LookUp'!$G$4:$H$104,2,TRUE))</f>
        <v/>
      </c>
      <c r="AO215" s="94" t="str">
        <f t="shared" si="43"/>
        <v/>
      </c>
      <c r="AP215" s="47" t="str">
        <f>IF($U215="","",VLOOKUP($U215,'ORF Accuracy Value LookUp'!$G$4:$H$104,2,TRUE))</f>
        <v/>
      </c>
      <c r="AQ215" s="94" t="str">
        <f t="shared" si="44"/>
        <v/>
      </c>
      <c r="AR215" s="46" t="str">
        <f>IF($AE215="","",VLOOKUP($AE215,'ORF Accuracy Value LookUp'!$G$4:$H$104,2,TRUE))</f>
        <v/>
      </c>
      <c r="AS215" s="140" t="str">
        <f t="shared" si="45"/>
        <v/>
      </c>
    </row>
    <row r="216" spans="1:45">
      <c r="A216" s="10"/>
      <c r="B216" s="9"/>
      <c r="C216" s="9"/>
      <c r="D216" s="9"/>
      <c r="E216" s="10"/>
      <c r="F216" s="11"/>
      <c r="G216" s="15"/>
      <c r="H216" s="88"/>
      <c r="I216" s="24"/>
      <c r="J216" s="24"/>
      <c r="K216" s="114" t="str">
        <f t="shared" si="36"/>
        <v/>
      </c>
      <c r="L216" s="24"/>
      <c r="M216" s="24"/>
      <c r="N216" s="24"/>
      <c r="O216" s="24"/>
      <c r="P216" s="97" t="str">
        <f t="shared" si="37"/>
        <v/>
      </c>
      <c r="Q216" s="113" t="str">
        <f t="shared" si="38"/>
        <v/>
      </c>
      <c r="R216" s="88"/>
      <c r="S216" s="24"/>
      <c r="T216" s="24"/>
      <c r="U216" s="78" t="str">
        <f t="shared" si="39"/>
        <v/>
      </c>
      <c r="V216" s="24"/>
      <c r="W216" s="24"/>
      <c r="X216" s="24"/>
      <c r="Y216" s="24"/>
      <c r="Z216" s="98" t="str">
        <f t="shared" si="40"/>
        <v/>
      </c>
      <c r="AA216" s="40" t="str">
        <f t="shared" si="46"/>
        <v/>
      </c>
      <c r="AB216" s="88"/>
      <c r="AC216" s="24"/>
      <c r="AD216" s="24"/>
      <c r="AE216" s="79" t="str">
        <f t="shared" si="41"/>
        <v/>
      </c>
      <c r="AF216" s="24"/>
      <c r="AG216" s="24"/>
      <c r="AH216" s="24"/>
      <c r="AI216" s="24"/>
      <c r="AJ216" s="99" t="str">
        <f t="shared" si="42"/>
        <v/>
      </c>
      <c r="AK216" s="31" t="str">
        <f t="shared" si="47"/>
        <v/>
      </c>
      <c r="AN216" s="139" t="str">
        <f>IF($K216="","",VLOOKUP($K216,'ORF Accuracy Value LookUp'!$G$4:$H$104,2,TRUE))</f>
        <v/>
      </c>
      <c r="AO216" s="94" t="str">
        <f t="shared" si="43"/>
        <v/>
      </c>
      <c r="AP216" s="47" t="str">
        <f>IF($U216="","",VLOOKUP($U216,'ORF Accuracy Value LookUp'!$G$4:$H$104,2,TRUE))</f>
        <v/>
      </c>
      <c r="AQ216" s="94" t="str">
        <f t="shared" si="44"/>
        <v/>
      </c>
      <c r="AR216" s="46" t="str">
        <f>IF($AE216="","",VLOOKUP($AE216,'ORF Accuracy Value LookUp'!$G$4:$H$104,2,TRUE))</f>
        <v/>
      </c>
      <c r="AS216" s="140" t="str">
        <f t="shared" si="45"/>
        <v/>
      </c>
    </row>
    <row r="217" spans="1:45">
      <c r="A217" s="10"/>
      <c r="B217" s="9"/>
      <c r="C217" s="9"/>
      <c r="D217" s="9"/>
      <c r="E217" s="10"/>
      <c r="F217" s="11"/>
      <c r="G217" s="15"/>
      <c r="H217" s="88"/>
      <c r="I217" s="24"/>
      <c r="J217" s="24"/>
      <c r="K217" s="114" t="str">
        <f t="shared" si="36"/>
        <v/>
      </c>
      <c r="L217" s="24"/>
      <c r="M217" s="24"/>
      <c r="N217" s="24"/>
      <c r="O217" s="24"/>
      <c r="P217" s="97" t="str">
        <f t="shared" si="37"/>
        <v/>
      </c>
      <c r="Q217" s="113" t="str">
        <f t="shared" si="38"/>
        <v/>
      </c>
      <c r="R217" s="88"/>
      <c r="S217" s="24"/>
      <c r="T217" s="24"/>
      <c r="U217" s="78" t="str">
        <f t="shared" si="39"/>
        <v/>
      </c>
      <c r="V217" s="24"/>
      <c r="W217" s="24"/>
      <c r="X217" s="24"/>
      <c r="Y217" s="24"/>
      <c r="Z217" s="98" t="str">
        <f t="shared" si="40"/>
        <v/>
      </c>
      <c r="AA217" s="40" t="str">
        <f t="shared" si="46"/>
        <v/>
      </c>
      <c r="AB217" s="88"/>
      <c r="AC217" s="24"/>
      <c r="AD217" s="24"/>
      <c r="AE217" s="79" t="str">
        <f t="shared" si="41"/>
        <v/>
      </c>
      <c r="AF217" s="24"/>
      <c r="AG217" s="24"/>
      <c r="AH217" s="24"/>
      <c r="AI217" s="24"/>
      <c r="AJ217" s="99" t="str">
        <f t="shared" si="42"/>
        <v/>
      </c>
      <c r="AK217" s="31" t="str">
        <f t="shared" si="47"/>
        <v/>
      </c>
      <c r="AN217" s="139" t="str">
        <f>IF($K217="","",VLOOKUP($K217,'ORF Accuracy Value LookUp'!$G$4:$H$104,2,TRUE))</f>
        <v/>
      </c>
      <c r="AO217" s="94" t="str">
        <f t="shared" si="43"/>
        <v/>
      </c>
      <c r="AP217" s="47" t="str">
        <f>IF($U217="","",VLOOKUP($U217,'ORF Accuracy Value LookUp'!$G$4:$H$104,2,TRUE))</f>
        <v/>
      </c>
      <c r="AQ217" s="94" t="str">
        <f t="shared" si="44"/>
        <v/>
      </c>
      <c r="AR217" s="46" t="str">
        <f>IF($AE217="","",VLOOKUP($AE217,'ORF Accuracy Value LookUp'!$G$4:$H$104,2,TRUE))</f>
        <v/>
      </c>
      <c r="AS217" s="140" t="str">
        <f t="shared" si="45"/>
        <v/>
      </c>
    </row>
    <row r="218" spans="1:45">
      <c r="A218" s="10"/>
      <c r="B218" s="9"/>
      <c r="C218" s="9"/>
      <c r="D218" s="9"/>
      <c r="E218" s="10"/>
      <c r="F218" s="11"/>
      <c r="G218" s="15"/>
      <c r="H218" s="88"/>
      <c r="I218" s="24"/>
      <c r="J218" s="24"/>
      <c r="K218" s="114" t="str">
        <f t="shared" si="36"/>
        <v/>
      </c>
      <c r="L218" s="24"/>
      <c r="M218" s="24"/>
      <c r="N218" s="24"/>
      <c r="O218" s="24"/>
      <c r="P218" s="97" t="str">
        <f t="shared" si="37"/>
        <v/>
      </c>
      <c r="Q218" s="113" t="str">
        <f t="shared" si="38"/>
        <v/>
      </c>
      <c r="R218" s="88"/>
      <c r="S218" s="24"/>
      <c r="T218" s="24"/>
      <c r="U218" s="78" t="str">
        <f t="shared" si="39"/>
        <v/>
      </c>
      <c r="V218" s="24"/>
      <c r="W218" s="24"/>
      <c r="X218" s="24"/>
      <c r="Y218" s="24"/>
      <c r="Z218" s="98" t="str">
        <f t="shared" si="40"/>
        <v/>
      </c>
      <c r="AA218" s="40" t="str">
        <f t="shared" si="46"/>
        <v/>
      </c>
      <c r="AB218" s="88"/>
      <c r="AC218" s="24"/>
      <c r="AD218" s="24"/>
      <c r="AE218" s="79" t="str">
        <f t="shared" si="41"/>
        <v/>
      </c>
      <c r="AF218" s="24"/>
      <c r="AG218" s="24"/>
      <c r="AH218" s="24"/>
      <c r="AI218" s="24"/>
      <c r="AJ218" s="99" t="str">
        <f t="shared" si="42"/>
        <v/>
      </c>
      <c r="AK218" s="31" t="str">
        <f t="shared" si="47"/>
        <v/>
      </c>
      <c r="AN218" s="139" t="str">
        <f>IF($K218="","",VLOOKUP($K218,'ORF Accuracy Value LookUp'!$G$4:$H$104,2,TRUE))</f>
        <v/>
      </c>
      <c r="AO218" s="94" t="str">
        <f t="shared" si="43"/>
        <v/>
      </c>
      <c r="AP218" s="47" t="str">
        <f>IF($U218="","",VLOOKUP($U218,'ORF Accuracy Value LookUp'!$G$4:$H$104,2,TRUE))</f>
        <v/>
      </c>
      <c r="AQ218" s="94" t="str">
        <f t="shared" si="44"/>
        <v/>
      </c>
      <c r="AR218" s="46" t="str">
        <f>IF($AE218="","",VLOOKUP($AE218,'ORF Accuracy Value LookUp'!$G$4:$H$104,2,TRUE))</f>
        <v/>
      </c>
      <c r="AS218" s="140" t="str">
        <f t="shared" si="45"/>
        <v/>
      </c>
    </row>
    <row r="219" spans="1:45">
      <c r="A219" s="10"/>
      <c r="B219" s="9"/>
      <c r="C219" s="9"/>
      <c r="D219" s="9"/>
      <c r="E219" s="10"/>
      <c r="F219" s="11"/>
      <c r="G219" s="15"/>
      <c r="H219" s="88"/>
      <c r="I219" s="24"/>
      <c r="J219" s="24"/>
      <c r="K219" s="114" t="str">
        <f t="shared" si="36"/>
        <v/>
      </c>
      <c r="L219" s="24"/>
      <c r="M219" s="24"/>
      <c r="N219" s="24"/>
      <c r="O219" s="24"/>
      <c r="P219" s="97" t="str">
        <f t="shared" si="37"/>
        <v/>
      </c>
      <c r="Q219" s="113" t="str">
        <f t="shared" si="38"/>
        <v/>
      </c>
      <c r="R219" s="88"/>
      <c r="S219" s="24"/>
      <c r="T219" s="24"/>
      <c r="U219" s="78" t="str">
        <f t="shared" si="39"/>
        <v/>
      </c>
      <c r="V219" s="24"/>
      <c r="W219" s="24"/>
      <c r="X219" s="24"/>
      <c r="Y219" s="24"/>
      <c r="Z219" s="98" t="str">
        <f t="shared" si="40"/>
        <v/>
      </c>
      <c r="AA219" s="40" t="str">
        <f t="shared" si="46"/>
        <v/>
      </c>
      <c r="AB219" s="88"/>
      <c r="AC219" s="24"/>
      <c r="AD219" s="24"/>
      <c r="AE219" s="79" t="str">
        <f t="shared" si="41"/>
        <v/>
      </c>
      <c r="AF219" s="24"/>
      <c r="AG219" s="24"/>
      <c r="AH219" s="24"/>
      <c r="AI219" s="24"/>
      <c r="AJ219" s="99" t="str">
        <f t="shared" si="42"/>
        <v/>
      </c>
      <c r="AK219" s="31" t="str">
        <f t="shared" si="47"/>
        <v/>
      </c>
      <c r="AN219" s="139" t="str">
        <f>IF($K219="","",VLOOKUP($K219,'ORF Accuracy Value LookUp'!$G$4:$H$104,2,TRUE))</f>
        <v/>
      </c>
      <c r="AO219" s="94" t="str">
        <f t="shared" si="43"/>
        <v/>
      </c>
      <c r="AP219" s="47" t="str">
        <f>IF($U219="","",VLOOKUP($U219,'ORF Accuracy Value LookUp'!$G$4:$H$104,2,TRUE))</f>
        <v/>
      </c>
      <c r="AQ219" s="94" t="str">
        <f t="shared" si="44"/>
        <v/>
      </c>
      <c r="AR219" s="46" t="str">
        <f>IF($AE219="","",VLOOKUP($AE219,'ORF Accuracy Value LookUp'!$G$4:$H$104,2,TRUE))</f>
        <v/>
      </c>
      <c r="AS219" s="140" t="str">
        <f t="shared" si="45"/>
        <v/>
      </c>
    </row>
    <row r="220" spans="1:45">
      <c r="A220" s="10"/>
      <c r="B220" s="9"/>
      <c r="C220" s="9"/>
      <c r="D220" s="9"/>
      <c r="E220" s="10"/>
      <c r="F220" s="11"/>
      <c r="G220" s="15"/>
      <c r="H220" s="88"/>
      <c r="I220" s="24"/>
      <c r="J220" s="24"/>
      <c r="K220" s="114" t="str">
        <f t="shared" si="36"/>
        <v/>
      </c>
      <c r="L220" s="24"/>
      <c r="M220" s="24"/>
      <c r="N220" s="24"/>
      <c r="O220" s="24"/>
      <c r="P220" s="97" t="str">
        <f t="shared" si="37"/>
        <v/>
      </c>
      <c r="Q220" s="113" t="str">
        <f t="shared" si="38"/>
        <v/>
      </c>
      <c r="R220" s="88"/>
      <c r="S220" s="24"/>
      <c r="T220" s="24"/>
      <c r="U220" s="78" t="str">
        <f t="shared" si="39"/>
        <v/>
      </c>
      <c r="V220" s="24"/>
      <c r="W220" s="24"/>
      <c r="X220" s="24"/>
      <c r="Y220" s="24"/>
      <c r="Z220" s="98" t="str">
        <f t="shared" si="40"/>
        <v/>
      </c>
      <c r="AA220" s="40" t="str">
        <f t="shared" si="46"/>
        <v/>
      </c>
      <c r="AB220" s="88"/>
      <c r="AC220" s="24"/>
      <c r="AD220" s="24"/>
      <c r="AE220" s="79" t="str">
        <f t="shared" si="41"/>
        <v/>
      </c>
      <c r="AF220" s="24"/>
      <c r="AG220" s="24"/>
      <c r="AH220" s="24"/>
      <c r="AI220" s="24"/>
      <c r="AJ220" s="99" t="str">
        <f t="shared" si="42"/>
        <v/>
      </c>
      <c r="AK220" s="31" t="str">
        <f t="shared" si="47"/>
        <v/>
      </c>
      <c r="AN220" s="139" t="str">
        <f>IF($K220="","",VLOOKUP($K220,'ORF Accuracy Value LookUp'!$G$4:$H$104,2,TRUE))</f>
        <v/>
      </c>
      <c r="AO220" s="94" t="str">
        <f t="shared" si="43"/>
        <v/>
      </c>
      <c r="AP220" s="47" t="str">
        <f>IF($U220="","",VLOOKUP($U220,'ORF Accuracy Value LookUp'!$G$4:$H$104,2,TRUE))</f>
        <v/>
      </c>
      <c r="AQ220" s="94" t="str">
        <f t="shared" si="44"/>
        <v/>
      </c>
      <c r="AR220" s="46" t="str">
        <f>IF($AE220="","",VLOOKUP($AE220,'ORF Accuracy Value LookUp'!$G$4:$H$104,2,TRUE))</f>
        <v/>
      </c>
      <c r="AS220" s="140" t="str">
        <f t="shared" si="45"/>
        <v/>
      </c>
    </row>
    <row r="221" spans="1:45">
      <c r="A221" s="10"/>
      <c r="B221" s="9"/>
      <c r="C221" s="9"/>
      <c r="D221" s="9"/>
      <c r="E221" s="10"/>
      <c r="F221" s="11"/>
      <c r="G221" s="15"/>
      <c r="H221" s="88"/>
      <c r="I221" s="24"/>
      <c r="J221" s="24"/>
      <c r="K221" s="114" t="str">
        <f t="shared" si="36"/>
        <v/>
      </c>
      <c r="L221" s="24"/>
      <c r="M221" s="24"/>
      <c r="N221" s="24"/>
      <c r="O221" s="24"/>
      <c r="P221" s="97" t="str">
        <f t="shared" si="37"/>
        <v/>
      </c>
      <c r="Q221" s="113" t="str">
        <f t="shared" si="38"/>
        <v/>
      </c>
      <c r="R221" s="88"/>
      <c r="S221" s="24"/>
      <c r="T221" s="24"/>
      <c r="U221" s="78" t="str">
        <f t="shared" si="39"/>
        <v/>
      </c>
      <c r="V221" s="24"/>
      <c r="W221" s="24"/>
      <c r="X221" s="24"/>
      <c r="Y221" s="24"/>
      <c r="Z221" s="98" t="str">
        <f t="shared" si="40"/>
        <v/>
      </c>
      <c r="AA221" s="40" t="str">
        <f t="shared" si="46"/>
        <v/>
      </c>
      <c r="AB221" s="88"/>
      <c r="AC221" s="24"/>
      <c r="AD221" s="24"/>
      <c r="AE221" s="79" t="str">
        <f t="shared" si="41"/>
        <v/>
      </c>
      <c r="AF221" s="24"/>
      <c r="AG221" s="24"/>
      <c r="AH221" s="24"/>
      <c r="AI221" s="24"/>
      <c r="AJ221" s="99" t="str">
        <f t="shared" si="42"/>
        <v/>
      </c>
      <c r="AK221" s="31" t="str">
        <f t="shared" si="47"/>
        <v/>
      </c>
      <c r="AN221" s="139" t="str">
        <f>IF($K221="","",VLOOKUP($K221,'ORF Accuracy Value LookUp'!$G$4:$H$104,2,TRUE))</f>
        <v/>
      </c>
      <c r="AO221" s="94" t="str">
        <f t="shared" si="43"/>
        <v/>
      </c>
      <c r="AP221" s="47" t="str">
        <f>IF($U221="","",VLOOKUP($U221,'ORF Accuracy Value LookUp'!$G$4:$H$104,2,TRUE))</f>
        <v/>
      </c>
      <c r="AQ221" s="94" t="str">
        <f t="shared" si="44"/>
        <v/>
      </c>
      <c r="AR221" s="46" t="str">
        <f>IF($AE221="","",VLOOKUP($AE221,'ORF Accuracy Value LookUp'!$G$4:$H$104,2,TRUE))</f>
        <v/>
      </c>
      <c r="AS221" s="140" t="str">
        <f t="shared" si="45"/>
        <v/>
      </c>
    </row>
    <row r="222" spans="1:45">
      <c r="A222" s="10"/>
      <c r="B222" s="9"/>
      <c r="C222" s="9"/>
      <c r="D222" s="9"/>
      <c r="E222" s="10"/>
      <c r="F222" s="11"/>
      <c r="G222" s="15"/>
      <c r="H222" s="88"/>
      <c r="I222" s="24"/>
      <c r="J222" s="24"/>
      <c r="K222" s="114" t="str">
        <f t="shared" si="36"/>
        <v/>
      </c>
      <c r="L222" s="24"/>
      <c r="M222" s="24"/>
      <c r="N222" s="24"/>
      <c r="O222" s="24"/>
      <c r="P222" s="97" t="str">
        <f t="shared" si="37"/>
        <v/>
      </c>
      <c r="Q222" s="113" t="str">
        <f t="shared" si="38"/>
        <v/>
      </c>
      <c r="R222" s="88"/>
      <c r="S222" s="24"/>
      <c r="T222" s="24"/>
      <c r="U222" s="78" t="str">
        <f t="shared" si="39"/>
        <v/>
      </c>
      <c r="V222" s="24"/>
      <c r="W222" s="24"/>
      <c r="X222" s="24"/>
      <c r="Y222" s="24"/>
      <c r="Z222" s="98" t="str">
        <f t="shared" si="40"/>
        <v/>
      </c>
      <c r="AA222" s="40" t="str">
        <f t="shared" si="46"/>
        <v/>
      </c>
      <c r="AB222" s="88"/>
      <c r="AC222" s="24"/>
      <c r="AD222" s="24"/>
      <c r="AE222" s="79" t="str">
        <f t="shared" si="41"/>
        <v/>
      </c>
      <c r="AF222" s="24"/>
      <c r="AG222" s="24"/>
      <c r="AH222" s="24"/>
      <c r="AI222" s="24"/>
      <c r="AJ222" s="99" t="str">
        <f t="shared" si="42"/>
        <v/>
      </c>
      <c r="AK222" s="31" t="str">
        <f t="shared" si="47"/>
        <v/>
      </c>
      <c r="AN222" s="139" t="str">
        <f>IF($K222="","",VLOOKUP($K222,'ORF Accuracy Value LookUp'!$G$4:$H$104,2,TRUE))</f>
        <v/>
      </c>
      <c r="AO222" s="94" t="str">
        <f t="shared" si="43"/>
        <v/>
      </c>
      <c r="AP222" s="47" t="str">
        <f>IF($U222="","",VLOOKUP($U222,'ORF Accuracy Value LookUp'!$G$4:$H$104,2,TRUE))</f>
        <v/>
      </c>
      <c r="AQ222" s="94" t="str">
        <f t="shared" si="44"/>
        <v/>
      </c>
      <c r="AR222" s="46" t="str">
        <f>IF($AE222="","",VLOOKUP($AE222,'ORF Accuracy Value LookUp'!$G$4:$H$104,2,TRUE))</f>
        <v/>
      </c>
      <c r="AS222" s="140" t="str">
        <f t="shared" si="45"/>
        <v/>
      </c>
    </row>
    <row r="223" spans="1:45">
      <c r="A223" s="10"/>
      <c r="B223" s="9"/>
      <c r="C223" s="9"/>
      <c r="D223" s="9"/>
      <c r="E223" s="10"/>
      <c r="F223" s="11"/>
      <c r="G223" s="15"/>
      <c r="H223" s="88"/>
      <c r="I223" s="24"/>
      <c r="J223" s="24"/>
      <c r="K223" s="114" t="str">
        <f t="shared" si="36"/>
        <v/>
      </c>
      <c r="L223" s="24"/>
      <c r="M223" s="24"/>
      <c r="N223" s="24"/>
      <c r="O223" s="24"/>
      <c r="P223" s="97" t="str">
        <f t="shared" si="37"/>
        <v/>
      </c>
      <c r="Q223" s="113" t="str">
        <f t="shared" si="38"/>
        <v/>
      </c>
      <c r="R223" s="88"/>
      <c r="S223" s="24"/>
      <c r="T223" s="24"/>
      <c r="U223" s="78" t="str">
        <f t="shared" si="39"/>
        <v/>
      </c>
      <c r="V223" s="24"/>
      <c r="W223" s="24"/>
      <c r="X223" s="24"/>
      <c r="Y223" s="24"/>
      <c r="Z223" s="98" t="str">
        <f t="shared" si="40"/>
        <v/>
      </c>
      <c r="AA223" s="40" t="str">
        <f t="shared" si="46"/>
        <v/>
      </c>
      <c r="AB223" s="88"/>
      <c r="AC223" s="24"/>
      <c r="AD223" s="24"/>
      <c r="AE223" s="79" t="str">
        <f t="shared" si="41"/>
        <v/>
      </c>
      <c r="AF223" s="24"/>
      <c r="AG223" s="24"/>
      <c r="AH223" s="24"/>
      <c r="AI223" s="24"/>
      <c r="AJ223" s="99" t="str">
        <f t="shared" si="42"/>
        <v/>
      </c>
      <c r="AK223" s="31" t="str">
        <f t="shared" si="47"/>
        <v/>
      </c>
      <c r="AN223" s="139" t="str">
        <f>IF($K223="","",VLOOKUP($K223,'ORF Accuracy Value LookUp'!$G$4:$H$104,2,TRUE))</f>
        <v/>
      </c>
      <c r="AO223" s="94" t="str">
        <f t="shared" si="43"/>
        <v/>
      </c>
      <c r="AP223" s="47" t="str">
        <f>IF($U223="","",VLOOKUP($U223,'ORF Accuracy Value LookUp'!$G$4:$H$104,2,TRUE))</f>
        <v/>
      </c>
      <c r="AQ223" s="94" t="str">
        <f t="shared" si="44"/>
        <v/>
      </c>
      <c r="AR223" s="46" t="str">
        <f>IF($AE223="","",VLOOKUP($AE223,'ORF Accuracy Value LookUp'!$G$4:$H$104,2,TRUE))</f>
        <v/>
      </c>
      <c r="AS223" s="140" t="str">
        <f t="shared" si="45"/>
        <v/>
      </c>
    </row>
    <row r="224" spans="1:45">
      <c r="A224" s="10"/>
      <c r="B224" s="9"/>
      <c r="C224" s="9"/>
      <c r="D224" s="9"/>
      <c r="E224" s="10"/>
      <c r="F224" s="11"/>
      <c r="G224" s="15"/>
      <c r="H224" s="88"/>
      <c r="I224" s="24"/>
      <c r="J224" s="24"/>
      <c r="K224" s="114" t="str">
        <f t="shared" si="36"/>
        <v/>
      </c>
      <c r="L224" s="24"/>
      <c r="M224" s="24"/>
      <c r="N224" s="24"/>
      <c r="O224" s="24"/>
      <c r="P224" s="97" t="str">
        <f t="shared" si="37"/>
        <v/>
      </c>
      <c r="Q224" s="113" t="str">
        <f t="shared" si="38"/>
        <v/>
      </c>
      <c r="R224" s="88"/>
      <c r="S224" s="24"/>
      <c r="T224" s="24"/>
      <c r="U224" s="78" t="str">
        <f t="shared" si="39"/>
        <v/>
      </c>
      <c r="V224" s="24"/>
      <c r="W224" s="24"/>
      <c r="X224" s="24"/>
      <c r="Y224" s="24"/>
      <c r="Z224" s="98" t="str">
        <f t="shared" si="40"/>
        <v/>
      </c>
      <c r="AA224" s="40" t="str">
        <f t="shared" si="46"/>
        <v/>
      </c>
      <c r="AB224" s="88"/>
      <c r="AC224" s="24"/>
      <c r="AD224" s="24"/>
      <c r="AE224" s="79" t="str">
        <f t="shared" si="41"/>
        <v/>
      </c>
      <c r="AF224" s="24"/>
      <c r="AG224" s="24"/>
      <c r="AH224" s="24"/>
      <c r="AI224" s="24"/>
      <c r="AJ224" s="99" t="str">
        <f t="shared" si="42"/>
        <v/>
      </c>
      <c r="AK224" s="31" t="str">
        <f t="shared" si="47"/>
        <v/>
      </c>
      <c r="AN224" s="139" t="str">
        <f>IF($K224="","",VLOOKUP($K224,'ORF Accuracy Value LookUp'!$G$4:$H$104,2,TRUE))</f>
        <v/>
      </c>
      <c r="AO224" s="94" t="str">
        <f t="shared" si="43"/>
        <v/>
      </c>
      <c r="AP224" s="47" t="str">
        <f>IF($U224="","",VLOOKUP($U224,'ORF Accuracy Value LookUp'!$G$4:$H$104,2,TRUE))</f>
        <v/>
      </c>
      <c r="AQ224" s="94" t="str">
        <f t="shared" si="44"/>
        <v/>
      </c>
      <c r="AR224" s="46" t="str">
        <f>IF($AE224="","",VLOOKUP($AE224,'ORF Accuracy Value LookUp'!$G$4:$H$104,2,TRUE))</f>
        <v/>
      </c>
      <c r="AS224" s="140" t="str">
        <f t="shared" si="45"/>
        <v/>
      </c>
    </row>
    <row r="225" spans="1:45">
      <c r="A225" s="10"/>
      <c r="B225" s="9"/>
      <c r="C225" s="9"/>
      <c r="D225" s="9"/>
      <c r="E225" s="10"/>
      <c r="F225" s="11"/>
      <c r="G225" s="15"/>
      <c r="H225" s="88"/>
      <c r="I225" s="24"/>
      <c r="J225" s="24"/>
      <c r="K225" s="114" t="str">
        <f t="shared" si="36"/>
        <v/>
      </c>
      <c r="L225" s="24"/>
      <c r="M225" s="24"/>
      <c r="N225" s="24"/>
      <c r="O225" s="24"/>
      <c r="P225" s="97" t="str">
        <f t="shared" si="37"/>
        <v/>
      </c>
      <c r="Q225" s="113" t="str">
        <f t="shared" si="38"/>
        <v/>
      </c>
      <c r="R225" s="88"/>
      <c r="S225" s="24"/>
      <c r="T225" s="24"/>
      <c r="U225" s="78" t="str">
        <f t="shared" si="39"/>
        <v/>
      </c>
      <c r="V225" s="24"/>
      <c r="W225" s="24"/>
      <c r="X225" s="24"/>
      <c r="Y225" s="24"/>
      <c r="Z225" s="98" t="str">
        <f t="shared" si="40"/>
        <v/>
      </c>
      <c r="AA225" s="40" t="str">
        <f t="shared" si="46"/>
        <v/>
      </c>
      <c r="AB225" s="88"/>
      <c r="AC225" s="24"/>
      <c r="AD225" s="24"/>
      <c r="AE225" s="79" t="str">
        <f t="shared" si="41"/>
        <v/>
      </c>
      <c r="AF225" s="24"/>
      <c r="AG225" s="24"/>
      <c r="AH225" s="24"/>
      <c r="AI225" s="24"/>
      <c r="AJ225" s="99" t="str">
        <f t="shared" si="42"/>
        <v/>
      </c>
      <c r="AK225" s="31" t="str">
        <f t="shared" si="47"/>
        <v/>
      </c>
      <c r="AN225" s="139" t="str">
        <f>IF($K225="","",VLOOKUP($K225,'ORF Accuracy Value LookUp'!$G$4:$H$104,2,TRUE))</f>
        <v/>
      </c>
      <c r="AO225" s="94" t="str">
        <f t="shared" si="43"/>
        <v/>
      </c>
      <c r="AP225" s="47" t="str">
        <f>IF($U225="","",VLOOKUP($U225,'ORF Accuracy Value LookUp'!$G$4:$H$104,2,TRUE))</f>
        <v/>
      </c>
      <c r="AQ225" s="94" t="str">
        <f t="shared" si="44"/>
        <v/>
      </c>
      <c r="AR225" s="46" t="str">
        <f>IF($AE225="","",VLOOKUP($AE225,'ORF Accuracy Value LookUp'!$G$4:$H$104,2,TRUE))</f>
        <v/>
      </c>
      <c r="AS225" s="140" t="str">
        <f t="shared" si="45"/>
        <v/>
      </c>
    </row>
    <row r="226" spans="1:45">
      <c r="A226" s="10"/>
      <c r="B226" s="9"/>
      <c r="C226" s="9"/>
      <c r="D226" s="9"/>
      <c r="E226" s="10"/>
      <c r="F226" s="11"/>
      <c r="G226" s="15"/>
      <c r="H226" s="88"/>
      <c r="I226" s="24"/>
      <c r="J226" s="24"/>
      <c r="K226" s="114" t="str">
        <f t="shared" si="36"/>
        <v/>
      </c>
      <c r="L226" s="24"/>
      <c r="M226" s="24"/>
      <c r="N226" s="24"/>
      <c r="O226" s="24"/>
      <c r="P226" s="97" t="str">
        <f t="shared" si="37"/>
        <v/>
      </c>
      <c r="Q226" s="113" t="str">
        <f t="shared" si="38"/>
        <v/>
      </c>
      <c r="R226" s="88"/>
      <c r="S226" s="24"/>
      <c r="T226" s="24"/>
      <c r="U226" s="78" t="str">
        <f t="shared" si="39"/>
        <v/>
      </c>
      <c r="V226" s="24"/>
      <c r="W226" s="24"/>
      <c r="X226" s="24"/>
      <c r="Y226" s="24"/>
      <c r="Z226" s="98" t="str">
        <f t="shared" si="40"/>
        <v/>
      </c>
      <c r="AA226" s="40" t="str">
        <f t="shared" si="46"/>
        <v/>
      </c>
      <c r="AB226" s="88"/>
      <c r="AC226" s="24"/>
      <c r="AD226" s="24"/>
      <c r="AE226" s="79" t="str">
        <f t="shared" si="41"/>
        <v/>
      </c>
      <c r="AF226" s="24"/>
      <c r="AG226" s="24"/>
      <c r="AH226" s="24"/>
      <c r="AI226" s="24"/>
      <c r="AJ226" s="99" t="str">
        <f t="shared" si="42"/>
        <v/>
      </c>
      <c r="AK226" s="31" t="str">
        <f t="shared" si="47"/>
        <v/>
      </c>
      <c r="AN226" s="139" t="str">
        <f>IF($K226="","",VLOOKUP($K226,'ORF Accuracy Value LookUp'!$G$4:$H$104,2,TRUE))</f>
        <v/>
      </c>
      <c r="AO226" s="94" t="str">
        <f t="shared" si="43"/>
        <v/>
      </c>
      <c r="AP226" s="47" t="str">
        <f>IF($U226="","",VLOOKUP($U226,'ORF Accuracy Value LookUp'!$G$4:$H$104,2,TRUE))</f>
        <v/>
      </c>
      <c r="AQ226" s="94" t="str">
        <f t="shared" si="44"/>
        <v/>
      </c>
      <c r="AR226" s="46" t="str">
        <f>IF($AE226="","",VLOOKUP($AE226,'ORF Accuracy Value LookUp'!$G$4:$H$104,2,TRUE))</f>
        <v/>
      </c>
      <c r="AS226" s="140" t="str">
        <f t="shared" si="45"/>
        <v/>
      </c>
    </row>
    <row r="227" spans="1:45">
      <c r="A227" s="10"/>
      <c r="B227" s="9"/>
      <c r="C227" s="9"/>
      <c r="D227" s="9"/>
      <c r="E227" s="10"/>
      <c r="F227" s="11"/>
      <c r="G227" s="15"/>
      <c r="H227" s="88"/>
      <c r="I227" s="24"/>
      <c r="J227" s="24"/>
      <c r="K227" s="114" t="str">
        <f t="shared" si="36"/>
        <v/>
      </c>
      <c r="L227" s="24"/>
      <c r="M227" s="24"/>
      <c r="N227" s="24"/>
      <c r="O227" s="24"/>
      <c r="P227" s="97" t="str">
        <f t="shared" si="37"/>
        <v/>
      </c>
      <c r="Q227" s="113" t="str">
        <f t="shared" si="38"/>
        <v/>
      </c>
      <c r="R227" s="88"/>
      <c r="S227" s="24"/>
      <c r="T227" s="24"/>
      <c r="U227" s="78" t="str">
        <f t="shared" si="39"/>
        <v/>
      </c>
      <c r="V227" s="24"/>
      <c r="W227" s="24"/>
      <c r="X227" s="24"/>
      <c r="Y227" s="24"/>
      <c r="Z227" s="98" t="str">
        <f t="shared" si="40"/>
        <v/>
      </c>
      <c r="AA227" s="40" t="str">
        <f t="shared" si="46"/>
        <v/>
      </c>
      <c r="AB227" s="88"/>
      <c r="AC227" s="24"/>
      <c r="AD227" s="24"/>
      <c r="AE227" s="79" t="str">
        <f t="shared" si="41"/>
        <v/>
      </c>
      <c r="AF227" s="24"/>
      <c r="AG227" s="24"/>
      <c r="AH227" s="24"/>
      <c r="AI227" s="24"/>
      <c r="AJ227" s="99" t="str">
        <f t="shared" si="42"/>
        <v/>
      </c>
      <c r="AK227" s="31" t="str">
        <f t="shared" si="47"/>
        <v/>
      </c>
      <c r="AN227" s="139" t="str">
        <f>IF($K227="","",VLOOKUP($K227,'ORF Accuracy Value LookUp'!$G$4:$H$104,2,TRUE))</f>
        <v/>
      </c>
      <c r="AO227" s="94" t="str">
        <f t="shared" si="43"/>
        <v/>
      </c>
      <c r="AP227" s="47" t="str">
        <f>IF($U227="","",VLOOKUP($U227,'ORF Accuracy Value LookUp'!$G$4:$H$104,2,TRUE))</f>
        <v/>
      </c>
      <c r="AQ227" s="94" t="str">
        <f t="shared" si="44"/>
        <v/>
      </c>
      <c r="AR227" s="46" t="str">
        <f>IF($AE227="","",VLOOKUP($AE227,'ORF Accuracy Value LookUp'!$G$4:$H$104,2,TRUE))</f>
        <v/>
      </c>
      <c r="AS227" s="140" t="str">
        <f t="shared" si="45"/>
        <v/>
      </c>
    </row>
    <row r="228" spans="1:45">
      <c r="A228" s="10"/>
      <c r="B228" s="9"/>
      <c r="C228" s="9"/>
      <c r="D228" s="9"/>
      <c r="E228" s="10"/>
      <c r="F228" s="11"/>
      <c r="G228" s="15"/>
      <c r="H228" s="88"/>
      <c r="I228" s="24"/>
      <c r="J228" s="24"/>
      <c r="K228" s="114" t="str">
        <f t="shared" si="36"/>
        <v/>
      </c>
      <c r="L228" s="24"/>
      <c r="M228" s="24"/>
      <c r="N228" s="24"/>
      <c r="O228" s="24"/>
      <c r="P228" s="97" t="str">
        <f t="shared" si="37"/>
        <v/>
      </c>
      <c r="Q228" s="113" t="str">
        <f t="shared" si="38"/>
        <v/>
      </c>
      <c r="R228" s="88"/>
      <c r="S228" s="24"/>
      <c r="T228" s="24"/>
      <c r="U228" s="78" t="str">
        <f t="shared" si="39"/>
        <v/>
      </c>
      <c r="V228" s="24"/>
      <c r="W228" s="24"/>
      <c r="X228" s="24"/>
      <c r="Y228" s="24"/>
      <c r="Z228" s="98" t="str">
        <f t="shared" si="40"/>
        <v/>
      </c>
      <c r="AA228" s="40" t="str">
        <f t="shared" si="46"/>
        <v/>
      </c>
      <c r="AB228" s="88"/>
      <c r="AC228" s="24"/>
      <c r="AD228" s="24"/>
      <c r="AE228" s="79" t="str">
        <f t="shared" si="41"/>
        <v/>
      </c>
      <c r="AF228" s="24"/>
      <c r="AG228" s="24"/>
      <c r="AH228" s="24"/>
      <c r="AI228" s="24"/>
      <c r="AJ228" s="99" t="str">
        <f t="shared" si="42"/>
        <v/>
      </c>
      <c r="AK228" s="31" t="str">
        <f t="shared" si="47"/>
        <v/>
      </c>
      <c r="AN228" s="139" t="str">
        <f>IF($K228="","",VLOOKUP($K228,'ORF Accuracy Value LookUp'!$G$4:$H$104,2,TRUE))</f>
        <v/>
      </c>
      <c r="AO228" s="94" t="str">
        <f t="shared" si="43"/>
        <v/>
      </c>
      <c r="AP228" s="47" t="str">
        <f>IF($U228="","",VLOOKUP($U228,'ORF Accuracy Value LookUp'!$G$4:$H$104,2,TRUE))</f>
        <v/>
      </c>
      <c r="AQ228" s="94" t="str">
        <f t="shared" si="44"/>
        <v/>
      </c>
      <c r="AR228" s="46" t="str">
        <f>IF($AE228="","",VLOOKUP($AE228,'ORF Accuracy Value LookUp'!$G$4:$H$104,2,TRUE))</f>
        <v/>
      </c>
      <c r="AS228" s="140" t="str">
        <f t="shared" si="45"/>
        <v/>
      </c>
    </row>
    <row r="229" spans="1:45">
      <c r="A229" s="10"/>
      <c r="B229" s="9"/>
      <c r="C229" s="9"/>
      <c r="D229" s="9"/>
      <c r="E229" s="10"/>
      <c r="F229" s="11"/>
      <c r="G229" s="15"/>
      <c r="H229" s="88"/>
      <c r="I229" s="24"/>
      <c r="J229" s="24"/>
      <c r="K229" s="114" t="str">
        <f t="shared" si="36"/>
        <v/>
      </c>
      <c r="L229" s="24"/>
      <c r="M229" s="24"/>
      <c r="N229" s="24"/>
      <c r="O229" s="24"/>
      <c r="P229" s="97" t="str">
        <f t="shared" si="37"/>
        <v/>
      </c>
      <c r="Q229" s="113" t="str">
        <f t="shared" si="38"/>
        <v/>
      </c>
      <c r="R229" s="88"/>
      <c r="S229" s="24"/>
      <c r="T229" s="24"/>
      <c r="U229" s="78" t="str">
        <f t="shared" si="39"/>
        <v/>
      </c>
      <c r="V229" s="24"/>
      <c r="W229" s="24"/>
      <c r="X229" s="24"/>
      <c r="Y229" s="24"/>
      <c r="Z229" s="98" t="str">
        <f t="shared" si="40"/>
        <v/>
      </c>
      <c r="AA229" s="40" t="str">
        <f t="shared" si="46"/>
        <v/>
      </c>
      <c r="AB229" s="88"/>
      <c r="AC229" s="24"/>
      <c r="AD229" s="24"/>
      <c r="AE229" s="79" t="str">
        <f t="shared" si="41"/>
        <v/>
      </c>
      <c r="AF229" s="24"/>
      <c r="AG229" s="24"/>
      <c r="AH229" s="24"/>
      <c r="AI229" s="24"/>
      <c r="AJ229" s="99" t="str">
        <f t="shared" si="42"/>
        <v/>
      </c>
      <c r="AK229" s="31" t="str">
        <f t="shared" si="47"/>
        <v/>
      </c>
      <c r="AN229" s="139" t="str">
        <f>IF($K229="","",VLOOKUP($K229,'ORF Accuracy Value LookUp'!$G$4:$H$104,2,TRUE))</f>
        <v/>
      </c>
      <c r="AO229" s="94" t="str">
        <f t="shared" si="43"/>
        <v/>
      </c>
      <c r="AP229" s="47" t="str">
        <f>IF($U229="","",VLOOKUP($U229,'ORF Accuracy Value LookUp'!$G$4:$H$104,2,TRUE))</f>
        <v/>
      </c>
      <c r="AQ229" s="94" t="str">
        <f t="shared" si="44"/>
        <v/>
      </c>
      <c r="AR229" s="46" t="str">
        <f>IF($AE229="","",VLOOKUP($AE229,'ORF Accuracy Value LookUp'!$G$4:$H$104,2,TRUE))</f>
        <v/>
      </c>
      <c r="AS229" s="140" t="str">
        <f t="shared" si="45"/>
        <v/>
      </c>
    </row>
    <row r="230" spans="1:45">
      <c r="A230" s="10"/>
      <c r="B230" s="9"/>
      <c r="C230" s="9"/>
      <c r="D230" s="9"/>
      <c r="E230" s="10"/>
      <c r="F230" s="11"/>
      <c r="G230" s="15"/>
      <c r="H230" s="88"/>
      <c r="I230" s="24"/>
      <c r="J230" s="24"/>
      <c r="K230" s="114" t="str">
        <f t="shared" si="36"/>
        <v/>
      </c>
      <c r="L230" s="24"/>
      <c r="M230" s="24"/>
      <c r="N230" s="24"/>
      <c r="O230" s="24"/>
      <c r="P230" s="97" t="str">
        <f t="shared" si="37"/>
        <v/>
      </c>
      <c r="Q230" s="113" t="str">
        <f t="shared" si="38"/>
        <v/>
      </c>
      <c r="R230" s="88"/>
      <c r="S230" s="24"/>
      <c r="T230" s="24"/>
      <c r="U230" s="78" t="str">
        <f t="shared" si="39"/>
        <v/>
      </c>
      <c r="V230" s="24"/>
      <c r="W230" s="24"/>
      <c r="X230" s="24"/>
      <c r="Y230" s="24"/>
      <c r="Z230" s="98" t="str">
        <f t="shared" si="40"/>
        <v/>
      </c>
      <c r="AA230" s="40" t="str">
        <f t="shared" si="46"/>
        <v/>
      </c>
      <c r="AB230" s="88"/>
      <c r="AC230" s="24"/>
      <c r="AD230" s="24"/>
      <c r="AE230" s="79" t="str">
        <f t="shared" si="41"/>
        <v/>
      </c>
      <c r="AF230" s="24"/>
      <c r="AG230" s="24"/>
      <c r="AH230" s="24"/>
      <c r="AI230" s="24"/>
      <c r="AJ230" s="99" t="str">
        <f t="shared" si="42"/>
        <v/>
      </c>
      <c r="AK230" s="31" t="str">
        <f t="shared" si="47"/>
        <v/>
      </c>
      <c r="AN230" s="139" t="str">
        <f>IF($K230="","",VLOOKUP($K230,'ORF Accuracy Value LookUp'!$G$4:$H$104,2,TRUE))</f>
        <v/>
      </c>
      <c r="AO230" s="94" t="str">
        <f t="shared" si="43"/>
        <v/>
      </c>
      <c r="AP230" s="47" t="str">
        <f>IF($U230="","",VLOOKUP($U230,'ORF Accuracy Value LookUp'!$G$4:$H$104,2,TRUE))</f>
        <v/>
      </c>
      <c r="AQ230" s="94" t="str">
        <f t="shared" si="44"/>
        <v/>
      </c>
      <c r="AR230" s="46" t="str">
        <f>IF($AE230="","",VLOOKUP($AE230,'ORF Accuracy Value LookUp'!$G$4:$H$104,2,TRUE))</f>
        <v/>
      </c>
      <c r="AS230" s="140" t="str">
        <f t="shared" si="45"/>
        <v/>
      </c>
    </row>
    <row r="231" spans="1:45">
      <c r="A231" s="10"/>
      <c r="B231" s="9"/>
      <c r="C231" s="9"/>
      <c r="D231" s="9"/>
      <c r="E231" s="10"/>
      <c r="F231" s="11"/>
      <c r="G231" s="15"/>
      <c r="H231" s="88"/>
      <c r="I231" s="24"/>
      <c r="J231" s="24"/>
      <c r="K231" s="114" t="str">
        <f t="shared" si="36"/>
        <v/>
      </c>
      <c r="L231" s="24"/>
      <c r="M231" s="24"/>
      <c r="N231" s="24"/>
      <c r="O231" s="24"/>
      <c r="P231" s="97" t="str">
        <f t="shared" si="37"/>
        <v/>
      </c>
      <c r="Q231" s="113" t="str">
        <f t="shared" si="38"/>
        <v/>
      </c>
      <c r="R231" s="88"/>
      <c r="S231" s="24"/>
      <c r="T231" s="24"/>
      <c r="U231" s="78" t="str">
        <f t="shared" si="39"/>
        <v/>
      </c>
      <c r="V231" s="24"/>
      <c r="W231" s="24"/>
      <c r="X231" s="24"/>
      <c r="Y231" s="24"/>
      <c r="Z231" s="98" t="str">
        <f t="shared" si="40"/>
        <v/>
      </c>
      <c r="AA231" s="40" t="str">
        <f t="shared" si="46"/>
        <v/>
      </c>
      <c r="AB231" s="88"/>
      <c r="AC231" s="24"/>
      <c r="AD231" s="24"/>
      <c r="AE231" s="79" t="str">
        <f t="shared" si="41"/>
        <v/>
      </c>
      <c r="AF231" s="24"/>
      <c r="AG231" s="24"/>
      <c r="AH231" s="24"/>
      <c r="AI231" s="24"/>
      <c r="AJ231" s="99" t="str">
        <f t="shared" si="42"/>
        <v/>
      </c>
      <c r="AK231" s="31" t="str">
        <f t="shared" si="47"/>
        <v/>
      </c>
      <c r="AN231" s="139" t="str">
        <f>IF($K231="","",VLOOKUP($K231,'ORF Accuracy Value LookUp'!$G$4:$H$104,2,TRUE))</f>
        <v/>
      </c>
      <c r="AO231" s="94" t="str">
        <f t="shared" si="43"/>
        <v/>
      </c>
      <c r="AP231" s="47" t="str">
        <f>IF($U231="","",VLOOKUP($U231,'ORF Accuracy Value LookUp'!$G$4:$H$104,2,TRUE))</f>
        <v/>
      </c>
      <c r="AQ231" s="94" t="str">
        <f t="shared" si="44"/>
        <v/>
      </c>
      <c r="AR231" s="46" t="str">
        <f>IF($AE231="","",VLOOKUP($AE231,'ORF Accuracy Value LookUp'!$G$4:$H$104,2,TRUE))</f>
        <v/>
      </c>
      <c r="AS231" s="140" t="str">
        <f t="shared" si="45"/>
        <v/>
      </c>
    </row>
    <row r="232" spans="1:45">
      <c r="A232" s="10"/>
      <c r="B232" s="9"/>
      <c r="C232" s="9"/>
      <c r="D232" s="9"/>
      <c r="E232" s="10"/>
      <c r="F232" s="11"/>
      <c r="G232" s="15"/>
      <c r="H232" s="88"/>
      <c r="I232" s="24"/>
      <c r="J232" s="24"/>
      <c r="K232" s="114" t="str">
        <f t="shared" si="36"/>
        <v/>
      </c>
      <c r="L232" s="24"/>
      <c r="M232" s="24"/>
      <c r="N232" s="24"/>
      <c r="O232" s="24"/>
      <c r="P232" s="97" t="str">
        <f t="shared" si="37"/>
        <v/>
      </c>
      <c r="Q232" s="113" t="str">
        <f t="shared" si="38"/>
        <v/>
      </c>
      <c r="R232" s="88"/>
      <c r="S232" s="24"/>
      <c r="T232" s="24"/>
      <c r="U232" s="78" t="str">
        <f t="shared" si="39"/>
        <v/>
      </c>
      <c r="V232" s="24"/>
      <c r="W232" s="24"/>
      <c r="X232" s="24"/>
      <c r="Y232" s="24"/>
      <c r="Z232" s="98" t="str">
        <f t="shared" si="40"/>
        <v/>
      </c>
      <c r="AA232" s="40" t="str">
        <f t="shared" si="46"/>
        <v/>
      </c>
      <c r="AB232" s="88"/>
      <c r="AC232" s="24"/>
      <c r="AD232" s="24"/>
      <c r="AE232" s="79" t="str">
        <f t="shared" si="41"/>
        <v/>
      </c>
      <c r="AF232" s="24"/>
      <c r="AG232" s="24"/>
      <c r="AH232" s="24"/>
      <c r="AI232" s="24"/>
      <c r="AJ232" s="99" t="str">
        <f t="shared" si="42"/>
        <v/>
      </c>
      <c r="AK232" s="31" t="str">
        <f t="shared" si="47"/>
        <v/>
      </c>
      <c r="AN232" s="139" t="str">
        <f>IF($K232="","",VLOOKUP($K232,'ORF Accuracy Value LookUp'!$G$4:$H$104,2,TRUE))</f>
        <v/>
      </c>
      <c r="AO232" s="94" t="str">
        <f t="shared" si="43"/>
        <v/>
      </c>
      <c r="AP232" s="47" t="str">
        <f>IF($U232="","",VLOOKUP($U232,'ORF Accuracy Value LookUp'!$G$4:$H$104,2,TRUE))</f>
        <v/>
      </c>
      <c r="AQ232" s="94" t="str">
        <f t="shared" si="44"/>
        <v/>
      </c>
      <c r="AR232" s="46" t="str">
        <f>IF($AE232="","",VLOOKUP($AE232,'ORF Accuracy Value LookUp'!$G$4:$H$104,2,TRUE))</f>
        <v/>
      </c>
      <c r="AS232" s="140" t="str">
        <f t="shared" si="45"/>
        <v/>
      </c>
    </row>
    <row r="233" spans="1:45">
      <c r="A233" s="10"/>
      <c r="B233" s="9"/>
      <c r="C233" s="9"/>
      <c r="D233" s="9"/>
      <c r="E233" s="10"/>
      <c r="F233" s="11"/>
      <c r="G233" s="15"/>
      <c r="H233" s="88"/>
      <c r="I233" s="24"/>
      <c r="J233" s="24"/>
      <c r="K233" s="114" t="str">
        <f t="shared" si="36"/>
        <v/>
      </c>
      <c r="L233" s="24"/>
      <c r="M233" s="24"/>
      <c r="N233" s="24"/>
      <c r="O233" s="24"/>
      <c r="P233" s="97" t="str">
        <f t="shared" si="37"/>
        <v/>
      </c>
      <c r="Q233" s="113" t="str">
        <f t="shared" si="38"/>
        <v/>
      </c>
      <c r="R233" s="88"/>
      <c r="S233" s="24"/>
      <c r="T233" s="24"/>
      <c r="U233" s="78" t="str">
        <f t="shared" si="39"/>
        <v/>
      </c>
      <c r="V233" s="24"/>
      <c r="W233" s="24"/>
      <c r="X233" s="24"/>
      <c r="Y233" s="24"/>
      <c r="Z233" s="98" t="str">
        <f t="shared" si="40"/>
        <v/>
      </c>
      <c r="AA233" s="40" t="str">
        <f t="shared" si="46"/>
        <v/>
      </c>
      <c r="AB233" s="88"/>
      <c r="AC233" s="24"/>
      <c r="AD233" s="24"/>
      <c r="AE233" s="79" t="str">
        <f t="shared" si="41"/>
        <v/>
      </c>
      <c r="AF233" s="24"/>
      <c r="AG233" s="24"/>
      <c r="AH233" s="24"/>
      <c r="AI233" s="24"/>
      <c r="AJ233" s="99" t="str">
        <f t="shared" si="42"/>
        <v/>
      </c>
      <c r="AK233" s="31" t="str">
        <f t="shared" si="47"/>
        <v/>
      </c>
      <c r="AN233" s="139" t="str">
        <f>IF($K233="","",VLOOKUP($K233,'ORF Accuracy Value LookUp'!$G$4:$H$104,2,TRUE))</f>
        <v/>
      </c>
      <c r="AO233" s="94" t="str">
        <f t="shared" si="43"/>
        <v/>
      </c>
      <c r="AP233" s="47" t="str">
        <f>IF($U233="","",VLOOKUP($U233,'ORF Accuracy Value LookUp'!$G$4:$H$104,2,TRUE))</f>
        <v/>
      </c>
      <c r="AQ233" s="94" t="str">
        <f t="shared" si="44"/>
        <v/>
      </c>
      <c r="AR233" s="46" t="str">
        <f>IF($AE233="","",VLOOKUP($AE233,'ORF Accuracy Value LookUp'!$G$4:$H$104,2,TRUE))</f>
        <v/>
      </c>
      <c r="AS233" s="140" t="str">
        <f t="shared" si="45"/>
        <v/>
      </c>
    </row>
    <row r="234" spans="1:45">
      <c r="A234" s="10"/>
      <c r="B234" s="9"/>
      <c r="C234" s="9"/>
      <c r="D234" s="9"/>
      <c r="E234" s="10"/>
      <c r="F234" s="11"/>
      <c r="G234" s="15"/>
      <c r="H234" s="88"/>
      <c r="I234" s="24"/>
      <c r="J234" s="24"/>
      <c r="K234" s="114" t="str">
        <f t="shared" si="36"/>
        <v/>
      </c>
      <c r="L234" s="24"/>
      <c r="M234" s="24"/>
      <c r="N234" s="24"/>
      <c r="O234" s="24"/>
      <c r="P234" s="97" t="str">
        <f t="shared" si="37"/>
        <v/>
      </c>
      <c r="Q234" s="113" t="str">
        <f t="shared" si="38"/>
        <v/>
      </c>
      <c r="R234" s="88"/>
      <c r="S234" s="24"/>
      <c r="T234" s="24"/>
      <c r="U234" s="78" t="str">
        <f t="shared" si="39"/>
        <v/>
      </c>
      <c r="V234" s="24"/>
      <c r="W234" s="24"/>
      <c r="X234" s="24"/>
      <c r="Y234" s="24"/>
      <c r="Z234" s="98" t="str">
        <f t="shared" si="40"/>
        <v/>
      </c>
      <c r="AA234" s="40" t="str">
        <f t="shared" si="46"/>
        <v/>
      </c>
      <c r="AB234" s="88"/>
      <c r="AC234" s="24"/>
      <c r="AD234" s="24"/>
      <c r="AE234" s="79" t="str">
        <f t="shared" si="41"/>
        <v/>
      </c>
      <c r="AF234" s="24"/>
      <c r="AG234" s="24"/>
      <c r="AH234" s="24"/>
      <c r="AI234" s="24"/>
      <c r="AJ234" s="99" t="str">
        <f t="shared" si="42"/>
        <v/>
      </c>
      <c r="AK234" s="31" t="str">
        <f t="shared" si="47"/>
        <v/>
      </c>
      <c r="AN234" s="139" t="str">
        <f>IF($K234="","",VLOOKUP($K234,'ORF Accuracy Value LookUp'!$G$4:$H$104,2,TRUE))</f>
        <v/>
      </c>
      <c r="AO234" s="94" t="str">
        <f t="shared" si="43"/>
        <v/>
      </c>
      <c r="AP234" s="47" t="str">
        <f>IF($U234="","",VLOOKUP($U234,'ORF Accuracy Value LookUp'!$G$4:$H$104,2,TRUE))</f>
        <v/>
      </c>
      <c r="AQ234" s="94" t="str">
        <f t="shared" si="44"/>
        <v/>
      </c>
      <c r="AR234" s="46" t="str">
        <f>IF($AE234="","",VLOOKUP($AE234,'ORF Accuracy Value LookUp'!$G$4:$H$104,2,TRUE))</f>
        <v/>
      </c>
      <c r="AS234" s="140" t="str">
        <f t="shared" si="45"/>
        <v/>
      </c>
    </row>
    <row r="235" spans="1:45">
      <c r="A235" s="10"/>
      <c r="B235" s="9"/>
      <c r="C235" s="9"/>
      <c r="D235" s="9"/>
      <c r="E235" s="10"/>
      <c r="F235" s="11"/>
      <c r="G235" s="15"/>
      <c r="H235" s="88"/>
      <c r="I235" s="24"/>
      <c r="J235" s="24"/>
      <c r="K235" s="114" t="str">
        <f t="shared" si="36"/>
        <v/>
      </c>
      <c r="L235" s="24"/>
      <c r="M235" s="24"/>
      <c r="N235" s="24"/>
      <c r="O235" s="24"/>
      <c r="P235" s="97" t="str">
        <f t="shared" si="37"/>
        <v/>
      </c>
      <c r="Q235" s="113" t="str">
        <f t="shared" si="38"/>
        <v/>
      </c>
      <c r="R235" s="88"/>
      <c r="S235" s="24"/>
      <c r="T235" s="24"/>
      <c r="U235" s="78" t="str">
        <f t="shared" si="39"/>
        <v/>
      </c>
      <c r="V235" s="24"/>
      <c r="W235" s="24"/>
      <c r="X235" s="24"/>
      <c r="Y235" s="24"/>
      <c r="Z235" s="98" t="str">
        <f t="shared" si="40"/>
        <v/>
      </c>
      <c r="AA235" s="40" t="str">
        <f t="shared" si="46"/>
        <v/>
      </c>
      <c r="AB235" s="88"/>
      <c r="AC235" s="24"/>
      <c r="AD235" s="24"/>
      <c r="AE235" s="79" t="str">
        <f t="shared" si="41"/>
        <v/>
      </c>
      <c r="AF235" s="24"/>
      <c r="AG235" s="24"/>
      <c r="AH235" s="24"/>
      <c r="AI235" s="24"/>
      <c r="AJ235" s="99" t="str">
        <f t="shared" si="42"/>
        <v/>
      </c>
      <c r="AK235" s="31" t="str">
        <f t="shared" si="47"/>
        <v/>
      </c>
      <c r="AN235" s="139" t="str">
        <f>IF($K235="","",VLOOKUP($K235,'ORF Accuracy Value LookUp'!$G$4:$H$104,2,TRUE))</f>
        <v/>
      </c>
      <c r="AO235" s="94" t="str">
        <f t="shared" si="43"/>
        <v/>
      </c>
      <c r="AP235" s="47" t="str">
        <f>IF($U235="","",VLOOKUP($U235,'ORF Accuracy Value LookUp'!$G$4:$H$104,2,TRUE))</f>
        <v/>
      </c>
      <c r="AQ235" s="94" t="str">
        <f t="shared" si="44"/>
        <v/>
      </c>
      <c r="AR235" s="46" t="str">
        <f>IF($AE235="","",VLOOKUP($AE235,'ORF Accuracy Value LookUp'!$G$4:$H$104,2,TRUE))</f>
        <v/>
      </c>
      <c r="AS235" s="140" t="str">
        <f t="shared" si="45"/>
        <v/>
      </c>
    </row>
    <row r="236" spans="1:45">
      <c r="A236" s="10"/>
      <c r="B236" s="9"/>
      <c r="C236" s="9"/>
      <c r="D236" s="9"/>
      <c r="E236" s="10"/>
      <c r="F236" s="11"/>
      <c r="G236" s="15"/>
      <c r="H236" s="88"/>
      <c r="I236" s="24"/>
      <c r="J236" s="24"/>
      <c r="K236" s="114" t="str">
        <f t="shared" si="36"/>
        <v/>
      </c>
      <c r="L236" s="24"/>
      <c r="M236" s="24"/>
      <c r="N236" s="24"/>
      <c r="O236" s="24"/>
      <c r="P236" s="97" t="str">
        <f t="shared" si="37"/>
        <v/>
      </c>
      <c r="Q236" s="113" t="str">
        <f t="shared" si="38"/>
        <v/>
      </c>
      <c r="R236" s="88"/>
      <c r="S236" s="24"/>
      <c r="T236" s="24"/>
      <c r="U236" s="78" t="str">
        <f t="shared" si="39"/>
        <v/>
      </c>
      <c r="V236" s="24"/>
      <c r="W236" s="24"/>
      <c r="X236" s="24"/>
      <c r="Y236" s="24"/>
      <c r="Z236" s="98" t="str">
        <f t="shared" si="40"/>
        <v/>
      </c>
      <c r="AA236" s="40" t="str">
        <f t="shared" si="46"/>
        <v/>
      </c>
      <c r="AB236" s="88"/>
      <c r="AC236" s="24"/>
      <c r="AD236" s="24"/>
      <c r="AE236" s="79" t="str">
        <f t="shared" si="41"/>
        <v/>
      </c>
      <c r="AF236" s="24"/>
      <c r="AG236" s="24"/>
      <c r="AH236" s="24"/>
      <c r="AI236" s="24"/>
      <c r="AJ236" s="99" t="str">
        <f t="shared" si="42"/>
        <v/>
      </c>
      <c r="AK236" s="31" t="str">
        <f t="shared" si="47"/>
        <v/>
      </c>
      <c r="AN236" s="139" t="str">
        <f>IF($K236="","",VLOOKUP($K236,'ORF Accuracy Value LookUp'!$G$4:$H$104,2,TRUE))</f>
        <v/>
      </c>
      <c r="AO236" s="94" t="str">
        <f t="shared" si="43"/>
        <v/>
      </c>
      <c r="AP236" s="47" t="str">
        <f>IF($U236="","",VLOOKUP($U236,'ORF Accuracy Value LookUp'!$G$4:$H$104,2,TRUE))</f>
        <v/>
      </c>
      <c r="AQ236" s="94" t="str">
        <f t="shared" si="44"/>
        <v/>
      </c>
      <c r="AR236" s="46" t="str">
        <f>IF($AE236="","",VLOOKUP($AE236,'ORF Accuracy Value LookUp'!$G$4:$H$104,2,TRUE))</f>
        <v/>
      </c>
      <c r="AS236" s="140" t="str">
        <f t="shared" si="45"/>
        <v/>
      </c>
    </row>
    <row r="237" spans="1:45">
      <c r="A237" s="10"/>
      <c r="B237" s="9"/>
      <c r="C237" s="9"/>
      <c r="D237" s="9"/>
      <c r="E237" s="10"/>
      <c r="F237" s="11"/>
      <c r="G237" s="15"/>
      <c r="H237" s="88"/>
      <c r="I237" s="24"/>
      <c r="J237" s="24"/>
      <c r="K237" s="114" t="str">
        <f t="shared" si="36"/>
        <v/>
      </c>
      <c r="L237" s="24"/>
      <c r="M237" s="24"/>
      <c r="N237" s="24"/>
      <c r="O237" s="24"/>
      <c r="P237" s="97" t="str">
        <f t="shared" si="37"/>
        <v/>
      </c>
      <c r="Q237" s="113" t="str">
        <f t="shared" si="38"/>
        <v/>
      </c>
      <c r="R237" s="88"/>
      <c r="S237" s="24"/>
      <c r="T237" s="24"/>
      <c r="U237" s="78" t="str">
        <f t="shared" si="39"/>
        <v/>
      </c>
      <c r="V237" s="24"/>
      <c r="W237" s="24"/>
      <c r="X237" s="24"/>
      <c r="Y237" s="24"/>
      <c r="Z237" s="98" t="str">
        <f t="shared" si="40"/>
        <v/>
      </c>
      <c r="AA237" s="40" t="str">
        <f t="shared" si="46"/>
        <v/>
      </c>
      <c r="AB237" s="88"/>
      <c r="AC237" s="24"/>
      <c r="AD237" s="24"/>
      <c r="AE237" s="79" t="str">
        <f t="shared" si="41"/>
        <v/>
      </c>
      <c r="AF237" s="24"/>
      <c r="AG237" s="24"/>
      <c r="AH237" s="24"/>
      <c r="AI237" s="24"/>
      <c r="AJ237" s="99" t="str">
        <f t="shared" si="42"/>
        <v/>
      </c>
      <c r="AK237" s="31" t="str">
        <f t="shared" si="47"/>
        <v/>
      </c>
      <c r="AN237" s="139" t="str">
        <f>IF($K237="","",VLOOKUP($K237,'ORF Accuracy Value LookUp'!$G$4:$H$104,2,TRUE))</f>
        <v/>
      </c>
      <c r="AO237" s="94" t="str">
        <f t="shared" si="43"/>
        <v/>
      </c>
      <c r="AP237" s="47" t="str">
        <f>IF($U237="","",VLOOKUP($U237,'ORF Accuracy Value LookUp'!$G$4:$H$104,2,TRUE))</f>
        <v/>
      </c>
      <c r="AQ237" s="94" t="str">
        <f t="shared" si="44"/>
        <v/>
      </c>
      <c r="AR237" s="46" t="str">
        <f>IF($AE237="","",VLOOKUP($AE237,'ORF Accuracy Value LookUp'!$G$4:$H$104,2,TRUE))</f>
        <v/>
      </c>
      <c r="AS237" s="140" t="str">
        <f t="shared" si="45"/>
        <v/>
      </c>
    </row>
    <row r="238" spans="1:45">
      <c r="A238" s="10"/>
      <c r="B238" s="9"/>
      <c r="C238" s="9"/>
      <c r="D238" s="9"/>
      <c r="E238" s="10"/>
      <c r="F238" s="11"/>
      <c r="G238" s="15"/>
      <c r="H238" s="88"/>
      <c r="I238" s="24"/>
      <c r="J238" s="24"/>
      <c r="K238" s="114" t="str">
        <f t="shared" si="36"/>
        <v/>
      </c>
      <c r="L238" s="24"/>
      <c r="M238" s="24"/>
      <c r="N238" s="24"/>
      <c r="O238" s="24"/>
      <c r="P238" s="97" t="str">
        <f t="shared" si="37"/>
        <v/>
      </c>
      <c r="Q238" s="113" t="str">
        <f t="shared" si="38"/>
        <v/>
      </c>
      <c r="R238" s="88"/>
      <c r="S238" s="24"/>
      <c r="T238" s="24"/>
      <c r="U238" s="78" t="str">
        <f t="shared" si="39"/>
        <v/>
      </c>
      <c r="V238" s="24"/>
      <c r="W238" s="24"/>
      <c r="X238" s="24"/>
      <c r="Y238" s="24"/>
      <c r="Z238" s="98" t="str">
        <f t="shared" si="40"/>
        <v/>
      </c>
      <c r="AA238" s="40" t="str">
        <f t="shared" si="46"/>
        <v/>
      </c>
      <c r="AB238" s="88"/>
      <c r="AC238" s="24"/>
      <c r="AD238" s="24"/>
      <c r="AE238" s="79" t="str">
        <f t="shared" si="41"/>
        <v/>
      </c>
      <c r="AF238" s="24"/>
      <c r="AG238" s="24"/>
      <c r="AH238" s="24"/>
      <c r="AI238" s="24"/>
      <c r="AJ238" s="99" t="str">
        <f t="shared" si="42"/>
        <v/>
      </c>
      <c r="AK238" s="31" t="str">
        <f t="shared" si="47"/>
        <v/>
      </c>
      <c r="AN238" s="139" t="str">
        <f>IF($K238="","",VLOOKUP($K238,'ORF Accuracy Value LookUp'!$G$4:$H$104,2,TRUE))</f>
        <v/>
      </c>
      <c r="AO238" s="94" t="str">
        <f t="shared" si="43"/>
        <v/>
      </c>
      <c r="AP238" s="47" t="str">
        <f>IF($U238="","",VLOOKUP($U238,'ORF Accuracy Value LookUp'!$G$4:$H$104,2,TRUE))</f>
        <v/>
      </c>
      <c r="AQ238" s="94" t="str">
        <f t="shared" si="44"/>
        <v/>
      </c>
      <c r="AR238" s="46" t="str">
        <f>IF($AE238="","",VLOOKUP($AE238,'ORF Accuracy Value LookUp'!$G$4:$H$104,2,TRUE))</f>
        <v/>
      </c>
      <c r="AS238" s="140" t="str">
        <f t="shared" si="45"/>
        <v/>
      </c>
    </row>
    <row r="239" spans="1:45">
      <c r="A239" s="10"/>
      <c r="B239" s="9"/>
      <c r="C239" s="9"/>
      <c r="D239" s="9"/>
      <c r="E239" s="10"/>
      <c r="F239" s="11"/>
      <c r="G239" s="15"/>
      <c r="H239" s="88"/>
      <c r="I239" s="24"/>
      <c r="J239" s="24"/>
      <c r="K239" s="114" t="str">
        <f t="shared" si="36"/>
        <v/>
      </c>
      <c r="L239" s="24"/>
      <c r="M239" s="24"/>
      <c r="N239" s="24"/>
      <c r="O239" s="24"/>
      <c r="P239" s="97" t="str">
        <f t="shared" si="37"/>
        <v/>
      </c>
      <c r="Q239" s="113" t="str">
        <f t="shared" si="38"/>
        <v/>
      </c>
      <c r="R239" s="88"/>
      <c r="S239" s="24"/>
      <c r="T239" s="24"/>
      <c r="U239" s="78" t="str">
        <f t="shared" si="39"/>
        <v/>
      </c>
      <c r="V239" s="24"/>
      <c r="W239" s="24"/>
      <c r="X239" s="24"/>
      <c r="Y239" s="24"/>
      <c r="Z239" s="98" t="str">
        <f t="shared" si="40"/>
        <v/>
      </c>
      <c r="AA239" s="40" t="str">
        <f t="shared" si="46"/>
        <v/>
      </c>
      <c r="AB239" s="88"/>
      <c r="AC239" s="24"/>
      <c r="AD239" s="24"/>
      <c r="AE239" s="79" t="str">
        <f t="shared" si="41"/>
        <v/>
      </c>
      <c r="AF239" s="24"/>
      <c r="AG239" s="24"/>
      <c r="AH239" s="24"/>
      <c r="AI239" s="24"/>
      <c r="AJ239" s="99" t="str">
        <f t="shared" si="42"/>
        <v/>
      </c>
      <c r="AK239" s="31" t="str">
        <f t="shared" si="47"/>
        <v/>
      </c>
      <c r="AN239" s="139" t="str">
        <f>IF($K239="","",VLOOKUP($K239,'ORF Accuracy Value LookUp'!$G$4:$H$104,2,TRUE))</f>
        <v/>
      </c>
      <c r="AO239" s="94" t="str">
        <f t="shared" si="43"/>
        <v/>
      </c>
      <c r="AP239" s="47" t="str">
        <f>IF($U239="","",VLOOKUP($U239,'ORF Accuracy Value LookUp'!$G$4:$H$104,2,TRUE))</f>
        <v/>
      </c>
      <c r="AQ239" s="94" t="str">
        <f t="shared" si="44"/>
        <v/>
      </c>
      <c r="AR239" s="46" t="str">
        <f>IF($AE239="","",VLOOKUP($AE239,'ORF Accuracy Value LookUp'!$G$4:$H$104,2,TRUE))</f>
        <v/>
      </c>
      <c r="AS239" s="140" t="str">
        <f t="shared" si="45"/>
        <v/>
      </c>
    </row>
    <row r="240" spans="1:45">
      <c r="A240" s="10"/>
      <c r="B240" s="9"/>
      <c r="C240" s="9"/>
      <c r="D240" s="9"/>
      <c r="E240" s="10"/>
      <c r="F240" s="11"/>
      <c r="G240" s="15"/>
      <c r="H240" s="88"/>
      <c r="I240" s="24"/>
      <c r="J240" s="24"/>
      <c r="K240" s="114" t="str">
        <f t="shared" si="36"/>
        <v/>
      </c>
      <c r="L240" s="24"/>
      <c r="M240" s="24"/>
      <c r="N240" s="24"/>
      <c r="O240" s="24"/>
      <c r="P240" s="97" t="str">
        <f t="shared" si="37"/>
        <v/>
      </c>
      <c r="Q240" s="113" t="str">
        <f t="shared" si="38"/>
        <v/>
      </c>
      <c r="R240" s="88"/>
      <c r="S240" s="24"/>
      <c r="T240" s="24"/>
      <c r="U240" s="78" t="str">
        <f t="shared" si="39"/>
        <v/>
      </c>
      <c r="V240" s="24"/>
      <c r="W240" s="24"/>
      <c r="X240" s="24"/>
      <c r="Y240" s="24"/>
      <c r="Z240" s="98" t="str">
        <f t="shared" si="40"/>
        <v/>
      </c>
      <c r="AA240" s="40" t="str">
        <f t="shared" si="46"/>
        <v/>
      </c>
      <c r="AB240" s="88"/>
      <c r="AC240" s="24"/>
      <c r="AD240" s="24"/>
      <c r="AE240" s="79" t="str">
        <f t="shared" si="41"/>
        <v/>
      </c>
      <c r="AF240" s="24"/>
      <c r="AG240" s="24"/>
      <c r="AH240" s="24"/>
      <c r="AI240" s="24"/>
      <c r="AJ240" s="99" t="str">
        <f t="shared" si="42"/>
        <v/>
      </c>
      <c r="AK240" s="31" t="str">
        <f t="shared" si="47"/>
        <v/>
      </c>
      <c r="AN240" s="139" t="str">
        <f>IF($K240="","",VLOOKUP($K240,'ORF Accuracy Value LookUp'!$G$4:$H$104,2,TRUE))</f>
        <v/>
      </c>
      <c r="AO240" s="94" t="str">
        <f t="shared" si="43"/>
        <v/>
      </c>
      <c r="AP240" s="47" t="str">
        <f>IF($U240="","",VLOOKUP($U240,'ORF Accuracy Value LookUp'!$G$4:$H$104,2,TRUE))</f>
        <v/>
      </c>
      <c r="AQ240" s="94" t="str">
        <f t="shared" si="44"/>
        <v/>
      </c>
      <c r="AR240" s="46" t="str">
        <f>IF($AE240="","",VLOOKUP($AE240,'ORF Accuracy Value LookUp'!$G$4:$H$104,2,TRUE))</f>
        <v/>
      </c>
      <c r="AS240" s="140" t="str">
        <f t="shared" si="45"/>
        <v/>
      </c>
    </row>
    <row r="241" spans="1:45">
      <c r="A241" s="10"/>
      <c r="B241" s="9"/>
      <c r="C241" s="9"/>
      <c r="D241" s="9"/>
      <c r="E241" s="10"/>
      <c r="F241" s="11"/>
      <c r="G241" s="15"/>
      <c r="H241" s="88"/>
      <c r="I241" s="24"/>
      <c r="J241" s="24"/>
      <c r="K241" s="114" t="str">
        <f t="shared" si="36"/>
        <v/>
      </c>
      <c r="L241" s="24"/>
      <c r="M241" s="24"/>
      <c r="N241" s="24"/>
      <c r="O241" s="24"/>
      <c r="P241" s="97" t="str">
        <f t="shared" si="37"/>
        <v/>
      </c>
      <c r="Q241" s="113" t="str">
        <f t="shared" si="38"/>
        <v/>
      </c>
      <c r="R241" s="88"/>
      <c r="S241" s="24"/>
      <c r="T241" s="24"/>
      <c r="U241" s="78" t="str">
        <f t="shared" si="39"/>
        <v/>
      </c>
      <c r="V241" s="24"/>
      <c r="W241" s="24"/>
      <c r="X241" s="24"/>
      <c r="Y241" s="24"/>
      <c r="Z241" s="98" t="str">
        <f t="shared" si="40"/>
        <v/>
      </c>
      <c r="AA241" s="40" t="str">
        <f t="shared" si="46"/>
        <v/>
      </c>
      <c r="AB241" s="88"/>
      <c r="AC241" s="24"/>
      <c r="AD241" s="24"/>
      <c r="AE241" s="79" t="str">
        <f t="shared" si="41"/>
        <v/>
      </c>
      <c r="AF241" s="24"/>
      <c r="AG241" s="24"/>
      <c r="AH241" s="24"/>
      <c r="AI241" s="24"/>
      <c r="AJ241" s="99" t="str">
        <f t="shared" si="42"/>
        <v/>
      </c>
      <c r="AK241" s="31" t="str">
        <f t="shared" si="47"/>
        <v/>
      </c>
      <c r="AN241" s="139" t="str">
        <f>IF($K241="","",VLOOKUP($K241,'ORF Accuracy Value LookUp'!$G$4:$H$104,2,TRUE))</f>
        <v/>
      </c>
      <c r="AO241" s="94" t="str">
        <f t="shared" si="43"/>
        <v/>
      </c>
      <c r="AP241" s="47" t="str">
        <f>IF($U241="","",VLOOKUP($U241,'ORF Accuracy Value LookUp'!$G$4:$H$104,2,TRUE))</f>
        <v/>
      </c>
      <c r="AQ241" s="94" t="str">
        <f t="shared" si="44"/>
        <v/>
      </c>
      <c r="AR241" s="46" t="str">
        <f>IF($AE241="","",VLOOKUP($AE241,'ORF Accuracy Value LookUp'!$G$4:$H$104,2,TRUE))</f>
        <v/>
      </c>
      <c r="AS241" s="140" t="str">
        <f t="shared" si="45"/>
        <v/>
      </c>
    </row>
    <row r="242" spans="1:45">
      <c r="A242" s="10"/>
      <c r="B242" s="9"/>
      <c r="C242" s="9"/>
      <c r="D242" s="9"/>
      <c r="E242" s="10"/>
      <c r="F242" s="11"/>
      <c r="G242" s="15"/>
      <c r="H242" s="88"/>
      <c r="I242" s="24"/>
      <c r="J242" s="24"/>
      <c r="K242" s="114" t="str">
        <f t="shared" si="36"/>
        <v/>
      </c>
      <c r="L242" s="24"/>
      <c r="M242" s="24"/>
      <c r="N242" s="24"/>
      <c r="O242" s="24"/>
      <c r="P242" s="97" t="str">
        <f t="shared" si="37"/>
        <v/>
      </c>
      <c r="Q242" s="113" t="str">
        <f t="shared" si="38"/>
        <v/>
      </c>
      <c r="R242" s="88"/>
      <c r="S242" s="24"/>
      <c r="T242" s="24"/>
      <c r="U242" s="78" t="str">
        <f t="shared" si="39"/>
        <v/>
      </c>
      <c r="V242" s="24"/>
      <c r="W242" s="24"/>
      <c r="X242" s="24"/>
      <c r="Y242" s="24"/>
      <c r="Z242" s="98" t="str">
        <f t="shared" si="40"/>
        <v/>
      </c>
      <c r="AA242" s="40" t="str">
        <f t="shared" si="46"/>
        <v/>
      </c>
      <c r="AB242" s="88"/>
      <c r="AC242" s="24"/>
      <c r="AD242" s="24"/>
      <c r="AE242" s="79" t="str">
        <f t="shared" si="41"/>
        <v/>
      </c>
      <c r="AF242" s="24"/>
      <c r="AG242" s="24"/>
      <c r="AH242" s="24"/>
      <c r="AI242" s="24"/>
      <c r="AJ242" s="99" t="str">
        <f t="shared" si="42"/>
        <v/>
      </c>
      <c r="AK242" s="31" t="str">
        <f t="shared" si="47"/>
        <v/>
      </c>
      <c r="AN242" s="139" t="str">
        <f>IF($K242="","",VLOOKUP($K242,'ORF Accuracy Value LookUp'!$G$4:$H$104,2,TRUE))</f>
        <v/>
      </c>
      <c r="AO242" s="94" t="str">
        <f t="shared" si="43"/>
        <v/>
      </c>
      <c r="AP242" s="47" t="str">
        <f>IF($U242="","",VLOOKUP($U242,'ORF Accuracy Value LookUp'!$G$4:$H$104,2,TRUE))</f>
        <v/>
      </c>
      <c r="AQ242" s="94" t="str">
        <f t="shared" si="44"/>
        <v/>
      </c>
      <c r="AR242" s="46" t="str">
        <f>IF($AE242="","",VLOOKUP($AE242,'ORF Accuracy Value LookUp'!$G$4:$H$104,2,TRUE))</f>
        <v/>
      </c>
      <c r="AS242" s="140" t="str">
        <f t="shared" si="45"/>
        <v/>
      </c>
    </row>
    <row r="243" spans="1:45">
      <c r="A243" s="10"/>
      <c r="B243" s="9"/>
      <c r="C243" s="9"/>
      <c r="D243" s="9"/>
      <c r="E243" s="10"/>
      <c r="F243" s="11"/>
      <c r="G243" s="15"/>
      <c r="H243" s="88"/>
      <c r="I243" s="24"/>
      <c r="J243" s="24"/>
      <c r="K243" s="114" t="str">
        <f t="shared" si="36"/>
        <v/>
      </c>
      <c r="L243" s="24"/>
      <c r="M243" s="24"/>
      <c r="N243" s="24"/>
      <c r="O243" s="24"/>
      <c r="P243" s="97" t="str">
        <f t="shared" si="37"/>
        <v/>
      </c>
      <c r="Q243" s="113" t="str">
        <f t="shared" si="38"/>
        <v/>
      </c>
      <c r="R243" s="88"/>
      <c r="S243" s="24"/>
      <c r="T243" s="24"/>
      <c r="U243" s="78" t="str">
        <f t="shared" si="39"/>
        <v/>
      </c>
      <c r="V243" s="24"/>
      <c r="W243" s="24"/>
      <c r="X243" s="24"/>
      <c r="Y243" s="24"/>
      <c r="Z243" s="98" t="str">
        <f t="shared" si="40"/>
        <v/>
      </c>
      <c r="AA243" s="40" t="str">
        <f t="shared" si="46"/>
        <v/>
      </c>
      <c r="AB243" s="88"/>
      <c r="AC243" s="24"/>
      <c r="AD243" s="24"/>
      <c r="AE243" s="79" t="str">
        <f t="shared" si="41"/>
        <v/>
      </c>
      <c r="AF243" s="24"/>
      <c r="AG243" s="24"/>
      <c r="AH243" s="24"/>
      <c r="AI243" s="24"/>
      <c r="AJ243" s="99" t="str">
        <f t="shared" si="42"/>
        <v/>
      </c>
      <c r="AK243" s="31" t="str">
        <f t="shared" si="47"/>
        <v/>
      </c>
      <c r="AN243" s="139" t="str">
        <f>IF($K243="","",VLOOKUP($K243,'ORF Accuracy Value LookUp'!$G$4:$H$104,2,TRUE))</f>
        <v/>
      </c>
      <c r="AO243" s="94" t="str">
        <f t="shared" si="43"/>
        <v/>
      </c>
      <c r="AP243" s="47" t="str">
        <f>IF($U243="","",VLOOKUP($U243,'ORF Accuracy Value LookUp'!$G$4:$H$104,2,TRUE))</f>
        <v/>
      </c>
      <c r="AQ243" s="94" t="str">
        <f t="shared" si="44"/>
        <v/>
      </c>
      <c r="AR243" s="46" t="str">
        <f>IF($AE243="","",VLOOKUP($AE243,'ORF Accuracy Value LookUp'!$G$4:$H$104,2,TRUE))</f>
        <v/>
      </c>
      <c r="AS243" s="140" t="str">
        <f t="shared" si="45"/>
        <v/>
      </c>
    </row>
    <row r="244" spans="1:45">
      <c r="A244" s="10"/>
      <c r="B244" s="9"/>
      <c r="C244" s="9"/>
      <c r="D244" s="9"/>
      <c r="E244" s="10"/>
      <c r="F244" s="11"/>
      <c r="G244" s="15"/>
      <c r="H244" s="88"/>
      <c r="I244" s="24"/>
      <c r="J244" s="24"/>
      <c r="K244" s="114" t="str">
        <f t="shared" si="36"/>
        <v/>
      </c>
      <c r="L244" s="24"/>
      <c r="M244" s="24"/>
      <c r="N244" s="24"/>
      <c r="O244" s="24"/>
      <c r="P244" s="97" t="str">
        <f t="shared" si="37"/>
        <v/>
      </c>
      <c r="Q244" s="113" t="str">
        <f t="shared" si="38"/>
        <v/>
      </c>
      <c r="R244" s="88"/>
      <c r="S244" s="24"/>
      <c r="T244" s="24"/>
      <c r="U244" s="78" t="str">
        <f t="shared" si="39"/>
        <v/>
      </c>
      <c r="V244" s="24"/>
      <c r="W244" s="24"/>
      <c r="X244" s="24"/>
      <c r="Y244" s="24"/>
      <c r="Z244" s="98" t="str">
        <f t="shared" si="40"/>
        <v/>
      </c>
      <c r="AA244" s="40" t="str">
        <f t="shared" si="46"/>
        <v/>
      </c>
      <c r="AB244" s="88"/>
      <c r="AC244" s="24"/>
      <c r="AD244" s="24"/>
      <c r="AE244" s="79" t="str">
        <f t="shared" si="41"/>
        <v/>
      </c>
      <c r="AF244" s="24"/>
      <c r="AG244" s="24"/>
      <c r="AH244" s="24"/>
      <c r="AI244" s="24"/>
      <c r="AJ244" s="99" t="str">
        <f t="shared" si="42"/>
        <v/>
      </c>
      <c r="AK244" s="31" t="str">
        <f t="shared" si="47"/>
        <v/>
      </c>
      <c r="AN244" s="139" t="str">
        <f>IF($K244="","",VLOOKUP($K244,'ORF Accuracy Value LookUp'!$G$4:$H$104,2,TRUE))</f>
        <v/>
      </c>
      <c r="AO244" s="94" t="str">
        <f t="shared" si="43"/>
        <v/>
      </c>
      <c r="AP244" s="47" t="str">
        <f>IF($U244="","",VLOOKUP($U244,'ORF Accuracy Value LookUp'!$G$4:$H$104,2,TRUE))</f>
        <v/>
      </c>
      <c r="AQ244" s="94" t="str">
        <f t="shared" si="44"/>
        <v/>
      </c>
      <c r="AR244" s="46" t="str">
        <f>IF($AE244="","",VLOOKUP($AE244,'ORF Accuracy Value LookUp'!$G$4:$H$104,2,TRUE))</f>
        <v/>
      </c>
      <c r="AS244" s="140" t="str">
        <f t="shared" si="45"/>
        <v/>
      </c>
    </row>
    <row r="245" spans="1:45">
      <c r="A245" s="10"/>
      <c r="B245" s="9"/>
      <c r="C245" s="9"/>
      <c r="D245" s="9"/>
      <c r="E245" s="10"/>
      <c r="F245" s="11"/>
      <c r="G245" s="15"/>
      <c r="H245" s="88"/>
      <c r="I245" s="24"/>
      <c r="J245" s="24"/>
      <c r="K245" s="114" t="str">
        <f t="shared" si="36"/>
        <v/>
      </c>
      <c r="L245" s="24"/>
      <c r="M245" s="24"/>
      <c r="N245" s="24"/>
      <c r="O245" s="24"/>
      <c r="P245" s="97" t="str">
        <f t="shared" si="37"/>
        <v/>
      </c>
      <c r="Q245" s="113" t="str">
        <f t="shared" si="38"/>
        <v/>
      </c>
      <c r="R245" s="88"/>
      <c r="S245" s="24"/>
      <c r="T245" s="24"/>
      <c r="U245" s="78" t="str">
        <f t="shared" si="39"/>
        <v/>
      </c>
      <c r="V245" s="24"/>
      <c r="W245" s="24"/>
      <c r="X245" s="24"/>
      <c r="Y245" s="24"/>
      <c r="Z245" s="98" t="str">
        <f t="shared" si="40"/>
        <v/>
      </c>
      <c r="AA245" s="40" t="str">
        <f t="shared" si="46"/>
        <v/>
      </c>
      <c r="AB245" s="88"/>
      <c r="AC245" s="24"/>
      <c r="AD245" s="24"/>
      <c r="AE245" s="79" t="str">
        <f t="shared" si="41"/>
        <v/>
      </c>
      <c r="AF245" s="24"/>
      <c r="AG245" s="24"/>
      <c r="AH245" s="24"/>
      <c r="AI245" s="24"/>
      <c r="AJ245" s="99" t="str">
        <f t="shared" si="42"/>
        <v/>
      </c>
      <c r="AK245" s="31" t="str">
        <f t="shared" si="47"/>
        <v/>
      </c>
      <c r="AN245" s="139" t="str">
        <f>IF($K245="","",VLOOKUP($K245,'ORF Accuracy Value LookUp'!$G$4:$H$104,2,TRUE))</f>
        <v/>
      </c>
      <c r="AO245" s="94" t="str">
        <f t="shared" si="43"/>
        <v/>
      </c>
      <c r="AP245" s="47" t="str">
        <f>IF($U245="","",VLOOKUP($U245,'ORF Accuracy Value LookUp'!$G$4:$H$104,2,TRUE))</f>
        <v/>
      </c>
      <c r="AQ245" s="94" t="str">
        <f t="shared" si="44"/>
        <v/>
      </c>
      <c r="AR245" s="46" t="str">
        <f>IF($AE245="","",VLOOKUP($AE245,'ORF Accuracy Value LookUp'!$G$4:$H$104,2,TRUE))</f>
        <v/>
      </c>
      <c r="AS245" s="140" t="str">
        <f t="shared" si="45"/>
        <v/>
      </c>
    </row>
    <row r="246" spans="1:45">
      <c r="A246" s="10"/>
      <c r="B246" s="9"/>
      <c r="C246" s="9"/>
      <c r="D246" s="9"/>
      <c r="E246" s="10"/>
      <c r="F246" s="11"/>
      <c r="G246" s="15"/>
      <c r="H246" s="88"/>
      <c r="I246" s="24"/>
      <c r="J246" s="24"/>
      <c r="K246" s="114" t="str">
        <f t="shared" si="36"/>
        <v/>
      </c>
      <c r="L246" s="24"/>
      <c r="M246" s="24"/>
      <c r="N246" s="24"/>
      <c r="O246" s="24"/>
      <c r="P246" s="97" t="str">
        <f t="shared" si="37"/>
        <v/>
      </c>
      <c r="Q246" s="113" t="str">
        <f t="shared" si="38"/>
        <v/>
      </c>
      <c r="R246" s="88"/>
      <c r="S246" s="24"/>
      <c r="T246" s="24"/>
      <c r="U246" s="78" t="str">
        <f t="shared" si="39"/>
        <v/>
      </c>
      <c r="V246" s="24"/>
      <c r="W246" s="24"/>
      <c r="X246" s="24"/>
      <c r="Y246" s="24"/>
      <c r="Z246" s="98" t="str">
        <f t="shared" si="40"/>
        <v/>
      </c>
      <c r="AA246" s="40" t="str">
        <f t="shared" si="46"/>
        <v/>
      </c>
      <c r="AB246" s="88"/>
      <c r="AC246" s="24"/>
      <c r="AD246" s="24"/>
      <c r="AE246" s="79" t="str">
        <f t="shared" si="41"/>
        <v/>
      </c>
      <c r="AF246" s="24"/>
      <c r="AG246" s="24"/>
      <c r="AH246" s="24"/>
      <c r="AI246" s="24"/>
      <c r="AJ246" s="99" t="str">
        <f t="shared" si="42"/>
        <v/>
      </c>
      <c r="AK246" s="31" t="str">
        <f t="shared" si="47"/>
        <v/>
      </c>
      <c r="AN246" s="139" t="str">
        <f>IF($K246="","",VLOOKUP($K246,'ORF Accuracy Value LookUp'!$G$4:$H$104,2,TRUE))</f>
        <v/>
      </c>
      <c r="AO246" s="94" t="str">
        <f t="shared" si="43"/>
        <v/>
      </c>
      <c r="AP246" s="47" t="str">
        <f>IF($U246="","",VLOOKUP($U246,'ORF Accuracy Value LookUp'!$G$4:$H$104,2,TRUE))</f>
        <v/>
      </c>
      <c r="AQ246" s="94" t="str">
        <f t="shared" si="44"/>
        <v/>
      </c>
      <c r="AR246" s="46" t="str">
        <f>IF($AE246="","",VLOOKUP($AE246,'ORF Accuracy Value LookUp'!$G$4:$H$104,2,TRUE))</f>
        <v/>
      </c>
      <c r="AS246" s="140" t="str">
        <f t="shared" si="45"/>
        <v/>
      </c>
    </row>
    <row r="247" spans="1:45">
      <c r="A247" s="10"/>
      <c r="B247" s="9"/>
      <c r="C247" s="9"/>
      <c r="D247" s="9"/>
      <c r="E247" s="10"/>
      <c r="F247" s="11"/>
      <c r="G247" s="15"/>
      <c r="H247" s="88"/>
      <c r="I247" s="24"/>
      <c r="J247" s="24"/>
      <c r="K247" s="114" t="str">
        <f t="shared" si="36"/>
        <v/>
      </c>
      <c r="L247" s="24"/>
      <c r="M247" s="24"/>
      <c r="N247" s="24"/>
      <c r="O247" s="24"/>
      <c r="P247" s="97" t="str">
        <f t="shared" si="37"/>
        <v/>
      </c>
      <c r="Q247" s="113" t="str">
        <f t="shared" si="38"/>
        <v/>
      </c>
      <c r="R247" s="88"/>
      <c r="S247" s="24"/>
      <c r="T247" s="24"/>
      <c r="U247" s="78" t="str">
        <f t="shared" si="39"/>
        <v/>
      </c>
      <c r="V247" s="24"/>
      <c r="W247" s="24"/>
      <c r="X247" s="24"/>
      <c r="Y247" s="24"/>
      <c r="Z247" s="98" t="str">
        <f t="shared" si="40"/>
        <v/>
      </c>
      <c r="AA247" s="40" t="str">
        <f t="shared" si="46"/>
        <v/>
      </c>
      <c r="AB247" s="88"/>
      <c r="AC247" s="24"/>
      <c r="AD247" s="24"/>
      <c r="AE247" s="79" t="str">
        <f t="shared" si="41"/>
        <v/>
      </c>
      <c r="AF247" s="24"/>
      <c r="AG247" s="24"/>
      <c r="AH247" s="24"/>
      <c r="AI247" s="24"/>
      <c r="AJ247" s="99" t="str">
        <f t="shared" si="42"/>
        <v/>
      </c>
      <c r="AK247" s="31" t="str">
        <f t="shared" si="47"/>
        <v/>
      </c>
      <c r="AN247" s="139" t="str">
        <f>IF($K247="","",VLOOKUP($K247,'ORF Accuracy Value LookUp'!$G$4:$H$104,2,TRUE))</f>
        <v/>
      </c>
      <c r="AO247" s="94" t="str">
        <f t="shared" si="43"/>
        <v/>
      </c>
      <c r="AP247" s="47" t="str">
        <f>IF($U247="","",VLOOKUP($U247,'ORF Accuracy Value LookUp'!$G$4:$H$104,2,TRUE))</f>
        <v/>
      </c>
      <c r="AQ247" s="94" t="str">
        <f t="shared" si="44"/>
        <v/>
      </c>
      <c r="AR247" s="46" t="str">
        <f>IF($AE247="","",VLOOKUP($AE247,'ORF Accuracy Value LookUp'!$G$4:$H$104,2,TRUE))</f>
        <v/>
      </c>
      <c r="AS247" s="140" t="str">
        <f t="shared" si="45"/>
        <v/>
      </c>
    </row>
    <row r="248" spans="1:45">
      <c r="A248" s="10"/>
      <c r="B248" s="9"/>
      <c r="C248" s="9"/>
      <c r="D248" s="9"/>
      <c r="E248" s="10"/>
      <c r="F248" s="11"/>
      <c r="G248" s="15"/>
      <c r="H248" s="88"/>
      <c r="I248" s="24"/>
      <c r="J248" s="24"/>
      <c r="K248" s="114" t="str">
        <f t="shared" si="36"/>
        <v/>
      </c>
      <c r="L248" s="24"/>
      <c r="M248" s="24"/>
      <c r="N248" s="24"/>
      <c r="O248" s="24"/>
      <c r="P248" s="97" t="str">
        <f t="shared" si="37"/>
        <v/>
      </c>
      <c r="Q248" s="113" t="str">
        <f t="shared" si="38"/>
        <v/>
      </c>
      <c r="R248" s="88"/>
      <c r="S248" s="24"/>
      <c r="T248" s="24"/>
      <c r="U248" s="78" t="str">
        <f t="shared" si="39"/>
        <v/>
      </c>
      <c r="V248" s="24"/>
      <c r="W248" s="24"/>
      <c r="X248" s="24"/>
      <c r="Y248" s="24"/>
      <c r="Z248" s="98" t="str">
        <f t="shared" si="40"/>
        <v/>
      </c>
      <c r="AA248" s="40" t="str">
        <f t="shared" si="46"/>
        <v/>
      </c>
      <c r="AB248" s="88"/>
      <c r="AC248" s="24"/>
      <c r="AD248" s="24"/>
      <c r="AE248" s="79" t="str">
        <f t="shared" si="41"/>
        <v/>
      </c>
      <c r="AF248" s="24"/>
      <c r="AG248" s="24"/>
      <c r="AH248" s="24"/>
      <c r="AI248" s="24"/>
      <c r="AJ248" s="99" t="str">
        <f t="shared" si="42"/>
        <v/>
      </c>
      <c r="AK248" s="31" t="str">
        <f t="shared" si="47"/>
        <v/>
      </c>
      <c r="AN248" s="139" t="str">
        <f>IF($K248="","",VLOOKUP($K248,'ORF Accuracy Value LookUp'!$G$4:$H$104,2,TRUE))</f>
        <v/>
      </c>
      <c r="AO248" s="94" t="str">
        <f t="shared" si="43"/>
        <v/>
      </c>
      <c r="AP248" s="47" t="str">
        <f>IF($U248="","",VLOOKUP($U248,'ORF Accuracy Value LookUp'!$G$4:$H$104,2,TRUE))</f>
        <v/>
      </c>
      <c r="AQ248" s="94" t="str">
        <f t="shared" si="44"/>
        <v/>
      </c>
      <c r="AR248" s="46" t="str">
        <f>IF($AE248="","",VLOOKUP($AE248,'ORF Accuracy Value LookUp'!$G$4:$H$104,2,TRUE))</f>
        <v/>
      </c>
      <c r="AS248" s="140" t="str">
        <f t="shared" si="45"/>
        <v/>
      </c>
    </row>
    <row r="249" spans="1:45">
      <c r="A249" s="10"/>
      <c r="B249" s="9"/>
      <c r="C249" s="9"/>
      <c r="D249" s="9"/>
      <c r="E249" s="10"/>
      <c r="F249" s="11"/>
      <c r="G249" s="15"/>
      <c r="H249" s="88"/>
      <c r="I249" s="24"/>
      <c r="J249" s="24"/>
      <c r="K249" s="114" t="str">
        <f t="shared" si="36"/>
        <v/>
      </c>
      <c r="L249" s="24"/>
      <c r="M249" s="24"/>
      <c r="N249" s="24"/>
      <c r="O249" s="24"/>
      <c r="P249" s="97" t="str">
        <f t="shared" si="37"/>
        <v/>
      </c>
      <c r="Q249" s="113" t="str">
        <f t="shared" si="38"/>
        <v/>
      </c>
      <c r="R249" s="88"/>
      <c r="S249" s="24"/>
      <c r="T249" s="24"/>
      <c r="U249" s="78" t="str">
        <f t="shared" si="39"/>
        <v/>
      </c>
      <c r="V249" s="24"/>
      <c r="W249" s="24"/>
      <c r="X249" s="24"/>
      <c r="Y249" s="24"/>
      <c r="Z249" s="98" t="str">
        <f t="shared" si="40"/>
        <v/>
      </c>
      <c r="AA249" s="40" t="str">
        <f t="shared" si="46"/>
        <v/>
      </c>
      <c r="AB249" s="88"/>
      <c r="AC249" s="24"/>
      <c r="AD249" s="24"/>
      <c r="AE249" s="79" t="str">
        <f t="shared" si="41"/>
        <v/>
      </c>
      <c r="AF249" s="24"/>
      <c r="AG249" s="24"/>
      <c r="AH249" s="24"/>
      <c r="AI249" s="24"/>
      <c r="AJ249" s="99" t="str">
        <f t="shared" si="42"/>
        <v/>
      </c>
      <c r="AK249" s="31" t="str">
        <f t="shared" si="47"/>
        <v/>
      </c>
      <c r="AN249" s="139" t="str">
        <f>IF($K249="","",VLOOKUP($K249,'ORF Accuracy Value LookUp'!$G$4:$H$104,2,TRUE))</f>
        <v/>
      </c>
      <c r="AO249" s="94" t="str">
        <f t="shared" si="43"/>
        <v/>
      </c>
      <c r="AP249" s="47" t="str">
        <f>IF($U249="","",VLOOKUP($U249,'ORF Accuracy Value LookUp'!$G$4:$H$104,2,TRUE))</f>
        <v/>
      </c>
      <c r="AQ249" s="94" t="str">
        <f t="shared" si="44"/>
        <v/>
      </c>
      <c r="AR249" s="46" t="str">
        <f>IF($AE249="","",VLOOKUP($AE249,'ORF Accuracy Value LookUp'!$G$4:$H$104,2,TRUE))</f>
        <v/>
      </c>
      <c r="AS249" s="140" t="str">
        <f t="shared" si="45"/>
        <v/>
      </c>
    </row>
    <row r="250" spans="1:45">
      <c r="A250" s="10"/>
      <c r="B250" s="9"/>
      <c r="C250" s="9"/>
      <c r="D250" s="9"/>
      <c r="E250" s="10"/>
      <c r="F250" s="11"/>
      <c r="G250" s="15"/>
      <c r="H250" s="88"/>
      <c r="I250" s="24"/>
      <c r="J250" s="24"/>
      <c r="K250" s="114" t="str">
        <f t="shared" si="36"/>
        <v/>
      </c>
      <c r="L250" s="24"/>
      <c r="M250" s="24"/>
      <c r="N250" s="24"/>
      <c r="O250" s="24"/>
      <c r="P250" s="97" t="str">
        <f t="shared" si="37"/>
        <v/>
      </c>
      <c r="Q250" s="113" t="str">
        <f t="shared" si="38"/>
        <v/>
      </c>
      <c r="R250" s="88"/>
      <c r="S250" s="24"/>
      <c r="T250" s="24"/>
      <c r="U250" s="78" t="str">
        <f t="shared" si="39"/>
        <v/>
      </c>
      <c r="V250" s="24"/>
      <c r="W250" s="24"/>
      <c r="X250" s="24"/>
      <c r="Y250" s="24"/>
      <c r="Z250" s="98" t="str">
        <f t="shared" si="40"/>
        <v/>
      </c>
      <c r="AA250" s="40" t="str">
        <f t="shared" si="46"/>
        <v/>
      </c>
      <c r="AB250" s="88"/>
      <c r="AC250" s="24"/>
      <c r="AD250" s="24"/>
      <c r="AE250" s="79" t="str">
        <f t="shared" si="41"/>
        <v/>
      </c>
      <c r="AF250" s="24"/>
      <c r="AG250" s="24"/>
      <c r="AH250" s="24"/>
      <c r="AI250" s="24"/>
      <c r="AJ250" s="99" t="str">
        <f t="shared" si="42"/>
        <v/>
      </c>
      <c r="AK250" s="31" t="str">
        <f t="shared" si="47"/>
        <v/>
      </c>
      <c r="AN250" s="139" t="str">
        <f>IF($K250="","",VLOOKUP($K250,'ORF Accuracy Value LookUp'!$G$4:$H$104,2,TRUE))</f>
        <v/>
      </c>
      <c r="AO250" s="94" t="str">
        <f t="shared" si="43"/>
        <v/>
      </c>
      <c r="AP250" s="47" t="str">
        <f>IF($U250="","",VLOOKUP($U250,'ORF Accuracy Value LookUp'!$G$4:$H$104,2,TRUE))</f>
        <v/>
      </c>
      <c r="AQ250" s="94" t="str">
        <f t="shared" si="44"/>
        <v/>
      </c>
      <c r="AR250" s="46" t="str">
        <f>IF($AE250="","",VLOOKUP($AE250,'ORF Accuracy Value LookUp'!$G$4:$H$104,2,TRUE))</f>
        <v/>
      </c>
      <c r="AS250" s="140" t="str">
        <f t="shared" si="45"/>
        <v/>
      </c>
    </row>
    <row r="251" spans="1:45">
      <c r="A251" s="10"/>
      <c r="B251" s="9"/>
      <c r="C251" s="9"/>
      <c r="D251" s="9"/>
      <c r="E251" s="10"/>
      <c r="F251" s="11"/>
      <c r="G251" s="15"/>
      <c r="H251" s="88"/>
      <c r="I251" s="24"/>
      <c r="J251" s="24"/>
      <c r="K251" s="114" t="str">
        <f t="shared" si="36"/>
        <v/>
      </c>
      <c r="L251" s="24"/>
      <c r="M251" s="24"/>
      <c r="N251" s="24"/>
      <c r="O251" s="24"/>
      <c r="P251" s="97" t="str">
        <f t="shared" si="37"/>
        <v/>
      </c>
      <c r="Q251" s="113" t="str">
        <f t="shared" si="38"/>
        <v/>
      </c>
      <c r="R251" s="88"/>
      <c r="S251" s="24"/>
      <c r="T251" s="24"/>
      <c r="U251" s="78" t="str">
        <f t="shared" si="39"/>
        <v/>
      </c>
      <c r="V251" s="24"/>
      <c r="W251" s="24"/>
      <c r="X251" s="24"/>
      <c r="Y251" s="24"/>
      <c r="Z251" s="98" t="str">
        <f t="shared" si="40"/>
        <v/>
      </c>
      <c r="AA251" s="40" t="str">
        <f t="shared" si="46"/>
        <v/>
      </c>
      <c r="AB251" s="88"/>
      <c r="AC251" s="24"/>
      <c r="AD251" s="24"/>
      <c r="AE251" s="79" t="str">
        <f t="shared" si="41"/>
        <v/>
      </c>
      <c r="AF251" s="24"/>
      <c r="AG251" s="24"/>
      <c r="AH251" s="24"/>
      <c r="AI251" s="24"/>
      <c r="AJ251" s="99" t="str">
        <f t="shared" si="42"/>
        <v/>
      </c>
      <c r="AK251" s="31" t="str">
        <f t="shared" si="47"/>
        <v/>
      </c>
      <c r="AN251" s="139" t="str">
        <f>IF($K251="","",VLOOKUP($K251,'ORF Accuracy Value LookUp'!$G$4:$H$104,2,TRUE))</f>
        <v/>
      </c>
      <c r="AO251" s="94" t="str">
        <f t="shared" si="43"/>
        <v/>
      </c>
      <c r="AP251" s="47" t="str">
        <f>IF($U251="","",VLOOKUP($U251,'ORF Accuracy Value LookUp'!$G$4:$H$104,2,TRUE))</f>
        <v/>
      </c>
      <c r="AQ251" s="94" t="str">
        <f t="shared" si="44"/>
        <v/>
      </c>
      <c r="AR251" s="46" t="str">
        <f>IF($AE251="","",VLOOKUP($AE251,'ORF Accuracy Value LookUp'!$G$4:$H$104,2,TRUE))</f>
        <v/>
      </c>
      <c r="AS251" s="140" t="str">
        <f t="shared" si="45"/>
        <v/>
      </c>
    </row>
    <row r="252" spans="1:45">
      <c r="A252" s="10"/>
      <c r="B252" s="9"/>
      <c r="C252" s="9"/>
      <c r="D252" s="9"/>
      <c r="E252" s="10"/>
      <c r="F252" s="11"/>
      <c r="G252" s="15"/>
      <c r="H252" s="88"/>
      <c r="I252" s="24"/>
      <c r="J252" s="24"/>
      <c r="K252" s="114" t="str">
        <f t="shared" si="36"/>
        <v/>
      </c>
      <c r="L252" s="24"/>
      <c r="M252" s="24"/>
      <c r="N252" s="24"/>
      <c r="O252" s="24"/>
      <c r="P252" s="97" t="str">
        <f t="shared" si="37"/>
        <v/>
      </c>
      <c r="Q252" s="113" t="str">
        <f t="shared" si="38"/>
        <v/>
      </c>
      <c r="R252" s="88"/>
      <c r="S252" s="24"/>
      <c r="T252" s="24"/>
      <c r="U252" s="78" t="str">
        <f t="shared" si="39"/>
        <v/>
      </c>
      <c r="V252" s="24"/>
      <c r="W252" s="24"/>
      <c r="X252" s="24"/>
      <c r="Y252" s="24"/>
      <c r="Z252" s="98" t="str">
        <f t="shared" si="40"/>
        <v/>
      </c>
      <c r="AA252" s="40" t="str">
        <f t="shared" si="46"/>
        <v/>
      </c>
      <c r="AB252" s="88"/>
      <c r="AC252" s="24"/>
      <c r="AD252" s="24"/>
      <c r="AE252" s="79" t="str">
        <f t="shared" si="41"/>
        <v/>
      </c>
      <c r="AF252" s="24"/>
      <c r="AG252" s="24"/>
      <c r="AH252" s="24"/>
      <c r="AI252" s="24"/>
      <c r="AJ252" s="99" t="str">
        <f t="shared" si="42"/>
        <v/>
      </c>
      <c r="AK252" s="31" t="str">
        <f t="shared" si="47"/>
        <v/>
      </c>
      <c r="AN252" s="139" t="str">
        <f>IF($K252="","",VLOOKUP($K252,'ORF Accuracy Value LookUp'!$G$4:$H$104,2,TRUE))</f>
        <v/>
      </c>
      <c r="AO252" s="94" t="str">
        <f t="shared" si="43"/>
        <v/>
      </c>
      <c r="AP252" s="47" t="str">
        <f>IF($U252="","",VLOOKUP($U252,'ORF Accuracy Value LookUp'!$G$4:$H$104,2,TRUE))</f>
        <v/>
      </c>
      <c r="AQ252" s="94" t="str">
        <f t="shared" si="44"/>
        <v/>
      </c>
      <c r="AR252" s="46" t="str">
        <f>IF($AE252="","",VLOOKUP($AE252,'ORF Accuracy Value LookUp'!$G$4:$H$104,2,TRUE))</f>
        <v/>
      </c>
      <c r="AS252" s="140" t="str">
        <f t="shared" si="45"/>
        <v/>
      </c>
    </row>
    <row r="253" spans="1:45">
      <c r="A253" s="10"/>
      <c r="B253" s="9"/>
      <c r="C253" s="9"/>
      <c r="D253" s="9"/>
      <c r="E253" s="10"/>
      <c r="F253" s="11"/>
      <c r="G253" s="15"/>
      <c r="H253" s="88"/>
      <c r="I253" s="24"/>
      <c r="J253" s="24"/>
      <c r="K253" s="114" t="str">
        <f t="shared" si="36"/>
        <v/>
      </c>
      <c r="L253" s="24"/>
      <c r="M253" s="24"/>
      <c r="N253" s="24"/>
      <c r="O253" s="24"/>
      <c r="P253" s="97" t="str">
        <f t="shared" si="37"/>
        <v/>
      </c>
      <c r="Q253" s="113" t="str">
        <f t="shared" si="38"/>
        <v/>
      </c>
      <c r="R253" s="88"/>
      <c r="S253" s="24"/>
      <c r="T253" s="24"/>
      <c r="U253" s="78" t="str">
        <f t="shared" si="39"/>
        <v/>
      </c>
      <c r="V253" s="24"/>
      <c r="W253" s="24"/>
      <c r="X253" s="24"/>
      <c r="Y253" s="24"/>
      <c r="Z253" s="98" t="str">
        <f t="shared" si="40"/>
        <v/>
      </c>
      <c r="AA253" s="40" t="str">
        <f t="shared" si="46"/>
        <v/>
      </c>
      <c r="AB253" s="88"/>
      <c r="AC253" s="24"/>
      <c r="AD253" s="24"/>
      <c r="AE253" s="79" t="str">
        <f t="shared" si="41"/>
        <v/>
      </c>
      <c r="AF253" s="24"/>
      <c r="AG253" s="24"/>
      <c r="AH253" s="24"/>
      <c r="AI253" s="24"/>
      <c r="AJ253" s="99" t="str">
        <f t="shared" si="42"/>
        <v/>
      </c>
      <c r="AK253" s="31" t="str">
        <f t="shared" si="47"/>
        <v/>
      </c>
      <c r="AN253" s="139" t="str">
        <f>IF($K253="","",VLOOKUP($K253,'ORF Accuracy Value LookUp'!$G$4:$H$104,2,TRUE))</f>
        <v/>
      </c>
      <c r="AO253" s="94" t="str">
        <f t="shared" si="43"/>
        <v/>
      </c>
      <c r="AP253" s="47" t="str">
        <f>IF($U253="","",VLOOKUP($U253,'ORF Accuracy Value LookUp'!$G$4:$H$104,2,TRUE))</f>
        <v/>
      </c>
      <c r="AQ253" s="94" t="str">
        <f t="shared" si="44"/>
        <v/>
      </c>
      <c r="AR253" s="46" t="str">
        <f>IF($AE253="","",VLOOKUP($AE253,'ORF Accuracy Value LookUp'!$G$4:$H$104,2,TRUE))</f>
        <v/>
      </c>
      <c r="AS253" s="140" t="str">
        <f t="shared" si="45"/>
        <v/>
      </c>
    </row>
    <row r="254" spans="1:45">
      <c r="A254" s="10"/>
      <c r="B254" s="9"/>
      <c r="C254" s="9"/>
      <c r="D254" s="9"/>
      <c r="E254" s="10"/>
      <c r="F254" s="11"/>
      <c r="G254" s="15"/>
      <c r="H254" s="88"/>
      <c r="I254" s="24"/>
      <c r="J254" s="24"/>
      <c r="K254" s="114" t="str">
        <f t="shared" si="36"/>
        <v/>
      </c>
      <c r="L254" s="24"/>
      <c r="M254" s="24"/>
      <c r="N254" s="24"/>
      <c r="O254" s="24"/>
      <c r="P254" s="97" t="str">
        <f t="shared" si="37"/>
        <v/>
      </c>
      <c r="Q254" s="113" t="str">
        <f t="shared" si="38"/>
        <v/>
      </c>
      <c r="R254" s="88"/>
      <c r="S254" s="24"/>
      <c r="T254" s="24"/>
      <c r="U254" s="78" t="str">
        <f t="shared" si="39"/>
        <v/>
      </c>
      <c r="V254" s="24"/>
      <c r="W254" s="24"/>
      <c r="X254" s="24"/>
      <c r="Y254" s="24"/>
      <c r="Z254" s="98" t="str">
        <f t="shared" si="40"/>
        <v/>
      </c>
      <c r="AA254" s="40" t="str">
        <f t="shared" si="46"/>
        <v/>
      </c>
      <c r="AB254" s="88"/>
      <c r="AC254" s="24"/>
      <c r="AD254" s="24"/>
      <c r="AE254" s="79" t="str">
        <f t="shared" si="41"/>
        <v/>
      </c>
      <c r="AF254" s="24"/>
      <c r="AG254" s="24"/>
      <c r="AH254" s="24"/>
      <c r="AI254" s="24"/>
      <c r="AJ254" s="99" t="str">
        <f t="shared" si="42"/>
        <v/>
      </c>
      <c r="AK254" s="31" t="str">
        <f t="shared" si="47"/>
        <v/>
      </c>
      <c r="AN254" s="139" t="str">
        <f>IF($K254="","",VLOOKUP($K254,'ORF Accuracy Value LookUp'!$G$4:$H$104,2,TRUE))</f>
        <v/>
      </c>
      <c r="AO254" s="94" t="str">
        <f t="shared" si="43"/>
        <v/>
      </c>
      <c r="AP254" s="47" t="str">
        <f>IF($U254="","",VLOOKUP($U254,'ORF Accuracy Value LookUp'!$G$4:$H$104,2,TRUE))</f>
        <v/>
      </c>
      <c r="AQ254" s="94" t="str">
        <f t="shared" si="44"/>
        <v/>
      </c>
      <c r="AR254" s="46" t="str">
        <f>IF($AE254="","",VLOOKUP($AE254,'ORF Accuracy Value LookUp'!$G$4:$H$104,2,TRUE))</f>
        <v/>
      </c>
      <c r="AS254" s="140" t="str">
        <f t="shared" si="45"/>
        <v/>
      </c>
    </row>
    <row r="255" spans="1:45">
      <c r="A255" s="10"/>
      <c r="B255" s="9"/>
      <c r="C255" s="9"/>
      <c r="D255" s="9"/>
      <c r="E255" s="10"/>
      <c r="F255" s="11"/>
      <c r="G255" s="15"/>
      <c r="H255" s="88"/>
      <c r="I255" s="24"/>
      <c r="J255" s="24"/>
      <c r="K255" s="114" t="str">
        <f t="shared" si="36"/>
        <v/>
      </c>
      <c r="L255" s="24"/>
      <c r="M255" s="24"/>
      <c r="N255" s="24"/>
      <c r="O255" s="24"/>
      <c r="P255" s="97" t="str">
        <f t="shared" si="37"/>
        <v/>
      </c>
      <c r="Q255" s="113" t="str">
        <f t="shared" si="38"/>
        <v/>
      </c>
      <c r="R255" s="88"/>
      <c r="S255" s="24"/>
      <c r="T255" s="24"/>
      <c r="U255" s="78" t="str">
        <f t="shared" si="39"/>
        <v/>
      </c>
      <c r="V255" s="24"/>
      <c r="W255" s="24"/>
      <c r="X255" s="24"/>
      <c r="Y255" s="24"/>
      <c r="Z255" s="98" t="str">
        <f t="shared" si="40"/>
        <v/>
      </c>
      <c r="AA255" s="40" t="str">
        <f t="shared" si="46"/>
        <v/>
      </c>
      <c r="AB255" s="88"/>
      <c r="AC255" s="24"/>
      <c r="AD255" s="24"/>
      <c r="AE255" s="79" t="str">
        <f t="shared" si="41"/>
        <v/>
      </c>
      <c r="AF255" s="24"/>
      <c r="AG255" s="24"/>
      <c r="AH255" s="24"/>
      <c r="AI255" s="24"/>
      <c r="AJ255" s="99" t="str">
        <f t="shared" si="42"/>
        <v/>
      </c>
      <c r="AK255" s="31" t="str">
        <f t="shared" si="47"/>
        <v/>
      </c>
      <c r="AN255" s="139" t="str">
        <f>IF($K255="","",VLOOKUP($K255,'ORF Accuracy Value LookUp'!$G$4:$H$104,2,TRUE))</f>
        <v/>
      </c>
      <c r="AO255" s="94" t="str">
        <f t="shared" si="43"/>
        <v/>
      </c>
      <c r="AP255" s="47" t="str">
        <f>IF($U255="","",VLOOKUP($U255,'ORF Accuracy Value LookUp'!$G$4:$H$104,2,TRUE))</f>
        <v/>
      </c>
      <c r="AQ255" s="94" t="str">
        <f t="shared" si="44"/>
        <v/>
      </c>
      <c r="AR255" s="46" t="str">
        <f>IF($AE255="","",VLOOKUP($AE255,'ORF Accuracy Value LookUp'!$G$4:$H$104,2,TRUE))</f>
        <v/>
      </c>
      <c r="AS255" s="140" t="str">
        <f t="shared" si="45"/>
        <v/>
      </c>
    </row>
    <row r="256" spans="1:45">
      <c r="A256" s="10"/>
      <c r="B256" s="9"/>
      <c r="C256" s="9"/>
      <c r="D256" s="9"/>
      <c r="E256" s="10"/>
      <c r="F256" s="11"/>
      <c r="G256" s="15"/>
      <c r="H256" s="88"/>
      <c r="I256" s="24"/>
      <c r="J256" s="24"/>
      <c r="K256" s="114" t="str">
        <f t="shared" si="36"/>
        <v/>
      </c>
      <c r="L256" s="24"/>
      <c r="M256" s="24"/>
      <c r="N256" s="24"/>
      <c r="O256" s="24"/>
      <c r="P256" s="97" t="str">
        <f t="shared" si="37"/>
        <v/>
      </c>
      <c r="Q256" s="113" t="str">
        <f t="shared" si="38"/>
        <v/>
      </c>
      <c r="R256" s="88"/>
      <c r="S256" s="24"/>
      <c r="T256" s="24"/>
      <c r="U256" s="78" t="str">
        <f t="shared" si="39"/>
        <v/>
      </c>
      <c r="V256" s="24"/>
      <c r="W256" s="24"/>
      <c r="X256" s="24"/>
      <c r="Y256" s="24"/>
      <c r="Z256" s="98" t="str">
        <f t="shared" si="40"/>
        <v/>
      </c>
      <c r="AA256" s="40" t="str">
        <f t="shared" si="46"/>
        <v/>
      </c>
      <c r="AB256" s="88"/>
      <c r="AC256" s="24"/>
      <c r="AD256" s="24"/>
      <c r="AE256" s="79" t="str">
        <f t="shared" si="41"/>
        <v/>
      </c>
      <c r="AF256" s="24"/>
      <c r="AG256" s="24"/>
      <c r="AH256" s="24"/>
      <c r="AI256" s="24"/>
      <c r="AJ256" s="99" t="str">
        <f t="shared" si="42"/>
        <v/>
      </c>
      <c r="AK256" s="31" t="str">
        <f t="shared" si="47"/>
        <v/>
      </c>
      <c r="AN256" s="139" t="str">
        <f>IF($K256="","",VLOOKUP($K256,'ORF Accuracy Value LookUp'!$G$4:$H$104,2,TRUE))</f>
        <v/>
      </c>
      <c r="AO256" s="94" t="str">
        <f t="shared" si="43"/>
        <v/>
      </c>
      <c r="AP256" s="47" t="str">
        <f>IF($U256="","",VLOOKUP($U256,'ORF Accuracy Value LookUp'!$G$4:$H$104,2,TRUE))</f>
        <v/>
      </c>
      <c r="AQ256" s="94" t="str">
        <f t="shared" si="44"/>
        <v/>
      </c>
      <c r="AR256" s="46" t="str">
        <f>IF($AE256="","",VLOOKUP($AE256,'ORF Accuracy Value LookUp'!$G$4:$H$104,2,TRUE))</f>
        <v/>
      </c>
      <c r="AS256" s="140" t="str">
        <f t="shared" si="45"/>
        <v/>
      </c>
    </row>
    <row r="257" spans="1:45">
      <c r="A257" s="10"/>
      <c r="B257" s="9"/>
      <c r="C257" s="9"/>
      <c r="D257" s="9"/>
      <c r="E257" s="10"/>
      <c r="F257" s="11"/>
      <c r="G257" s="15"/>
      <c r="H257" s="88"/>
      <c r="I257" s="24"/>
      <c r="J257" s="24"/>
      <c r="K257" s="114" t="str">
        <f t="shared" si="36"/>
        <v/>
      </c>
      <c r="L257" s="24"/>
      <c r="M257" s="24"/>
      <c r="N257" s="24"/>
      <c r="O257" s="24"/>
      <c r="P257" s="97" t="str">
        <f t="shared" si="37"/>
        <v/>
      </c>
      <c r="Q257" s="113" t="str">
        <f t="shared" si="38"/>
        <v/>
      </c>
      <c r="R257" s="88"/>
      <c r="S257" s="24"/>
      <c r="T257" s="24"/>
      <c r="U257" s="78" t="str">
        <f t="shared" si="39"/>
        <v/>
      </c>
      <c r="V257" s="24"/>
      <c r="W257" s="24"/>
      <c r="X257" s="24"/>
      <c r="Y257" s="24"/>
      <c r="Z257" s="98" t="str">
        <f t="shared" si="40"/>
        <v/>
      </c>
      <c r="AA257" s="40" t="str">
        <f t="shared" si="46"/>
        <v/>
      </c>
      <c r="AB257" s="88"/>
      <c r="AC257" s="24"/>
      <c r="AD257" s="24"/>
      <c r="AE257" s="79" t="str">
        <f t="shared" si="41"/>
        <v/>
      </c>
      <c r="AF257" s="24"/>
      <c r="AG257" s="24"/>
      <c r="AH257" s="24"/>
      <c r="AI257" s="24"/>
      <c r="AJ257" s="99" t="str">
        <f t="shared" si="42"/>
        <v/>
      </c>
      <c r="AK257" s="31" t="str">
        <f t="shared" si="47"/>
        <v/>
      </c>
      <c r="AN257" s="139" t="str">
        <f>IF($K257="","",VLOOKUP($K257,'ORF Accuracy Value LookUp'!$G$4:$H$104,2,TRUE))</f>
        <v/>
      </c>
      <c r="AO257" s="94" t="str">
        <f t="shared" si="43"/>
        <v/>
      </c>
      <c r="AP257" s="47" t="str">
        <f>IF($U257="","",VLOOKUP($U257,'ORF Accuracy Value LookUp'!$G$4:$H$104,2,TRUE))</f>
        <v/>
      </c>
      <c r="AQ257" s="94" t="str">
        <f t="shared" si="44"/>
        <v/>
      </c>
      <c r="AR257" s="46" t="str">
        <f>IF($AE257="","",VLOOKUP($AE257,'ORF Accuracy Value LookUp'!$G$4:$H$104,2,TRUE))</f>
        <v/>
      </c>
      <c r="AS257" s="140" t="str">
        <f t="shared" si="45"/>
        <v/>
      </c>
    </row>
    <row r="258" spans="1:45">
      <c r="A258" s="10"/>
      <c r="B258" s="9"/>
      <c r="C258" s="9"/>
      <c r="D258" s="9"/>
      <c r="E258" s="10"/>
      <c r="F258" s="11"/>
      <c r="G258" s="15"/>
      <c r="H258" s="88"/>
      <c r="I258" s="24"/>
      <c r="J258" s="24"/>
      <c r="K258" s="114" t="str">
        <f t="shared" si="36"/>
        <v/>
      </c>
      <c r="L258" s="24"/>
      <c r="M258" s="24"/>
      <c r="N258" s="24"/>
      <c r="O258" s="24"/>
      <c r="P258" s="97" t="str">
        <f t="shared" si="37"/>
        <v/>
      </c>
      <c r="Q258" s="113" t="str">
        <f t="shared" si="38"/>
        <v/>
      </c>
      <c r="R258" s="88"/>
      <c r="S258" s="24"/>
      <c r="T258" s="24"/>
      <c r="U258" s="78" t="str">
        <f t="shared" si="39"/>
        <v/>
      </c>
      <c r="V258" s="24"/>
      <c r="W258" s="24"/>
      <c r="X258" s="24"/>
      <c r="Y258" s="24"/>
      <c r="Z258" s="98" t="str">
        <f t="shared" si="40"/>
        <v/>
      </c>
      <c r="AA258" s="40" t="str">
        <f t="shared" si="46"/>
        <v/>
      </c>
      <c r="AB258" s="88"/>
      <c r="AC258" s="24"/>
      <c r="AD258" s="24"/>
      <c r="AE258" s="79" t="str">
        <f t="shared" si="41"/>
        <v/>
      </c>
      <c r="AF258" s="24"/>
      <c r="AG258" s="24"/>
      <c r="AH258" s="24"/>
      <c r="AI258" s="24"/>
      <c r="AJ258" s="99" t="str">
        <f t="shared" si="42"/>
        <v/>
      </c>
      <c r="AK258" s="31" t="str">
        <f t="shared" si="47"/>
        <v/>
      </c>
      <c r="AN258" s="139" t="str">
        <f>IF($K258="","",VLOOKUP($K258,'ORF Accuracy Value LookUp'!$G$4:$H$104,2,TRUE))</f>
        <v/>
      </c>
      <c r="AO258" s="94" t="str">
        <f t="shared" si="43"/>
        <v/>
      </c>
      <c r="AP258" s="47" t="str">
        <f>IF($U258="","",VLOOKUP($U258,'ORF Accuracy Value LookUp'!$G$4:$H$104,2,TRUE))</f>
        <v/>
      </c>
      <c r="AQ258" s="94" t="str">
        <f t="shared" si="44"/>
        <v/>
      </c>
      <c r="AR258" s="46" t="str">
        <f>IF($AE258="","",VLOOKUP($AE258,'ORF Accuracy Value LookUp'!$G$4:$H$104,2,TRUE))</f>
        <v/>
      </c>
      <c r="AS258" s="140" t="str">
        <f t="shared" si="45"/>
        <v/>
      </c>
    </row>
    <row r="259" spans="1:45">
      <c r="A259" s="10"/>
      <c r="B259" s="9"/>
      <c r="C259" s="9"/>
      <c r="D259" s="9"/>
      <c r="E259" s="10"/>
      <c r="F259" s="11"/>
      <c r="G259" s="15"/>
      <c r="H259" s="88"/>
      <c r="I259" s="24"/>
      <c r="J259" s="24"/>
      <c r="K259" s="114" t="str">
        <f t="shared" si="36"/>
        <v/>
      </c>
      <c r="L259" s="24"/>
      <c r="M259" s="24"/>
      <c r="N259" s="24"/>
      <c r="O259" s="24"/>
      <c r="P259" s="97" t="str">
        <f t="shared" si="37"/>
        <v/>
      </c>
      <c r="Q259" s="113" t="str">
        <f t="shared" si="38"/>
        <v/>
      </c>
      <c r="R259" s="88"/>
      <c r="S259" s="24"/>
      <c r="T259" s="24"/>
      <c r="U259" s="78" t="str">
        <f t="shared" si="39"/>
        <v/>
      </c>
      <c r="V259" s="24"/>
      <c r="W259" s="24"/>
      <c r="X259" s="24"/>
      <c r="Y259" s="24"/>
      <c r="Z259" s="98" t="str">
        <f t="shared" si="40"/>
        <v/>
      </c>
      <c r="AA259" s="40" t="str">
        <f t="shared" si="46"/>
        <v/>
      </c>
      <c r="AB259" s="88"/>
      <c r="AC259" s="24"/>
      <c r="AD259" s="24"/>
      <c r="AE259" s="79" t="str">
        <f t="shared" si="41"/>
        <v/>
      </c>
      <c r="AF259" s="24"/>
      <c r="AG259" s="24"/>
      <c r="AH259" s="24"/>
      <c r="AI259" s="24"/>
      <c r="AJ259" s="99" t="str">
        <f t="shared" si="42"/>
        <v/>
      </c>
      <c r="AK259" s="31" t="str">
        <f t="shared" si="47"/>
        <v/>
      </c>
      <c r="AN259" s="139" t="str">
        <f>IF($K259="","",VLOOKUP($K259,'ORF Accuracy Value LookUp'!$G$4:$H$104,2,TRUE))</f>
        <v/>
      </c>
      <c r="AO259" s="94" t="str">
        <f t="shared" si="43"/>
        <v/>
      </c>
      <c r="AP259" s="47" t="str">
        <f>IF($U259="","",VLOOKUP($U259,'ORF Accuracy Value LookUp'!$G$4:$H$104,2,TRUE))</f>
        <v/>
      </c>
      <c r="AQ259" s="94" t="str">
        <f t="shared" si="44"/>
        <v/>
      </c>
      <c r="AR259" s="46" t="str">
        <f>IF($AE259="","",VLOOKUP($AE259,'ORF Accuracy Value LookUp'!$G$4:$H$104,2,TRUE))</f>
        <v/>
      </c>
      <c r="AS259" s="140" t="str">
        <f t="shared" si="45"/>
        <v/>
      </c>
    </row>
    <row r="260" spans="1:45">
      <c r="A260" s="10"/>
      <c r="B260" s="9"/>
      <c r="C260" s="9"/>
      <c r="D260" s="9"/>
      <c r="E260" s="10"/>
      <c r="F260" s="11"/>
      <c r="G260" s="15"/>
      <c r="H260" s="88"/>
      <c r="I260" s="24"/>
      <c r="J260" s="24"/>
      <c r="K260" s="114" t="str">
        <f t="shared" si="36"/>
        <v/>
      </c>
      <c r="L260" s="24"/>
      <c r="M260" s="24"/>
      <c r="N260" s="24"/>
      <c r="O260" s="24"/>
      <c r="P260" s="97" t="str">
        <f t="shared" si="37"/>
        <v/>
      </c>
      <c r="Q260" s="113" t="str">
        <f t="shared" si="38"/>
        <v/>
      </c>
      <c r="R260" s="88"/>
      <c r="S260" s="24"/>
      <c r="T260" s="24"/>
      <c r="U260" s="78" t="str">
        <f t="shared" si="39"/>
        <v/>
      </c>
      <c r="V260" s="24"/>
      <c r="W260" s="24"/>
      <c r="X260" s="24"/>
      <c r="Y260" s="24"/>
      <c r="Z260" s="98" t="str">
        <f t="shared" si="40"/>
        <v/>
      </c>
      <c r="AA260" s="40" t="str">
        <f t="shared" si="46"/>
        <v/>
      </c>
      <c r="AB260" s="88"/>
      <c r="AC260" s="24"/>
      <c r="AD260" s="24"/>
      <c r="AE260" s="79" t="str">
        <f t="shared" si="41"/>
        <v/>
      </c>
      <c r="AF260" s="24"/>
      <c r="AG260" s="24"/>
      <c r="AH260" s="24"/>
      <c r="AI260" s="24"/>
      <c r="AJ260" s="99" t="str">
        <f t="shared" si="42"/>
        <v/>
      </c>
      <c r="AK260" s="31" t="str">
        <f t="shared" si="47"/>
        <v/>
      </c>
      <c r="AN260" s="139" t="str">
        <f>IF($K260="","",VLOOKUP($K260,'ORF Accuracy Value LookUp'!$G$4:$H$104,2,TRUE))</f>
        <v/>
      </c>
      <c r="AO260" s="94" t="str">
        <f t="shared" si="43"/>
        <v/>
      </c>
      <c r="AP260" s="47" t="str">
        <f>IF($U260="","",VLOOKUP($U260,'ORF Accuracy Value LookUp'!$G$4:$H$104,2,TRUE))</f>
        <v/>
      </c>
      <c r="AQ260" s="94" t="str">
        <f t="shared" si="44"/>
        <v/>
      </c>
      <c r="AR260" s="46" t="str">
        <f>IF($AE260="","",VLOOKUP($AE260,'ORF Accuracy Value LookUp'!$G$4:$H$104,2,TRUE))</f>
        <v/>
      </c>
      <c r="AS260" s="140" t="str">
        <f t="shared" si="45"/>
        <v/>
      </c>
    </row>
    <row r="261" spans="1:45">
      <c r="A261" s="10"/>
      <c r="B261" s="9"/>
      <c r="C261" s="9"/>
      <c r="D261" s="9"/>
      <c r="E261" s="10"/>
      <c r="F261" s="11"/>
      <c r="G261" s="15"/>
      <c r="H261" s="88"/>
      <c r="I261" s="24"/>
      <c r="J261" s="24"/>
      <c r="K261" s="114" t="str">
        <f t="shared" si="36"/>
        <v/>
      </c>
      <c r="L261" s="24"/>
      <c r="M261" s="24"/>
      <c r="N261" s="24"/>
      <c r="O261" s="24"/>
      <c r="P261" s="97" t="str">
        <f t="shared" si="37"/>
        <v/>
      </c>
      <c r="Q261" s="113" t="str">
        <f t="shared" si="38"/>
        <v/>
      </c>
      <c r="R261" s="88"/>
      <c r="S261" s="24"/>
      <c r="T261" s="24"/>
      <c r="U261" s="78" t="str">
        <f t="shared" si="39"/>
        <v/>
      </c>
      <c r="V261" s="24"/>
      <c r="W261" s="24"/>
      <c r="X261" s="24"/>
      <c r="Y261" s="24"/>
      <c r="Z261" s="98" t="str">
        <f t="shared" si="40"/>
        <v/>
      </c>
      <c r="AA261" s="40" t="str">
        <f t="shared" si="46"/>
        <v/>
      </c>
      <c r="AB261" s="88"/>
      <c r="AC261" s="24"/>
      <c r="AD261" s="24"/>
      <c r="AE261" s="79" t="str">
        <f t="shared" si="41"/>
        <v/>
      </c>
      <c r="AF261" s="24"/>
      <c r="AG261" s="24"/>
      <c r="AH261" s="24"/>
      <c r="AI261" s="24"/>
      <c r="AJ261" s="99" t="str">
        <f t="shared" si="42"/>
        <v/>
      </c>
      <c r="AK261" s="31" t="str">
        <f t="shared" si="47"/>
        <v/>
      </c>
      <c r="AN261" s="139" t="str">
        <f>IF($K261="","",VLOOKUP($K261,'ORF Accuracy Value LookUp'!$G$4:$H$104,2,TRUE))</f>
        <v/>
      </c>
      <c r="AO261" s="94" t="str">
        <f t="shared" si="43"/>
        <v/>
      </c>
      <c r="AP261" s="47" t="str">
        <f>IF($U261="","",VLOOKUP($U261,'ORF Accuracy Value LookUp'!$G$4:$H$104,2,TRUE))</f>
        <v/>
      </c>
      <c r="AQ261" s="94" t="str">
        <f t="shared" si="44"/>
        <v/>
      </c>
      <c r="AR261" s="46" t="str">
        <f>IF($AE261="","",VLOOKUP($AE261,'ORF Accuracy Value LookUp'!$G$4:$H$104,2,TRUE))</f>
        <v/>
      </c>
      <c r="AS261" s="140" t="str">
        <f t="shared" si="45"/>
        <v/>
      </c>
    </row>
    <row r="262" spans="1:45">
      <c r="A262" s="10"/>
      <c r="B262" s="9"/>
      <c r="C262" s="9"/>
      <c r="D262" s="9"/>
      <c r="E262" s="10"/>
      <c r="F262" s="11"/>
      <c r="G262" s="15"/>
      <c r="H262" s="88"/>
      <c r="I262" s="24"/>
      <c r="J262" s="24"/>
      <c r="K262" s="114" t="str">
        <f t="shared" si="36"/>
        <v/>
      </c>
      <c r="L262" s="24"/>
      <c r="M262" s="24"/>
      <c r="N262" s="24"/>
      <c r="O262" s="24"/>
      <c r="P262" s="97" t="str">
        <f t="shared" si="37"/>
        <v/>
      </c>
      <c r="Q262" s="113" t="str">
        <f t="shared" si="38"/>
        <v/>
      </c>
      <c r="R262" s="88"/>
      <c r="S262" s="24"/>
      <c r="T262" s="24"/>
      <c r="U262" s="78" t="str">
        <f t="shared" si="39"/>
        <v/>
      </c>
      <c r="V262" s="24"/>
      <c r="W262" s="24"/>
      <c r="X262" s="24"/>
      <c r="Y262" s="24"/>
      <c r="Z262" s="98" t="str">
        <f t="shared" si="40"/>
        <v/>
      </c>
      <c r="AA262" s="40" t="str">
        <f t="shared" si="46"/>
        <v/>
      </c>
      <c r="AB262" s="88"/>
      <c r="AC262" s="24"/>
      <c r="AD262" s="24"/>
      <c r="AE262" s="79" t="str">
        <f t="shared" si="41"/>
        <v/>
      </c>
      <c r="AF262" s="24"/>
      <c r="AG262" s="24"/>
      <c r="AH262" s="24"/>
      <c r="AI262" s="24"/>
      <c r="AJ262" s="99" t="str">
        <f t="shared" si="42"/>
        <v/>
      </c>
      <c r="AK262" s="31" t="str">
        <f t="shared" si="47"/>
        <v/>
      </c>
      <c r="AN262" s="139" t="str">
        <f>IF($K262="","",VLOOKUP($K262,'ORF Accuracy Value LookUp'!$G$4:$H$104,2,TRUE))</f>
        <v/>
      </c>
      <c r="AO262" s="94" t="str">
        <f t="shared" si="43"/>
        <v/>
      </c>
      <c r="AP262" s="47" t="str">
        <f>IF($U262="","",VLOOKUP($U262,'ORF Accuracy Value LookUp'!$G$4:$H$104,2,TRUE))</f>
        <v/>
      </c>
      <c r="AQ262" s="94" t="str">
        <f t="shared" si="44"/>
        <v/>
      </c>
      <c r="AR262" s="46" t="str">
        <f>IF($AE262="","",VLOOKUP($AE262,'ORF Accuracy Value LookUp'!$G$4:$H$104,2,TRUE))</f>
        <v/>
      </c>
      <c r="AS262" s="140" t="str">
        <f t="shared" si="45"/>
        <v/>
      </c>
    </row>
    <row r="263" spans="1:45">
      <c r="A263" s="10"/>
      <c r="B263" s="9"/>
      <c r="C263" s="9"/>
      <c r="D263" s="9"/>
      <c r="E263" s="10"/>
      <c r="F263" s="11"/>
      <c r="G263" s="15"/>
      <c r="H263" s="88"/>
      <c r="I263" s="24"/>
      <c r="J263" s="24"/>
      <c r="K263" s="114" t="str">
        <f t="shared" si="36"/>
        <v/>
      </c>
      <c r="L263" s="24"/>
      <c r="M263" s="24"/>
      <c r="N263" s="24"/>
      <c r="O263" s="24"/>
      <c r="P263" s="97" t="str">
        <f t="shared" si="37"/>
        <v/>
      </c>
      <c r="Q263" s="113" t="str">
        <f t="shared" si="38"/>
        <v/>
      </c>
      <c r="R263" s="88"/>
      <c r="S263" s="24"/>
      <c r="T263" s="24"/>
      <c r="U263" s="78" t="str">
        <f t="shared" si="39"/>
        <v/>
      </c>
      <c r="V263" s="24"/>
      <c r="W263" s="24"/>
      <c r="X263" s="24"/>
      <c r="Y263" s="24"/>
      <c r="Z263" s="98" t="str">
        <f t="shared" si="40"/>
        <v/>
      </c>
      <c r="AA263" s="40" t="str">
        <f t="shared" si="46"/>
        <v/>
      </c>
      <c r="AB263" s="88"/>
      <c r="AC263" s="24"/>
      <c r="AD263" s="24"/>
      <c r="AE263" s="79" t="str">
        <f t="shared" si="41"/>
        <v/>
      </c>
      <c r="AF263" s="24"/>
      <c r="AG263" s="24"/>
      <c r="AH263" s="24"/>
      <c r="AI263" s="24"/>
      <c r="AJ263" s="99" t="str">
        <f t="shared" si="42"/>
        <v/>
      </c>
      <c r="AK263" s="31" t="str">
        <f t="shared" si="47"/>
        <v/>
      </c>
      <c r="AN263" s="139" t="str">
        <f>IF($K263="","",VLOOKUP($K263,'ORF Accuracy Value LookUp'!$G$4:$H$104,2,TRUE))</f>
        <v/>
      </c>
      <c r="AO263" s="94" t="str">
        <f t="shared" si="43"/>
        <v/>
      </c>
      <c r="AP263" s="47" t="str">
        <f>IF($U263="","",VLOOKUP($U263,'ORF Accuracy Value LookUp'!$G$4:$H$104,2,TRUE))</f>
        <v/>
      </c>
      <c r="AQ263" s="94" t="str">
        <f t="shared" si="44"/>
        <v/>
      </c>
      <c r="AR263" s="46" t="str">
        <f>IF($AE263="","",VLOOKUP($AE263,'ORF Accuracy Value LookUp'!$G$4:$H$104,2,TRUE))</f>
        <v/>
      </c>
      <c r="AS263" s="140" t="str">
        <f t="shared" si="45"/>
        <v/>
      </c>
    </row>
    <row r="264" spans="1:45">
      <c r="A264" s="10"/>
      <c r="B264" s="9"/>
      <c r="C264" s="9"/>
      <c r="D264" s="9"/>
      <c r="E264" s="10"/>
      <c r="F264" s="11"/>
      <c r="G264" s="15"/>
      <c r="H264" s="88"/>
      <c r="I264" s="24"/>
      <c r="J264" s="24"/>
      <c r="K264" s="114" t="str">
        <f t="shared" ref="K264:K327" si="48">IF($I264="","",SUM($I264/($I264+$J264)))</f>
        <v/>
      </c>
      <c r="L264" s="24"/>
      <c r="M264" s="24"/>
      <c r="N264" s="24"/>
      <c r="O264" s="24"/>
      <c r="P264" s="97" t="str">
        <f t="shared" ref="P264:P327" si="49">IF($AO264&gt;0,$AO264,0)</f>
        <v/>
      </c>
      <c r="Q264" s="113" t="str">
        <f t="shared" ref="Q264:Q327" si="50">IF($B264="","",SUM($I264+$AN264+($L264*2)+($P264*2)))</f>
        <v/>
      </c>
      <c r="R264" s="88"/>
      <c r="S264" s="24"/>
      <c r="T264" s="24"/>
      <c r="U264" s="78" t="str">
        <f t="shared" ref="U264:U327" si="51">IF($S264="","",SUM($S264/($S264+$T264)))</f>
        <v/>
      </c>
      <c r="V264" s="24"/>
      <c r="W264" s="24"/>
      <c r="X264" s="24"/>
      <c r="Y264" s="24"/>
      <c r="Z264" s="98" t="str">
        <f t="shared" ref="Z264:Z327" si="52">IF($AQ264&gt;0,$AQ264,0)</f>
        <v/>
      </c>
      <c r="AA264" s="40" t="str">
        <f t="shared" si="46"/>
        <v/>
      </c>
      <c r="AB264" s="88"/>
      <c r="AC264" s="24"/>
      <c r="AD264" s="24"/>
      <c r="AE264" s="79" t="str">
        <f t="shared" ref="AE264:AE327" si="53">IF($AC264="","",SUM($AC264/($AC264+$AD264)))</f>
        <v/>
      </c>
      <c r="AF264" s="24"/>
      <c r="AG264" s="24"/>
      <c r="AH264" s="24"/>
      <c r="AI264" s="24"/>
      <c r="AJ264" s="99" t="str">
        <f t="shared" ref="AJ264:AJ327" si="54">IF($AS264&gt;0,$AS264,0)</f>
        <v/>
      </c>
      <c r="AK264" s="31" t="str">
        <f t="shared" si="47"/>
        <v/>
      </c>
      <c r="AN264" s="139" t="str">
        <f>IF($K264="","",VLOOKUP($K264,'ORF Accuracy Value LookUp'!$G$4:$H$104,2,TRUE))</f>
        <v/>
      </c>
      <c r="AO264" s="94" t="str">
        <f t="shared" ref="AO264:AO327" si="55">IF($N264="","",($N264-($O264/2)))</f>
        <v/>
      </c>
      <c r="AP264" s="47" t="str">
        <f>IF($U264="","",VLOOKUP($U264,'ORF Accuracy Value LookUp'!$G$4:$H$104,2,TRUE))</f>
        <v/>
      </c>
      <c r="AQ264" s="94" t="str">
        <f t="shared" ref="AQ264:AQ327" si="56">IF($X264="","",$X264-($Y264/2))</f>
        <v/>
      </c>
      <c r="AR264" s="46" t="str">
        <f>IF($AE264="","",VLOOKUP($AE264,'ORF Accuracy Value LookUp'!$G$4:$H$104,2,TRUE))</f>
        <v/>
      </c>
      <c r="AS264" s="140" t="str">
        <f t="shared" ref="AS264:AS327" si="57">IF($AH264="","",$AH264-($AI264/2))</f>
        <v/>
      </c>
    </row>
    <row r="265" spans="1:45">
      <c r="A265" s="10"/>
      <c r="B265" s="9"/>
      <c r="C265" s="9"/>
      <c r="D265" s="9"/>
      <c r="E265" s="10"/>
      <c r="F265" s="11"/>
      <c r="G265" s="15"/>
      <c r="H265" s="88"/>
      <c r="I265" s="24"/>
      <c r="J265" s="24"/>
      <c r="K265" s="114" t="str">
        <f t="shared" si="48"/>
        <v/>
      </c>
      <c r="L265" s="24"/>
      <c r="M265" s="24"/>
      <c r="N265" s="24"/>
      <c r="O265" s="24"/>
      <c r="P265" s="97" t="str">
        <f t="shared" si="49"/>
        <v/>
      </c>
      <c r="Q265" s="113" t="str">
        <f t="shared" si="50"/>
        <v/>
      </c>
      <c r="R265" s="88"/>
      <c r="S265" s="24"/>
      <c r="T265" s="24"/>
      <c r="U265" s="78" t="str">
        <f t="shared" si="51"/>
        <v/>
      </c>
      <c r="V265" s="24"/>
      <c r="W265" s="24"/>
      <c r="X265" s="24"/>
      <c r="Y265" s="24"/>
      <c r="Z265" s="98" t="str">
        <f t="shared" si="52"/>
        <v/>
      </c>
      <c r="AA265" s="40" t="str">
        <f t="shared" ref="AA265:AA328" si="58">IF($R265="","",SUM($S265+$AP265+($V265*2)+($Z265*4)))</f>
        <v/>
      </c>
      <c r="AB265" s="88"/>
      <c r="AC265" s="24"/>
      <c r="AD265" s="24"/>
      <c r="AE265" s="79" t="str">
        <f t="shared" si="53"/>
        <v/>
      </c>
      <c r="AF265" s="24"/>
      <c r="AG265" s="24"/>
      <c r="AH265" s="24"/>
      <c r="AI265" s="24"/>
      <c r="AJ265" s="99" t="str">
        <f t="shared" si="54"/>
        <v/>
      </c>
      <c r="AK265" s="31" t="str">
        <f t="shared" ref="AK265:AK328" si="59">IF($AB265="","",SUM($AC265+$AR265+($AF265*2)+($AJ265*4)))</f>
        <v/>
      </c>
      <c r="AN265" s="139" t="str">
        <f>IF($K265="","",VLOOKUP($K265,'ORF Accuracy Value LookUp'!$G$4:$H$104,2,TRUE))</f>
        <v/>
      </c>
      <c r="AO265" s="94" t="str">
        <f t="shared" si="55"/>
        <v/>
      </c>
      <c r="AP265" s="47" t="str">
        <f>IF($U265="","",VLOOKUP($U265,'ORF Accuracy Value LookUp'!$G$4:$H$104,2,TRUE))</f>
        <v/>
      </c>
      <c r="AQ265" s="94" t="str">
        <f t="shared" si="56"/>
        <v/>
      </c>
      <c r="AR265" s="46" t="str">
        <f>IF($AE265="","",VLOOKUP($AE265,'ORF Accuracy Value LookUp'!$G$4:$H$104,2,TRUE))</f>
        <v/>
      </c>
      <c r="AS265" s="140" t="str">
        <f t="shared" si="57"/>
        <v/>
      </c>
    </row>
    <row r="266" spans="1:45">
      <c r="A266" s="10"/>
      <c r="B266" s="9"/>
      <c r="C266" s="9"/>
      <c r="D266" s="9"/>
      <c r="E266" s="10"/>
      <c r="F266" s="11"/>
      <c r="G266" s="15"/>
      <c r="H266" s="88"/>
      <c r="I266" s="24"/>
      <c r="J266" s="24"/>
      <c r="K266" s="114" t="str">
        <f t="shared" si="48"/>
        <v/>
      </c>
      <c r="L266" s="24"/>
      <c r="M266" s="24"/>
      <c r="N266" s="24"/>
      <c r="O266" s="24"/>
      <c r="P266" s="97" t="str">
        <f t="shared" si="49"/>
        <v/>
      </c>
      <c r="Q266" s="113" t="str">
        <f t="shared" si="50"/>
        <v/>
      </c>
      <c r="R266" s="88"/>
      <c r="S266" s="24"/>
      <c r="T266" s="24"/>
      <c r="U266" s="78" t="str">
        <f t="shared" si="51"/>
        <v/>
      </c>
      <c r="V266" s="24"/>
      <c r="W266" s="24"/>
      <c r="X266" s="24"/>
      <c r="Y266" s="24"/>
      <c r="Z266" s="98" t="str">
        <f t="shared" si="52"/>
        <v/>
      </c>
      <c r="AA266" s="40" t="str">
        <f t="shared" si="58"/>
        <v/>
      </c>
      <c r="AB266" s="88"/>
      <c r="AC266" s="24"/>
      <c r="AD266" s="24"/>
      <c r="AE266" s="79" t="str">
        <f t="shared" si="53"/>
        <v/>
      </c>
      <c r="AF266" s="24"/>
      <c r="AG266" s="24"/>
      <c r="AH266" s="24"/>
      <c r="AI266" s="24"/>
      <c r="AJ266" s="99" t="str">
        <f t="shared" si="54"/>
        <v/>
      </c>
      <c r="AK266" s="31" t="str">
        <f t="shared" si="59"/>
        <v/>
      </c>
      <c r="AN266" s="139" t="str">
        <f>IF($K266="","",VLOOKUP($K266,'ORF Accuracy Value LookUp'!$G$4:$H$104,2,TRUE))</f>
        <v/>
      </c>
      <c r="AO266" s="94" t="str">
        <f t="shared" si="55"/>
        <v/>
      </c>
      <c r="AP266" s="47" t="str">
        <f>IF($U266="","",VLOOKUP($U266,'ORF Accuracy Value LookUp'!$G$4:$H$104,2,TRUE))</f>
        <v/>
      </c>
      <c r="AQ266" s="94" t="str">
        <f t="shared" si="56"/>
        <v/>
      </c>
      <c r="AR266" s="46" t="str">
        <f>IF($AE266="","",VLOOKUP($AE266,'ORF Accuracy Value LookUp'!$G$4:$H$104,2,TRUE))</f>
        <v/>
      </c>
      <c r="AS266" s="140" t="str">
        <f t="shared" si="57"/>
        <v/>
      </c>
    </row>
    <row r="267" spans="1:45">
      <c r="A267" s="10"/>
      <c r="B267" s="9"/>
      <c r="C267" s="9"/>
      <c r="D267" s="9"/>
      <c r="E267" s="10"/>
      <c r="F267" s="11"/>
      <c r="G267" s="15"/>
      <c r="H267" s="88"/>
      <c r="I267" s="24"/>
      <c r="J267" s="24"/>
      <c r="K267" s="114" t="str">
        <f t="shared" si="48"/>
        <v/>
      </c>
      <c r="L267" s="24"/>
      <c r="M267" s="24"/>
      <c r="N267" s="24"/>
      <c r="O267" s="24"/>
      <c r="P267" s="97" t="str">
        <f t="shared" si="49"/>
        <v/>
      </c>
      <c r="Q267" s="113" t="str">
        <f t="shared" si="50"/>
        <v/>
      </c>
      <c r="R267" s="88"/>
      <c r="S267" s="24"/>
      <c r="T267" s="24"/>
      <c r="U267" s="78" t="str">
        <f t="shared" si="51"/>
        <v/>
      </c>
      <c r="V267" s="24"/>
      <c r="W267" s="24"/>
      <c r="X267" s="24"/>
      <c r="Y267" s="24"/>
      <c r="Z267" s="98" t="str">
        <f t="shared" si="52"/>
        <v/>
      </c>
      <c r="AA267" s="40" t="str">
        <f t="shared" si="58"/>
        <v/>
      </c>
      <c r="AB267" s="88"/>
      <c r="AC267" s="24"/>
      <c r="AD267" s="24"/>
      <c r="AE267" s="79" t="str">
        <f t="shared" si="53"/>
        <v/>
      </c>
      <c r="AF267" s="24"/>
      <c r="AG267" s="24"/>
      <c r="AH267" s="24"/>
      <c r="AI267" s="24"/>
      <c r="AJ267" s="99" t="str">
        <f t="shared" si="54"/>
        <v/>
      </c>
      <c r="AK267" s="31" t="str">
        <f t="shared" si="59"/>
        <v/>
      </c>
      <c r="AN267" s="139" t="str">
        <f>IF($K267="","",VLOOKUP($K267,'ORF Accuracy Value LookUp'!$G$4:$H$104,2,TRUE))</f>
        <v/>
      </c>
      <c r="AO267" s="94" t="str">
        <f t="shared" si="55"/>
        <v/>
      </c>
      <c r="AP267" s="47" t="str">
        <f>IF($U267="","",VLOOKUP($U267,'ORF Accuracy Value LookUp'!$G$4:$H$104,2,TRUE))</f>
        <v/>
      </c>
      <c r="AQ267" s="94" t="str">
        <f t="shared" si="56"/>
        <v/>
      </c>
      <c r="AR267" s="46" t="str">
        <f>IF($AE267="","",VLOOKUP($AE267,'ORF Accuracy Value LookUp'!$G$4:$H$104,2,TRUE))</f>
        <v/>
      </c>
      <c r="AS267" s="140" t="str">
        <f t="shared" si="57"/>
        <v/>
      </c>
    </row>
    <row r="268" spans="1:45">
      <c r="A268" s="10"/>
      <c r="B268" s="9"/>
      <c r="C268" s="9"/>
      <c r="D268" s="9"/>
      <c r="E268" s="10"/>
      <c r="F268" s="11"/>
      <c r="G268" s="15"/>
      <c r="H268" s="88"/>
      <c r="I268" s="24"/>
      <c r="J268" s="24"/>
      <c r="K268" s="114" t="str">
        <f t="shared" si="48"/>
        <v/>
      </c>
      <c r="L268" s="24"/>
      <c r="M268" s="24"/>
      <c r="N268" s="24"/>
      <c r="O268" s="24"/>
      <c r="P268" s="97" t="str">
        <f t="shared" si="49"/>
        <v/>
      </c>
      <c r="Q268" s="113" t="str">
        <f t="shared" si="50"/>
        <v/>
      </c>
      <c r="R268" s="88"/>
      <c r="S268" s="24"/>
      <c r="T268" s="24"/>
      <c r="U268" s="78" t="str">
        <f t="shared" si="51"/>
        <v/>
      </c>
      <c r="V268" s="24"/>
      <c r="W268" s="24"/>
      <c r="X268" s="24"/>
      <c r="Y268" s="24"/>
      <c r="Z268" s="98" t="str">
        <f t="shared" si="52"/>
        <v/>
      </c>
      <c r="AA268" s="40" t="str">
        <f t="shared" si="58"/>
        <v/>
      </c>
      <c r="AB268" s="88"/>
      <c r="AC268" s="24"/>
      <c r="AD268" s="24"/>
      <c r="AE268" s="79" t="str">
        <f t="shared" si="53"/>
        <v/>
      </c>
      <c r="AF268" s="24"/>
      <c r="AG268" s="24"/>
      <c r="AH268" s="24"/>
      <c r="AI268" s="24"/>
      <c r="AJ268" s="99" t="str">
        <f t="shared" si="54"/>
        <v/>
      </c>
      <c r="AK268" s="31" t="str">
        <f t="shared" si="59"/>
        <v/>
      </c>
      <c r="AN268" s="139" t="str">
        <f>IF($K268="","",VLOOKUP($K268,'ORF Accuracy Value LookUp'!$G$4:$H$104,2,TRUE))</f>
        <v/>
      </c>
      <c r="AO268" s="94" t="str">
        <f t="shared" si="55"/>
        <v/>
      </c>
      <c r="AP268" s="47" t="str">
        <f>IF($U268="","",VLOOKUP($U268,'ORF Accuracy Value LookUp'!$G$4:$H$104,2,TRUE))</f>
        <v/>
      </c>
      <c r="AQ268" s="94" t="str">
        <f t="shared" si="56"/>
        <v/>
      </c>
      <c r="AR268" s="46" t="str">
        <f>IF($AE268="","",VLOOKUP($AE268,'ORF Accuracy Value LookUp'!$G$4:$H$104,2,TRUE))</f>
        <v/>
      </c>
      <c r="AS268" s="140" t="str">
        <f t="shared" si="57"/>
        <v/>
      </c>
    </row>
    <row r="269" spans="1:45">
      <c r="A269" s="10"/>
      <c r="B269" s="9"/>
      <c r="C269" s="9"/>
      <c r="D269" s="9"/>
      <c r="E269" s="10"/>
      <c r="F269" s="11"/>
      <c r="G269" s="15"/>
      <c r="H269" s="88"/>
      <c r="I269" s="24"/>
      <c r="J269" s="24"/>
      <c r="K269" s="114" t="str">
        <f t="shared" si="48"/>
        <v/>
      </c>
      <c r="L269" s="24"/>
      <c r="M269" s="24"/>
      <c r="N269" s="24"/>
      <c r="O269" s="24"/>
      <c r="P269" s="97" t="str">
        <f t="shared" si="49"/>
        <v/>
      </c>
      <c r="Q269" s="113" t="str">
        <f t="shared" si="50"/>
        <v/>
      </c>
      <c r="R269" s="88"/>
      <c r="S269" s="24"/>
      <c r="T269" s="24"/>
      <c r="U269" s="78" t="str">
        <f t="shared" si="51"/>
        <v/>
      </c>
      <c r="V269" s="24"/>
      <c r="W269" s="24"/>
      <c r="X269" s="24"/>
      <c r="Y269" s="24"/>
      <c r="Z269" s="98" t="str">
        <f t="shared" si="52"/>
        <v/>
      </c>
      <c r="AA269" s="40" t="str">
        <f t="shared" si="58"/>
        <v/>
      </c>
      <c r="AB269" s="88"/>
      <c r="AC269" s="24"/>
      <c r="AD269" s="24"/>
      <c r="AE269" s="79" t="str">
        <f t="shared" si="53"/>
        <v/>
      </c>
      <c r="AF269" s="24"/>
      <c r="AG269" s="24"/>
      <c r="AH269" s="24"/>
      <c r="AI269" s="24"/>
      <c r="AJ269" s="99" t="str">
        <f t="shared" si="54"/>
        <v/>
      </c>
      <c r="AK269" s="31" t="str">
        <f t="shared" si="59"/>
        <v/>
      </c>
      <c r="AN269" s="139" t="str">
        <f>IF($K269="","",VLOOKUP($K269,'ORF Accuracy Value LookUp'!$G$4:$H$104,2,TRUE))</f>
        <v/>
      </c>
      <c r="AO269" s="94" t="str">
        <f t="shared" si="55"/>
        <v/>
      </c>
      <c r="AP269" s="47" t="str">
        <f>IF($U269="","",VLOOKUP($U269,'ORF Accuracy Value LookUp'!$G$4:$H$104,2,TRUE))</f>
        <v/>
      </c>
      <c r="AQ269" s="94" t="str">
        <f t="shared" si="56"/>
        <v/>
      </c>
      <c r="AR269" s="46" t="str">
        <f>IF($AE269="","",VLOOKUP($AE269,'ORF Accuracy Value LookUp'!$G$4:$H$104,2,TRUE))</f>
        <v/>
      </c>
      <c r="AS269" s="140" t="str">
        <f t="shared" si="57"/>
        <v/>
      </c>
    </row>
    <row r="270" spans="1:45">
      <c r="A270" s="10"/>
      <c r="B270" s="9"/>
      <c r="C270" s="9"/>
      <c r="D270" s="9"/>
      <c r="E270" s="10"/>
      <c r="F270" s="11"/>
      <c r="G270" s="15"/>
      <c r="H270" s="88"/>
      <c r="I270" s="24"/>
      <c r="J270" s="24"/>
      <c r="K270" s="114" t="str">
        <f t="shared" si="48"/>
        <v/>
      </c>
      <c r="L270" s="24"/>
      <c r="M270" s="24"/>
      <c r="N270" s="24"/>
      <c r="O270" s="24"/>
      <c r="P270" s="97" t="str">
        <f t="shared" si="49"/>
        <v/>
      </c>
      <c r="Q270" s="113" t="str">
        <f t="shared" si="50"/>
        <v/>
      </c>
      <c r="R270" s="88"/>
      <c r="S270" s="24"/>
      <c r="T270" s="24"/>
      <c r="U270" s="78" t="str">
        <f t="shared" si="51"/>
        <v/>
      </c>
      <c r="V270" s="24"/>
      <c r="W270" s="24"/>
      <c r="X270" s="24"/>
      <c r="Y270" s="24"/>
      <c r="Z270" s="98" t="str">
        <f t="shared" si="52"/>
        <v/>
      </c>
      <c r="AA270" s="40" t="str">
        <f t="shared" si="58"/>
        <v/>
      </c>
      <c r="AB270" s="88"/>
      <c r="AC270" s="24"/>
      <c r="AD270" s="24"/>
      <c r="AE270" s="79" t="str">
        <f t="shared" si="53"/>
        <v/>
      </c>
      <c r="AF270" s="24"/>
      <c r="AG270" s="24"/>
      <c r="AH270" s="24"/>
      <c r="AI270" s="24"/>
      <c r="AJ270" s="99" t="str">
        <f t="shared" si="54"/>
        <v/>
      </c>
      <c r="AK270" s="31" t="str">
        <f t="shared" si="59"/>
        <v/>
      </c>
      <c r="AN270" s="139" t="str">
        <f>IF($K270="","",VLOOKUP($K270,'ORF Accuracy Value LookUp'!$G$4:$H$104,2,TRUE))</f>
        <v/>
      </c>
      <c r="AO270" s="94" t="str">
        <f t="shared" si="55"/>
        <v/>
      </c>
      <c r="AP270" s="47" t="str">
        <f>IF($U270="","",VLOOKUP($U270,'ORF Accuracy Value LookUp'!$G$4:$H$104,2,TRUE))</f>
        <v/>
      </c>
      <c r="AQ270" s="94" t="str">
        <f t="shared" si="56"/>
        <v/>
      </c>
      <c r="AR270" s="46" t="str">
        <f>IF($AE270="","",VLOOKUP($AE270,'ORF Accuracy Value LookUp'!$G$4:$H$104,2,TRUE))</f>
        <v/>
      </c>
      <c r="AS270" s="140" t="str">
        <f t="shared" si="57"/>
        <v/>
      </c>
    </row>
    <row r="271" spans="1:45">
      <c r="A271" s="10"/>
      <c r="B271" s="9"/>
      <c r="C271" s="9"/>
      <c r="D271" s="9"/>
      <c r="E271" s="10"/>
      <c r="F271" s="11"/>
      <c r="G271" s="15"/>
      <c r="H271" s="88"/>
      <c r="I271" s="24"/>
      <c r="J271" s="24"/>
      <c r="K271" s="114" t="str">
        <f t="shared" si="48"/>
        <v/>
      </c>
      <c r="L271" s="24"/>
      <c r="M271" s="24"/>
      <c r="N271" s="24"/>
      <c r="O271" s="24"/>
      <c r="P271" s="97" t="str">
        <f t="shared" si="49"/>
        <v/>
      </c>
      <c r="Q271" s="113" t="str">
        <f t="shared" si="50"/>
        <v/>
      </c>
      <c r="R271" s="88"/>
      <c r="S271" s="24"/>
      <c r="T271" s="24"/>
      <c r="U271" s="78" t="str">
        <f t="shared" si="51"/>
        <v/>
      </c>
      <c r="V271" s="24"/>
      <c r="W271" s="24"/>
      <c r="X271" s="24"/>
      <c r="Y271" s="24"/>
      <c r="Z271" s="98" t="str">
        <f t="shared" si="52"/>
        <v/>
      </c>
      <c r="AA271" s="40" t="str">
        <f t="shared" si="58"/>
        <v/>
      </c>
      <c r="AB271" s="88"/>
      <c r="AC271" s="24"/>
      <c r="AD271" s="24"/>
      <c r="AE271" s="79" t="str">
        <f t="shared" si="53"/>
        <v/>
      </c>
      <c r="AF271" s="24"/>
      <c r="AG271" s="24"/>
      <c r="AH271" s="24"/>
      <c r="AI271" s="24"/>
      <c r="AJ271" s="99" t="str">
        <f t="shared" si="54"/>
        <v/>
      </c>
      <c r="AK271" s="31" t="str">
        <f t="shared" si="59"/>
        <v/>
      </c>
      <c r="AN271" s="139" t="str">
        <f>IF($K271="","",VLOOKUP($K271,'ORF Accuracy Value LookUp'!$G$4:$H$104,2,TRUE))</f>
        <v/>
      </c>
      <c r="AO271" s="94" t="str">
        <f t="shared" si="55"/>
        <v/>
      </c>
      <c r="AP271" s="47" t="str">
        <f>IF($U271="","",VLOOKUP($U271,'ORF Accuracy Value LookUp'!$G$4:$H$104,2,TRUE))</f>
        <v/>
      </c>
      <c r="AQ271" s="94" t="str">
        <f t="shared" si="56"/>
        <v/>
      </c>
      <c r="AR271" s="46" t="str">
        <f>IF($AE271="","",VLOOKUP($AE271,'ORF Accuracy Value LookUp'!$G$4:$H$104,2,TRUE))</f>
        <v/>
      </c>
      <c r="AS271" s="140" t="str">
        <f t="shared" si="57"/>
        <v/>
      </c>
    </row>
    <row r="272" spans="1:45">
      <c r="A272" s="10"/>
      <c r="B272" s="9"/>
      <c r="C272" s="9"/>
      <c r="D272" s="9"/>
      <c r="E272" s="10"/>
      <c r="F272" s="11"/>
      <c r="G272" s="15"/>
      <c r="H272" s="88"/>
      <c r="I272" s="24"/>
      <c r="J272" s="24"/>
      <c r="K272" s="114" t="str">
        <f t="shared" si="48"/>
        <v/>
      </c>
      <c r="L272" s="24"/>
      <c r="M272" s="24"/>
      <c r="N272" s="24"/>
      <c r="O272" s="24"/>
      <c r="P272" s="97" t="str">
        <f t="shared" si="49"/>
        <v/>
      </c>
      <c r="Q272" s="113" t="str">
        <f t="shared" si="50"/>
        <v/>
      </c>
      <c r="R272" s="88"/>
      <c r="S272" s="24"/>
      <c r="T272" s="24"/>
      <c r="U272" s="78" t="str">
        <f t="shared" si="51"/>
        <v/>
      </c>
      <c r="V272" s="24"/>
      <c r="W272" s="24"/>
      <c r="X272" s="24"/>
      <c r="Y272" s="24"/>
      <c r="Z272" s="98" t="str">
        <f t="shared" si="52"/>
        <v/>
      </c>
      <c r="AA272" s="40" t="str">
        <f t="shared" si="58"/>
        <v/>
      </c>
      <c r="AB272" s="88"/>
      <c r="AC272" s="24"/>
      <c r="AD272" s="24"/>
      <c r="AE272" s="79" t="str">
        <f t="shared" si="53"/>
        <v/>
      </c>
      <c r="AF272" s="24"/>
      <c r="AG272" s="24"/>
      <c r="AH272" s="24"/>
      <c r="AI272" s="24"/>
      <c r="AJ272" s="99" t="str">
        <f t="shared" si="54"/>
        <v/>
      </c>
      <c r="AK272" s="31" t="str">
        <f t="shared" si="59"/>
        <v/>
      </c>
      <c r="AN272" s="139" t="str">
        <f>IF($K272="","",VLOOKUP($K272,'ORF Accuracy Value LookUp'!$G$4:$H$104,2,TRUE))</f>
        <v/>
      </c>
      <c r="AO272" s="94" t="str">
        <f t="shared" si="55"/>
        <v/>
      </c>
      <c r="AP272" s="47" t="str">
        <f>IF($U272="","",VLOOKUP($U272,'ORF Accuracy Value LookUp'!$G$4:$H$104,2,TRUE))</f>
        <v/>
      </c>
      <c r="AQ272" s="94" t="str">
        <f t="shared" si="56"/>
        <v/>
      </c>
      <c r="AR272" s="46" t="str">
        <f>IF($AE272="","",VLOOKUP($AE272,'ORF Accuracy Value LookUp'!$G$4:$H$104,2,TRUE))</f>
        <v/>
      </c>
      <c r="AS272" s="140" t="str">
        <f t="shared" si="57"/>
        <v/>
      </c>
    </row>
    <row r="273" spans="1:45">
      <c r="A273" s="10"/>
      <c r="B273" s="9"/>
      <c r="C273" s="9"/>
      <c r="D273" s="9"/>
      <c r="E273" s="10"/>
      <c r="F273" s="11"/>
      <c r="G273" s="15"/>
      <c r="H273" s="88"/>
      <c r="I273" s="24"/>
      <c r="J273" s="24"/>
      <c r="K273" s="114" t="str">
        <f t="shared" si="48"/>
        <v/>
      </c>
      <c r="L273" s="24"/>
      <c r="M273" s="24"/>
      <c r="N273" s="24"/>
      <c r="O273" s="24"/>
      <c r="P273" s="97" t="str">
        <f t="shared" si="49"/>
        <v/>
      </c>
      <c r="Q273" s="113" t="str">
        <f t="shared" si="50"/>
        <v/>
      </c>
      <c r="R273" s="88"/>
      <c r="S273" s="24"/>
      <c r="T273" s="24"/>
      <c r="U273" s="78" t="str">
        <f t="shared" si="51"/>
        <v/>
      </c>
      <c r="V273" s="24"/>
      <c r="W273" s="24"/>
      <c r="X273" s="24"/>
      <c r="Y273" s="24"/>
      <c r="Z273" s="98" t="str">
        <f t="shared" si="52"/>
        <v/>
      </c>
      <c r="AA273" s="40" t="str">
        <f t="shared" si="58"/>
        <v/>
      </c>
      <c r="AB273" s="88"/>
      <c r="AC273" s="24"/>
      <c r="AD273" s="24"/>
      <c r="AE273" s="79" t="str">
        <f t="shared" si="53"/>
        <v/>
      </c>
      <c r="AF273" s="24"/>
      <c r="AG273" s="24"/>
      <c r="AH273" s="24"/>
      <c r="AI273" s="24"/>
      <c r="AJ273" s="99" t="str">
        <f t="shared" si="54"/>
        <v/>
      </c>
      <c r="AK273" s="31" t="str">
        <f t="shared" si="59"/>
        <v/>
      </c>
      <c r="AN273" s="139" t="str">
        <f>IF($K273="","",VLOOKUP($K273,'ORF Accuracy Value LookUp'!$G$4:$H$104,2,TRUE))</f>
        <v/>
      </c>
      <c r="AO273" s="94" t="str">
        <f t="shared" si="55"/>
        <v/>
      </c>
      <c r="AP273" s="47" t="str">
        <f>IF($U273="","",VLOOKUP($U273,'ORF Accuracy Value LookUp'!$G$4:$H$104,2,TRUE))</f>
        <v/>
      </c>
      <c r="AQ273" s="94" t="str">
        <f t="shared" si="56"/>
        <v/>
      </c>
      <c r="AR273" s="46" t="str">
        <f>IF($AE273="","",VLOOKUP($AE273,'ORF Accuracy Value LookUp'!$G$4:$H$104,2,TRUE))</f>
        <v/>
      </c>
      <c r="AS273" s="140" t="str">
        <f t="shared" si="57"/>
        <v/>
      </c>
    </row>
    <row r="274" spans="1:45">
      <c r="A274" s="10"/>
      <c r="B274" s="9"/>
      <c r="C274" s="9"/>
      <c r="D274" s="9"/>
      <c r="E274" s="10"/>
      <c r="F274" s="11"/>
      <c r="G274" s="15"/>
      <c r="H274" s="88"/>
      <c r="I274" s="24"/>
      <c r="J274" s="24"/>
      <c r="K274" s="114" t="str">
        <f t="shared" si="48"/>
        <v/>
      </c>
      <c r="L274" s="24"/>
      <c r="M274" s="24"/>
      <c r="N274" s="24"/>
      <c r="O274" s="24"/>
      <c r="P274" s="97" t="str">
        <f t="shared" si="49"/>
        <v/>
      </c>
      <c r="Q274" s="113" t="str">
        <f t="shared" si="50"/>
        <v/>
      </c>
      <c r="R274" s="88"/>
      <c r="S274" s="24"/>
      <c r="T274" s="24"/>
      <c r="U274" s="78" t="str">
        <f t="shared" si="51"/>
        <v/>
      </c>
      <c r="V274" s="24"/>
      <c r="W274" s="24"/>
      <c r="X274" s="24"/>
      <c r="Y274" s="24"/>
      <c r="Z274" s="98" t="str">
        <f t="shared" si="52"/>
        <v/>
      </c>
      <c r="AA274" s="40" t="str">
        <f t="shared" si="58"/>
        <v/>
      </c>
      <c r="AB274" s="88"/>
      <c r="AC274" s="24"/>
      <c r="AD274" s="24"/>
      <c r="AE274" s="79" t="str">
        <f t="shared" si="53"/>
        <v/>
      </c>
      <c r="AF274" s="24"/>
      <c r="AG274" s="24"/>
      <c r="AH274" s="24"/>
      <c r="AI274" s="24"/>
      <c r="AJ274" s="99" t="str">
        <f t="shared" si="54"/>
        <v/>
      </c>
      <c r="AK274" s="31" t="str">
        <f t="shared" si="59"/>
        <v/>
      </c>
      <c r="AN274" s="139" t="str">
        <f>IF($K274="","",VLOOKUP($K274,'ORF Accuracy Value LookUp'!$G$4:$H$104,2,TRUE))</f>
        <v/>
      </c>
      <c r="AO274" s="94" t="str">
        <f t="shared" si="55"/>
        <v/>
      </c>
      <c r="AP274" s="47" t="str">
        <f>IF($U274="","",VLOOKUP($U274,'ORF Accuracy Value LookUp'!$G$4:$H$104,2,TRUE))</f>
        <v/>
      </c>
      <c r="AQ274" s="94" t="str">
        <f t="shared" si="56"/>
        <v/>
      </c>
      <c r="AR274" s="46" t="str">
        <f>IF($AE274="","",VLOOKUP($AE274,'ORF Accuracy Value LookUp'!$G$4:$H$104,2,TRUE))</f>
        <v/>
      </c>
      <c r="AS274" s="140" t="str">
        <f t="shared" si="57"/>
        <v/>
      </c>
    </row>
    <row r="275" spans="1:45">
      <c r="A275" s="10"/>
      <c r="B275" s="9"/>
      <c r="C275" s="9"/>
      <c r="D275" s="9"/>
      <c r="E275" s="10"/>
      <c r="F275" s="11"/>
      <c r="G275" s="15"/>
      <c r="H275" s="88"/>
      <c r="I275" s="24"/>
      <c r="J275" s="24"/>
      <c r="K275" s="114" t="str">
        <f t="shared" si="48"/>
        <v/>
      </c>
      <c r="L275" s="24"/>
      <c r="M275" s="24"/>
      <c r="N275" s="24"/>
      <c r="O275" s="24"/>
      <c r="P275" s="97" t="str">
        <f t="shared" si="49"/>
        <v/>
      </c>
      <c r="Q275" s="113" t="str">
        <f t="shared" si="50"/>
        <v/>
      </c>
      <c r="R275" s="88"/>
      <c r="S275" s="24"/>
      <c r="T275" s="24"/>
      <c r="U275" s="78" t="str">
        <f t="shared" si="51"/>
        <v/>
      </c>
      <c r="V275" s="24"/>
      <c r="W275" s="24"/>
      <c r="X275" s="24"/>
      <c r="Y275" s="24"/>
      <c r="Z275" s="98" t="str">
        <f t="shared" si="52"/>
        <v/>
      </c>
      <c r="AA275" s="40" t="str">
        <f t="shared" si="58"/>
        <v/>
      </c>
      <c r="AB275" s="88"/>
      <c r="AC275" s="24"/>
      <c r="AD275" s="24"/>
      <c r="AE275" s="79" t="str">
        <f t="shared" si="53"/>
        <v/>
      </c>
      <c r="AF275" s="24"/>
      <c r="AG275" s="24"/>
      <c r="AH275" s="24"/>
      <c r="AI275" s="24"/>
      <c r="AJ275" s="99" t="str">
        <f t="shared" si="54"/>
        <v/>
      </c>
      <c r="AK275" s="31" t="str">
        <f t="shared" si="59"/>
        <v/>
      </c>
      <c r="AN275" s="139" t="str">
        <f>IF($K275="","",VLOOKUP($K275,'ORF Accuracy Value LookUp'!$G$4:$H$104,2,TRUE))</f>
        <v/>
      </c>
      <c r="AO275" s="94" t="str">
        <f t="shared" si="55"/>
        <v/>
      </c>
      <c r="AP275" s="47" t="str">
        <f>IF($U275="","",VLOOKUP($U275,'ORF Accuracy Value LookUp'!$G$4:$H$104,2,TRUE))</f>
        <v/>
      </c>
      <c r="AQ275" s="94" t="str">
        <f t="shared" si="56"/>
        <v/>
      </c>
      <c r="AR275" s="46" t="str">
        <f>IF($AE275="","",VLOOKUP($AE275,'ORF Accuracy Value LookUp'!$G$4:$H$104,2,TRUE))</f>
        <v/>
      </c>
      <c r="AS275" s="140" t="str">
        <f t="shared" si="57"/>
        <v/>
      </c>
    </row>
    <row r="276" spans="1:45">
      <c r="A276" s="10"/>
      <c r="B276" s="9"/>
      <c r="C276" s="9"/>
      <c r="D276" s="9"/>
      <c r="E276" s="10"/>
      <c r="F276" s="11"/>
      <c r="G276" s="15"/>
      <c r="H276" s="88"/>
      <c r="I276" s="24"/>
      <c r="J276" s="24"/>
      <c r="K276" s="114" t="str">
        <f t="shared" si="48"/>
        <v/>
      </c>
      <c r="L276" s="24"/>
      <c r="M276" s="24"/>
      <c r="N276" s="24"/>
      <c r="O276" s="24"/>
      <c r="P276" s="97" t="str">
        <f t="shared" si="49"/>
        <v/>
      </c>
      <c r="Q276" s="113" t="str">
        <f t="shared" si="50"/>
        <v/>
      </c>
      <c r="R276" s="88"/>
      <c r="S276" s="24"/>
      <c r="T276" s="24"/>
      <c r="U276" s="78" t="str">
        <f t="shared" si="51"/>
        <v/>
      </c>
      <c r="V276" s="24"/>
      <c r="W276" s="24"/>
      <c r="X276" s="24"/>
      <c r="Y276" s="24"/>
      <c r="Z276" s="98" t="str">
        <f t="shared" si="52"/>
        <v/>
      </c>
      <c r="AA276" s="40" t="str">
        <f t="shared" si="58"/>
        <v/>
      </c>
      <c r="AB276" s="88"/>
      <c r="AC276" s="24"/>
      <c r="AD276" s="24"/>
      <c r="AE276" s="79" t="str">
        <f t="shared" si="53"/>
        <v/>
      </c>
      <c r="AF276" s="24"/>
      <c r="AG276" s="24"/>
      <c r="AH276" s="24"/>
      <c r="AI276" s="24"/>
      <c r="AJ276" s="99" t="str">
        <f t="shared" si="54"/>
        <v/>
      </c>
      <c r="AK276" s="31" t="str">
        <f t="shared" si="59"/>
        <v/>
      </c>
      <c r="AN276" s="139" t="str">
        <f>IF($K276="","",VLOOKUP($K276,'ORF Accuracy Value LookUp'!$G$4:$H$104,2,TRUE))</f>
        <v/>
      </c>
      <c r="AO276" s="94" t="str">
        <f t="shared" si="55"/>
        <v/>
      </c>
      <c r="AP276" s="47" t="str">
        <f>IF($U276="","",VLOOKUP($U276,'ORF Accuracy Value LookUp'!$G$4:$H$104,2,TRUE))</f>
        <v/>
      </c>
      <c r="AQ276" s="94" t="str">
        <f t="shared" si="56"/>
        <v/>
      </c>
      <c r="AR276" s="46" t="str">
        <f>IF($AE276="","",VLOOKUP($AE276,'ORF Accuracy Value LookUp'!$G$4:$H$104,2,TRUE))</f>
        <v/>
      </c>
      <c r="AS276" s="140" t="str">
        <f t="shared" si="57"/>
        <v/>
      </c>
    </row>
    <row r="277" spans="1:45">
      <c r="A277" s="10"/>
      <c r="B277" s="9"/>
      <c r="C277" s="9"/>
      <c r="D277" s="9"/>
      <c r="E277" s="10"/>
      <c r="F277" s="11"/>
      <c r="G277" s="15"/>
      <c r="H277" s="88"/>
      <c r="I277" s="24"/>
      <c r="J277" s="24"/>
      <c r="K277" s="114" t="str">
        <f t="shared" si="48"/>
        <v/>
      </c>
      <c r="L277" s="24"/>
      <c r="M277" s="24"/>
      <c r="N277" s="24"/>
      <c r="O277" s="24"/>
      <c r="P277" s="97" t="str">
        <f t="shared" si="49"/>
        <v/>
      </c>
      <c r="Q277" s="113" t="str">
        <f t="shared" si="50"/>
        <v/>
      </c>
      <c r="R277" s="88"/>
      <c r="S277" s="24"/>
      <c r="T277" s="24"/>
      <c r="U277" s="78" t="str">
        <f t="shared" si="51"/>
        <v/>
      </c>
      <c r="V277" s="24"/>
      <c r="W277" s="24"/>
      <c r="X277" s="24"/>
      <c r="Y277" s="24"/>
      <c r="Z277" s="98" t="str">
        <f t="shared" si="52"/>
        <v/>
      </c>
      <c r="AA277" s="40" t="str">
        <f t="shared" si="58"/>
        <v/>
      </c>
      <c r="AB277" s="88"/>
      <c r="AC277" s="24"/>
      <c r="AD277" s="24"/>
      <c r="AE277" s="79" t="str">
        <f t="shared" si="53"/>
        <v/>
      </c>
      <c r="AF277" s="24"/>
      <c r="AG277" s="24"/>
      <c r="AH277" s="24"/>
      <c r="AI277" s="24"/>
      <c r="AJ277" s="99" t="str">
        <f t="shared" si="54"/>
        <v/>
      </c>
      <c r="AK277" s="31" t="str">
        <f t="shared" si="59"/>
        <v/>
      </c>
      <c r="AN277" s="139" t="str">
        <f>IF($K277="","",VLOOKUP($K277,'ORF Accuracy Value LookUp'!$G$4:$H$104,2,TRUE))</f>
        <v/>
      </c>
      <c r="AO277" s="94" t="str">
        <f t="shared" si="55"/>
        <v/>
      </c>
      <c r="AP277" s="47" t="str">
        <f>IF($U277="","",VLOOKUP($U277,'ORF Accuracy Value LookUp'!$G$4:$H$104,2,TRUE))</f>
        <v/>
      </c>
      <c r="AQ277" s="94" t="str">
        <f t="shared" si="56"/>
        <v/>
      </c>
      <c r="AR277" s="46" t="str">
        <f>IF($AE277="","",VLOOKUP($AE277,'ORF Accuracy Value LookUp'!$G$4:$H$104,2,TRUE))</f>
        <v/>
      </c>
      <c r="AS277" s="140" t="str">
        <f t="shared" si="57"/>
        <v/>
      </c>
    </row>
    <row r="278" spans="1:45">
      <c r="A278" s="10"/>
      <c r="B278" s="9"/>
      <c r="C278" s="9"/>
      <c r="D278" s="9"/>
      <c r="E278" s="10"/>
      <c r="F278" s="11"/>
      <c r="G278" s="15"/>
      <c r="H278" s="88"/>
      <c r="I278" s="24"/>
      <c r="J278" s="24"/>
      <c r="K278" s="114" t="str">
        <f t="shared" si="48"/>
        <v/>
      </c>
      <c r="L278" s="24"/>
      <c r="M278" s="24"/>
      <c r="N278" s="24"/>
      <c r="O278" s="24"/>
      <c r="P278" s="97" t="str">
        <f t="shared" si="49"/>
        <v/>
      </c>
      <c r="Q278" s="113" t="str">
        <f t="shared" si="50"/>
        <v/>
      </c>
      <c r="R278" s="88"/>
      <c r="S278" s="24"/>
      <c r="T278" s="24"/>
      <c r="U278" s="78" t="str">
        <f t="shared" si="51"/>
        <v/>
      </c>
      <c r="V278" s="24"/>
      <c r="W278" s="24"/>
      <c r="X278" s="24"/>
      <c r="Y278" s="24"/>
      <c r="Z278" s="98" t="str">
        <f t="shared" si="52"/>
        <v/>
      </c>
      <c r="AA278" s="40" t="str">
        <f t="shared" si="58"/>
        <v/>
      </c>
      <c r="AB278" s="88"/>
      <c r="AC278" s="24"/>
      <c r="AD278" s="24"/>
      <c r="AE278" s="79" t="str">
        <f t="shared" si="53"/>
        <v/>
      </c>
      <c r="AF278" s="24"/>
      <c r="AG278" s="24"/>
      <c r="AH278" s="24"/>
      <c r="AI278" s="24"/>
      <c r="AJ278" s="99" t="str">
        <f t="shared" si="54"/>
        <v/>
      </c>
      <c r="AK278" s="31" t="str">
        <f t="shared" si="59"/>
        <v/>
      </c>
      <c r="AN278" s="139" t="str">
        <f>IF($K278="","",VLOOKUP($K278,'ORF Accuracy Value LookUp'!$G$4:$H$104,2,TRUE))</f>
        <v/>
      </c>
      <c r="AO278" s="94" t="str">
        <f t="shared" si="55"/>
        <v/>
      </c>
      <c r="AP278" s="47" t="str">
        <f>IF($U278="","",VLOOKUP($U278,'ORF Accuracy Value LookUp'!$G$4:$H$104,2,TRUE))</f>
        <v/>
      </c>
      <c r="AQ278" s="94" t="str">
        <f t="shared" si="56"/>
        <v/>
      </c>
      <c r="AR278" s="46" t="str">
        <f>IF($AE278="","",VLOOKUP($AE278,'ORF Accuracy Value LookUp'!$G$4:$H$104,2,TRUE))</f>
        <v/>
      </c>
      <c r="AS278" s="140" t="str">
        <f t="shared" si="57"/>
        <v/>
      </c>
    </row>
    <row r="279" spans="1:45">
      <c r="A279" s="10"/>
      <c r="B279" s="9"/>
      <c r="C279" s="9"/>
      <c r="D279" s="9"/>
      <c r="E279" s="10"/>
      <c r="F279" s="11"/>
      <c r="G279" s="15"/>
      <c r="H279" s="88"/>
      <c r="I279" s="24"/>
      <c r="J279" s="24"/>
      <c r="K279" s="114" t="str">
        <f t="shared" si="48"/>
        <v/>
      </c>
      <c r="L279" s="24"/>
      <c r="M279" s="24"/>
      <c r="N279" s="24"/>
      <c r="O279" s="24"/>
      <c r="P279" s="97" t="str">
        <f t="shared" si="49"/>
        <v/>
      </c>
      <c r="Q279" s="113" t="str">
        <f t="shared" si="50"/>
        <v/>
      </c>
      <c r="R279" s="88"/>
      <c r="S279" s="24"/>
      <c r="T279" s="24"/>
      <c r="U279" s="78" t="str">
        <f t="shared" si="51"/>
        <v/>
      </c>
      <c r="V279" s="24"/>
      <c r="W279" s="24"/>
      <c r="X279" s="24"/>
      <c r="Y279" s="24"/>
      <c r="Z279" s="98" t="str">
        <f t="shared" si="52"/>
        <v/>
      </c>
      <c r="AA279" s="40" t="str">
        <f t="shared" si="58"/>
        <v/>
      </c>
      <c r="AB279" s="88"/>
      <c r="AC279" s="24"/>
      <c r="AD279" s="24"/>
      <c r="AE279" s="79" t="str">
        <f t="shared" si="53"/>
        <v/>
      </c>
      <c r="AF279" s="24"/>
      <c r="AG279" s="24"/>
      <c r="AH279" s="24"/>
      <c r="AI279" s="24"/>
      <c r="AJ279" s="99" t="str">
        <f t="shared" si="54"/>
        <v/>
      </c>
      <c r="AK279" s="31" t="str">
        <f t="shared" si="59"/>
        <v/>
      </c>
      <c r="AN279" s="139" t="str">
        <f>IF($K279="","",VLOOKUP($K279,'ORF Accuracy Value LookUp'!$G$4:$H$104,2,TRUE))</f>
        <v/>
      </c>
      <c r="AO279" s="94" t="str">
        <f t="shared" si="55"/>
        <v/>
      </c>
      <c r="AP279" s="47" t="str">
        <f>IF($U279="","",VLOOKUP($U279,'ORF Accuracy Value LookUp'!$G$4:$H$104,2,TRUE))</f>
        <v/>
      </c>
      <c r="AQ279" s="94" t="str">
        <f t="shared" si="56"/>
        <v/>
      </c>
      <c r="AR279" s="46" t="str">
        <f>IF($AE279="","",VLOOKUP($AE279,'ORF Accuracy Value LookUp'!$G$4:$H$104,2,TRUE))</f>
        <v/>
      </c>
      <c r="AS279" s="140" t="str">
        <f t="shared" si="57"/>
        <v/>
      </c>
    </row>
    <row r="280" spans="1:45">
      <c r="A280" s="10"/>
      <c r="B280" s="9"/>
      <c r="C280" s="9"/>
      <c r="D280" s="9"/>
      <c r="E280" s="10"/>
      <c r="F280" s="11"/>
      <c r="G280" s="15"/>
      <c r="H280" s="88"/>
      <c r="I280" s="24"/>
      <c r="J280" s="24"/>
      <c r="K280" s="114" t="str">
        <f t="shared" si="48"/>
        <v/>
      </c>
      <c r="L280" s="24"/>
      <c r="M280" s="24"/>
      <c r="N280" s="24"/>
      <c r="O280" s="24"/>
      <c r="P280" s="97" t="str">
        <f t="shared" si="49"/>
        <v/>
      </c>
      <c r="Q280" s="113" t="str">
        <f t="shared" si="50"/>
        <v/>
      </c>
      <c r="R280" s="88"/>
      <c r="S280" s="24"/>
      <c r="T280" s="24"/>
      <c r="U280" s="78" t="str">
        <f t="shared" si="51"/>
        <v/>
      </c>
      <c r="V280" s="24"/>
      <c r="W280" s="24"/>
      <c r="X280" s="24"/>
      <c r="Y280" s="24"/>
      <c r="Z280" s="98" t="str">
        <f t="shared" si="52"/>
        <v/>
      </c>
      <c r="AA280" s="40" t="str">
        <f t="shared" si="58"/>
        <v/>
      </c>
      <c r="AB280" s="88"/>
      <c r="AC280" s="24"/>
      <c r="AD280" s="24"/>
      <c r="AE280" s="79" t="str">
        <f t="shared" si="53"/>
        <v/>
      </c>
      <c r="AF280" s="24"/>
      <c r="AG280" s="24"/>
      <c r="AH280" s="24"/>
      <c r="AI280" s="24"/>
      <c r="AJ280" s="99" t="str">
        <f t="shared" si="54"/>
        <v/>
      </c>
      <c r="AK280" s="31" t="str">
        <f t="shared" si="59"/>
        <v/>
      </c>
      <c r="AN280" s="139" t="str">
        <f>IF($K280="","",VLOOKUP($K280,'ORF Accuracy Value LookUp'!$G$4:$H$104,2,TRUE))</f>
        <v/>
      </c>
      <c r="AO280" s="94" t="str">
        <f t="shared" si="55"/>
        <v/>
      </c>
      <c r="AP280" s="47" t="str">
        <f>IF($U280="","",VLOOKUP($U280,'ORF Accuracy Value LookUp'!$G$4:$H$104,2,TRUE))</f>
        <v/>
      </c>
      <c r="AQ280" s="94" t="str">
        <f t="shared" si="56"/>
        <v/>
      </c>
      <c r="AR280" s="46" t="str">
        <f>IF($AE280="","",VLOOKUP($AE280,'ORF Accuracy Value LookUp'!$G$4:$H$104,2,TRUE))</f>
        <v/>
      </c>
      <c r="AS280" s="140" t="str">
        <f t="shared" si="57"/>
        <v/>
      </c>
    </row>
    <row r="281" spans="1:45">
      <c r="A281" s="10"/>
      <c r="B281" s="9"/>
      <c r="C281" s="9"/>
      <c r="D281" s="9"/>
      <c r="E281" s="10"/>
      <c r="F281" s="11"/>
      <c r="G281" s="15"/>
      <c r="H281" s="88"/>
      <c r="I281" s="24"/>
      <c r="J281" s="24"/>
      <c r="K281" s="114" t="str">
        <f t="shared" si="48"/>
        <v/>
      </c>
      <c r="L281" s="24"/>
      <c r="M281" s="24"/>
      <c r="N281" s="24"/>
      <c r="O281" s="24"/>
      <c r="P281" s="97" t="str">
        <f t="shared" si="49"/>
        <v/>
      </c>
      <c r="Q281" s="113" t="str">
        <f t="shared" si="50"/>
        <v/>
      </c>
      <c r="R281" s="88"/>
      <c r="S281" s="24"/>
      <c r="T281" s="24"/>
      <c r="U281" s="78" t="str">
        <f t="shared" si="51"/>
        <v/>
      </c>
      <c r="V281" s="24"/>
      <c r="W281" s="24"/>
      <c r="X281" s="24"/>
      <c r="Y281" s="24"/>
      <c r="Z281" s="98" t="str">
        <f t="shared" si="52"/>
        <v/>
      </c>
      <c r="AA281" s="40" t="str">
        <f t="shared" si="58"/>
        <v/>
      </c>
      <c r="AB281" s="88"/>
      <c r="AC281" s="24"/>
      <c r="AD281" s="24"/>
      <c r="AE281" s="79" t="str">
        <f t="shared" si="53"/>
        <v/>
      </c>
      <c r="AF281" s="24"/>
      <c r="AG281" s="24"/>
      <c r="AH281" s="24"/>
      <c r="AI281" s="24"/>
      <c r="AJ281" s="99" t="str">
        <f t="shared" si="54"/>
        <v/>
      </c>
      <c r="AK281" s="31" t="str">
        <f t="shared" si="59"/>
        <v/>
      </c>
      <c r="AN281" s="139" t="str">
        <f>IF($K281="","",VLOOKUP($K281,'ORF Accuracy Value LookUp'!$G$4:$H$104,2,TRUE))</f>
        <v/>
      </c>
      <c r="AO281" s="94" t="str">
        <f t="shared" si="55"/>
        <v/>
      </c>
      <c r="AP281" s="47" t="str">
        <f>IF($U281="","",VLOOKUP($U281,'ORF Accuracy Value LookUp'!$G$4:$H$104,2,TRUE))</f>
        <v/>
      </c>
      <c r="AQ281" s="94" t="str">
        <f t="shared" si="56"/>
        <v/>
      </c>
      <c r="AR281" s="46" t="str">
        <f>IF($AE281="","",VLOOKUP($AE281,'ORF Accuracy Value LookUp'!$G$4:$H$104,2,TRUE))</f>
        <v/>
      </c>
      <c r="AS281" s="140" t="str">
        <f t="shared" si="57"/>
        <v/>
      </c>
    </row>
    <row r="282" spans="1:45">
      <c r="A282" s="10"/>
      <c r="B282" s="9"/>
      <c r="C282" s="9"/>
      <c r="D282" s="9"/>
      <c r="E282" s="10"/>
      <c r="F282" s="11"/>
      <c r="G282" s="15"/>
      <c r="H282" s="88"/>
      <c r="I282" s="24"/>
      <c r="J282" s="24"/>
      <c r="K282" s="114" t="str">
        <f t="shared" si="48"/>
        <v/>
      </c>
      <c r="L282" s="24"/>
      <c r="M282" s="24"/>
      <c r="N282" s="24"/>
      <c r="O282" s="24"/>
      <c r="P282" s="97" t="str">
        <f t="shared" si="49"/>
        <v/>
      </c>
      <c r="Q282" s="113" t="str">
        <f t="shared" si="50"/>
        <v/>
      </c>
      <c r="R282" s="88"/>
      <c r="S282" s="24"/>
      <c r="T282" s="24"/>
      <c r="U282" s="78" t="str">
        <f t="shared" si="51"/>
        <v/>
      </c>
      <c r="V282" s="24"/>
      <c r="W282" s="24"/>
      <c r="X282" s="24"/>
      <c r="Y282" s="24"/>
      <c r="Z282" s="98" t="str">
        <f t="shared" si="52"/>
        <v/>
      </c>
      <c r="AA282" s="40" t="str">
        <f t="shared" si="58"/>
        <v/>
      </c>
      <c r="AB282" s="88"/>
      <c r="AC282" s="24"/>
      <c r="AD282" s="24"/>
      <c r="AE282" s="79" t="str">
        <f t="shared" si="53"/>
        <v/>
      </c>
      <c r="AF282" s="24"/>
      <c r="AG282" s="24"/>
      <c r="AH282" s="24"/>
      <c r="AI282" s="24"/>
      <c r="AJ282" s="99" t="str">
        <f t="shared" si="54"/>
        <v/>
      </c>
      <c r="AK282" s="31" t="str">
        <f t="shared" si="59"/>
        <v/>
      </c>
      <c r="AN282" s="139" t="str">
        <f>IF($K282="","",VLOOKUP($K282,'ORF Accuracy Value LookUp'!$G$4:$H$104,2,TRUE))</f>
        <v/>
      </c>
      <c r="AO282" s="94" t="str">
        <f t="shared" si="55"/>
        <v/>
      </c>
      <c r="AP282" s="47" t="str">
        <f>IF($U282="","",VLOOKUP($U282,'ORF Accuracy Value LookUp'!$G$4:$H$104,2,TRUE))</f>
        <v/>
      </c>
      <c r="AQ282" s="94" t="str">
        <f t="shared" si="56"/>
        <v/>
      </c>
      <c r="AR282" s="46" t="str">
        <f>IF($AE282="","",VLOOKUP($AE282,'ORF Accuracy Value LookUp'!$G$4:$H$104,2,TRUE))</f>
        <v/>
      </c>
      <c r="AS282" s="140" t="str">
        <f t="shared" si="57"/>
        <v/>
      </c>
    </row>
    <row r="283" spans="1:45">
      <c r="A283" s="10"/>
      <c r="B283" s="9"/>
      <c r="C283" s="9"/>
      <c r="D283" s="9"/>
      <c r="E283" s="10"/>
      <c r="F283" s="11"/>
      <c r="G283" s="15"/>
      <c r="H283" s="88"/>
      <c r="I283" s="24"/>
      <c r="J283" s="24"/>
      <c r="K283" s="114" t="str">
        <f t="shared" si="48"/>
        <v/>
      </c>
      <c r="L283" s="24"/>
      <c r="M283" s="24"/>
      <c r="N283" s="24"/>
      <c r="O283" s="24"/>
      <c r="P283" s="97" t="str">
        <f t="shared" si="49"/>
        <v/>
      </c>
      <c r="Q283" s="113" t="str">
        <f t="shared" si="50"/>
        <v/>
      </c>
      <c r="R283" s="88"/>
      <c r="S283" s="24"/>
      <c r="T283" s="24"/>
      <c r="U283" s="78" t="str">
        <f t="shared" si="51"/>
        <v/>
      </c>
      <c r="V283" s="24"/>
      <c r="W283" s="24"/>
      <c r="X283" s="24"/>
      <c r="Y283" s="24"/>
      <c r="Z283" s="98" t="str">
        <f t="shared" si="52"/>
        <v/>
      </c>
      <c r="AA283" s="40" t="str">
        <f t="shared" si="58"/>
        <v/>
      </c>
      <c r="AB283" s="88"/>
      <c r="AC283" s="24"/>
      <c r="AD283" s="24"/>
      <c r="AE283" s="79" t="str">
        <f t="shared" si="53"/>
        <v/>
      </c>
      <c r="AF283" s="24"/>
      <c r="AG283" s="24"/>
      <c r="AH283" s="24"/>
      <c r="AI283" s="24"/>
      <c r="AJ283" s="99" t="str">
        <f t="shared" si="54"/>
        <v/>
      </c>
      <c r="AK283" s="31" t="str">
        <f t="shared" si="59"/>
        <v/>
      </c>
      <c r="AN283" s="139" t="str">
        <f>IF($K283="","",VLOOKUP($K283,'ORF Accuracy Value LookUp'!$G$4:$H$104,2,TRUE))</f>
        <v/>
      </c>
      <c r="AO283" s="94" t="str">
        <f t="shared" si="55"/>
        <v/>
      </c>
      <c r="AP283" s="47" t="str">
        <f>IF($U283="","",VLOOKUP($U283,'ORF Accuracy Value LookUp'!$G$4:$H$104,2,TRUE))</f>
        <v/>
      </c>
      <c r="AQ283" s="94" t="str">
        <f t="shared" si="56"/>
        <v/>
      </c>
      <c r="AR283" s="46" t="str">
        <f>IF($AE283="","",VLOOKUP($AE283,'ORF Accuracy Value LookUp'!$G$4:$H$104,2,TRUE))</f>
        <v/>
      </c>
      <c r="AS283" s="140" t="str">
        <f t="shared" si="57"/>
        <v/>
      </c>
    </row>
    <row r="284" spans="1:45">
      <c r="A284" s="10"/>
      <c r="B284" s="9"/>
      <c r="C284" s="9"/>
      <c r="D284" s="9"/>
      <c r="E284" s="10"/>
      <c r="F284" s="11"/>
      <c r="G284" s="15"/>
      <c r="H284" s="88"/>
      <c r="I284" s="24"/>
      <c r="J284" s="24"/>
      <c r="K284" s="114" t="str">
        <f t="shared" si="48"/>
        <v/>
      </c>
      <c r="L284" s="24"/>
      <c r="M284" s="24"/>
      <c r="N284" s="24"/>
      <c r="O284" s="24"/>
      <c r="P284" s="97" t="str">
        <f t="shared" si="49"/>
        <v/>
      </c>
      <c r="Q284" s="113" t="str">
        <f t="shared" si="50"/>
        <v/>
      </c>
      <c r="R284" s="88"/>
      <c r="S284" s="24"/>
      <c r="T284" s="24"/>
      <c r="U284" s="78" t="str">
        <f t="shared" si="51"/>
        <v/>
      </c>
      <c r="V284" s="24"/>
      <c r="W284" s="24"/>
      <c r="X284" s="24"/>
      <c r="Y284" s="24"/>
      <c r="Z284" s="98" t="str">
        <f t="shared" si="52"/>
        <v/>
      </c>
      <c r="AA284" s="40" t="str">
        <f t="shared" si="58"/>
        <v/>
      </c>
      <c r="AB284" s="88"/>
      <c r="AC284" s="24"/>
      <c r="AD284" s="24"/>
      <c r="AE284" s="79" t="str">
        <f t="shared" si="53"/>
        <v/>
      </c>
      <c r="AF284" s="24"/>
      <c r="AG284" s="24"/>
      <c r="AH284" s="24"/>
      <c r="AI284" s="24"/>
      <c r="AJ284" s="99" t="str">
        <f t="shared" si="54"/>
        <v/>
      </c>
      <c r="AK284" s="31" t="str">
        <f t="shared" si="59"/>
        <v/>
      </c>
      <c r="AN284" s="139" t="str">
        <f>IF($K284="","",VLOOKUP($K284,'ORF Accuracy Value LookUp'!$G$4:$H$104,2,TRUE))</f>
        <v/>
      </c>
      <c r="AO284" s="94" t="str">
        <f t="shared" si="55"/>
        <v/>
      </c>
      <c r="AP284" s="47" t="str">
        <f>IF($U284="","",VLOOKUP($U284,'ORF Accuracy Value LookUp'!$G$4:$H$104,2,TRUE))</f>
        <v/>
      </c>
      <c r="AQ284" s="94" t="str">
        <f t="shared" si="56"/>
        <v/>
      </c>
      <c r="AR284" s="46" t="str">
        <f>IF($AE284="","",VLOOKUP($AE284,'ORF Accuracy Value LookUp'!$G$4:$H$104,2,TRUE))</f>
        <v/>
      </c>
      <c r="AS284" s="140" t="str">
        <f t="shared" si="57"/>
        <v/>
      </c>
    </row>
    <row r="285" spans="1:45">
      <c r="A285" s="10"/>
      <c r="B285" s="9"/>
      <c r="C285" s="9"/>
      <c r="D285" s="9"/>
      <c r="E285" s="10"/>
      <c r="F285" s="11"/>
      <c r="G285" s="15"/>
      <c r="H285" s="88"/>
      <c r="I285" s="24"/>
      <c r="J285" s="24"/>
      <c r="K285" s="114" t="str">
        <f t="shared" si="48"/>
        <v/>
      </c>
      <c r="L285" s="24"/>
      <c r="M285" s="24"/>
      <c r="N285" s="24"/>
      <c r="O285" s="24"/>
      <c r="P285" s="97" t="str">
        <f t="shared" si="49"/>
        <v/>
      </c>
      <c r="Q285" s="113" t="str">
        <f t="shared" si="50"/>
        <v/>
      </c>
      <c r="R285" s="88"/>
      <c r="S285" s="24"/>
      <c r="T285" s="24"/>
      <c r="U285" s="78" t="str">
        <f t="shared" si="51"/>
        <v/>
      </c>
      <c r="V285" s="24"/>
      <c r="W285" s="24"/>
      <c r="X285" s="24"/>
      <c r="Y285" s="24"/>
      <c r="Z285" s="98" t="str">
        <f t="shared" si="52"/>
        <v/>
      </c>
      <c r="AA285" s="40" t="str">
        <f t="shared" si="58"/>
        <v/>
      </c>
      <c r="AB285" s="88"/>
      <c r="AC285" s="24"/>
      <c r="AD285" s="24"/>
      <c r="AE285" s="79" t="str">
        <f t="shared" si="53"/>
        <v/>
      </c>
      <c r="AF285" s="24"/>
      <c r="AG285" s="24"/>
      <c r="AH285" s="24"/>
      <c r="AI285" s="24"/>
      <c r="AJ285" s="99" t="str">
        <f t="shared" si="54"/>
        <v/>
      </c>
      <c r="AK285" s="31" t="str">
        <f t="shared" si="59"/>
        <v/>
      </c>
      <c r="AN285" s="139" t="str">
        <f>IF($K285="","",VLOOKUP($K285,'ORF Accuracy Value LookUp'!$G$4:$H$104,2,TRUE))</f>
        <v/>
      </c>
      <c r="AO285" s="94" t="str">
        <f t="shared" si="55"/>
        <v/>
      </c>
      <c r="AP285" s="47" t="str">
        <f>IF($U285="","",VLOOKUP($U285,'ORF Accuracy Value LookUp'!$G$4:$H$104,2,TRUE))</f>
        <v/>
      </c>
      <c r="AQ285" s="94" t="str">
        <f t="shared" si="56"/>
        <v/>
      </c>
      <c r="AR285" s="46" t="str">
        <f>IF($AE285="","",VLOOKUP($AE285,'ORF Accuracy Value LookUp'!$G$4:$H$104,2,TRUE))</f>
        <v/>
      </c>
      <c r="AS285" s="140" t="str">
        <f t="shared" si="57"/>
        <v/>
      </c>
    </row>
    <row r="286" spans="1:45">
      <c r="A286" s="10"/>
      <c r="B286" s="9"/>
      <c r="C286" s="9"/>
      <c r="D286" s="9"/>
      <c r="E286" s="10"/>
      <c r="F286" s="11"/>
      <c r="G286" s="15"/>
      <c r="H286" s="88"/>
      <c r="I286" s="24"/>
      <c r="J286" s="24"/>
      <c r="K286" s="114" t="str">
        <f t="shared" si="48"/>
        <v/>
      </c>
      <c r="L286" s="24"/>
      <c r="M286" s="24"/>
      <c r="N286" s="24"/>
      <c r="O286" s="24"/>
      <c r="P286" s="97" t="str">
        <f t="shared" si="49"/>
        <v/>
      </c>
      <c r="Q286" s="113" t="str">
        <f t="shared" si="50"/>
        <v/>
      </c>
      <c r="R286" s="88"/>
      <c r="S286" s="24"/>
      <c r="T286" s="24"/>
      <c r="U286" s="78" t="str">
        <f t="shared" si="51"/>
        <v/>
      </c>
      <c r="V286" s="24"/>
      <c r="W286" s="24"/>
      <c r="X286" s="24"/>
      <c r="Y286" s="24"/>
      <c r="Z286" s="98" t="str">
        <f t="shared" si="52"/>
        <v/>
      </c>
      <c r="AA286" s="40" t="str">
        <f t="shared" si="58"/>
        <v/>
      </c>
      <c r="AB286" s="88"/>
      <c r="AC286" s="24"/>
      <c r="AD286" s="24"/>
      <c r="AE286" s="79" t="str">
        <f t="shared" si="53"/>
        <v/>
      </c>
      <c r="AF286" s="24"/>
      <c r="AG286" s="24"/>
      <c r="AH286" s="24"/>
      <c r="AI286" s="24"/>
      <c r="AJ286" s="99" t="str">
        <f t="shared" si="54"/>
        <v/>
      </c>
      <c r="AK286" s="31" t="str">
        <f t="shared" si="59"/>
        <v/>
      </c>
      <c r="AN286" s="139" t="str">
        <f>IF($K286="","",VLOOKUP($K286,'ORF Accuracy Value LookUp'!$G$4:$H$104,2,TRUE))</f>
        <v/>
      </c>
      <c r="AO286" s="94" t="str">
        <f t="shared" si="55"/>
        <v/>
      </c>
      <c r="AP286" s="47" t="str">
        <f>IF($U286="","",VLOOKUP($U286,'ORF Accuracy Value LookUp'!$G$4:$H$104,2,TRUE))</f>
        <v/>
      </c>
      <c r="AQ286" s="94" t="str">
        <f t="shared" si="56"/>
        <v/>
      </c>
      <c r="AR286" s="46" t="str">
        <f>IF($AE286="","",VLOOKUP($AE286,'ORF Accuracy Value LookUp'!$G$4:$H$104,2,TRUE))</f>
        <v/>
      </c>
      <c r="AS286" s="140" t="str">
        <f t="shared" si="57"/>
        <v/>
      </c>
    </row>
    <row r="287" spans="1:45">
      <c r="A287" s="10"/>
      <c r="B287" s="9"/>
      <c r="C287" s="9"/>
      <c r="D287" s="9"/>
      <c r="E287" s="10"/>
      <c r="F287" s="11"/>
      <c r="G287" s="15"/>
      <c r="H287" s="88"/>
      <c r="I287" s="24"/>
      <c r="J287" s="24"/>
      <c r="K287" s="114" t="str">
        <f t="shared" si="48"/>
        <v/>
      </c>
      <c r="L287" s="24"/>
      <c r="M287" s="24"/>
      <c r="N287" s="24"/>
      <c r="O287" s="24"/>
      <c r="P287" s="97" t="str">
        <f t="shared" si="49"/>
        <v/>
      </c>
      <c r="Q287" s="113" t="str">
        <f t="shared" si="50"/>
        <v/>
      </c>
      <c r="R287" s="88"/>
      <c r="S287" s="24"/>
      <c r="T287" s="24"/>
      <c r="U287" s="78" t="str">
        <f t="shared" si="51"/>
        <v/>
      </c>
      <c r="V287" s="24"/>
      <c r="W287" s="24"/>
      <c r="X287" s="24"/>
      <c r="Y287" s="24"/>
      <c r="Z287" s="98" t="str">
        <f t="shared" si="52"/>
        <v/>
      </c>
      <c r="AA287" s="40" t="str">
        <f t="shared" si="58"/>
        <v/>
      </c>
      <c r="AB287" s="88"/>
      <c r="AC287" s="24"/>
      <c r="AD287" s="24"/>
      <c r="AE287" s="79" t="str">
        <f t="shared" si="53"/>
        <v/>
      </c>
      <c r="AF287" s="24"/>
      <c r="AG287" s="24"/>
      <c r="AH287" s="24"/>
      <c r="AI287" s="24"/>
      <c r="AJ287" s="99" t="str">
        <f t="shared" si="54"/>
        <v/>
      </c>
      <c r="AK287" s="31" t="str">
        <f t="shared" si="59"/>
        <v/>
      </c>
      <c r="AN287" s="139" t="str">
        <f>IF($K287="","",VLOOKUP($K287,'ORF Accuracy Value LookUp'!$G$4:$H$104,2,TRUE))</f>
        <v/>
      </c>
      <c r="AO287" s="94" t="str">
        <f t="shared" si="55"/>
        <v/>
      </c>
      <c r="AP287" s="47" t="str">
        <f>IF($U287="","",VLOOKUP($U287,'ORF Accuracy Value LookUp'!$G$4:$H$104,2,TRUE))</f>
        <v/>
      </c>
      <c r="AQ287" s="94" t="str">
        <f t="shared" si="56"/>
        <v/>
      </c>
      <c r="AR287" s="46" t="str">
        <f>IF($AE287="","",VLOOKUP($AE287,'ORF Accuracy Value LookUp'!$G$4:$H$104,2,TRUE))</f>
        <v/>
      </c>
      <c r="AS287" s="140" t="str">
        <f t="shared" si="57"/>
        <v/>
      </c>
    </row>
    <row r="288" spans="1:45">
      <c r="A288" s="10"/>
      <c r="B288" s="9"/>
      <c r="C288" s="9"/>
      <c r="D288" s="9"/>
      <c r="E288" s="10"/>
      <c r="F288" s="11"/>
      <c r="G288" s="15"/>
      <c r="H288" s="88"/>
      <c r="I288" s="24"/>
      <c r="J288" s="24"/>
      <c r="K288" s="114" t="str">
        <f t="shared" si="48"/>
        <v/>
      </c>
      <c r="L288" s="24"/>
      <c r="M288" s="24"/>
      <c r="N288" s="24"/>
      <c r="O288" s="24"/>
      <c r="P288" s="97" t="str">
        <f t="shared" si="49"/>
        <v/>
      </c>
      <c r="Q288" s="113" t="str">
        <f t="shared" si="50"/>
        <v/>
      </c>
      <c r="R288" s="88"/>
      <c r="S288" s="24"/>
      <c r="T288" s="24"/>
      <c r="U288" s="78" t="str">
        <f t="shared" si="51"/>
        <v/>
      </c>
      <c r="V288" s="24"/>
      <c r="W288" s="24"/>
      <c r="X288" s="24"/>
      <c r="Y288" s="24"/>
      <c r="Z288" s="98" t="str">
        <f t="shared" si="52"/>
        <v/>
      </c>
      <c r="AA288" s="40" t="str">
        <f t="shared" si="58"/>
        <v/>
      </c>
      <c r="AB288" s="88"/>
      <c r="AC288" s="24"/>
      <c r="AD288" s="24"/>
      <c r="AE288" s="79" t="str">
        <f t="shared" si="53"/>
        <v/>
      </c>
      <c r="AF288" s="24"/>
      <c r="AG288" s="24"/>
      <c r="AH288" s="24"/>
      <c r="AI288" s="24"/>
      <c r="AJ288" s="99" t="str">
        <f t="shared" si="54"/>
        <v/>
      </c>
      <c r="AK288" s="31" t="str">
        <f t="shared" si="59"/>
        <v/>
      </c>
      <c r="AN288" s="139" t="str">
        <f>IF($K288="","",VLOOKUP($K288,'ORF Accuracy Value LookUp'!$G$4:$H$104,2,TRUE))</f>
        <v/>
      </c>
      <c r="AO288" s="94" t="str">
        <f t="shared" si="55"/>
        <v/>
      </c>
      <c r="AP288" s="47" t="str">
        <f>IF($U288="","",VLOOKUP($U288,'ORF Accuracy Value LookUp'!$G$4:$H$104,2,TRUE))</f>
        <v/>
      </c>
      <c r="AQ288" s="94" t="str">
        <f t="shared" si="56"/>
        <v/>
      </c>
      <c r="AR288" s="46" t="str">
        <f>IF($AE288="","",VLOOKUP($AE288,'ORF Accuracy Value LookUp'!$G$4:$H$104,2,TRUE))</f>
        <v/>
      </c>
      <c r="AS288" s="140" t="str">
        <f t="shared" si="57"/>
        <v/>
      </c>
    </row>
    <row r="289" spans="1:45">
      <c r="A289" s="10"/>
      <c r="B289" s="9"/>
      <c r="C289" s="9"/>
      <c r="D289" s="9"/>
      <c r="E289" s="10"/>
      <c r="F289" s="11"/>
      <c r="G289" s="15"/>
      <c r="H289" s="88"/>
      <c r="I289" s="24"/>
      <c r="J289" s="24"/>
      <c r="K289" s="114" t="str">
        <f t="shared" si="48"/>
        <v/>
      </c>
      <c r="L289" s="24"/>
      <c r="M289" s="24"/>
      <c r="N289" s="24"/>
      <c r="O289" s="24"/>
      <c r="P289" s="97" t="str">
        <f t="shared" si="49"/>
        <v/>
      </c>
      <c r="Q289" s="113" t="str">
        <f t="shared" si="50"/>
        <v/>
      </c>
      <c r="R289" s="88"/>
      <c r="S289" s="24"/>
      <c r="T289" s="24"/>
      <c r="U289" s="78" t="str">
        <f t="shared" si="51"/>
        <v/>
      </c>
      <c r="V289" s="24"/>
      <c r="W289" s="24"/>
      <c r="X289" s="24"/>
      <c r="Y289" s="24"/>
      <c r="Z289" s="98" t="str">
        <f t="shared" si="52"/>
        <v/>
      </c>
      <c r="AA289" s="40" t="str">
        <f t="shared" si="58"/>
        <v/>
      </c>
      <c r="AB289" s="88"/>
      <c r="AC289" s="24"/>
      <c r="AD289" s="24"/>
      <c r="AE289" s="79" t="str">
        <f t="shared" si="53"/>
        <v/>
      </c>
      <c r="AF289" s="24"/>
      <c r="AG289" s="24"/>
      <c r="AH289" s="24"/>
      <c r="AI289" s="24"/>
      <c r="AJ289" s="99" t="str">
        <f t="shared" si="54"/>
        <v/>
      </c>
      <c r="AK289" s="31" t="str">
        <f t="shared" si="59"/>
        <v/>
      </c>
      <c r="AN289" s="139" t="str">
        <f>IF($K289="","",VLOOKUP($K289,'ORF Accuracy Value LookUp'!$G$4:$H$104,2,TRUE))</f>
        <v/>
      </c>
      <c r="AO289" s="94" t="str">
        <f t="shared" si="55"/>
        <v/>
      </c>
      <c r="AP289" s="47" t="str">
        <f>IF($U289="","",VLOOKUP($U289,'ORF Accuracy Value LookUp'!$G$4:$H$104,2,TRUE))</f>
        <v/>
      </c>
      <c r="AQ289" s="94" t="str">
        <f t="shared" si="56"/>
        <v/>
      </c>
      <c r="AR289" s="46" t="str">
        <f>IF($AE289="","",VLOOKUP($AE289,'ORF Accuracy Value LookUp'!$G$4:$H$104,2,TRUE))</f>
        <v/>
      </c>
      <c r="AS289" s="140" t="str">
        <f t="shared" si="57"/>
        <v/>
      </c>
    </row>
    <row r="290" spans="1:45">
      <c r="A290" s="10"/>
      <c r="B290" s="9"/>
      <c r="C290" s="9"/>
      <c r="D290" s="9"/>
      <c r="E290" s="10"/>
      <c r="F290" s="11"/>
      <c r="G290" s="15"/>
      <c r="H290" s="88"/>
      <c r="I290" s="24"/>
      <c r="J290" s="24"/>
      <c r="K290" s="114" t="str">
        <f t="shared" si="48"/>
        <v/>
      </c>
      <c r="L290" s="24"/>
      <c r="M290" s="24"/>
      <c r="N290" s="24"/>
      <c r="O290" s="24"/>
      <c r="P290" s="97" t="str">
        <f t="shared" si="49"/>
        <v/>
      </c>
      <c r="Q290" s="113" t="str">
        <f t="shared" si="50"/>
        <v/>
      </c>
      <c r="R290" s="88"/>
      <c r="S290" s="24"/>
      <c r="T290" s="24"/>
      <c r="U290" s="78" t="str">
        <f t="shared" si="51"/>
        <v/>
      </c>
      <c r="V290" s="24"/>
      <c r="W290" s="24"/>
      <c r="X290" s="24"/>
      <c r="Y290" s="24"/>
      <c r="Z290" s="98" t="str">
        <f t="shared" si="52"/>
        <v/>
      </c>
      <c r="AA290" s="40" t="str">
        <f t="shared" si="58"/>
        <v/>
      </c>
      <c r="AB290" s="88"/>
      <c r="AC290" s="24"/>
      <c r="AD290" s="24"/>
      <c r="AE290" s="79" t="str">
        <f t="shared" si="53"/>
        <v/>
      </c>
      <c r="AF290" s="24"/>
      <c r="AG290" s="24"/>
      <c r="AH290" s="24"/>
      <c r="AI290" s="24"/>
      <c r="AJ290" s="99" t="str">
        <f t="shared" si="54"/>
        <v/>
      </c>
      <c r="AK290" s="31" t="str">
        <f t="shared" si="59"/>
        <v/>
      </c>
      <c r="AN290" s="139" t="str">
        <f>IF($K290="","",VLOOKUP($K290,'ORF Accuracy Value LookUp'!$G$4:$H$104,2,TRUE))</f>
        <v/>
      </c>
      <c r="AO290" s="94" t="str">
        <f t="shared" si="55"/>
        <v/>
      </c>
      <c r="AP290" s="47" t="str">
        <f>IF($U290="","",VLOOKUP($U290,'ORF Accuracy Value LookUp'!$G$4:$H$104,2,TRUE))</f>
        <v/>
      </c>
      <c r="AQ290" s="94" t="str">
        <f t="shared" si="56"/>
        <v/>
      </c>
      <c r="AR290" s="46" t="str">
        <f>IF($AE290="","",VLOOKUP($AE290,'ORF Accuracy Value LookUp'!$G$4:$H$104,2,TRUE))</f>
        <v/>
      </c>
      <c r="AS290" s="140" t="str">
        <f t="shared" si="57"/>
        <v/>
      </c>
    </row>
    <row r="291" spans="1:45">
      <c r="A291" s="10"/>
      <c r="B291" s="9"/>
      <c r="C291" s="9"/>
      <c r="D291" s="9"/>
      <c r="E291" s="10"/>
      <c r="F291" s="11"/>
      <c r="G291" s="15"/>
      <c r="H291" s="88"/>
      <c r="I291" s="24"/>
      <c r="J291" s="24"/>
      <c r="K291" s="114" t="str">
        <f t="shared" si="48"/>
        <v/>
      </c>
      <c r="L291" s="24"/>
      <c r="M291" s="24"/>
      <c r="N291" s="24"/>
      <c r="O291" s="24"/>
      <c r="P291" s="97" t="str">
        <f t="shared" si="49"/>
        <v/>
      </c>
      <c r="Q291" s="113" t="str">
        <f t="shared" si="50"/>
        <v/>
      </c>
      <c r="R291" s="88"/>
      <c r="S291" s="24"/>
      <c r="T291" s="24"/>
      <c r="U291" s="78" t="str">
        <f t="shared" si="51"/>
        <v/>
      </c>
      <c r="V291" s="24"/>
      <c r="W291" s="24"/>
      <c r="X291" s="24"/>
      <c r="Y291" s="24"/>
      <c r="Z291" s="98" t="str">
        <f t="shared" si="52"/>
        <v/>
      </c>
      <c r="AA291" s="40" t="str">
        <f t="shared" si="58"/>
        <v/>
      </c>
      <c r="AB291" s="88"/>
      <c r="AC291" s="24"/>
      <c r="AD291" s="24"/>
      <c r="AE291" s="79" t="str">
        <f t="shared" si="53"/>
        <v/>
      </c>
      <c r="AF291" s="24"/>
      <c r="AG291" s="24"/>
      <c r="AH291" s="24"/>
      <c r="AI291" s="24"/>
      <c r="AJ291" s="99" t="str">
        <f t="shared" si="54"/>
        <v/>
      </c>
      <c r="AK291" s="31" t="str">
        <f t="shared" si="59"/>
        <v/>
      </c>
      <c r="AN291" s="139" t="str">
        <f>IF($K291="","",VLOOKUP($K291,'ORF Accuracy Value LookUp'!$G$4:$H$104,2,TRUE))</f>
        <v/>
      </c>
      <c r="AO291" s="94" t="str">
        <f t="shared" si="55"/>
        <v/>
      </c>
      <c r="AP291" s="47" t="str">
        <f>IF($U291="","",VLOOKUP($U291,'ORF Accuracy Value LookUp'!$G$4:$H$104,2,TRUE))</f>
        <v/>
      </c>
      <c r="AQ291" s="94" t="str">
        <f t="shared" si="56"/>
        <v/>
      </c>
      <c r="AR291" s="46" t="str">
        <f>IF($AE291="","",VLOOKUP($AE291,'ORF Accuracy Value LookUp'!$G$4:$H$104,2,TRUE))</f>
        <v/>
      </c>
      <c r="AS291" s="140" t="str">
        <f t="shared" si="57"/>
        <v/>
      </c>
    </row>
    <row r="292" spans="1:45">
      <c r="A292" s="10"/>
      <c r="B292" s="9"/>
      <c r="C292" s="9"/>
      <c r="D292" s="9"/>
      <c r="E292" s="10"/>
      <c r="F292" s="11"/>
      <c r="G292" s="15"/>
      <c r="H292" s="88"/>
      <c r="I292" s="24"/>
      <c r="J292" s="24"/>
      <c r="K292" s="114" t="str">
        <f t="shared" si="48"/>
        <v/>
      </c>
      <c r="L292" s="24"/>
      <c r="M292" s="24"/>
      <c r="N292" s="24"/>
      <c r="O292" s="24"/>
      <c r="P292" s="97" t="str">
        <f t="shared" si="49"/>
        <v/>
      </c>
      <c r="Q292" s="113" t="str">
        <f t="shared" si="50"/>
        <v/>
      </c>
      <c r="R292" s="88"/>
      <c r="S292" s="24"/>
      <c r="T292" s="24"/>
      <c r="U292" s="78" t="str">
        <f t="shared" si="51"/>
        <v/>
      </c>
      <c r="V292" s="24"/>
      <c r="W292" s="24"/>
      <c r="X292" s="24"/>
      <c r="Y292" s="24"/>
      <c r="Z292" s="98" t="str">
        <f t="shared" si="52"/>
        <v/>
      </c>
      <c r="AA292" s="40" t="str">
        <f t="shared" si="58"/>
        <v/>
      </c>
      <c r="AB292" s="88"/>
      <c r="AC292" s="24"/>
      <c r="AD292" s="24"/>
      <c r="AE292" s="79" t="str">
        <f t="shared" si="53"/>
        <v/>
      </c>
      <c r="AF292" s="24"/>
      <c r="AG292" s="24"/>
      <c r="AH292" s="24"/>
      <c r="AI292" s="24"/>
      <c r="AJ292" s="99" t="str">
        <f t="shared" si="54"/>
        <v/>
      </c>
      <c r="AK292" s="31" t="str">
        <f t="shared" si="59"/>
        <v/>
      </c>
      <c r="AN292" s="139" t="str">
        <f>IF($K292="","",VLOOKUP($K292,'ORF Accuracy Value LookUp'!$G$4:$H$104,2,TRUE))</f>
        <v/>
      </c>
      <c r="AO292" s="94" t="str">
        <f t="shared" si="55"/>
        <v/>
      </c>
      <c r="AP292" s="47" t="str">
        <f>IF($U292="","",VLOOKUP($U292,'ORF Accuracy Value LookUp'!$G$4:$H$104,2,TRUE))</f>
        <v/>
      </c>
      <c r="AQ292" s="94" t="str">
        <f t="shared" si="56"/>
        <v/>
      </c>
      <c r="AR292" s="46" t="str">
        <f>IF($AE292="","",VLOOKUP($AE292,'ORF Accuracy Value LookUp'!$G$4:$H$104,2,TRUE))</f>
        <v/>
      </c>
      <c r="AS292" s="140" t="str">
        <f t="shared" si="57"/>
        <v/>
      </c>
    </row>
    <row r="293" spans="1:45">
      <c r="A293" s="10"/>
      <c r="B293" s="9"/>
      <c r="C293" s="9"/>
      <c r="D293" s="9"/>
      <c r="E293" s="10"/>
      <c r="F293" s="11"/>
      <c r="G293" s="15"/>
      <c r="H293" s="88"/>
      <c r="I293" s="24"/>
      <c r="J293" s="24"/>
      <c r="K293" s="114" t="str">
        <f t="shared" si="48"/>
        <v/>
      </c>
      <c r="L293" s="24"/>
      <c r="M293" s="24"/>
      <c r="N293" s="24"/>
      <c r="O293" s="24"/>
      <c r="P293" s="97" t="str">
        <f t="shared" si="49"/>
        <v/>
      </c>
      <c r="Q293" s="113" t="str">
        <f t="shared" si="50"/>
        <v/>
      </c>
      <c r="R293" s="88"/>
      <c r="S293" s="24"/>
      <c r="T293" s="24"/>
      <c r="U293" s="78" t="str">
        <f t="shared" si="51"/>
        <v/>
      </c>
      <c r="V293" s="24"/>
      <c r="W293" s="24"/>
      <c r="X293" s="24"/>
      <c r="Y293" s="24"/>
      <c r="Z293" s="98" t="str">
        <f t="shared" si="52"/>
        <v/>
      </c>
      <c r="AA293" s="40" t="str">
        <f t="shared" si="58"/>
        <v/>
      </c>
      <c r="AB293" s="88"/>
      <c r="AC293" s="24"/>
      <c r="AD293" s="24"/>
      <c r="AE293" s="79" t="str">
        <f t="shared" si="53"/>
        <v/>
      </c>
      <c r="AF293" s="24"/>
      <c r="AG293" s="24"/>
      <c r="AH293" s="24"/>
      <c r="AI293" s="24"/>
      <c r="AJ293" s="99" t="str">
        <f t="shared" si="54"/>
        <v/>
      </c>
      <c r="AK293" s="31" t="str">
        <f t="shared" si="59"/>
        <v/>
      </c>
      <c r="AN293" s="139" t="str">
        <f>IF($K293="","",VLOOKUP($K293,'ORF Accuracy Value LookUp'!$G$4:$H$104,2,TRUE))</f>
        <v/>
      </c>
      <c r="AO293" s="94" t="str">
        <f t="shared" si="55"/>
        <v/>
      </c>
      <c r="AP293" s="47" t="str">
        <f>IF($U293="","",VLOOKUP($U293,'ORF Accuracy Value LookUp'!$G$4:$H$104,2,TRUE))</f>
        <v/>
      </c>
      <c r="AQ293" s="94" t="str">
        <f t="shared" si="56"/>
        <v/>
      </c>
      <c r="AR293" s="46" t="str">
        <f>IF($AE293="","",VLOOKUP($AE293,'ORF Accuracy Value LookUp'!$G$4:$H$104,2,TRUE))</f>
        <v/>
      </c>
      <c r="AS293" s="140" t="str">
        <f t="shared" si="57"/>
        <v/>
      </c>
    </row>
    <row r="294" spans="1:45">
      <c r="A294" s="10"/>
      <c r="B294" s="9"/>
      <c r="C294" s="9"/>
      <c r="D294" s="9"/>
      <c r="E294" s="10"/>
      <c r="F294" s="11"/>
      <c r="G294" s="15"/>
      <c r="H294" s="88"/>
      <c r="I294" s="24"/>
      <c r="J294" s="24"/>
      <c r="K294" s="114" t="str">
        <f t="shared" si="48"/>
        <v/>
      </c>
      <c r="L294" s="24"/>
      <c r="M294" s="24"/>
      <c r="N294" s="24"/>
      <c r="O294" s="24"/>
      <c r="P294" s="97" t="str">
        <f t="shared" si="49"/>
        <v/>
      </c>
      <c r="Q294" s="113" t="str">
        <f t="shared" si="50"/>
        <v/>
      </c>
      <c r="R294" s="88"/>
      <c r="S294" s="24"/>
      <c r="T294" s="24"/>
      <c r="U294" s="78" t="str">
        <f t="shared" si="51"/>
        <v/>
      </c>
      <c r="V294" s="24"/>
      <c r="W294" s="24"/>
      <c r="X294" s="24"/>
      <c r="Y294" s="24"/>
      <c r="Z294" s="98" t="str">
        <f t="shared" si="52"/>
        <v/>
      </c>
      <c r="AA294" s="40" t="str">
        <f t="shared" si="58"/>
        <v/>
      </c>
      <c r="AB294" s="88"/>
      <c r="AC294" s="24"/>
      <c r="AD294" s="24"/>
      <c r="AE294" s="79" t="str">
        <f t="shared" si="53"/>
        <v/>
      </c>
      <c r="AF294" s="24"/>
      <c r="AG294" s="24"/>
      <c r="AH294" s="24"/>
      <c r="AI294" s="24"/>
      <c r="AJ294" s="99" t="str">
        <f t="shared" si="54"/>
        <v/>
      </c>
      <c r="AK294" s="31" t="str">
        <f t="shared" si="59"/>
        <v/>
      </c>
      <c r="AN294" s="139" t="str">
        <f>IF($K294="","",VLOOKUP($K294,'ORF Accuracy Value LookUp'!$G$4:$H$104,2,TRUE))</f>
        <v/>
      </c>
      <c r="AO294" s="94" t="str">
        <f t="shared" si="55"/>
        <v/>
      </c>
      <c r="AP294" s="47" t="str">
        <f>IF($U294="","",VLOOKUP($U294,'ORF Accuracy Value LookUp'!$G$4:$H$104,2,TRUE))</f>
        <v/>
      </c>
      <c r="AQ294" s="94" t="str">
        <f t="shared" si="56"/>
        <v/>
      </c>
      <c r="AR294" s="46" t="str">
        <f>IF($AE294="","",VLOOKUP($AE294,'ORF Accuracy Value LookUp'!$G$4:$H$104,2,TRUE))</f>
        <v/>
      </c>
      <c r="AS294" s="140" t="str">
        <f t="shared" si="57"/>
        <v/>
      </c>
    </row>
    <row r="295" spans="1:45">
      <c r="A295" s="10"/>
      <c r="B295" s="9"/>
      <c r="C295" s="9"/>
      <c r="D295" s="9"/>
      <c r="E295" s="10"/>
      <c r="F295" s="11"/>
      <c r="G295" s="15"/>
      <c r="H295" s="88"/>
      <c r="I295" s="24"/>
      <c r="J295" s="24"/>
      <c r="K295" s="114" t="str">
        <f t="shared" si="48"/>
        <v/>
      </c>
      <c r="L295" s="24"/>
      <c r="M295" s="24"/>
      <c r="N295" s="24"/>
      <c r="O295" s="24"/>
      <c r="P295" s="97" t="str">
        <f t="shared" si="49"/>
        <v/>
      </c>
      <c r="Q295" s="113" t="str">
        <f t="shared" si="50"/>
        <v/>
      </c>
      <c r="R295" s="88"/>
      <c r="S295" s="24"/>
      <c r="T295" s="24"/>
      <c r="U295" s="78" t="str">
        <f t="shared" si="51"/>
        <v/>
      </c>
      <c r="V295" s="24"/>
      <c r="W295" s="24"/>
      <c r="X295" s="24"/>
      <c r="Y295" s="24"/>
      <c r="Z295" s="98" t="str">
        <f t="shared" si="52"/>
        <v/>
      </c>
      <c r="AA295" s="40" t="str">
        <f t="shared" si="58"/>
        <v/>
      </c>
      <c r="AB295" s="88"/>
      <c r="AC295" s="24"/>
      <c r="AD295" s="24"/>
      <c r="AE295" s="79" t="str">
        <f t="shared" si="53"/>
        <v/>
      </c>
      <c r="AF295" s="24"/>
      <c r="AG295" s="24"/>
      <c r="AH295" s="24"/>
      <c r="AI295" s="24"/>
      <c r="AJ295" s="99" t="str">
        <f t="shared" si="54"/>
        <v/>
      </c>
      <c r="AK295" s="31" t="str">
        <f t="shared" si="59"/>
        <v/>
      </c>
      <c r="AN295" s="139" t="str">
        <f>IF($K295="","",VLOOKUP($K295,'ORF Accuracy Value LookUp'!$G$4:$H$104,2,TRUE))</f>
        <v/>
      </c>
      <c r="AO295" s="94" t="str">
        <f t="shared" si="55"/>
        <v/>
      </c>
      <c r="AP295" s="47" t="str">
        <f>IF($U295="","",VLOOKUP($U295,'ORF Accuracy Value LookUp'!$G$4:$H$104,2,TRUE))</f>
        <v/>
      </c>
      <c r="AQ295" s="94" t="str">
        <f t="shared" si="56"/>
        <v/>
      </c>
      <c r="AR295" s="46" t="str">
        <f>IF($AE295="","",VLOOKUP($AE295,'ORF Accuracy Value LookUp'!$G$4:$H$104,2,TRUE))</f>
        <v/>
      </c>
      <c r="AS295" s="140" t="str">
        <f t="shared" si="57"/>
        <v/>
      </c>
    </row>
    <row r="296" spans="1:45">
      <c r="A296" s="10"/>
      <c r="B296" s="9"/>
      <c r="C296" s="9"/>
      <c r="D296" s="9"/>
      <c r="E296" s="10"/>
      <c r="F296" s="11"/>
      <c r="G296" s="15"/>
      <c r="H296" s="88"/>
      <c r="I296" s="24"/>
      <c r="J296" s="24"/>
      <c r="K296" s="114" t="str">
        <f t="shared" si="48"/>
        <v/>
      </c>
      <c r="L296" s="24"/>
      <c r="M296" s="24"/>
      <c r="N296" s="24"/>
      <c r="O296" s="24"/>
      <c r="P296" s="97" t="str">
        <f t="shared" si="49"/>
        <v/>
      </c>
      <c r="Q296" s="113" t="str">
        <f t="shared" si="50"/>
        <v/>
      </c>
      <c r="R296" s="88"/>
      <c r="S296" s="24"/>
      <c r="T296" s="24"/>
      <c r="U296" s="78" t="str">
        <f t="shared" si="51"/>
        <v/>
      </c>
      <c r="V296" s="24"/>
      <c r="W296" s="24"/>
      <c r="X296" s="24"/>
      <c r="Y296" s="24"/>
      <c r="Z296" s="98" t="str">
        <f t="shared" si="52"/>
        <v/>
      </c>
      <c r="AA296" s="40" t="str">
        <f t="shared" si="58"/>
        <v/>
      </c>
      <c r="AB296" s="88"/>
      <c r="AC296" s="24"/>
      <c r="AD296" s="24"/>
      <c r="AE296" s="79" t="str">
        <f t="shared" si="53"/>
        <v/>
      </c>
      <c r="AF296" s="24"/>
      <c r="AG296" s="24"/>
      <c r="AH296" s="24"/>
      <c r="AI296" s="24"/>
      <c r="AJ296" s="99" t="str">
        <f t="shared" si="54"/>
        <v/>
      </c>
      <c r="AK296" s="31" t="str">
        <f t="shared" si="59"/>
        <v/>
      </c>
      <c r="AN296" s="139" t="str">
        <f>IF($K296="","",VLOOKUP($K296,'ORF Accuracy Value LookUp'!$G$4:$H$104,2,TRUE))</f>
        <v/>
      </c>
      <c r="AO296" s="94" t="str">
        <f t="shared" si="55"/>
        <v/>
      </c>
      <c r="AP296" s="47" t="str">
        <f>IF($U296="","",VLOOKUP($U296,'ORF Accuracy Value LookUp'!$G$4:$H$104,2,TRUE))</f>
        <v/>
      </c>
      <c r="AQ296" s="94" t="str">
        <f t="shared" si="56"/>
        <v/>
      </c>
      <c r="AR296" s="46" t="str">
        <f>IF($AE296="","",VLOOKUP($AE296,'ORF Accuracy Value LookUp'!$G$4:$H$104,2,TRUE))</f>
        <v/>
      </c>
      <c r="AS296" s="140" t="str">
        <f t="shared" si="57"/>
        <v/>
      </c>
    </row>
    <row r="297" spans="1:45">
      <c r="A297" s="10"/>
      <c r="B297" s="9"/>
      <c r="C297" s="9"/>
      <c r="D297" s="9"/>
      <c r="E297" s="10"/>
      <c r="F297" s="11"/>
      <c r="G297" s="15"/>
      <c r="H297" s="88"/>
      <c r="I297" s="24"/>
      <c r="J297" s="24"/>
      <c r="K297" s="114" t="str">
        <f t="shared" si="48"/>
        <v/>
      </c>
      <c r="L297" s="24"/>
      <c r="M297" s="24"/>
      <c r="N297" s="24"/>
      <c r="O297" s="24"/>
      <c r="P297" s="97" t="str">
        <f t="shared" si="49"/>
        <v/>
      </c>
      <c r="Q297" s="113" t="str">
        <f t="shared" si="50"/>
        <v/>
      </c>
      <c r="R297" s="88"/>
      <c r="S297" s="24"/>
      <c r="T297" s="24"/>
      <c r="U297" s="78" t="str">
        <f t="shared" si="51"/>
        <v/>
      </c>
      <c r="V297" s="24"/>
      <c r="W297" s="24"/>
      <c r="X297" s="24"/>
      <c r="Y297" s="24"/>
      <c r="Z297" s="98" t="str">
        <f t="shared" si="52"/>
        <v/>
      </c>
      <c r="AA297" s="40" t="str">
        <f t="shared" si="58"/>
        <v/>
      </c>
      <c r="AB297" s="88"/>
      <c r="AC297" s="24"/>
      <c r="AD297" s="24"/>
      <c r="AE297" s="79" t="str">
        <f t="shared" si="53"/>
        <v/>
      </c>
      <c r="AF297" s="24"/>
      <c r="AG297" s="24"/>
      <c r="AH297" s="24"/>
      <c r="AI297" s="24"/>
      <c r="AJ297" s="99" t="str">
        <f t="shared" si="54"/>
        <v/>
      </c>
      <c r="AK297" s="31" t="str">
        <f t="shared" si="59"/>
        <v/>
      </c>
      <c r="AN297" s="139" t="str">
        <f>IF($K297="","",VLOOKUP($K297,'ORF Accuracy Value LookUp'!$G$4:$H$104,2,TRUE))</f>
        <v/>
      </c>
      <c r="AO297" s="94" t="str">
        <f t="shared" si="55"/>
        <v/>
      </c>
      <c r="AP297" s="47" t="str">
        <f>IF($U297="","",VLOOKUP($U297,'ORF Accuracy Value LookUp'!$G$4:$H$104,2,TRUE))</f>
        <v/>
      </c>
      <c r="AQ297" s="94" t="str">
        <f t="shared" si="56"/>
        <v/>
      </c>
      <c r="AR297" s="46" t="str">
        <f>IF($AE297="","",VLOOKUP($AE297,'ORF Accuracy Value LookUp'!$G$4:$H$104,2,TRUE))</f>
        <v/>
      </c>
      <c r="AS297" s="140" t="str">
        <f t="shared" si="57"/>
        <v/>
      </c>
    </row>
    <row r="298" spans="1:45">
      <c r="A298" s="10"/>
      <c r="B298" s="9"/>
      <c r="C298" s="9"/>
      <c r="D298" s="9"/>
      <c r="E298" s="10"/>
      <c r="F298" s="11"/>
      <c r="G298" s="15"/>
      <c r="H298" s="88"/>
      <c r="I298" s="24"/>
      <c r="J298" s="24"/>
      <c r="K298" s="114" t="str">
        <f t="shared" si="48"/>
        <v/>
      </c>
      <c r="L298" s="24"/>
      <c r="M298" s="24"/>
      <c r="N298" s="24"/>
      <c r="O298" s="24"/>
      <c r="P298" s="97" t="str">
        <f t="shared" si="49"/>
        <v/>
      </c>
      <c r="Q298" s="113" t="str">
        <f t="shared" si="50"/>
        <v/>
      </c>
      <c r="R298" s="88"/>
      <c r="S298" s="24"/>
      <c r="T298" s="24"/>
      <c r="U298" s="78" t="str">
        <f t="shared" si="51"/>
        <v/>
      </c>
      <c r="V298" s="24"/>
      <c r="W298" s="24"/>
      <c r="X298" s="24"/>
      <c r="Y298" s="24"/>
      <c r="Z298" s="98" t="str">
        <f t="shared" si="52"/>
        <v/>
      </c>
      <c r="AA298" s="40" t="str">
        <f t="shared" si="58"/>
        <v/>
      </c>
      <c r="AB298" s="88"/>
      <c r="AC298" s="24"/>
      <c r="AD298" s="24"/>
      <c r="AE298" s="79" t="str">
        <f t="shared" si="53"/>
        <v/>
      </c>
      <c r="AF298" s="24"/>
      <c r="AG298" s="24"/>
      <c r="AH298" s="24"/>
      <c r="AI298" s="24"/>
      <c r="AJ298" s="99" t="str">
        <f t="shared" si="54"/>
        <v/>
      </c>
      <c r="AK298" s="31" t="str">
        <f t="shared" si="59"/>
        <v/>
      </c>
      <c r="AN298" s="139" t="str">
        <f>IF($K298="","",VLOOKUP($K298,'ORF Accuracy Value LookUp'!$G$4:$H$104,2,TRUE))</f>
        <v/>
      </c>
      <c r="AO298" s="94" t="str">
        <f t="shared" si="55"/>
        <v/>
      </c>
      <c r="AP298" s="47" t="str">
        <f>IF($U298="","",VLOOKUP($U298,'ORF Accuracy Value LookUp'!$G$4:$H$104,2,TRUE))</f>
        <v/>
      </c>
      <c r="AQ298" s="94" t="str">
        <f t="shared" si="56"/>
        <v/>
      </c>
      <c r="AR298" s="46" t="str">
        <f>IF($AE298="","",VLOOKUP($AE298,'ORF Accuracy Value LookUp'!$G$4:$H$104,2,TRUE))</f>
        <v/>
      </c>
      <c r="AS298" s="140" t="str">
        <f t="shared" si="57"/>
        <v/>
      </c>
    </row>
    <row r="299" spans="1:45">
      <c r="A299" s="10"/>
      <c r="B299" s="9"/>
      <c r="C299" s="9"/>
      <c r="D299" s="9"/>
      <c r="E299" s="10"/>
      <c r="F299" s="11"/>
      <c r="G299" s="15"/>
      <c r="H299" s="88"/>
      <c r="I299" s="24"/>
      <c r="J299" s="24"/>
      <c r="K299" s="114" t="str">
        <f t="shared" si="48"/>
        <v/>
      </c>
      <c r="L299" s="24"/>
      <c r="M299" s="24"/>
      <c r="N299" s="24"/>
      <c r="O299" s="24"/>
      <c r="P299" s="97" t="str">
        <f t="shared" si="49"/>
        <v/>
      </c>
      <c r="Q299" s="113" t="str">
        <f t="shared" si="50"/>
        <v/>
      </c>
      <c r="R299" s="88"/>
      <c r="S299" s="24"/>
      <c r="T299" s="24"/>
      <c r="U299" s="78" t="str">
        <f t="shared" si="51"/>
        <v/>
      </c>
      <c r="V299" s="24"/>
      <c r="W299" s="24"/>
      <c r="X299" s="24"/>
      <c r="Y299" s="24"/>
      <c r="Z299" s="98" t="str">
        <f t="shared" si="52"/>
        <v/>
      </c>
      <c r="AA299" s="40" t="str">
        <f t="shared" si="58"/>
        <v/>
      </c>
      <c r="AB299" s="88"/>
      <c r="AC299" s="24"/>
      <c r="AD299" s="24"/>
      <c r="AE299" s="79" t="str">
        <f t="shared" si="53"/>
        <v/>
      </c>
      <c r="AF299" s="24"/>
      <c r="AG299" s="24"/>
      <c r="AH299" s="24"/>
      <c r="AI299" s="24"/>
      <c r="AJ299" s="99" t="str">
        <f t="shared" si="54"/>
        <v/>
      </c>
      <c r="AK299" s="31" t="str">
        <f t="shared" si="59"/>
        <v/>
      </c>
      <c r="AN299" s="139" t="str">
        <f>IF($K299="","",VLOOKUP($K299,'ORF Accuracy Value LookUp'!$G$4:$H$104,2,TRUE))</f>
        <v/>
      </c>
      <c r="AO299" s="94" t="str">
        <f t="shared" si="55"/>
        <v/>
      </c>
      <c r="AP299" s="47" t="str">
        <f>IF($U299="","",VLOOKUP($U299,'ORF Accuracy Value LookUp'!$G$4:$H$104,2,TRUE))</f>
        <v/>
      </c>
      <c r="AQ299" s="94" t="str">
        <f t="shared" si="56"/>
        <v/>
      </c>
      <c r="AR299" s="46" t="str">
        <f>IF($AE299="","",VLOOKUP($AE299,'ORF Accuracy Value LookUp'!$G$4:$H$104,2,TRUE))</f>
        <v/>
      </c>
      <c r="AS299" s="140" t="str">
        <f t="shared" si="57"/>
        <v/>
      </c>
    </row>
    <row r="300" spans="1:45">
      <c r="A300" s="10"/>
      <c r="B300" s="9"/>
      <c r="C300" s="9"/>
      <c r="D300" s="9"/>
      <c r="E300" s="10"/>
      <c r="F300" s="11"/>
      <c r="G300" s="15"/>
      <c r="H300" s="88"/>
      <c r="I300" s="24"/>
      <c r="J300" s="24"/>
      <c r="K300" s="114" t="str">
        <f t="shared" si="48"/>
        <v/>
      </c>
      <c r="L300" s="24"/>
      <c r="M300" s="24"/>
      <c r="N300" s="24"/>
      <c r="O300" s="24"/>
      <c r="P300" s="97" t="str">
        <f t="shared" si="49"/>
        <v/>
      </c>
      <c r="Q300" s="113" t="str">
        <f t="shared" si="50"/>
        <v/>
      </c>
      <c r="R300" s="88"/>
      <c r="S300" s="24"/>
      <c r="T300" s="24"/>
      <c r="U300" s="78" t="str">
        <f t="shared" si="51"/>
        <v/>
      </c>
      <c r="V300" s="24"/>
      <c r="W300" s="24"/>
      <c r="X300" s="24"/>
      <c r="Y300" s="24"/>
      <c r="Z300" s="98" t="str">
        <f t="shared" si="52"/>
        <v/>
      </c>
      <c r="AA300" s="40" t="str">
        <f t="shared" si="58"/>
        <v/>
      </c>
      <c r="AB300" s="88"/>
      <c r="AC300" s="24"/>
      <c r="AD300" s="24"/>
      <c r="AE300" s="79" t="str">
        <f t="shared" si="53"/>
        <v/>
      </c>
      <c r="AF300" s="24"/>
      <c r="AG300" s="24"/>
      <c r="AH300" s="24"/>
      <c r="AI300" s="24"/>
      <c r="AJ300" s="99" t="str">
        <f t="shared" si="54"/>
        <v/>
      </c>
      <c r="AK300" s="31" t="str">
        <f t="shared" si="59"/>
        <v/>
      </c>
      <c r="AN300" s="139" t="str">
        <f>IF($K300="","",VLOOKUP($K300,'ORF Accuracy Value LookUp'!$G$4:$H$104,2,TRUE))</f>
        <v/>
      </c>
      <c r="AO300" s="94" t="str">
        <f t="shared" si="55"/>
        <v/>
      </c>
      <c r="AP300" s="47" t="str">
        <f>IF($U300="","",VLOOKUP($U300,'ORF Accuracy Value LookUp'!$G$4:$H$104,2,TRUE))</f>
        <v/>
      </c>
      <c r="AQ300" s="94" t="str">
        <f t="shared" si="56"/>
        <v/>
      </c>
      <c r="AR300" s="46" t="str">
        <f>IF($AE300="","",VLOOKUP($AE300,'ORF Accuracy Value LookUp'!$G$4:$H$104,2,TRUE))</f>
        <v/>
      </c>
      <c r="AS300" s="140" t="str">
        <f t="shared" si="57"/>
        <v/>
      </c>
    </row>
    <row r="301" spans="1:45">
      <c r="A301" s="10"/>
      <c r="B301" s="9"/>
      <c r="C301" s="9"/>
      <c r="D301" s="9"/>
      <c r="E301" s="10"/>
      <c r="F301" s="11"/>
      <c r="G301" s="15"/>
      <c r="H301" s="88"/>
      <c r="I301" s="24"/>
      <c r="J301" s="24"/>
      <c r="K301" s="114" t="str">
        <f t="shared" si="48"/>
        <v/>
      </c>
      <c r="L301" s="24"/>
      <c r="M301" s="24"/>
      <c r="N301" s="24"/>
      <c r="O301" s="24"/>
      <c r="P301" s="97" t="str">
        <f t="shared" si="49"/>
        <v/>
      </c>
      <c r="Q301" s="113" t="str">
        <f t="shared" si="50"/>
        <v/>
      </c>
      <c r="R301" s="88"/>
      <c r="S301" s="24"/>
      <c r="T301" s="24"/>
      <c r="U301" s="78" t="str">
        <f t="shared" si="51"/>
        <v/>
      </c>
      <c r="V301" s="24"/>
      <c r="W301" s="24"/>
      <c r="X301" s="24"/>
      <c r="Y301" s="24"/>
      <c r="Z301" s="98" t="str">
        <f t="shared" si="52"/>
        <v/>
      </c>
      <c r="AA301" s="40" t="str">
        <f t="shared" si="58"/>
        <v/>
      </c>
      <c r="AB301" s="88"/>
      <c r="AC301" s="24"/>
      <c r="AD301" s="24"/>
      <c r="AE301" s="79" t="str">
        <f t="shared" si="53"/>
        <v/>
      </c>
      <c r="AF301" s="24"/>
      <c r="AG301" s="24"/>
      <c r="AH301" s="24"/>
      <c r="AI301" s="24"/>
      <c r="AJ301" s="99" t="str">
        <f t="shared" si="54"/>
        <v/>
      </c>
      <c r="AK301" s="31" t="str">
        <f t="shared" si="59"/>
        <v/>
      </c>
      <c r="AN301" s="139" t="str">
        <f>IF($K301="","",VLOOKUP($K301,'ORF Accuracy Value LookUp'!$G$4:$H$104,2,TRUE))</f>
        <v/>
      </c>
      <c r="AO301" s="94" t="str">
        <f t="shared" si="55"/>
        <v/>
      </c>
      <c r="AP301" s="47" t="str">
        <f>IF($U301="","",VLOOKUP($U301,'ORF Accuracy Value LookUp'!$G$4:$H$104,2,TRUE))</f>
        <v/>
      </c>
      <c r="AQ301" s="94" t="str">
        <f t="shared" si="56"/>
        <v/>
      </c>
      <c r="AR301" s="46" t="str">
        <f>IF($AE301="","",VLOOKUP($AE301,'ORF Accuracy Value LookUp'!$G$4:$H$104,2,TRUE))</f>
        <v/>
      </c>
      <c r="AS301" s="140" t="str">
        <f t="shared" si="57"/>
        <v/>
      </c>
    </row>
    <row r="302" spans="1:45">
      <c r="A302" s="10"/>
      <c r="B302" s="9"/>
      <c r="C302" s="9"/>
      <c r="D302" s="9"/>
      <c r="E302" s="10"/>
      <c r="F302" s="11"/>
      <c r="G302" s="15"/>
      <c r="H302" s="88"/>
      <c r="I302" s="24"/>
      <c r="J302" s="24"/>
      <c r="K302" s="114" t="str">
        <f t="shared" si="48"/>
        <v/>
      </c>
      <c r="L302" s="24"/>
      <c r="M302" s="24"/>
      <c r="N302" s="24"/>
      <c r="O302" s="24"/>
      <c r="P302" s="97" t="str">
        <f t="shared" si="49"/>
        <v/>
      </c>
      <c r="Q302" s="113" t="str">
        <f t="shared" si="50"/>
        <v/>
      </c>
      <c r="R302" s="88"/>
      <c r="S302" s="24"/>
      <c r="T302" s="24"/>
      <c r="U302" s="78" t="str">
        <f t="shared" si="51"/>
        <v/>
      </c>
      <c r="V302" s="24"/>
      <c r="W302" s="24"/>
      <c r="X302" s="24"/>
      <c r="Y302" s="24"/>
      <c r="Z302" s="98" t="str">
        <f t="shared" si="52"/>
        <v/>
      </c>
      <c r="AA302" s="40" t="str">
        <f t="shared" si="58"/>
        <v/>
      </c>
      <c r="AB302" s="88"/>
      <c r="AC302" s="24"/>
      <c r="AD302" s="24"/>
      <c r="AE302" s="79" t="str">
        <f t="shared" si="53"/>
        <v/>
      </c>
      <c r="AF302" s="24"/>
      <c r="AG302" s="24"/>
      <c r="AH302" s="24"/>
      <c r="AI302" s="24"/>
      <c r="AJ302" s="99" t="str">
        <f t="shared" si="54"/>
        <v/>
      </c>
      <c r="AK302" s="31" t="str">
        <f t="shared" si="59"/>
        <v/>
      </c>
      <c r="AN302" s="139" t="str">
        <f>IF($K302="","",VLOOKUP($K302,'ORF Accuracy Value LookUp'!$G$4:$H$104,2,TRUE))</f>
        <v/>
      </c>
      <c r="AO302" s="94" t="str">
        <f t="shared" si="55"/>
        <v/>
      </c>
      <c r="AP302" s="47" t="str">
        <f>IF($U302="","",VLOOKUP($U302,'ORF Accuracy Value LookUp'!$G$4:$H$104,2,TRUE))</f>
        <v/>
      </c>
      <c r="AQ302" s="94" t="str">
        <f t="shared" si="56"/>
        <v/>
      </c>
      <c r="AR302" s="46" t="str">
        <f>IF($AE302="","",VLOOKUP($AE302,'ORF Accuracy Value LookUp'!$G$4:$H$104,2,TRUE))</f>
        <v/>
      </c>
      <c r="AS302" s="140" t="str">
        <f t="shared" si="57"/>
        <v/>
      </c>
    </row>
    <row r="303" spans="1:45">
      <c r="A303" s="10"/>
      <c r="B303" s="9"/>
      <c r="C303" s="9"/>
      <c r="D303" s="9"/>
      <c r="E303" s="10"/>
      <c r="F303" s="11"/>
      <c r="G303" s="15"/>
      <c r="H303" s="88"/>
      <c r="I303" s="24"/>
      <c r="J303" s="24"/>
      <c r="K303" s="114" t="str">
        <f t="shared" si="48"/>
        <v/>
      </c>
      <c r="L303" s="24"/>
      <c r="M303" s="24"/>
      <c r="N303" s="24"/>
      <c r="O303" s="24"/>
      <c r="P303" s="97" t="str">
        <f t="shared" si="49"/>
        <v/>
      </c>
      <c r="Q303" s="113" t="str">
        <f t="shared" si="50"/>
        <v/>
      </c>
      <c r="R303" s="88"/>
      <c r="S303" s="24"/>
      <c r="T303" s="24"/>
      <c r="U303" s="78" t="str">
        <f t="shared" si="51"/>
        <v/>
      </c>
      <c r="V303" s="24"/>
      <c r="W303" s="24"/>
      <c r="X303" s="24"/>
      <c r="Y303" s="24"/>
      <c r="Z303" s="98" t="str">
        <f t="shared" si="52"/>
        <v/>
      </c>
      <c r="AA303" s="40" t="str">
        <f t="shared" si="58"/>
        <v/>
      </c>
      <c r="AB303" s="88"/>
      <c r="AC303" s="24"/>
      <c r="AD303" s="24"/>
      <c r="AE303" s="79" t="str">
        <f t="shared" si="53"/>
        <v/>
      </c>
      <c r="AF303" s="24"/>
      <c r="AG303" s="24"/>
      <c r="AH303" s="24"/>
      <c r="AI303" s="24"/>
      <c r="AJ303" s="99" t="str">
        <f t="shared" si="54"/>
        <v/>
      </c>
      <c r="AK303" s="31" t="str">
        <f t="shared" si="59"/>
        <v/>
      </c>
      <c r="AN303" s="139" t="str">
        <f>IF($K303="","",VLOOKUP($K303,'ORF Accuracy Value LookUp'!$G$4:$H$104,2,TRUE))</f>
        <v/>
      </c>
      <c r="AO303" s="94" t="str">
        <f t="shared" si="55"/>
        <v/>
      </c>
      <c r="AP303" s="47" t="str">
        <f>IF($U303="","",VLOOKUP($U303,'ORF Accuracy Value LookUp'!$G$4:$H$104,2,TRUE))</f>
        <v/>
      </c>
      <c r="AQ303" s="94" t="str">
        <f t="shared" si="56"/>
        <v/>
      </c>
      <c r="AR303" s="46" t="str">
        <f>IF($AE303="","",VLOOKUP($AE303,'ORF Accuracy Value LookUp'!$G$4:$H$104,2,TRUE))</f>
        <v/>
      </c>
      <c r="AS303" s="140" t="str">
        <f t="shared" si="57"/>
        <v/>
      </c>
    </row>
    <row r="304" spans="1:45">
      <c r="A304" s="10"/>
      <c r="B304" s="9"/>
      <c r="C304" s="9"/>
      <c r="D304" s="9"/>
      <c r="E304" s="10"/>
      <c r="F304" s="11"/>
      <c r="G304" s="15"/>
      <c r="H304" s="88"/>
      <c r="I304" s="24"/>
      <c r="J304" s="24"/>
      <c r="K304" s="114" t="str">
        <f t="shared" si="48"/>
        <v/>
      </c>
      <c r="L304" s="24"/>
      <c r="M304" s="24"/>
      <c r="N304" s="24"/>
      <c r="O304" s="24"/>
      <c r="P304" s="97" t="str">
        <f t="shared" si="49"/>
        <v/>
      </c>
      <c r="Q304" s="113" t="str">
        <f t="shared" si="50"/>
        <v/>
      </c>
      <c r="R304" s="88"/>
      <c r="S304" s="24"/>
      <c r="T304" s="24"/>
      <c r="U304" s="78" t="str">
        <f t="shared" si="51"/>
        <v/>
      </c>
      <c r="V304" s="24"/>
      <c r="W304" s="24"/>
      <c r="X304" s="24"/>
      <c r="Y304" s="24"/>
      <c r="Z304" s="98" t="str">
        <f t="shared" si="52"/>
        <v/>
      </c>
      <c r="AA304" s="40" t="str">
        <f t="shared" si="58"/>
        <v/>
      </c>
      <c r="AB304" s="88"/>
      <c r="AC304" s="24"/>
      <c r="AD304" s="24"/>
      <c r="AE304" s="79" t="str">
        <f t="shared" si="53"/>
        <v/>
      </c>
      <c r="AF304" s="24"/>
      <c r="AG304" s="24"/>
      <c r="AH304" s="24"/>
      <c r="AI304" s="24"/>
      <c r="AJ304" s="99" t="str">
        <f t="shared" si="54"/>
        <v/>
      </c>
      <c r="AK304" s="31" t="str">
        <f t="shared" si="59"/>
        <v/>
      </c>
      <c r="AN304" s="139" t="str">
        <f>IF($K304="","",VLOOKUP($K304,'ORF Accuracy Value LookUp'!$G$4:$H$104,2,TRUE))</f>
        <v/>
      </c>
      <c r="AO304" s="94" t="str">
        <f t="shared" si="55"/>
        <v/>
      </c>
      <c r="AP304" s="47" t="str">
        <f>IF($U304="","",VLOOKUP($U304,'ORF Accuracy Value LookUp'!$G$4:$H$104,2,TRUE))</f>
        <v/>
      </c>
      <c r="AQ304" s="94" t="str">
        <f t="shared" si="56"/>
        <v/>
      </c>
      <c r="AR304" s="46" t="str">
        <f>IF($AE304="","",VLOOKUP($AE304,'ORF Accuracy Value LookUp'!$G$4:$H$104,2,TRUE))</f>
        <v/>
      </c>
      <c r="AS304" s="140" t="str">
        <f t="shared" si="57"/>
        <v/>
      </c>
    </row>
    <row r="305" spans="1:45">
      <c r="A305" s="10"/>
      <c r="B305" s="9"/>
      <c r="C305" s="9"/>
      <c r="D305" s="9"/>
      <c r="E305" s="10"/>
      <c r="F305" s="11"/>
      <c r="G305" s="15"/>
      <c r="H305" s="88"/>
      <c r="I305" s="24"/>
      <c r="J305" s="24"/>
      <c r="K305" s="114" t="str">
        <f t="shared" si="48"/>
        <v/>
      </c>
      <c r="L305" s="24"/>
      <c r="M305" s="24"/>
      <c r="N305" s="24"/>
      <c r="O305" s="24"/>
      <c r="P305" s="97" t="str">
        <f t="shared" si="49"/>
        <v/>
      </c>
      <c r="Q305" s="113" t="str">
        <f t="shared" si="50"/>
        <v/>
      </c>
      <c r="R305" s="88"/>
      <c r="S305" s="24"/>
      <c r="T305" s="24"/>
      <c r="U305" s="78" t="str">
        <f t="shared" si="51"/>
        <v/>
      </c>
      <c r="V305" s="24"/>
      <c r="W305" s="24"/>
      <c r="X305" s="24"/>
      <c r="Y305" s="24"/>
      <c r="Z305" s="98" t="str">
        <f t="shared" si="52"/>
        <v/>
      </c>
      <c r="AA305" s="40" t="str">
        <f t="shared" si="58"/>
        <v/>
      </c>
      <c r="AB305" s="88"/>
      <c r="AC305" s="24"/>
      <c r="AD305" s="24"/>
      <c r="AE305" s="79" t="str">
        <f t="shared" si="53"/>
        <v/>
      </c>
      <c r="AF305" s="24"/>
      <c r="AG305" s="24"/>
      <c r="AH305" s="24"/>
      <c r="AI305" s="24"/>
      <c r="AJ305" s="99" t="str">
        <f t="shared" si="54"/>
        <v/>
      </c>
      <c r="AK305" s="31" t="str">
        <f t="shared" si="59"/>
        <v/>
      </c>
      <c r="AN305" s="139" t="str">
        <f>IF($K305="","",VLOOKUP($K305,'ORF Accuracy Value LookUp'!$G$4:$H$104,2,TRUE))</f>
        <v/>
      </c>
      <c r="AO305" s="94" t="str">
        <f t="shared" si="55"/>
        <v/>
      </c>
      <c r="AP305" s="47" t="str">
        <f>IF($U305="","",VLOOKUP($U305,'ORF Accuracy Value LookUp'!$G$4:$H$104,2,TRUE))</f>
        <v/>
      </c>
      <c r="AQ305" s="94" t="str">
        <f t="shared" si="56"/>
        <v/>
      </c>
      <c r="AR305" s="46" t="str">
        <f>IF($AE305="","",VLOOKUP($AE305,'ORF Accuracy Value LookUp'!$G$4:$H$104,2,TRUE))</f>
        <v/>
      </c>
      <c r="AS305" s="140" t="str">
        <f t="shared" si="57"/>
        <v/>
      </c>
    </row>
    <row r="306" spans="1:45">
      <c r="A306" s="10"/>
      <c r="B306" s="9"/>
      <c r="C306" s="9"/>
      <c r="D306" s="9"/>
      <c r="E306" s="10"/>
      <c r="F306" s="11"/>
      <c r="G306" s="15"/>
      <c r="H306" s="88"/>
      <c r="I306" s="24"/>
      <c r="J306" s="24"/>
      <c r="K306" s="114" t="str">
        <f t="shared" si="48"/>
        <v/>
      </c>
      <c r="L306" s="24"/>
      <c r="M306" s="24"/>
      <c r="N306" s="24"/>
      <c r="O306" s="24"/>
      <c r="P306" s="97" t="str">
        <f t="shared" si="49"/>
        <v/>
      </c>
      <c r="Q306" s="113" t="str">
        <f t="shared" si="50"/>
        <v/>
      </c>
      <c r="R306" s="88"/>
      <c r="S306" s="24"/>
      <c r="T306" s="24"/>
      <c r="U306" s="78" t="str">
        <f t="shared" si="51"/>
        <v/>
      </c>
      <c r="V306" s="24"/>
      <c r="W306" s="24"/>
      <c r="X306" s="24"/>
      <c r="Y306" s="24"/>
      <c r="Z306" s="98" t="str">
        <f t="shared" si="52"/>
        <v/>
      </c>
      <c r="AA306" s="40" t="str">
        <f t="shared" si="58"/>
        <v/>
      </c>
      <c r="AB306" s="88"/>
      <c r="AC306" s="24"/>
      <c r="AD306" s="24"/>
      <c r="AE306" s="79" t="str">
        <f t="shared" si="53"/>
        <v/>
      </c>
      <c r="AF306" s="24"/>
      <c r="AG306" s="24"/>
      <c r="AH306" s="24"/>
      <c r="AI306" s="24"/>
      <c r="AJ306" s="99" t="str">
        <f t="shared" si="54"/>
        <v/>
      </c>
      <c r="AK306" s="31" t="str">
        <f t="shared" si="59"/>
        <v/>
      </c>
      <c r="AN306" s="139" t="str">
        <f>IF($K306="","",VLOOKUP($K306,'ORF Accuracy Value LookUp'!$G$4:$H$104,2,TRUE))</f>
        <v/>
      </c>
      <c r="AO306" s="94" t="str">
        <f t="shared" si="55"/>
        <v/>
      </c>
      <c r="AP306" s="47" t="str">
        <f>IF($U306="","",VLOOKUP($U306,'ORF Accuracy Value LookUp'!$G$4:$H$104,2,TRUE))</f>
        <v/>
      </c>
      <c r="AQ306" s="94" t="str">
        <f t="shared" si="56"/>
        <v/>
      </c>
      <c r="AR306" s="46" t="str">
        <f>IF($AE306="","",VLOOKUP($AE306,'ORF Accuracy Value LookUp'!$G$4:$H$104,2,TRUE))</f>
        <v/>
      </c>
      <c r="AS306" s="140" t="str">
        <f t="shared" si="57"/>
        <v/>
      </c>
    </row>
    <row r="307" spans="1:45">
      <c r="A307" s="10"/>
      <c r="B307" s="9"/>
      <c r="C307" s="9"/>
      <c r="D307" s="9"/>
      <c r="E307" s="10"/>
      <c r="F307" s="11"/>
      <c r="G307" s="15"/>
      <c r="H307" s="88"/>
      <c r="I307" s="24"/>
      <c r="J307" s="24"/>
      <c r="K307" s="114" t="str">
        <f t="shared" si="48"/>
        <v/>
      </c>
      <c r="L307" s="24"/>
      <c r="M307" s="24"/>
      <c r="N307" s="24"/>
      <c r="O307" s="24"/>
      <c r="P307" s="97" t="str">
        <f t="shared" si="49"/>
        <v/>
      </c>
      <c r="Q307" s="113" t="str">
        <f t="shared" si="50"/>
        <v/>
      </c>
      <c r="R307" s="88"/>
      <c r="S307" s="24"/>
      <c r="T307" s="24"/>
      <c r="U307" s="78" t="str">
        <f t="shared" si="51"/>
        <v/>
      </c>
      <c r="V307" s="24"/>
      <c r="W307" s="24"/>
      <c r="X307" s="24"/>
      <c r="Y307" s="24"/>
      <c r="Z307" s="98" t="str">
        <f t="shared" si="52"/>
        <v/>
      </c>
      <c r="AA307" s="40" t="str">
        <f t="shared" si="58"/>
        <v/>
      </c>
      <c r="AB307" s="88"/>
      <c r="AC307" s="24"/>
      <c r="AD307" s="24"/>
      <c r="AE307" s="79" t="str">
        <f t="shared" si="53"/>
        <v/>
      </c>
      <c r="AF307" s="24"/>
      <c r="AG307" s="24"/>
      <c r="AH307" s="24"/>
      <c r="AI307" s="24"/>
      <c r="AJ307" s="99" t="str">
        <f t="shared" si="54"/>
        <v/>
      </c>
      <c r="AK307" s="31" t="str">
        <f t="shared" si="59"/>
        <v/>
      </c>
      <c r="AN307" s="139" t="str">
        <f>IF($K307="","",VLOOKUP($K307,'ORF Accuracy Value LookUp'!$G$4:$H$104,2,TRUE))</f>
        <v/>
      </c>
      <c r="AO307" s="94" t="str">
        <f t="shared" si="55"/>
        <v/>
      </c>
      <c r="AP307" s="47" t="str">
        <f>IF($U307="","",VLOOKUP($U307,'ORF Accuracy Value LookUp'!$G$4:$H$104,2,TRUE))</f>
        <v/>
      </c>
      <c r="AQ307" s="94" t="str">
        <f t="shared" si="56"/>
        <v/>
      </c>
      <c r="AR307" s="46" t="str">
        <f>IF($AE307="","",VLOOKUP($AE307,'ORF Accuracy Value LookUp'!$G$4:$H$104,2,TRUE))</f>
        <v/>
      </c>
      <c r="AS307" s="140" t="str">
        <f t="shared" si="57"/>
        <v/>
      </c>
    </row>
    <row r="308" spans="1:45">
      <c r="A308" s="10"/>
      <c r="B308" s="9"/>
      <c r="C308" s="9"/>
      <c r="D308" s="9"/>
      <c r="E308" s="10"/>
      <c r="F308" s="11"/>
      <c r="G308" s="15"/>
      <c r="H308" s="88"/>
      <c r="I308" s="24"/>
      <c r="J308" s="24"/>
      <c r="K308" s="114" t="str">
        <f t="shared" si="48"/>
        <v/>
      </c>
      <c r="L308" s="24"/>
      <c r="M308" s="24"/>
      <c r="N308" s="24"/>
      <c r="O308" s="24"/>
      <c r="P308" s="97" t="str">
        <f t="shared" si="49"/>
        <v/>
      </c>
      <c r="Q308" s="113" t="str">
        <f t="shared" si="50"/>
        <v/>
      </c>
      <c r="R308" s="88"/>
      <c r="S308" s="24"/>
      <c r="T308" s="24"/>
      <c r="U308" s="78" t="str">
        <f t="shared" si="51"/>
        <v/>
      </c>
      <c r="V308" s="24"/>
      <c r="W308" s="24"/>
      <c r="X308" s="24"/>
      <c r="Y308" s="24"/>
      <c r="Z308" s="98" t="str">
        <f t="shared" si="52"/>
        <v/>
      </c>
      <c r="AA308" s="40" t="str">
        <f t="shared" si="58"/>
        <v/>
      </c>
      <c r="AB308" s="88"/>
      <c r="AC308" s="24"/>
      <c r="AD308" s="24"/>
      <c r="AE308" s="79" t="str">
        <f t="shared" si="53"/>
        <v/>
      </c>
      <c r="AF308" s="24"/>
      <c r="AG308" s="24"/>
      <c r="AH308" s="24"/>
      <c r="AI308" s="24"/>
      <c r="AJ308" s="99" t="str">
        <f t="shared" si="54"/>
        <v/>
      </c>
      <c r="AK308" s="31" t="str">
        <f t="shared" si="59"/>
        <v/>
      </c>
      <c r="AN308" s="139" t="str">
        <f>IF($K308="","",VLOOKUP($K308,'ORF Accuracy Value LookUp'!$G$4:$H$104,2,TRUE))</f>
        <v/>
      </c>
      <c r="AO308" s="94" t="str">
        <f t="shared" si="55"/>
        <v/>
      </c>
      <c r="AP308" s="47" t="str">
        <f>IF($U308="","",VLOOKUP($U308,'ORF Accuracy Value LookUp'!$G$4:$H$104,2,TRUE))</f>
        <v/>
      </c>
      <c r="AQ308" s="94" t="str">
        <f t="shared" si="56"/>
        <v/>
      </c>
      <c r="AR308" s="46" t="str">
        <f>IF($AE308="","",VLOOKUP($AE308,'ORF Accuracy Value LookUp'!$G$4:$H$104,2,TRUE))</f>
        <v/>
      </c>
      <c r="AS308" s="140" t="str">
        <f t="shared" si="57"/>
        <v/>
      </c>
    </row>
    <row r="309" spans="1:45">
      <c r="A309" s="10"/>
      <c r="B309" s="9"/>
      <c r="C309" s="9"/>
      <c r="D309" s="9"/>
      <c r="E309" s="10"/>
      <c r="F309" s="11"/>
      <c r="G309" s="15"/>
      <c r="H309" s="88"/>
      <c r="I309" s="24"/>
      <c r="J309" s="24"/>
      <c r="K309" s="114" t="str">
        <f t="shared" si="48"/>
        <v/>
      </c>
      <c r="L309" s="24"/>
      <c r="M309" s="24"/>
      <c r="N309" s="24"/>
      <c r="O309" s="24"/>
      <c r="P309" s="97" t="str">
        <f t="shared" si="49"/>
        <v/>
      </c>
      <c r="Q309" s="113" t="str">
        <f t="shared" si="50"/>
        <v/>
      </c>
      <c r="R309" s="88"/>
      <c r="S309" s="24"/>
      <c r="T309" s="24"/>
      <c r="U309" s="78" t="str">
        <f t="shared" si="51"/>
        <v/>
      </c>
      <c r="V309" s="24"/>
      <c r="W309" s="24"/>
      <c r="X309" s="24"/>
      <c r="Y309" s="24"/>
      <c r="Z309" s="98" t="str">
        <f t="shared" si="52"/>
        <v/>
      </c>
      <c r="AA309" s="40" t="str">
        <f t="shared" si="58"/>
        <v/>
      </c>
      <c r="AB309" s="88"/>
      <c r="AC309" s="24"/>
      <c r="AD309" s="24"/>
      <c r="AE309" s="79" t="str">
        <f t="shared" si="53"/>
        <v/>
      </c>
      <c r="AF309" s="24"/>
      <c r="AG309" s="24"/>
      <c r="AH309" s="24"/>
      <c r="AI309" s="24"/>
      <c r="AJ309" s="99" t="str">
        <f t="shared" si="54"/>
        <v/>
      </c>
      <c r="AK309" s="31" t="str">
        <f t="shared" si="59"/>
        <v/>
      </c>
      <c r="AN309" s="139" t="str">
        <f>IF($K309="","",VLOOKUP($K309,'ORF Accuracy Value LookUp'!$G$4:$H$104,2,TRUE))</f>
        <v/>
      </c>
      <c r="AO309" s="94" t="str">
        <f t="shared" si="55"/>
        <v/>
      </c>
      <c r="AP309" s="47" t="str">
        <f>IF($U309="","",VLOOKUP($U309,'ORF Accuracy Value LookUp'!$G$4:$H$104,2,TRUE))</f>
        <v/>
      </c>
      <c r="AQ309" s="94" t="str">
        <f t="shared" si="56"/>
        <v/>
      </c>
      <c r="AR309" s="46" t="str">
        <f>IF($AE309="","",VLOOKUP($AE309,'ORF Accuracy Value LookUp'!$G$4:$H$104,2,TRUE))</f>
        <v/>
      </c>
      <c r="AS309" s="140" t="str">
        <f t="shared" si="57"/>
        <v/>
      </c>
    </row>
    <row r="310" spans="1:45">
      <c r="A310" s="10"/>
      <c r="B310" s="9"/>
      <c r="C310" s="9"/>
      <c r="D310" s="9"/>
      <c r="E310" s="10"/>
      <c r="F310" s="11"/>
      <c r="G310" s="15"/>
      <c r="H310" s="88"/>
      <c r="I310" s="24"/>
      <c r="J310" s="24"/>
      <c r="K310" s="114" t="str">
        <f t="shared" si="48"/>
        <v/>
      </c>
      <c r="L310" s="24"/>
      <c r="M310" s="24"/>
      <c r="N310" s="24"/>
      <c r="O310" s="24"/>
      <c r="P310" s="97" t="str">
        <f t="shared" si="49"/>
        <v/>
      </c>
      <c r="Q310" s="113" t="str">
        <f t="shared" si="50"/>
        <v/>
      </c>
      <c r="R310" s="88"/>
      <c r="S310" s="24"/>
      <c r="T310" s="24"/>
      <c r="U310" s="78" t="str">
        <f t="shared" si="51"/>
        <v/>
      </c>
      <c r="V310" s="24"/>
      <c r="W310" s="24"/>
      <c r="X310" s="24"/>
      <c r="Y310" s="24"/>
      <c r="Z310" s="98" t="str">
        <f t="shared" si="52"/>
        <v/>
      </c>
      <c r="AA310" s="40" t="str">
        <f t="shared" si="58"/>
        <v/>
      </c>
      <c r="AB310" s="88"/>
      <c r="AC310" s="24"/>
      <c r="AD310" s="24"/>
      <c r="AE310" s="79" t="str">
        <f t="shared" si="53"/>
        <v/>
      </c>
      <c r="AF310" s="24"/>
      <c r="AG310" s="24"/>
      <c r="AH310" s="24"/>
      <c r="AI310" s="24"/>
      <c r="AJ310" s="99" t="str">
        <f t="shared" si="54"/>
        <v/>
      </c>
      <c r="AK310" s="31" t="str">
        <f t="shared" si="59"/>
        <v/>
      </c>
      <c r="AN310" s="139" t="str">
        <f>IF($K310="","",VLOOKUP($K310,'ORF Accuracy Value LookUp'!$G$4:$H$104,2,TRUE))</f>
        <v/>
      </c>
      <c r="AO310" s="94" t="str">
        <f t="shared" si="55"/>
        <v/>
      </c>
      <c r="AP310" s="47" t="str">
        <f>IF($U310="","",VLOOKUP($U310,'ORF Accuracy Value LookUp'!$G$4:$H$104,2,TRUE))</f>
        <v/>
      </c>
      <c r="AQ310" s="94" t="str">
        <f t="shared" si="56"/>
        <v/>
      </c>
      <c r="AR310" s="46" t="str">
        <f>IF($AE310="","",VLOOKUP($AE310,'ORF Accuracy Value LookUp'!$G$4:$H$104,2,TRUE))</f>
        <v/>
      </c>
      <c r="AS310" s="140" t="str">
        <f t="shared" si="57"/>
        <v/>
      </c>
    </row>
    <row r="311" spans="1:45">
      <c r="A311" s="10"/>
      <c r="B311" s="9"/>
      <c r="C311" s="9"/>
      <c r="D311" s="9"/>
      <c r="E311" s="10"/>
      <c r="F311" s="11"/>
      <c r="G311" s="15"/>
      <c r="H311" s="88"/>
      <c r="I311" s="24"/>
      <c r="J311" s="24"/>
      <c r="K311" s="114" t="str">
        <f t="shared" si="48"/>
        <v/>
      </c>
      <c r="L311" s="24"/>
      <c r="M311" s="24"/>
      <c r="N311" s="24"/>
      <c r="O311" s="24"/>
      <c r="P311" s="97" t="str">
        <f t="shared" si="49"/>
        <v/>
      </c>
      <c r="Q311" s="113" t="str">
        <f t="shared" si="50"/>
        <v/>
      </c>
      <c r="R311" s="88"/>
      <c r="S311" s="24"/>
      <c r="T311" s="24"/>
      <c r="U311" s="78" t="str">
        <f t="shared" si="51"/>
        <v/>
      </c>
      <c r="V311" s="24"/>
      <c r="W311" s="24"/>
      <c r="X311" s="24"/>
      <c r="Y311" s="24"/>
      <c r="Z311" s="98" t="str">
        <f t="shared" si="52"/>
        <v/>
      </c>
      <c r="AA311" s="40" t="str">
        <f t="shared" si="58"/>
        <v/>
      </c>
      <c r="AB311" s="88"/>
      <c r="AC311" s="24"/>
      <c r="AD311" s="24"/>
      <c r="AE311" s="79" t="str">
        <f t="shared" si="53"/>
        <v/>
      </c>
      <c r="AF311" s="24"/>
      <c r="AG311" s="24"/>
      <c r="AH311" s="24"/>
      <c r="AI311" s="24"/>
      <c r="AJ311" s="99" t="str">
        <f t="shared" si="54"/>
        <v/>
      </c>
      <c r="AK311" s="31" t="str">
        <f t="shared" si="59"/>
        <v/>
      </c>
      <c r="AN311" s="139" t="str">
        <f>IF($K311="","",VLOOKUP($K311,'ORF Accuracy Value LookUp'!$G$4:$H$104,2,TRUE))</f>
        <v/>
      </c>
      <c r="AO311" s="94" t="str">
        <f t="shared" si="55"/>
        <v/>
      </c>
      <c r="AP311" s="47" t="str">
        <f>IF($U311="","",VLOOKUP($U311,'ORF Accuracy Value LookUp'!$G$4:$H$104,2,TRUE))</f>
        <v/>
      </c>
      <c r="AQ311" s="94" t="str">
        <f t="shared" si="56"/>
        <v/>
      </c>
      <c r="AR311" s="46" t="str">
        <f>IF($AE311="","",VLOOKUP($AE311,'ORF Accuracy Value LookUp'!$G$4:$H$104,2,TRUE))</f>
        <v/>
      </c>
      <c r="AS311" s="140" t="str">
        <f t="shared" si="57"/>
        <v/>
      </c>
    </row>
    <row r="312" spans="1:45">
      <c r="A312" s="10"/>
      <c r="B312" s="9"/>
      <c r="C312" s="9"/>
      <c r="D312" s="9"/>
      <c r="E312" s="10"/>
      <c r="F312" s="11"/>
      <c r="G312" s="15"/>
      <c r="H312" s="88"/>
      <c r="I312" s="24"/>
      <c r="J312" s="24"/>
      <c r="K312" s="114" t="str">
        <f t="shared" si="48"/>
        <v/>
      </c>
      <c r="L312" s="24"/>
      <c r="M312" s="24"/>
      <c r="N312" s="24"/>
      <c r="O312" s="24"/>
      <c r="P312" s="97" t="str">
        <f t="shared" si="49"/>
        <v/>
      </c>
      <c r="Q312" s="113" t="str">
        <f t="shared" si="50"/>
        <v/>
      </c>
      <c r="R312" s="88"/>
      <c r="S312" s="24"/>
      <c r="T312" s="24"/>
      <c r="U312" s="78" t="str">
        <f t="shared" si="51"/>
        <v/>
      </c>
      <c r="V312" s="24"/>
      <c r="W312" s="24"/>
      <c r="X312" s="24"/>
      <c r="Y312" s="24"/>
      <c r="Z312" s="98" t="str">
        <f t="shared" si="52"/>
        <v/>
      </c>
      <c r="AA312" s="40" t="str">
        <f t="shared" si="58"/>
        <v/>
      </c>
      <c r="AB312" s="88"/>
      <c r="AC312" s="24"/>
      <c r="AD312" s="24"/>
      <c r="AE312" s="79" t="str">
        <f t="shared" si="53"/>
        <v/>
      </c>
      <c r="AF312" s="24"/>
      <c r="AG312" s="24"/>
      <c r="AH312" s="24"/>
      <c r="AI312" s="24"/>
      <c r="AJ312" s="99" t="str">
        <f t="shared" si="54"/>
        <v/>
      </c>
      <c r="AK312" s="31" t="str">
        <f t="shared" si="59"/>
        <v/>
      </c>
      <c r="AN312" s="139" t="str">
        <f>IF($K312="","",VLOOKUP($K312,'ORF Accuracy Value LookUp'!$G$4:$H$104,2,TRUE))</f>
        <v/>
      </c>
      <c r="AO312" s="94" t="str">
        <f t="shared" si="55"/>
        <v/>
      </c>
      <c r="AP312" s="47" t="str">
        <f>IF($U312="","",VLOOKUP($U312,'ORF Accuracy Value LookUp'!$G$4:$H$104,2,TRUE))</f>
        <v/>
      </c>
      <c r="AQ312" s="94" t="str">
        <f t="shared" si="56"/>
        <v/>
      </c>
      <c r="AR312" s="46" t="str">
        <f>IF($AE312="","",VLOOKUP($AE312,'ORF Accuracy Value LookUp'!$G$4:$H$104,2,TRUE))</f>
        <v/>
      </c>
      <c r="AS312" s="140" t="str">
        <f t="shared" si="57"/>
        <v/>
      </c>
    </row>
    <row r="313" spans="1:45">
      <c r="A313" s="10"/>
      <c r="B313" s="9"/>
      <c r="C313" s="9"/>
      <c r="D313" s="9"/>
      <c r="E313" s="10"/>
      <c r="F313" s="11"/>
      <c r="G313" s="15"/>
      <c r="H313" s="88"/>
      <c r="I313" s="24"/>
      <c r="J313" s="24"/>
      <c r="K313" s="114" t="str">
        <f t="shared" si="48"/>
        <v/>
      </c>
      <c r="L313" s="24"/>
      <c r="M313" s="24"/>
      <c r="N313" s="24"/>
      <c r="O313" s="24"/>
      <c r="P313" s="97" t="str">
        <f t="shared" si="49"/>
        <v/>
      </c>
      <c r="Q313" s="113" t="str">
        <f t="shared" si="50"/>
        <v/>
      </c>
      <c r="R313" s="88"/>
      <c r="S313" s="24"/>
      <c r="T313" s="24"/>
      <c r="U313" s="78" t="str">
        <f t="shared" si="51"/>
        <v/>
      </c>
      <c r="V313" s="24"/>
      <c r="W313" s="24"/>
      <c r="X313" s="24"/>
      <c r="Y313" s="24"/>
      <c r="Z313" s="98" t="str">
        <f t="shared" si="52"/>
        <v/>
      </c>
      <c r="AA313" s="40" t="str">
        <f t="shared" si="58"/>
        <v/>
      </c>
      <c r="AB313" s="88"/>
      <c r="AC313" s="24"/>
      <c r="AD313" s="24"/>
      <c r="AE313" s="79" t="str">
        <f t="shared" si="53"/>
        <v/>
      </c>
      <c r="AF313" s="24"/>
      <c r="AG313" s="24"/>
      <c r="AH313" s="24"/>
      <c r="AI313" s="24"/>
      <c r="AJ313" s="99" t="str">
        <f t="shared" si="54"/>
        <v/>
      </c>
      <c r="AK313" s="31" t="str">
        <f t="shared" si="59"/>
        <v/>
      </c>
      <c r="AN313" s="139" t="str">
        <f>IF($K313="","",VLOOKUP($K313,'ORF Accuracy Value LookUp'!$G$4:$H$104,2,TRUE))</f>
        <v/>
      </c>
      <c r="AO313" s="94" t="str">
        <f t="shared" si="55"/>
        <v/>
      </c>
      <c r="AP313" s="47" t="str">
        <f>IF($U313="","",VLOOKUP($U313,'ORF Accuracy Value LookUp'!$G$4:$H$104,2,TRUE))</f>
        <v/>
      </c>
      <c r="AQ313" s="94" t="str">
        <f t="shared" si="56"/>
        <v/>
      </c>
      <c r="AR313" s="46" t="str">
        <f>IF($AE313="","",VLOOKUP($AE313,'ORF Accuracy Value LookUp'!$G$4:$H$104,2,TRUE))</f>
        <v/>
      </c>
      <c r="AS313" s="140" t="str">
        <f t="shared" si="57"/>
        <v/>
      </c>
    </row>
    <row r="314" spans="1:45">
      <c r="A314" s="10"/>
      <c r="B314" s="9"/>
      <c r="C314" s="9"/>
      <c r="D314" s="9"/>
      <c r="E314" s="10"/>
      <c r="F314" s="11"/>
      <c r="G314" s="15"/>
      <c r="H314" s="88"/>
      <c r="I314" s="24"/>
      <c r="J314" s="24"/>
      <c r="K314" s="114" t="str">
        <f t="shared" si="48"/>
        <v/>
      </c>
      <c r="L314" s="24"/>
      <c r="M314" s="24"/>
      <c r="N314" s="24"/>
      <c r="O314" s="24"/>
      <c r="P314" s="97" t="str">
        <f t="shared" si="49"/>
        <v/>
      </c>
      <c r="Q314" s="113" t="str">
        <f t="shared" si="50"/>
        <v/>
      </c>
      <c r="R314" s="88"/>
      <c r="S314" s="24"/>
      <c r="T314" s="24"/>
      <c r="U314" s="78" t="str">
        <f t="shared" si="51"/>
        <v/>
      </c>
      <c r="V314" s="24"/>
      <c r="W314" s="24"/>
      <c r="X314" s="24"/>
      <c r="Y314" s="24"/>
      <c r="Z314" s="98" t="str">
        <f t="shared" si="52"/>
        <v/>
      </c>
      <c r="AA314" s="40" t="str">
        <f t="shared" si="58"/>
        <v/>
      </c>
      <c r="AB314" s="88"/>
      <c r="AC314" s="24"/>
      <c r="AD314" s="24"/>
      <c r="AE314" s="79" t="str">
        <f t="shared" si="53"/>
        <v/>
      </c>
      <c r="AF314" s="24"/>
      <c r="AG314" s="24"/>
      <c r="AH314" s="24"/>
      <c r="AI314" s="24"/>
      <c r="AJ314" s="99" t="str">
        <f t="shared" si="54"/>
        <v/>
      </c>
      <c r="AK314" s="31" t="str">
        <f t="shared" si="59"/>
        <v/>
      </c>
      <c r="AN314" s="139" t="str">
        <f>IF($K314="","",VLOOKUP($K314,'ORF Accuracy Value LookUp'!$G$4:$H$104,2,TRUE))</f>
        <v/>
      </c>
      <c r="AO314" s="94" t="str">
        <f t="shared" si="55"/>
        <v/>
      </c>
      <c r="AP314" s="47" t="str">
        <f>IF($U314="","",VLOOKUP($U314,'ORF Accuracy Value LookUp'!$G$4:$H$104,2,TRUE))</f>
        <v/>
      </c>
      <c r="AQ314" s="94" t="str">
        <f t="shared" si="56"/>
        <v/>
      </c>
      <c r="AR314" s="46" t="str">
        <f>IF($AE314="","",VLOOKUP($AE314,'ORF Accuracy Value LookUp'!$G$4:$H$104,2,TRUE))</f>
        <v/>
      </c>
      <c r="AS314" s="140" t="str">
        <f t="shared" si="57"/>
        <v/>
      </c>
    </row>
    <row r="315" spans="1:45">
      <c r="A315" s="10"/>
      <c r="B315" s="9"/>
      <c r="C315" s="9"/>
      <c r="D315" s="9"/>
      <c r="E315" s="10"/>
      <c r="F315" s="11"/>
      <c r="G315" s="15"/>
      <c r="H315" s="88"/>
      <c r="I315" s="24"/>
      <c r="J315" s="24"/>
      <c r="K315" s="114" t="str">
        <f t="shared" si="48"/>
        <v/>
      </c>
      <c r="L315" s="24"/>
      <c r="M315" s="24"/>
      <c r="N315" s="24"/>
      <c r="O315" s="24"/>
      <c r="P315" s="97" t="str">
        <f t="shared" si="49"/>
        <v/>
      </c>
      <c r="Q315" s="113" t="str">
        <f t="shared" si="50"/>
        <v/>
      </c>
      <c r="R315" s="88"/>
      <c r="S315" s="24"/>
      <c r="T315" s="24"/>
      <c r="U315" s="78" t="str">
        <f t="shared" si="51"/>
        <v/>
      </c>
      <c r="V315" s="24"/>
      <c r="W315" s="24"/>
      <c r="X315" s="24"/>
      <c r="Y315" s="24"/>
      <c r="Z315" s="98" t="str">
        <f t="shared" si="52"/>
        <v/>
      </c>
      <c r="AA315" s="40" t="str">
        <f t="shared" si="58"/>
        <v/>
      </c>
      <c r="AB315" s="88"/>
      <c r="AC315" s="24"/>
      <c r="AD315" s="24"/>
      <c r="AE315" s="79" t="str">
        <f t="shared" si="53"/>
        <v/>
      </c>
      <c r="AF315" s="24"/>
      <c r="AG315" s="24"/>
      <c r="AH315" s="24"/>
      <c r="AI315" s="24"/>
      <c r="AJ315" s="99" t="str">
        <f t="shared" si="54"/>
        <v/>
      </c>
      <c r="AK315" s="31" t="str">
        <f t="shared" si="59"/>
        <v/>
      </c>
      <c r="AN315" s="139" t="str">
        <f>IF($K315="","",VLOOKUP($K315,'ORF Accuracy Value LookUp'!$G$4:$H$104,2,TRUE))</f>
        <v/>
      </c>
      <c r="AO315" s="94" t="str">
        <f t="shared" si="55"/>
        <v/>
      </c>
      <c r="AP315" s="47" t="str">
        <f>IF($U315="","",VLOOKUP($U315,'ORF Accuracy Value LookUp'!$G$4:$H$104,2,TRUE))</f>
        <v/>
      </c>
      <c r="AQ315" s="94" t="str">
        <f t="shared" si="56"/>
        <v/>
      </c>
      <c r="AR315" s="46" t="str">
        <f>IF($AE315="","",VLOOKUP($AE315,'ORF Accuracy Value LookUp'!$G$4:$H$104,2,TRUE))</f>
        <v/>
      </c>
      <c r="AS315" s="140" t="str">
        <f t="shared" si="57"/>
        <v/>
      </c>
    </row>
    <row r="316" spans="1:45">
      <c r="A316" s="10"/>
      <c r="B316" s="9"/>
      <c r="C316" s="9"/>
      <c r="D316" s="9"/>
      <c r="E316" s="10"/>
      <c r="F316" s="11"/>
      <c r="G316" s="15"/>
      <c r="H316" s="88"/>
      <c r="I316" s="24"/>
      <c r="J316" s="24"/>
      <c r="K316" s="114" t="str">
        <f t="shared" si="48"/>
        <v/>
      </c>
      <c r="L316" s="24"/>
      <c r="M316" s="24"/>
      <c r="N316" s="24"/>
      <c r="O316" s="24"/>
      <c r="P316" s="97" t="str">
        <f t="shared" si="49"/>
        <v/>
      </c>
      <c r="Q316" s="113" t="str">
        <f t="shared" si="50"/>
        <v/>
      </c>
      <c r="R316" s="88"/>
      <c r="S316" s="24"/>
      <c r="T316" s="24"/>
      <c r="U316" s="78" t="str">
        <f t="shared" si="51"/>
        <v/>
      </c>
      <c r="V316" s="24"/>
      <c r="W316" s="24"/>
      <c r="X316" s="24"/>
      <c r="Y316" s="24"/>
      <c r="Z316" s="98" t="str">
        <f t="shared" si="52"/>
        <v/>
      </c>
      <c r="AA316" s="40" t="str">
        <f t="shared" si="58"/>
        <v/>
      </c>
      <c r="AB316" s="88"/>
      <c r="AC316" s="24"/>
      <c r="AD316" s="24"/>
      <c r="AE316" s="79" t="str">
        <f t="shared" si="53"/>
        <v/>
      </c>
      <c r="AF316" s="24"/>
      <c r="AG316" s="24"/>
      <c r="AH316" s="24"/>
      <c r="AI316" s="24"/>
      <c r="AJ316" s="99" t="str">
        <f t="shared" si="54"/>
        <v/>
      </c>
      <c r="AK316" s="31" t="str">
        <f t="shared" si="59"/>
        <v/>
      </c>
      <c r="AN316" s="139" t="str">
        <f>IF($K316="","",VLOOKUP($K316,'ORF Accuracy Value LookUp'!$G$4:$H$104,2,TRUE))</f>
        <v/>
      </c>
      <c r="AO316" s="94" t="str">
        <f t="shared" si="55"/>
        <v/>
      </c>
      <c r="AP316" s="47" t="str">
        <f>IF($U316="","",VLOOKUP($U316,'ORF Accuracy Value LookUp'!$G$4:$H$104,2,TRUE))</f>
        <v/>
      </c>
      <c r="AQ316" s="94" t="str">
        <f t="shared" si="56"/>
        <v/>
      </c>
      <c r="AR316" s="46" t="str">
        <f>IF($AE316="","",VLOOKUP($AE316,'ORF Accuracy Value LookUp'!$G$4:$H$104,2,TRUE))</f>
        <v/>
      </c>
      <c r="AS316" s="140" t="str">
        <f t="shared" si="57"/>
        <v/>
      </c>
    </row>
    <row r="317" spans="1:45">
      <c r="A317" s="10"/>
      <c r="B317" s="9"/>
      <c r="C317" s="9"/>
      <c r="D317" s="9"/>
      <c r="E317" s="10"/>
      <c r="F317" s="11"/>
      <c r="G317" s="15"/>
      <c r="H317" s="88"/>
      <c r="I317" s="24"/>
      <c r="J317" s="24"/>
      <c r="K317" s="114" t="str">
        <f t="shared" si="48"/>
        <v/>
      </c>
      <c r="L317" s="24"/>
      <c r="M317" s="24"/>
      <c r="N317" s="24"/>
      <c r="O317" s="24"/>
      <c r="P317" s="97" t="str">
        <f t="shared" si="49"/>
        <v/>
      </c>
      <c r="Q317" s="113" t="str">
        <f t="shared" si="50"/>
        <v/>
      </c>
      <c r="R317" s="88"/>
      <c r="S317" s="24"/>
      <c r="T317" s="24"/>
      <c r="U317" s="78" t="str">
        <f t="shared" si="51"/>
        <v/>
      </c>
      <c r="V317" s="24"/>
      <c r="W317" s="24"/>
      <c r="X317" s="24"/>
      <c r="Y317" s="24"/>
      <c r="Z317" s="98" t="str">
        <f t="shared" si="52"/>
        <v/>
      </c>
      <c r="AA317" s="40" t="str">
        <f t="shared" si="58"/>
        <v/>
      </c>
      <c r="AB317" s="88"/>
      <c r="AC317" s="24"/>
      <c r="AD317" s="24"/>
      <c r="AE317" s="79" t="str">
        <f t="shared" si="53"/>
        <v/>
      </c>
      <c r="AF317" s="24"/>
      <c r="AG317" s="24"/>
      <c r="AH317" s="24"/>
      <c r="AI317" s="24"/>
      <c r="AJ317" s="99" t="str">
        <f t="shared" si="54"/>
        <v/>
      </c>
      <c r="AK317" s="31" t="str">
        <f t="shared" si="59"/>
        <v/>
      </c>
      <c r="AN317" s="139" t="str">
        <f>IF($K317="","",VLOOKUP($K317,'ORF Accuracy Value LookUp'!$G$4:$H$104,2,TRUE))</f>
        <v/>
      </c>
      <c r="AO317" s="94" t="str">
        <f t="shared" si="55"/>
        <v/>
      </c>
      <c r="AP317" s="47" t="str">
        <f>IF($U317="","",VLOOKUP($U317,'ORF Accuracy Value LookUp'!$G$4:$H$104,2,TRUE))</f>
        <v/>
      </c>
      <c r="AQ317" s="94" t="str">
        <f t="shared" si="56"/>
        <v/>
      </c>
      <c r="AR317" s="46" t="str">
        <f>IF($AE317="","",VLOOKUP($AE317,'ORF Accuracy Value LookUp'!$G$4:$H$104,2,TRUE))</f>
        <v/>
      </c>
      <c r="AS317" s="140" t="str">
        <f t="shared" si="57"/>
        <v/>
      </c>
    </row>
    <row r="318" spans="1:45">
      <c r="A318" s="10"/>
      <c r="B318" s="9"/>
      <c r="C318" s="9"/>
      <c r="D318" s="9"/>
      <c r="E318" s="10"/>
      <c r="F318" s="11"/>
      <c r="G318" s="15"/>
      <c r="H318" s="88"/>
      <c r="I318" s="24"/>
      <c r="J318" s="24"/>
      <c r="K318" s="114" t="str">
        <f t="shared" si="48"/>
        <v/>
      </c>
      <c r="L318" s="24"/>
      <c r="M318" s="24"/>
      <c r="N318" s="24"/>
      <c r="O318" s="24"/>
      <c r="P318" s="97" t="str">
        <f t="shared" si="49"/>
        <v/>
      </c>
      <c r="Q318" s="113" t="str">
        <f t="shared" si="50"/>
        <v/>
      </c>
      <c r="R318" s="88"/>
      <c r="S318" s="24"/>
      <c r="T318" s="24"/>
      <c r="U318" s="78" t="str">
        <f t="shared" si="51"/>
        <v/>
      </c>
      <c r="V318" s="24"/>
      <c r="W318" s="24"/>
      <c r="X318" s="24"/>
      <c r="Y318" s="24"/>
      <c r="Z318" s="98" t="str">
        <f t="shared" si="52"/>
        <v/>
      </c>
      <c r="AA318" s="40" t="str">
        <f t="shared" si="58"/>
        <v/>
      </c>
      <c r="AB318" s="88"/>
      <c r="AC318" s="24"/>
      <c r="AD318" s="24"/>
      <c r="AE318" s="79" t="str">
        <f t="shared" si="53"/>
        <v/>
      </c>
      <c r="AF318" s="24"/>
      <c r="AG318" s="24"/>
      <c r="AH318" s="24"/>
      <c r="AI318" s="24"/>
      <c r="AJ318" s="99" t="str">
        <f t="shared" si="54"/>
        <v/>
      </c>
      <c r="AK318" s="31" t="str">
        <f t="shared" si="59"/>
        <v/>
      </c>
      <c r="AN318" s="139" t="str">
        <f>IF($K318="","",VLOOKUP($K318,'ORF Accuracy Value LookUp'!$G$4:$H$104,2,TRUE))</f>
        <v/>
      </c>
      <c r="AO318" s="94" t="str">
        <f t="shared" si="55"/>
        <v/>
      </c>
      <c r="AP318" s="47" t="str">
        <f>IF($U318="","",VLOOKUP($U318,'ORF Accuracy Value LookUp'!$G$4:$H$104,2,TRUE))</f>
        <v/>
      </c>
      <c r="AQ318" s="94" t="str">
        <f t="shared" si="56"/>
        <v/>
      </c>
      <c r="AR318" s="46" t="str">
        <f>IF($AE318="","",VLOOKUP($AE318,'ORF Accuracy Value LookUp'!$G$4:$H$104,2,TRUE))</f>
        <v/>
      </c>
      <c r="AS318" s="140" t="str">
        <f t="shared" si="57"/>
        <v/>
      </c>
    </row>
    <row r="319" spans="1:45">
      <c r="A319" s="10"/>
      <c r="B319" s="9"/>
      <c r="C319" s="9"/>
      <c r="D319" s="9"/>
      <c r="E319" s="10"/>
      <c r="F319" s="11"/>
      <c r="G319" s="15"/>
      <c r="H319" s="88"/>
      <c r="I319" s="24"/>
      <c r="J319" s="24"/>
      <c r="K319" s="114" t="str">
        <f t="shared" si="48"/>
        <v/>
      </c>
      <c r="L319" s="24"/>
      <c r="M319" s="24"/>
      <c r="N319" s="24"/>
      <c r="O319" s="24"/>
      <c r="P319" s="97" t="str">
        <f t="shared" si="49"/>
        <v/>
      </c>
      <c r="Q319" s="113" t="str">
        <f t="shared" si="50"/>
        <v/>
      </c>
      <c r="R319" s="88"/>
      <c r="S319" s="24"/>
      <c r="T319" s="24"/>
      <c r="U319" s="78" t="str">
        <f t="shared" si="51"/>
        <v/>
      </c>
      <c r="V319" s="24"/>
      <c r="W319" s="24"/>
      <c r="X319" s="24"/>
      <c r="Y319" s="24"/>
      <c r="Z319" s="98" t="str">
        <f t="shared" si="52"/>
        <v/>
      </c>
      <c r="AA319" s="40" t="str">
        <f t="shared" si="58"/>
        <v/>
      </c>
      <c r="AB319" s="88"/>
      <c r="AC319" s="24"/>
      <c r="AD319" s="24"/>
      <c r="AE319" s="79" t="str">
        <f t="shared" si="53"/>
        <v/>
      </c>
      <c r="AF319" s="24"/>
      <c r="AG319" s="24"/>
      <c r="AH319" s="24"/>
      <c r="AI319" s="24"/>
      <c r="AJ319" s="99" t="str">
        <f t="shared" si="54"/>
        <v/>
      </c>
      <c r="AK319" s="31" t="str">
        <f t="shared" si="59"/>
        <v/>
      </c>
      <c r="AN319" s="139" t="str">
        <f>IF($K319="","",VLOOKUP($K319,'ORF Accuracy Value LookUp'!$G$4:$H$104,2,TRUE))</f>
        <v/>
      </c>
      <c r="AO319" s="94" t="str">
        <f t="shared" si="55"/>
        <v/>
      </c>
      <c r="AP319" s="47" t="str">
        <f>IF($U319="","",VLOOKUP($U319,'ORF Accuracy Value LookUp'!$G$4:$H$104,2,TRUE))</f>
        <v/>
      </c>
      <c r="AQ319" s="94" t="str">
        <f t="shared" si="56"/>
        <v/>
      </c>
      <c r="AR319" s="46" t="str">
        <f>IF($AE319="","",VLOOKUP($AE319,'ORF Accuracy Value LookUp'!$G$4:$H$104,2,TRUE))</f>
        <v/>
      </c>
      <c r="AS319" s="140" t="str">
        <f t="shared" si="57"/>
        <v/>
      </c>
    </row>
    <row r="320" spans="1:45">
      <c r="A320" s="10"/>
      <c r="B320" s="9"/>
      <c r="C320" s="9"/>
      <c r="D320" s="9"/>
      <c r="E320" s="10"/>
      <c r="F320" s="11"/>
      <c r="G320" s="15"/>
      <c r="H320" s="88"/>
      <c r="I320" s="24"/>
      <c r="J320" s="24"/>
      <c r="K320" s="114" t="str">
        <f t="shared" si="48"/>
        <v/>
      </c>
      <c r="L320" s="24"/>
      <c r="M320" s="24"/>
      <c r="N320" s="24"/>
      <c r="O320" s="24"/>
      <c r="P320" s="97" t="str">
        <f t="shared" si="49"/>
        <v/>
      </c>
      <c r="Q320" s="113" t="str">
        <f t="shared" si="50"/>
        <v/>
      </c>
      <c r="R320" s="88"/>
      <c r="S320" s="24"/>
      <c r="T320" s="24"/>
      <c r="U320" s="78" t="str">
        <f t="shared" si="51"/>
        <v/>
      </c>
      <c r="V320" s="24"/>
      <c r="W320" s="24"/>
      <c r="X320" s="24"/>
      <c r="Y320" s="24"/>
      <c r="Z320" s="98" t="str">
        <f t="shared" si="52"/>
        <v/>
      </c>
      <c r="AA320" s="40" t="str">
        <f t="shared" si="58"/>
        <v/>
      </c>
      <c r="AB320" s="88"/>
      <c r="AC320" s="24"/>
      <c r="AD320" s="24"/>
      <c r="AE320" s="79" t="str">
        <f t="shared" si="53"/>
        <v/>
      </c>
      <c r="AF320" s="24"/>
      <c r="AG320" s="24"/>
      <c r="AH320" s="24"/>
      <c r="AI320" s="24"/>
      <c r="AJ320" s="99" t="str">
        <f t="shared" si="54"/>
        <v/>
      </c>
      <c r="AK320" s="31" t="str">
        <f t="shared" si="59"/>
        <v/>
      </c>
      <c r="AN320" s="139" t="str">
        <f>IF($K320="","",VLOOKUP($K320,'ORF Accuracy Value LookUp'!$G$4:$H$104,2,TRUE))</f>
        <v/>
      </c>
      <c r="AO320" s="94" t="str">
        <f t="shared" si="55"/>
        <v/>
      </c>
      <c r="AP320" s="47" t="str">
        <f>IF($U320="","",VLOOKUP($U320,'ORF Accuracy Value LookUp'!$G$4:$H$104,2,TRUE))</f>
        <v/>
      </c>
      <c r="AQ320" s="94" t="str">
        <f t="shared" si="56"/>
        <v/>
      </c>
      <c r="AR320" s="46" t="str">
        <f>IF($AE320="","",VLOOKUP($AE320,'ORF Accuracy Value LookUp'!$G$4:$H$104,2,TRUE))</f>
        <v/>
      </c>
      <c r="AS320" s="140" t="str">
        <f t="shared" si="57"/>
        <v/>
      </c>
    </row>
    <row r="321" spans="1:45">
      <c r="A321" s="10"/>
      <c r="B321" s="9"/>
      <c r="C321" s="9"/>
      <c r="D321" s="9"/>
      <c r="E321" s="10"/>
      <c r="F321" s="11"/>
      <c r="G321" s="15"/>
      <c r="H321" s="88"/>
      <c r="I321" s="24"/>
      <c r="J321" s="24"/>
      <c r="K321" s="114" t="str">
        <f t="shared" si="48"/>
        <v/>
      </c>
      <c r="L321" s="24"/>
      <c r="M321" s="24"/>
      <c r="N321" s="24"/>
      <c r="O321" s="24"/>
      <c r="P321" s="97" t="str">
        <f t="shared" si="49"/>
        <v/>
      </c>
      <c r="Q321" s="113" t="str">
        <f t="shared" si="50"/>
        <v/>
      </c>
      <c r="R321" s="88"/>
      <c r="S321" s="24"/>
      <c r="T321" s="24"/>
      <c r="U321" s="78" t="str">
        <f t="shared" si="51"/>
        <v/>
      </c>
      <c r="V321" s="24"/>
      <c r="W321" s="24"/>
      <c r="X321" s="24"/>
      <c r="Y321" s="24"/>
      <c r="Z321" s="98" t="str">
        <f t="shared" si="52"/>
        <v/>
      </c>
      <c r="AA321" s="40" t="str">
        <f t="shared" si="58"/>
        <v/>
      </c>
      <c r="AB321" s="88"/>
      <c r="AC321" s="24"/>
      <c r="AD321" s="24"/>
      <c r="AE321" s="79" t="str">
        <f t="shared" si="53"/>
        <v/>
      </c>
      <c r="AF321" s="24"/>
      <c r="AG321" s="24"/>
      <c r="AH321" s="24"/>
      <c r="AI321" s="24"/>
      <c r="AJ321" s="99" t="str">
        <f t="shared" si="54"/>
        <v/>
      </c>
      <c r="AK321" s="31" t="str">
        <f t="shared" si="59"/>
        <v/>
      </c>
      <c r="AN321" s="139" t="str">
        <f>IF($K321="","",VLOOKUP($K321,'ORF Accuracy Value LookUp'!$G$4:$H$104,2,TRUE))</f>
        <v/>
      </c>
      <c r="AO321" s="94" t="str">
        <f t="shared" si="55"/>
        <v/>
      </c>
      <c r="AP321" s="47" t="str">
        <f>IF($U321="","",VLOOKUP($U321,'ORF Accuracy Value LookUp'!$G$4:$H$104,2,TRUE))</f>
        <v/>
      </c>
      <c r="AQ321" s="94" t="str">
        <f t="shared" si="56"/>
        <v/>
      </c>
      <c r="AR321" s="46" t="str">
        <f>IF($AE321="","",VLOOKUP($AE321,'ORF Accuracy Value LookUp'!$G$4:$H$104,2,TRUE))</f>
        <v/>
      </c>
      <c r="AS321" s="140" t="str">
        <f t="shared" si="57"/>
        <v/>
      </c>
    </row>
    <row r="322" spans="1:45">
      <c r="A322" s="10"/>
      <c r="B322" s="9"/>
      <c r="C322" s="9"/>
      <c r="D322" s="9"/>
      <c r="E322" s="10"/>
      <c r="F322" s="11"/>
      <c r="G322" s="15"/>
      <c r="H322" s="88"/>
      <c r="I322" s="24"/>
      <c r="J322" s="24"/>
      <c r="K322" s="114" t="str">
        <f t="shared" si="48"/>
        <v/>
      </c>
      <c r="L322" s="24"/>
      <c r="M322" s="24"/>
      <c r="N322" s="24"/>
      <c r="O322" s="24"/>
      <c r="P322" s="97" t="str">
        <f t="shared" si="49"/>
        <v/>
      </c>
      <c r="Q322" s="113" t="str">
        <f t="shared" si="50"/>
        <v/>
      </c>
      <c r="R322" s="88"/>
      <c r="S322" s="24"/>
      <c r="T322" s="24"/>
      <c r="U322" s="78" t="str">
        <f t="shared" si="51"/>
        <v/>
      </c>
      <c r="V322" s="24"/>
      <c r="W322" s="24"/>
      <c r="X322" s="24"/>
      <c r="Y322" s="24"/>
      <c r="Z322" s="98" t="str">
        <f t="shared" si="52"/>
        <v/>
      </c>
      <c r="AA322" s="40" t="str">
        <f t="shared" si="58"/>
        <v/>
      </c>
      <c r="AB322" s="88"/>
      <c r="AC322" s="24"/>
      <c r="AD322" s="24"/>
      <c r="AE322" s="79" t="str">
        <f t="shared" si="53"/>
        <v/>
      </c>
      <c r="AF322" s="24"/>
      <c r="AG322" s="24"/>
      <c r="AH322" s="24"/>
      <c r="AI322" s="24"/>
      <c r="AJ322" s="99" t="str">
        <f t="shared" si="54"/>
        <v/>
      </c>
      <c r="AK322" s="31" t="str">
        <f t="shared" si="59"/>
        <v/>
      </c>
      <c r="AN322" s="139" t="str">
        <f>IF($K322="","",VLOOKUP($K322,'ORF Accuracy Value LookUp'!$G$4:$H$104,2,TRUE))</f>
        <v/>
      </c>
      <c r="AO322" s="94" t="str">
        <f t="shared" si="55"/>
        <v/>
      </c>
      <c r="AP322" s="47" t="str">
        <f>IF($U322="","",VLOOKUP($U322,'ORF Accuracy Value LookUp'!$G$4:$H$104,2,TRUE))</f>
        <v/>
      </c>
      <c r="AQ322" s="94" t="str">
        <f t="shared" si="56"/>
        <v/>
      </c>
      <c r="AR322" s="46" t="str">
        <f>IF($AE322="","",VLOOKUP($AE322,'ORF Accuracy Value LookUp'!$G$4:$H$104,2,TRUE))</f>
        <v/>
      </c>
      <c r="AS322" s="140" t="str">
        <f t="shared" si="57"/>
        <v/>
      </c>
    </row>
    <row r="323" spans="1:45">
      <c r="A323" s="10"/>
      <c r="B323" s="9"/>
      <c r="C323" s="9"/>
      <c r="D323" s="9"/>
      <c r="E323" s="10"/>
      <c r="F323" s="11"/>
      <c r="G323" s="15"/>
      <c r="H323" s="88"/>
      <c r="I323" s="24"/>
      <c r="J323" s="24"/>
      <c r="K323" s="114" t="str">
        <f t="shared" si="48"/>
        <v/>
      </c>
      <c r="L323" s="24"/>
      <c r="M323" s="24"/>
      <c r="N323" s="24"/>
      <c r="O323" s="24"/>
      <c r="P323" s="97" t="str">
        <f t="shared" si="49"/>
        <v/>
      </c>
      <c r="Q323" s="113" t="str">
        <f t="shared" si="50"/>
        <v/>
      </c>
      <c r="R323" s="88"/>
      <c r="S323" s="24"/>
      <c r="T323" s="24"/>
      <c r="U323" s="78" t="str">
        <f t="shared" si="51"/>
        <v/>
      </c>
      <c r="V323" s="24"/>
      <c r="W323" s="24"/>
      <c r="X323" s="24"/>
      <c r="Y323" s="24"/>
      <c r="Z323" s="98" t="str">
        <f t="shared" si="52"/>
        <v/>
      </c>
      <c r="AA323" s="40" t="str">
        <f t="shared" si="58"/>
        <v/>
      </c>
      <c r="AB323" s="88"/>
      <c r="AC323" s="24"/>
      <c r="AD323" s="24"/>
      <c r="AE323" s="79" t="str">
        <f t="shared" si="53"/>
        <v/>
      </c>
      <c r="AF323" s="24"/>
      <c r="AG323" s="24"/>
      <c r="AH323" s="24"/>
      <c r="AI323" s="24"/>
      <c r="AJ323" s="99" t="str">
        <f t="shared" si="54"/>
        <v/>
      </c>
      <c r="AK323" s="31" t="str">
        <f t="shared" si="59"/>
        <v/>
      </c>
      <c r="AN323" s="139" t="str">
        <f>IF($K323="","",VLOOKUP($K323,'ORF Accuracy Value LookUp'!$G$4:$H$104,2,TRUE))</f>
        <v/>
      </c>
      <c r="AO323" s="94" t="str">
        <f t="shared" si="55"/>
        <v/>
      </c>
      <c r="AP323" s="47" t="str">
        <f>IF($U323="","",VLOOKUP($U323,'ORF Accuracy Value LookUp'!$G$4:$H$104,2,TRUE))</f>
        <v/>
      </c>
      <c r="AQ323" s="94" t="str">
        <f t="shared" si="56"/>
        <v/>
      </c>
      <c r="AR323" s="46" t="str">
        <f>IF($AE323="","",VLOOKUP($AE323,'ORF Accuracy Value LookUp'!$G$4:$H$104,2,TRUE))</f>
        <v/>
      </c>
      <c r="AS323" s="140" t="str">
        <f t="shared" si="57"/>
        <v/>
      </c>
    </row>
    <row r="324" spans="1:45">
      <c r="A324" s="10"/>
      <c r="B324" s="9"/>
      <c r="C324" s="9"/>
      <c r="D324" s="9"/>
      <c r="E324" s="10"/>
      <c r="F324" s="11"/>
      <c r="G324" s="15"/>
      <c r="H324" s="88"/>
      <c r="I324" s="24"/>
      <c r="J324" s="24"/>
      <c r="K324" s="114" t="str">
        <f t="shared" si="48"/>
        <v/>
      </c>
      <c r="L324" s="24"/>
      <c r="M324" s="24"/>
      <c r="N324" s="24"/>
      <c r="O324" s="24"/>
      <c r="P324" s="97" t="str">
        <f t="shared" si="49"/>
        <v/>
      </c>
      <c r="Q324" s="113" t="str">
        <f t="shared" si="50"/>
        <v/>
      </c>
      <c r="R324" s="88"/>
      <c r="S324" s="24"/>
      <c r="T324" s="24"/>
      <c r="U324" s="78" t="str">
        <f t="shared" si="51"/>
        <v/>
      </c>
      <c r="V324" s="24"/>
      <c r="W324" s="24"/>
      <c r="X324" s="24"/>
      <c r="Y324" s="24"/>
      <c r="Z324" s="98" t="str">
        <f t="shared" si="52"/>
        <v/>
      </c>
      <c r="AA324" s="40" t="str">
        <f t="shared" si="58"/>
        <v/>
      </c>
      <c r="AB324" s="88"/>
      <c r="AC324" s="24"/>
      <c r="AD324" s="24"/>
      <c r="AE324" s="79" t="str">
        <f t="shared" si="53"/>
        <v/>
      </c>
      <c r="AF324" s="24"/>
      <c r="AG324" s="24"/>
      <c r="AH324" s="24"/>
      <c r="AI324" s="24"/>
      <c r="AJ324" s="99" t="str">
        <f t="shared" si="54"/>
        <v/>
      </c>
      <c r="AK324" s="31" t="str">
        <f t="shared" si="59"/>
        <v/>
      </c>
      <c r="AN324" s="139" t="str">
        <f>IF($K324="","",VLOOKUP($K324,'ORF Accuracy Value LookUp'!$G$4:$H$104,2,TRUE))</f>
        <v/>
      </c>
      <c r="AO324" s="94" t="str">
        <f t="shared" si="55"/>
        <v/>
      </c>
      <c r="AP324" s="47" t="str">
        <f>IF($U324="","",VLOOKUP($U324,'ORF Accuracy Value LookUp'!$G$4:$H$104,2,TRUE))</f>
        <v/>
      </c>
      <c r="AQ324" s="94" t="str">
        <f t="shared" si="56"/>
        <v/>
      </c>
      <c r="AR324" s="46" t="str">
        <f>IF($AE324="","",VLOOKUP($AE324,'ORF Accuracy Value LookUp'!$G$4:$H$104,2,TRUE))</f>
        <v/>
      </c>
      <c r="AS324" s="140" t="str">
        <f t="shared" si="57"/>
        <v/>
      </c>
    </row>
    <row r="325" spans="1:45">
      <c r="A325" s="10"/>
      <c r="B325" s="9"/>
      <c r="C325" s="9"/>
      <c r="D325" s="9"/>
      <c r="E325" s="10"/>
      <c r="F325" s="11"/>
      <c r="G325" s="15"/>
      <c r="H325" s="88"/>
      <c r="I325" s="24"/>
      <c r="J325" s="24"/>
      <c r="K325" s="114" t="str">
        <f t="shared" si="48"/>
        <v/>
      </c>
      <c r="L325" s="24"/>
      <c r="M325" s="24"/>
      <c r="N325" s="24"/>
      <c r="O325" s="24"/>
      <c r="P325" s="97" t="str">
        <f t="shared" si="49"/>
        <v/>
      </c>
      <c r="Q325" s="113" t="str">
        <f t="shared" si="50"/>
        <v/>
      </c>
      <c r="R325" s="88"/>
      <c r="S325" s="24"/>
      <c r="T325" s="24"/>
      <c r="U325" s="78" t="str">
        <f t="shared" si="51"/>
        <v/>
      </c>
      <c r="V325" s="24"/>
      <c r="W325" s="24"/>
      <c r="X325" s="24"/>
      <c r="Y325" s="24"/>
      <c r="Z325" s="98" t="str">
        <f t="shared" si="52"/>
        <v/>
      </c>
      <c r="AA325" s="40" t="str">
        <f t="shared" si="58"/>
        <v/>
      </c>
      <c r="AB325" s="88"/>
      <c r="AC325" s="24"/>
      <c r="AD325" s="24"/>
      <c r="AE325" s="79" t="str">
        <f t="shared" si="53"/>
        <v/>
      </c>
      <c r="AF325" s="24"/>
      <c r="AG325" s="24"/>
      <c r="AH325" s="24"/>
      <c r="AI325" s="24"/>
      <c r="AJ325" s="99" t="str">
        <f t="shared" si="54"/>
        <v/>
      </c>
      <c r="AK325" s="31" t="str">
        <f t="shared" si="59"/>
        <v/>
      </c>
      <c r="AN325" s="139" t="str">
        <f>IF($K325="","",VLOOKUP($K325,'ORF Accuracy Value LookUp'!$G$4:$H$104,2,TRUE))</f>
        <v/>
      </c>
      <c r="AO325" s="94" t="str">
        <f t="shared" si="55"/>
        <v/>
      </c>
      <c r="AP325" s="47" t="str">
        <f>IF($U325="","",VLOOKUP($U325,'ORF Accuracy Value LookUp'!$G$4:$H$104,2,TRUE))</f>
        <v/>
      </c>
      <c r="AQ325" s="94" t="str">
        <f t="shared" si="56"/>
        <v/>
      </c>
      <c r="AR325" s="46" t="str">
        <f>IF($AE325="","",VLOOKUP($AE325,'ORF Accuracy Value LookUp'!$G$4:$H$104,2,TRUE))</f>
        <v/>
      </c>
      <c r="AS325" s="140" t="str">
        <f t="shared" si="57"/>
        <v/>
      </c>
    </row>
    <row r="326" spans="1:45">
      <c r="A326" s="10"/>
      <c r="B326" s="9"/>
      <c r="C326" s="9"/>
      <c r="D326" s="9"/>
      <c r="E326" s="10"/>
      <c r="F326" s="11"/>
      <c r="G326" s="15"/>
      <c r="H326" s="88"/>
      <c r="I326" s="24"/>
      <c r="J326" s="24"/>
      <c r="K326" s="114" t="str">
        <f t="shared" si="48"/>
        <v/>
      </c>
      <c r="L326" s="24"/>
      <c r="M326" s="24"/>
      <c r="N326" s="24"/>
      <c r="O326" s="24"/>
      <c r="P326" s="97" t="str">
        <f t="shared" si="49"/>
        <v/>
      </c>
      <c r="Q326" s="113" t="str">
        <f t="shared" si="50"/>
        <v/>
      </c>
      <c r="R326" s="88"/>
      <c r="S326" s="24"/>
      <c r="T326" s="24"/>
      <c r="U326" s="78" t="str">
        <f t="shared" si="51"/>
        <v/>
      </c>
      <c r="V326" s="24"/>
      <c r="W326" s="24"/>
      <c r="X326" s="24"/>
      <c r="Y326" s="24"/>
      <c r="Z326" s="98" t="str">
        <f t="shared" si="52"/>
        <v/>
      </c>
      <c r="AA326" s="40" t="str">
        <f t="shared" si="58"/>
        <v/>
      </c>
      <c r="AB326" s="88"/>
      <c r="AC326" s="24"/>
      <c r="AD326" s="24"/>
      <c r="AE326" s="79" t="str">
        <f t="shared" si="53"/>
        <v/>
      </c>
      <c r="AF326" s="24"/>
      <c r="AG326" s="24"/>
      <c r="AH326" s="24"/>
      <c r="AI326" s="24"/>
      <c r="AJ326" s="99" t="str">
        <f t="shared" si="54"/>
        <v/>
      </c>
      <c r="AK326" s="31" t="str">
        <f t="shared" si="59"/>
        <v/>
      </c>
      <c r="AN326" s="139" t="str">
        <f>IF($K326="","",VLOOKUP($K326,'ORF Accuracy Value LookUp'!$G$4:$H$104,2,TRUE))</f>
        <v/>
      </c>
      <c r="AO326" s="94" t="str">
        <f t="shared" si="55"/>
        <v/>
      </c>
      <c r="AP326" s="47" t="str">
        <f>IF($U326="","",VLOOKUP($U326,'ORF Accuracy Value LookUp'!$G$4:$H$104,2,TRUE))</f>
        <v/>
      </c>
      <c r="AQ326" s="94" t="str">
        <f t="shared" si="56"/>
        <v/>
      </c>
      <c r="AR326" s="46" t="str">
        <f>IF($AE326="","",VLOOKUP($AE326,'ORF Accuracy Value LookUp'!$G$4:$H$104,2,TRUE))</f>
        <v/>
      </c>
      <c r="AS326" s="140" t="str">
        <f t="shared" si="57"/>
        <v/>
      </c>
    </row>
    <row r="327" spans="1:45">
      <c r="A327" s="10"/>
      <c r="B327" s="9"/>
      <c r="C327" s="9"/>
      <c r="D327" s="9"/>
      <c r="E327" s="10"/>
      <c r="F327" s="11"/>
      <c r="G327" s="15"/>
      <c r="H327" s="88"/>
      <c r="I327" s="24"/>
      <c r="J327" s="24"/>
      <c r="K327" s="114" t="str">
        <f t="shared" si="48"/>
        <v/>
      </c>
      <c r="L327" s="24"/>
      <c r="M327" s="24"/>
      <c r="N327" s="24"/>
      <c r="O327" s="24"/>
      <c r="P327" s="97" t="str">
        <f t="shared" si="49"/>
        <v/>
      </c>
      <c r="Q327" s="113" t="str">
        <f t="shared" si="50"/>
        <v/>
      </c>
      <c r="R327" s="88"/>
      <c r="S327" s="24"/>
      <c r="T327" s="24"/>
      <c r="U327" s="78" t="str">
        <f t="shared" si="51"/>
        <v/>
      </c>
      <c r="V327" s="24"/>
      <c r="W327" s="24"/>
      <c r="X327" s="24"/>
      <c r="Y327" s="24"/>
      <c r="Z327" s="98" t="str">
        <f t="shared" si="52"/>
        <v/>
      </c>
      <c r="AA327" s="40" t="str">
        <f t="shared" si="58"/>
        <v/>
      </c>
      <c r="AB327" s="88"/>
      <c r="AC327" s="24"/>
      <c r="AD327" s="24"/>
      <c r="AE327" s="79" t="str">
        <f t="shared" si="53"/>
        <v/>
      </c>
      <c r="AF327" s="24"/>
      <c r="AG327" s="24"/>
      <c r="AH327" s="24"/>
      <c r="AI327" s="24"/>
      <c r="AJ327" s="99" t="str">
        <f t="shared" si="54"/>
        <v/>
      </c>
      <c r="AK327" s="31" t="str">
        <f t="shared" si="59"/>
        <v/>
      </c>
      <c r="AN327" s="139" t="str">
        <f>IF($K327="","",VLOOKUP($K327,'ORF Accuracy Value LookUp'!$G$4:$H$104,2,TRUE))</f>
        <v/>
      </c>
      <c r="AO327" s="94" t="str">
        <f t="shared" si="55"/>
        <v/>
      </c>
      <c r="AP327" s="47" t="str">
        <f>IF($U327="","",VLOOKUP($U327,'ORF Accuracy Value LookUp'!$G$4:$H$104,2,TRUE))</f>
        <v/>
      </c>
      <c r="AQ327" s="94" t="str">
        <f t="shared" si="56"/>
        <v/>
      </c>
      <c r="AR327" s="46" t="str">
        <f>IF($AE327="","",VLOOKUP($AE327,'ORF Accuracy Value LookUp'!$G$4:$H$104,2,TRUE))</f>
        <v/>
      </c>
      <c r="AS327" s="140" t="str">
        <f t="shared" si="57"/>
        <v/>
      </c>
    </row>
    <row r="328" spans="1:45">
      <c r="A328" s="10"/>
      <c r="B328" s="9"/>
      <c r="C328" s="9"/>
      <c r="D328" s="9"/>
      <c r="E328" s="10"/>
      <c r="F328" s="11"/>
      <c r="G328" s="15"/>
      <c r="H328" s="88"/>
      <c r="I328" s="24"/>
      <c r="J328" s="24"/>
      <c r="K328" s="114" t="str">
        <f t="shared" ref="K328:K391" si="60">IF($I328="","",SUM($I328/($I328+$J328)))</f>
        <v/>
      </c>
      <c r="L328" s="24"/>
      <c r="M328" s="24"/>
      <c r="N328" s="24"/>
      <c r="O328" s="24"/>
      <c r="P328" s="97" t="str">
        <f t="shared" ref="P328:P391" si="61">IF($AO328&gt;0,$AO328,0)</f>
        <v/>
      </c>
      <c r="Q328" s="113" t="str">
        <f t="shared" ref="Q328:Q391" si="62">IF($B328="","",SUM($I328+$AN328+($L328*2)+($P328*2)))</f>
        <v/>
      </c>
      <c r="R328" s="88"/>
      <c r="S328" s="24"/>
      <c r="T328" s="24"/>
      <c r="U328" s="78" t="str">
        <f t="shared" ref="U328:U391" si="63">IF($S328="","",SUM($S328/($S328+$T328)))</f>
        <v/>
      </c>
      <c r="V328" s="24"/>
      <c r="W328" s="24"/>
      <c r="X328" s="24"/>
      <c r="Y328" s="24"/>
      <c r="Z328" s="98" t="str">
        <f t="shared" ref="Z328:Z391" si="64">IF($AQ328&gt;0,$AQ328,0)</f>
        <v/>
      </c>
      <c r="AA328" s="40" t="str">
        <f t="shared" si="58"/>
        <v/>
      </c>
      <c r="AB328" s="88"/>
      <c r="AC328" s="24"/>
      <c r="AD328" s="24"/>
      <c r="AE328" s="79" t="str">
        <f t="shared" ref="AE328:AE391" si="65">IF($AC328="","",SUM($AC328/($AC328+$AD328)))</f>
        <v/>
      </c>
      <c r="AF328" s="24"/>
      <c r="AG328" s="24"/>
      <c r="AH328" s="24"/>
      <c r="AI328" s="24"/>
      <c r="AJ328" s="99" t="str">
        <f t="shared" ref="AJ328:AJ391" si="66">IF($AS328&gt;0,$AS328,0)</f>
        <v/>
      </c>
      <c r="AK328" s="31" t="str">
        <f t="shared" si="59"/>
        <v/>
      </c>
      <c r="AN328" s="139" t="str">
        <f>IF($K328="","",VLOOKUP($K328,'ORF Accuracy Value LookUp'!$G$4:$H$104,2,TRUE))</f>
        <v/>
      </c>
      <c r="AO328" s="94" t="str">
        <f t="shared" ref="AO328:AO391" si="67">IF($N328="","",($N328-($O328/2)))</f>
        <v/>
      </c>
      <c r="AP328" s="47" t="str">
        <f>IF($U328="","",VLOOKUP($U328,'ORF Accuracy Value LookUp'!$G$4:$H$104,2,TRUE))</f>
        <v/>
      </c>
      <c r="AQ328" s="94" t="str">
        <f t="shared" ref="AQ328:AQ391" si="68">IF($X328="","",$X328-($Y328/2))</f>
        <v/>
      </c>
      <c r="AR328" s="46" t="str">
        <f>IF($AE328="","",VLOOKUP($AE328,'ORF Accuracy Value LookUp'!$G$4:$H$104,2,TRUE))</f>
        <v/>
      </c>
      <c r="AS328" s="140" t="str">
        <f t="shared" ref="AS328:AS391" si="69">IF($AH328="","",$AH328-($AI328/2))</f>
        <v/>
      </c>
    </row>
    <row r="329" spans="1:45">
      <c r="A329" s="10"/>
      <c r="B329" s="9"/>
      <c r="C329" s="9"/>
      <c r="D329" s="9"/>
      <c r="E329" s="10"/>
      <c r="F329" s="11"/>
      <c r="G329" s="15"/>
      <c r="H329" s="88"/>
      <c r="I329" s="24"/>
      <c r="J329" s="24"/>
      <c r="K329" s="114" t="str">
        <f t="shared" si="60"/>
        <v/>
      </c>
      <c r="L329" s="24"/>
      <c r="M329" s="24"/>
      <c r="N329" s="24"/>
      <c r="O329" s="24"/>
      <c r="P329" s="97" t="str">
        <f t="shared" si="61"/>
        <v/>
      </c>
      <c r="Q329" s="113" t="str">
        <f t="shared" si="62"/>
        <v/>
      </c>
      <c r="R329" s="88"/>
      <c r="S329" s="24"/>
      <c r="T329" s="24"/>
      <c r="U329" s="78" t="str">
        <f t="shared" si="63"/>
        <v/>
      </c>
      <c r="V329" s="24"/>
      <c r="W329" s="24"/>
      <c r="X329" s="24"/>
      <c r="Y329" s="24"/>
      <c r="Z329" s="98" t="str">
        <f t="shared" si="64"/>
        <v/>
      </c>
      <c r="AA329" s="40" t="str">
        <f t="shared" ref="AA329:AA392" si="70">IF($R329="","",SUM($S329+$AP329+($V329*2)+($Z329*4)))</f>
        <v/>
      </c>
      <c r="AB329" s="88"/>
      <c r="AC329" s="24"/>
      <c r="AD329" s="24"/>
      <c r="AE329" s="79" t="str">
        <f t="shared" si="65"/>
        <v/>
      </c>
      <c r="AF329" s="24"/>
      <c r="AG329" s="24"/>
      <c r="AH329" s="24"/>
      <c r="AI329" s="24"/>
      <c r="AJ329" s="99" t="str">
        <f t="shared" si="66"/>
        <v/>
      </c>
      <c r="AK329" s="31" t="str">
        <f t="shared" ref="AK329:AK392" si="71">IF($AB329="","",SUM($AC329+$AR329+($AF329*2)+($AJ329*4)))</f>
        <v/>
      </c>
      <c r="AN329" s="139" t="str">
        <f>IF($K329="","",VLOOKUP($K329,'ORF Accuracy Value LookUp'!$G$4:$H$104,2,TRUE))</f>
        <v/>
      </c>
      <c r="AO329" s="94" t="str">
        <f t="shared" si="67"/>
        <v/>
      </c>
      <c r="AP329" s="47" t="str">
        <f>IF($U329="","",VLOOKUP($U329,'ORF Accuracy Value LookUp'!$G$4:$H$104,2,TRUE))</f>
        <v/>
      </c>
      <c r="AQ329" s="94" t="str">
        <f t="shared" si="68"/>
        <v/>
      </c>
      <c r="AR329" s="46" t="str">
        <f>IF($AE329="","",VLOOKUP($AE329,'ORF Accuracy Value LookUp'!$G$4:$H$104,2,TRUE))</f>
        <v/>
      </c>
      <c r="AS329" s="140" t="str">
        <f t="shared" si="69"/>
        <v/>
      </c>
    </row>
    <row r="330" spans="1:45">
      <c r="A330" s="10"/>
      <c r="B330" s="9"/>
      <c r="C330" s="9"/>
      <c r="D330" s="9"/>
      <c r="E330" s="10"/>
      <c r="F330" s="11"/>
      <c r="G330" s="15"/>
      <c r="H330" s="88"/>
      <c r="I330" s="24"/>
      <c r="J330" s="24"/>
      <c r="K330" s="114" t="str">
        <f t="shared" si="60"/>
        <v/>
      </c>
      <c r="L330" s="24"/>
      <c r="M330" s="24"/>
      <c r="N330" s="24"/>
      <c r="O330" s="24"/>
      <c r="P330" s="97" t="str">
        <f t="shared" si="61"/>
        <v/>
      </c>
      <c r="Q330" s="113" t="str">
        <f t="shared" si="62"/>
        <v/>
      </c>
      <c r="R330" s="88"/>
      <c r="S330" s="24"/>
      <c r="T330" s="24"/>
      <c r="U330" s="78" t="str">
        <f t="shared" si="63"/>
        <v/>
      </c>
      <c r="V330" s="24"/>
      <c r="W330" s="24"/>
      <c r="X330" s="24"/>
      <c r="Y330" s="24"/>
      <c r="Z330" s="98" t="str">
        <f t="shared" si="64"/>
        <v/>
      </c>
      <c r="AA330" s="40" t="str">
        <f t="shared" si="70"/>
        <v/>
      </c>
      <c r="AB330" s="88"/>
      <c r="AC330" s="24"/>
      <c r="AD330" s="24"/>
      <c r="AE330" s="79" t="str">
        <f t="shared" si="65"/>
        <v/>
      </c>
      <c r="AF330" s="24"/>
      <c r="AG330" s="24"/>
      <c r="AH330" s="24"/>
      <c r="AI330" s="24"/>
      <c r="AJ330" s="99" t="str">
        <f t="shared" si="66"/>
        <v/>
      </c>
      <c r="AK330" s="31" t="str">
        <f t="shared" si="71"/>
        <v/>
      </c>
      <c r="AN330" s="139" t="str">
        <f>IF($K330="","",VLOOKUP($K330,'ORF Accuracy Value LookUp'!$G$4:$H$104,2,TRUE))</f>
        <v/>
      </c>
      <c r="AO330" s="94" t="str">
        <f t="shared" si="67"/>
        <v/>
      </c>
      <c r="AP330" s="47" t="str">
        <f>IF($U330="","",VLOOKUP($U330,'ORF Accuracy Value LookUp'!$G$4:$H$104,2,TRUE))</f>
        <v/>
      </c>
      <c r="AQ330" s="94" t="str">
        <f t="shared" si="68"/>
        <v/>
      </c>
      <c r="AR330" s="46" t="str">
        <f>IF($AE330="","",VLOOKUP($AE330,'ORF Accuracy Value LookUp'!$G$4:$H$104,2,TRUE))</f>
        <v/>
      </c>
      <c r="AS330" s="140" t="str">
        <f t="shared" si="69"/>
        <v/>
      </c>
    </row>
    <row r="331" spans="1:45">
      <c r="A331" s="10"/>
      <c r="B331" s="9"/>
      <c r="C331" s="9"/>
      <c r="D331" s="9"/>
      <c r="E331" s="10"/>
      <c r="F331" s="11"/>
      <c r="G331" s="15"/>
      <c r="H331" s="88"/>
      <c r="I331" s="24"/>
      <c r="J331" s="24"/>
      <c r="K331" s="114" t="str">
        <f t="shared" si="60"/>
        <v/>
      </c>
      <c r="L331" s="24"/>
      <c r="M331" s="24"/>
      <c r="N331" s="24"/>
      <c r="O331" s="24"/>
      <c r="P331" s="97" t="str">
        <f t="shared" si="61"/>
        <v/>
      </c>
      <c r="Q331" s="113" t="str">
        <f t="shared" si="62"/>
        <v/>
      </c>
      <c r="R331" s="88"/>
      <c r="S331" s="24"/>
      <c r="T331" s="24"/>
      <c r="U331" s="78" t="str">
        <f t="shared" si="63"/>
        <v/>
      </c>
      <c r="V331" s="24"/>
      <c r="W331" s="24"/>
      <c r="X331" s="24"/>
      <c r="Y331" s="24"/>
      <c r="Z331" s="98" t="str">
        <f t="shared" si="64"/>
        <v/>
      </c>
      <c r="AA331" s="40" t="str">
        <f t="shared" si="70"/>
        <v/>
      </c>
      <c r="AB331" s="88"/>
      <c r="AC331" s="24"/>
      <c r="AD331" s="24"/>
      <c r="AE331" s="79" t="str">
        <f t="shared" si="65"/>
        <v/>
      </c>
      <c r="AF331" s="24"/>
      <c r="AG331" s="24"/>
      <c r="AH331" s="24"/>
      <c r="AI331" s="24"/>
      <c r="AJ331" s="99" t="str">
        <f t="shared" si="66"/>
        <v/>
      </c>
      <c r="AK331" s="31" t="str">
        <f t="shared" si="71"/>
        <v/>
      </c>
      <c r="AN331" s="139" t="str">
        <f>IF($K331="","",VLOOKUP($K331,'ORF Accuracy Value LookUp'!$G$4:$H$104,2,TRUE))</f>
        <v/>
      </c>
      <c r="AO331" s="94" t="str">
        <f t="shared" si="67"/>
        <v/>
      </c>
      <c r="AP331" s="47" t="str">
        <f>IF($U331="","",VLOOKUP($U331,'ORF Accuracy Value LookUp'!$G$4:$H$104,2,TRUE))</f>
        <v/>
      </c>
      <c r="AQ331" s="94" t="str">
        <f t="shared" si="68"/>
        <v/>
      </c>
      <c r="AR331" s="46" t="str">
        <f>IF($AE331="","",VLOOKUP($AE331,'ORF Accuracy Value LookUp'!$G$4:$H$104,2,TRUE))</f>
        <v/>
      </c>
      <c r="AS331" s="140" t="str">
        <f t="shared" si="69"/>
        <v/>
      </c>
    </row>
    <row r="332" spans="1:45">
      <c r="A332" s="10"/>
      <c r="B332" s="9"/>
      <c r="C332" s="9"/>
      <c r="D332" s="9"/>
      <c r="E332" s="10"/>
      <c r="F332" s="11"/>
      <c r="G332" s="15"/>
      <c r="H332" s="88"/>
      <c r="I332" s="24"/>
      <c r="J332" s="24"/>
      <c r="K332" s="114" t="str">
        <f t="shared" si="60"/>
        <v/>
      </c>
      <c r="L332" s="24"/>
      <c r="M332" s="24"/>
      <c r="N332" s="24"/>
      <c r="O332" s="24"/>
      <c r="P332" s="97" t="str">
        <f t="shared" si="61"/>
        <v/>
      </c>
      <c r="Q332" s="113" t="str">
        <f t="shared" si="62"/>
        <v/>
      </c>
      <c r="R332" s="88"/>
      <c r="S332" s="24"/>
      <c r="T332" s="24"/>
      <c r="U332" s="78" t="str">
        <f t="shared" si="63"/>
        <v/>
      </c>
      <c r="V332" s="24"/>
      <c r="W332" s="24"/>
      <c r="X332" s="24"/>
      <c r="Y332" s="24"/>
      <c r="Z332" s="98" t="str">
        <f t="shared" si="64"/>
        <v/>
      </c>
      <c r="AA332" s="40" t="str">
        <f t="shared" si="70"/>
        <v/>
      </c>
      <c r="AB332" s="88"/>
      <c r="AC332" s="24"/>
      <c r="AD332" s="24"/>
      <c r="AE332" s="79" t="str">
        <f t="shared" si="65"/>
        <v/>
      </c>
      <c r="AF332" s="24"/>
      <c r="AG332" s="24"/>
      <c r="AH332" s="24"/>
      <c r="AI332" s="24"/>
      <c r="AJ332" s="99" t="str">
        <f t="shared" si="66"/>
        <v/>
      </c>
      <c r="AK332" s="31" t="str">
        <f t="shared" si="71"/>
        <v/>
      </c>
      <c r="AN332" s="139" t="str">
        <f>IF($K332="","",VLOOKUP($K332,'ORF Accuracy Value LookUp'!$G$4:$H$104,2,TRUE))</f>
        <v/>
      </c>
      <c r="AO332" s="94" t="str">
        <f t="shared" si="67"/>
        <v/>
      </c>
      <c r="AP332" s="47" t="str">
        <f>IF($U332="","",VLOOKUP($U332,'ORF Accuracy Value LookUp'!$G$4:$H$104,2,TRUE))</f>
        <v/>
      </c>
      <c r="AQ332" s="94" t="str">
        <f t="shared" si="68"/>
        <v/>
      </c>
      <c r="AR332" s="46" t="str">
        <f>IF($AE332="","",VLOOKUP($AE332,'ORF Accuracy Value LookUp'!$G$4:$H$104,2,TRUE))</f>
        <v/>
      </c>
      <c r="AS332" s="140" t="str">
        <f t="shared" si="69"/>
        <v/>
      </c>
    </row>
    <row r="333" spans="1:45">
      <c r="A333" s="10"/>
      <c r="B333" s="9"/>
      <c r="C333" s="9"/>
      <c r="D333" s="9"/>
      <c r="E333" s="10"/>
      <c r="F333" s="11"/>
      <c r="G333" s="15"/>
      <c r="H333" s="88"/>
      <c r="I333" s="24"/>
      <c r="J333" s="24"/>
      <c r="K333" s="114" t="str">
        <f t="shared" si="60"/>
        <v/>
      </c>
      <c r="L333" s="24"/>
      <c r="M333" s="24"/>
      <c r="N333" s="24"/>
      <c r="O333" s="24"/>
      <c r="P333" s="97" t="str">
        <f t="shared" si="61"/>
        <v/>
      </c>
      <c r="Q333" s="113" t="str">
        <f t="shared" si="62"/>
        <v/>
      </c>
      <c r="R333" s="88"/>
      <c r="S333" s="24"/>
      <c r="T333" s="24"/>
      <c r="U333" s="78" t="str">
        <f t="shared" si="63"/>
        <v/>
      </c>
      <c r="V333" s="24"/>
      <c r="W333" s="24"/>
      <c r="X333" s="24"/>
      <c r="Y333" s="24"/>
      <c r="Z333" s="98" t="str">
        <f t="shared" si="64"/>
        <v/>
      </c>
      <c r="AA333" s="40" t="str">
        <f t="shared" si="70"/>
        <v/>
      </c>
      <c r="AB333" s="88"/>
      <c r="AC333" s="24"/>
      <c r="AD333" s="24"/>
      <c r="AE333" s="79" t="str">
        <f t="shared" si="65"/>
        <v/>
      </c>
      <c r="AF333" s="24"/>
      <c r="AG333" s="24"/>
      <c r="AH333" s="24"/>
      <c r="AI333" s="24"/>
      <c r="AJ333" s="99" t="str">
        <f t="shared" si="66"/>
        <v/>
      </c>
      <c r="AK333" s="31" t="str">
        <f t="shared" si="71"/>
        <v/>
      </c>
      <c r="AN333" s="139" t="str">
        <f>IF($K333="","",VLOOKUP($K333,'ORF Accuracy Value LookUp'!$G$4:$H$104,2,TRUE))</f>
        <v/>
      </c>
      <c r="AO333" s="94" t="str">
        <f t="shared" si="67"/>
        <v/>
      </c>
      <c r="AP333" s="47" t="str">
        <f>IF($U333="","",VLOOKUP($U333,'ORF Accuracy Value LookUp'!$G$4:$H$104,2,TRUE))</f>
        <v/>
      </c>
      <c r="AQ333" s="94" t="str">
        <f t="shared" si="68"/>
        <v/>
      </c>
      <c r="AR333" s="46" t="str">
        <f>IF($AE333="","",VLOOKUP($AE333,'ORF Accuracy Value LookUp'!$G$4:$H$104,2,TRUE))</f>
        <v/>
      </c>
      <c r="AS333" s="140" t="str">
        <f t="shared" si="69"/>
        <v/>
      </c>
    </row>
    <row r="334" spans="1:45">
      <c r="A334" s="10"/>
      <c r="B334" s="9"/>
      <c r="C334" s="9"/>
      <c r="D334" s="9"/>
      <c r="E334" s="10"/>
      <c r="F334" s="11"/>
      <c r="G334" s="15"/>
      <c r="H334" s="88"/>
      <c r="I334" s="24"/>
      <c r="J334" s="24"/>
      <c r="K334" s="114" t="str">
        <f t="shared" si="60"/>
        <v/>
      </c>
      <c r="L334" s="24"/>
      <c r="M334" s="24"/>
      <c r="N334" s="24"/>
      <c r="O334" s="24"/>
      <c r="P334" s="97" t="str">
        <f t="shared" si="61"/>
        <v/>
      </c>
      <c r="Q334" s="113" t="str">
        <f t="shared" si="62"/>
        <v/>
      </c>
      <c r="R334" s="88"/>
      <c r="S334" s="24"/>
      <c r="T334" s="24"/>
      <c r="U334" s="78" t="str">
        <f t="shared" si="63"/>
        <v/>
      </c>
      <c r="V334" s="24"/>
      <c r="W334" s="24"/>
      <c r="X334" s="24"/>
      <c r="Y334" s="24"/>
      <c r="Z334" s="98" t="str">
        <f t="shared" si="64"/>
        <v/>
      </c>
      <c r="AA334" s="40" t="str">
        <f t="shared" si="70"/>
        <v/>
      </c>
      <c r="AB334" s="88"/>
      <c r="AC334" s="24"/>
      <c r="AD334" s="24"/>
      <c r="AE334" s="79" t="str">
        <f t="shared" si="65"/>
        <v/>
      </c>
      <c r="AF334" s="24"/>
      <c r="AG334" s="24"/>
      <c r="AH334" s="24"/>
      <c r="AI334" s="24"/>
      <c r="AJ334" s="99" t="str">
        <f t="shared" si="66"/>
        <v/>
      </c>
      <c r="AK334" s="31" t="str">
        <f t="shared" si="71"/>
        <v/>
      </c>
      <c r="AN334" s="139" t="str">
        <f>IF($K334="","",VLOOKUP($K334,'ORF Accuracy Value LookUp'!$G$4:$H$104,2,TRUE))</f>
        <v/>
      </c>
      <c r="AO334" s="94" t="str">
        <f t="shared" si="67"/>
        <v/>
      </c>
      <c r="AP334" s="47" t="str">
        <f>IF($U334="","",VLOOKUP($U334,'ORF Accuracy Value LookUp'!$G$4:$H$104,2,TRUE))</f>
        <v/>
      </c>
      <c r="AQ334" s="94" t="str">
        <f t="shared" si="68"/>
        <v/>
      </c>
      <c r="AR334" s="46" t="str">
        <f>IF($AE334="","",VLOOKUP($AE334,'ORF Accuracy Value LookUp'!$G$4:$H$104,2,TRUE))</f>
        <v/>
      </c>
      <c r="AS334" s="140" t="str">
        <f t="shared" si="69"/>
        <v/>
      </c>
    </row>
    <row r="335" spans="1:45">
      <c r="A335" s="10"/>
      <c r="B335" s="9"/>
      <c r="C335" s="9"/>
      <c r="D335" s="9"/>
      <c r="E335" s="10"/>
      <c r="F335" s="11"/>
      <c r="G335" s="15"/>
      <c r="H335" s="88"/>
      <c r="I335" s="24"/>
      <c r="J335" s="24"/>
      <c r="K335" s="114" t="str">
        <f t="shared" si="60"/>
        <v/>
      </c>
      <c r="L335" s="24"/>
      <c r="M335" s="24"/>
      <c r="N335" s="24"/>
      <c r="O335" s="24"/>
      <c r="P335" s="97" t="str">
        <f t="shared" si="61"/>
        <v/>
      </c>
      <c r="Q335" s="113" t="str">
        <f t="shared" si="62"/>
        <v/>
      </c>
      <c r="R335" s="88"/>
      <c r="S335" s="24"/>
      <c r="T335" s="24"/>
      <c r="U335" s="78" t="str">
        <f t="shared" si="63"/>
        <v/>
      </c>
      <c r="V335" s="24"/>
      <c r="W335" s="24"/>
      <c r="X335" s="24"/>
      <c r="Y335" s="24"/>
      <c r="Z335" s="98" t="str">
        <f t="shared" si="64"/>
        <v/>
      </c>
      <c r="AA335" s="40" t="str">
        <f t="shared" si="70"/>
        <v/>
      </c>
      <c r="AB335" s="88"/>
      <c r="AC335" s="24"/>
      <c r="AD335" s="24"/>
      <c r="AE335" s="79" t="str">
        <f t="shared" si="65"/>
        <v/>
      </c>
      <c r="AF335" s="24"/>
      <c r="AG335" s="24"/>
      <c r="AH335" s="24"/>
      <c r="AI335" s="24"/>
      <c r="AJ335" s="99" t="str">
        <f t="shared" si="66"/>
        <v/>
      </c>
      <c r="AK335" s="31" t="str">
        <f t="shared" si="71"/>
        <v/>
      </c>
      <c r="AN335" s="139" t="str">
        <f>IF($K335="","",VLOOKUP($K335,'ORF Accuracy Value LookUp'!$G$4:$H$104,2,TRUE))</f>
        <v/>
      </c>
      <c r="AO335" s="94" t="str">
        <f t="shared" si="67"/>
        <v/>
      </c>
      <c r="AP335" s="47" t="str">
        <f>IF($U335="","",VLOOKUP($U335,'ORF Accuracy Value LookUp'!$G$4:$H$104,2,TRUE))</f>
        <v/>
      </c>
      <c r="AQ335" s="94" t="str">
        <f t="shared" si="68"/>
        <v/>
      </c>
      <c r="AR335" s="46" t="str">
        <f>IF($AE335="","",VLOOKUP($AE335,'ORF Accuracy Value LookUp'!$G$4:$H$104,2,TRUE))</f>
        <v/>
      </c>
      <c r="AS335" s="140" t="str">
        <f t="shared" si="69"/>
        <v/>
      </c>
    </row>
    <row r="336" spans="1:45">
      <c r="A336" s="10"/>
      <c r="B336" s="9"/>
      <c r="C336" s="9"/>
      <c r="D336" s="9"/>
      <c r="E336" s="10"/>
      <c r="F336" s="11"/>
      <c r="G336" s="15"/>
      <c r="H336" s="88"/>
      <c r="I336" s="24"/>
      <c r="J336" s="24"/>
      <c r="K336" s="114" t="str">
        <f t="shared" si="60"/>
        <v/>
      </c>
      <c r="L336" s="24"/>
      <c r="M336" s="24"/>
      <c r="N336" s="24"/>
      <c r="O336" s="24"/>
      <c r="P336" s="97" t="str">
        <f t="shared" si="61"/>
        <v/>
      </c>
      <c r="Q336" s="113" t="str">
        <f t="shared" si="62"/>
        <v/>
      </c>
      <c r="R336" s="88"/>
      <c r="S336" s="24"/>
      <c r="T336" s="24"/>
      <c r="U336" s="78" t="str">
        <f t="shared" si="63"/>
        <v/>
      </c>
      <c r="V336" s="24"/>
      <c r="W336" s="24"/>
      <c r="X336" s="24"/>
      <c r="Y336" s="24"/>
      <c r="Z336" s="98" t="str">
        <f t="shared" si="64"/>
        <v/>
      </c>
      <c r="AA336" s="40" t="str">
        <f t="shared" si="70"/>
        <v/>
      </c>
      <c r="AB336" s="88"/>
      <c r="AC336" s="24"/>
      <c r="AD336" s="24"/>
      <c r="AE336" s="79" t="str">
        <f t="shared" si="65"/>
        <v/>
      </c>
      <c r="AF336" s="24"/>
      <c r="AG336" s="24"/>
      <c r="AH336" s="24"/>
      <c r="AI336" s="24"/>
      <c r="AJ336" s="99" t="str">
        <f t="shared" si="66"/>
        <v/>
      </c>
      <c r="AK336" s="31" t="str">
        <f t="shared" si="71"/>
        <v/>
      </c>
      <c r="AN336" s="139" t="str">
        <f>IF($K336="","",VLOOKUP($K336,'ORF Accuracy Value LookUp'!$G$4:$H$104,2,TRUE))</f>
        <v/>
      </c>
      <c r="AO336" s="94" t="str">
        <f t="shared" si="67"/>
        <v/>
      </c>
      <c r="AP336" s="47" t="str">
        <f>IF($U336="","",VLOOKUP($U336,'ORF Accuracy Value LookUp'!$G$4:$H$104,2,TRUE))</f>
        <v/>
      </c>
      <c r="AQ336" s="94" t="str">
        <f t="shared" si="68"/>
        <v/>
      </c>
      <c r="AR336" s="46" t="str">
        <f>IF($AE336="","",VLOOKUP($AE336,'ORF Accuracy Value LookUp'!$G$4:$H$104,2,TRUE))</f>
        <v/>
      </c>
      <c r="AS336" s="140" t="str">
        <f t="shared" si="69"/>
        <v/>
      </c>
    </row>
    <row r="337" spans="1:45">
      <c r="A337" s="10"/>
      <c r="B337" s="9"/>
      <c r="C337" s="9"/>
      <c r="D337" s="9"/>
      <c r="E337" s="10"/>
      <c r="F337" s="11"/>
      <c r="G337" s="15"/>
      <c r="H337" s="88"/>
      <c r="I337" s="24"/>
      <c r="J337" s="24"/>
      <c r="K337" s="114" t="str">
        <f t="shared" si="60"/>
        <v/>
      </c>
      <c r="L337" s="24"/>
      <c r="M337" s="24"/>
      <c r="N337" s="24"/>
      <c r="O337" s="24"/>
      <c r="P337" s="97" t="str">
        <f t="shared" si="61"/>
        <v/>
      </c>
      <c r="Q337" s="113" t="str">
        <f t="shared" si="62"/>
        <v/>
      </c>
      <c r="R337" s="88"/>
      <c r="S337" s="24"/>
      <c r="T337" s="24"/>
      <c r="U337" s="78" t="str">
        <f t="shared" si="63"/>
        <v/>
      </c>
      <c r="V337" s="24"/>
      <c r="W337" s="24"/>
      <c r="X337" s="24"/>
      <c r="Y337" s="24"/>
      <c r="Z337" s="98" t="str">
        <f t="shared" si="64"/>
        <v/>
      </c>
      <c r="AA337" s="40" t="str">
        <f t="shared" si="70"/>
        <v/>
      </c>
      <c r="AB337" s="88"/>
      <c r="AC337" s="24"/>
      <c r="AD337" s="24"/>
      <c r="AE337" s="79" t="str">
        <f t="shared" si="65"/>
        <v/>
      </c>
      <c r="AF337" s="24"/>
      <c r="AG337" s="24"/>
      <c r="AH337" s="24"/>
      <c r="AI337" s="24"/>
      <c r="AJ337" s="99" t="str">
        <f t="shared" si="66"/>
        <v/>
      </c>
      <c r="AK337" s="31" t="str">
        <f t="shared" si="71"/>
        <v/>
      </c>
      <c r="AN337" s="139" t="str">
        <f>IF($K337="","",VLOOKUP($K337,'ORF Accuracy Value LookUp'!$G$4:$H$104,2,TRUE))</f>
        <v/>
      </c>
      <c r="AO337" s="94" t="str">
        <f t="shared" si="67"/>
        <v/>
      </c>
      <c r="AP337" s="47" t="str">
        <f>IF($U337="","",VLOOKUP($U337,'ORF Accuracy Value LookUp'!$G$4:$H$104,2,TRUE))</f>
        <v/>
      </c>
      <c r="AQ337" s="94" t="str">
        <f t="shared" si="68"/>
        <v/>
      </c>
      <c r="AR337" s="46" t="str">
        <f>IF($AE337="","",VLOOKUP($AE337,'ORF Accuracy Value LookUp'!$G$4:$H$104,2,TRUE))</f>
        <v/>
      </c>
      <c r="AS337" s="140" t="str">
        <f t="shared" si="69"/>
        <v/>
      </c>
    </row>
    <row r="338" spans="1:45">
      <c r="A338" s="10"/>
      <c r="B338" s="9"/>
      <c r="C338" s="9"/>
      <c r="D338" s="9"/>
      <c r="E338" s="10"/>
      <c r="F338" s="11"/>
      <c r="G338" s="15"/>
      <c r="H338" s="88"/>
      <c r="I338" s="24"/>
      <c r="J338" s="24"/>
      <c r="K338" s="114" t="str">
        <f t="shared" si="60"/>
        <v/>
      </c>
      <c r="L338" s="24"/>
      <c r="M338" s="24"/>
      <c r="N338" s="24"/>
      <c r="O338" s="24"/>
      <c r="P338" s="97" t="str">
        <f t="shared" si="61"/>
        <v/>
      </c>
      <c r="Q338" s="113" t="str">
        <f t="shared" si="62"/>
        <v/>
      </c>
      <c r="R338" s="88"/>
      <c r="S338" s="24"/>
      <c r="T338" s="24"/>
      <c r="U338" s="78" t="str">
        <f t="shared" si="63"/>
        <v/>
      </c>
      <c r="V338" s="24"/>
      <c r="W338" s="24"/>
      <c r="X338" s="24"/>
      <c r="Y338" s="24"/>
      <c r="Z338" s="98" t="str">
        <f t="shared" si="64"/>
        <v/>
      </c>
      <c r="AA338" s="40" t="str">
        <f t="shared" si="70"/>
        <v/>
      </c>
      <c r="AB338" s="88"/>
      <c r="AC338" s="24"/>
      <c r="AD338" s="24"/>
      <c r="AE338" s="79" t="str">
        <f t="shared" si="65"/>
        <v/>
      </c>
      <c r="AF338" s="24"/>
      <c r="AG338" s="24"/>
      <c r="AH338" s="24"/>
      <c r="AI338" s="24"/>
      <c r="AJ338" s="99" t="str">
        <f t="shared" si="66"/>
        <v/>
      </c>
      <c r="AK338" s="31" t="str">
        <f t="shared" si="71"/>
        <v/>
      </c>
      <c r="AN338" s="139" t="str">
        <f>IF($K338="","",VLOOKUP($K338,'ORF Accuracy Value LookUp'!$G$4:$H$104,2,TRUE))</f>
        <v/>
      </c>
      <c r="AO338" s="94" t="str">
        <f t="shared" si="67"/>
        <v/>
      </c>
      <c r="AP338" s="47" t="str">
        <f>IF($U338="","",VLOOKUP($U338,'ORF Accuracy Value LookUp'!$G$4:$H$104,2,TRUE))</f>
        <v/>
      </c>
      <c r="AQ338" s="94" t="str">
        <f t="shared" si="68"/>
        <v/>
      </c>
      <c r="AR338" s="46" t="str">
        <f>IF($AE338="","",VLOOKUP($AE338,'ORF Accuracy Value LookUp'!$G$4:$H$104,2,TRUE))</f>
        <v/>
      </c>
      <c r="AS338" s="140" t="str">
        <f t="shared" si="69"/>
        <v/>
      </c>
    </row>
    <row r="339" spans="1:45">
      <c r="A339" s="10"/>
      <c r="B339" s="9"/>
      <c r="C339" s="9"/>
      <c r="D339" s="9"/>
      <c r="E339" s="10"/>
      <c r="F339" s="11"/>
      <c r="G339" s="15"/>
      <c r="H339" s="88"/>
      <c r="I339" s="24"/>
      <c r="J339" s="24"/>
      <c r="K339" s="114" t="str">
        <f t="shared" si="60"/>
        <v/>
      </c>
      <c r="L339" s="24"/>
      <c r="M339" s="24"/>
      <c r="N339" s="24"/>
      <c r="O339" s="24"/>
      <c r="P339" s="97" t="str">
        <f t="shared" si="61"/>
        <v/>
      </c>
      <c r="Q339" s="113" t="str">
        <f t="shared" si="62"/>
        <v/>
      </c>
      <c r="R339" s="88"/>
      <c r="S339" s="24"/>
      <c r="T339" s="24"/>
      <c r="U339" s="78" t="str">
        <f t="shared" si="63"/>
        <v/>
      </c>
      <c r="V339" s="24"/>
      <c r="W339" s="24"/>
      <c r="X339" s="24"/>
      <c r="Y339" s="24"/>
      <c r="Z339" s="98" t="str">
        <f t="shared" si="64"/>
        <v/>
      </c>
      <c r="AA339" s="40" t="str">
        <f t="shared" si="70"/>
        <v/>
      </c>
      <c r="AB339" s="88"/>
      <c r="AC339" s="24"/>
      <c r="AD339" s="24"/>
      <c r="AE339" s="79" t="str">
        <f t="shared" si="65"/>
        <v/>
      </c>
      <c r="AF339" s="24"/>
      <c r="AG339" s="24"/>
      <c r="AH339" s="24"/>
      <c r="AI339" s="24"/>
      <c r="AJ339" s="99" t="str">
        <f t="shared" si="66"/>
        <v/>
      </c>
      <c r="AK339" s="31" t="str">
        <f t="shared" si="71"/>
        <v/>
      </c>
      <c r="AN339" s="139" t="str">
        <f>IF($K339="","",VLOOKUP($K339,'ORF Accuracy Value LookUp'!$G$4:$H$104,2,TRUE))</f>
        <v/>
      </c>
      <c r="AO339" s="94" t="str">
        <f t="shared" si="67"/>
        <v/>
      </c>
      <c r="AP339" s="47" t="str">
        <f>IF($U339="","",VLOOKUP($U339,'ORF Accuracy Value LookUp'!$G$4:$H$104,2,TRUE))</f>
        <v/>
      </c>
      <c r="AQ339" s="94" t="str">
        <f t="shared" si="68"/>
        <v/>
      </c>
      <c r="AR339" s="46" t="str">
        <f>IF($AE339="","",VLOOKUP($AE339,'ORF Accuracy Value LookUp'!$G$4:$H$104,2,TRUE))</f>
        <v/>
      </c>
      <c r="AS339" s="140" t="str">
        <f t="shared" si="69"/>
        <v/>
      </c>
    </row>
    <row r="340" spans="1:45">
      <c r="A340" s="10"/>
      <c r="B340" s="9"/>
      <c r="C340" s="9"/>
      <c r="D340" s="9"/>
      <c r="E340" s="10"/>
      <c r="F340" s="11"/>
      <c r="G340" s="15"/>
      <c r="H340" s="88"/>
      <c r="I340" s="24"/>
      <c r="J340" s="24"/>
      <c r="K340" s="114" t="str">
        <f t="shared" si="60"/>
        <v/>
      </c>
      <c r="L340" s="24"/>
      <c r="M340" s="24"/>
      <c r="N340" s="24"/>
      <c r="O340" s="24"/>
      <c r="P340" s="97" t="str">
        <f t="shared" si="61"/>
        <v/>
      </c>
      <c r="Q340" s="113" t="str">
        <f t="shared" si="62"/>
        <v/>
      </c>
      <c r="R340" s="88"/>
      <c r="S340" s="24"/>
      <c r="T340" s="24"/>
      <c r="U340" s="78" t="str">
        <f t="shared" si="63"/>
        <v/>
      </c>
      <c r="V340" s="24"/>
      <c r="W340" s="24"/>
      <c r="X340" s="24"/>
      <c r="Y340" s="24"/>
      <c r="Z340" s="98" t="str">
        <f t="shared" si="64"/>
        <v/>
      </c>
      <c r="AA340" s="40" t="str">
        <f t="shared" si="70"/>
        <v/>
      </c>
      <c r="AB340" s="88"/>
      <c r="AC340" s="24"/>
      <c r="AD340" s="24"/>
      <c r="AE340" s="79" t="str">
        <f t="shared" si="65"/>
        <v/>
      </c>
      <c r="AF340" s="24"/>
      <c r="AG340" s="24"/>
      <c r="AH340" s="24"/>
      <c r="AI340" s="24"/>
      <c r="AJ340" s="99" t="str">
        <f t="shared" si="66"/>
        <v/>
      </c>
      <c r="AK340" s="31" t="str">
        <f t="shared" si="71"/>
        <v/>
      </c>
      <c r="AN340" s="139" t="str">
        <f>IF($K340="","",VLOOKUP($K340,'ORF Accuracy Value LookUp'!$G$4:$H$104,2,TRUE))</f>
        <v/>
      </c>
      <c r="AO340" s="94" t="str">
        <f t="shared" si="67"/>
        <v/>
      </c>
      <c r="AP340" s="47" t="str">
        <f>IF($U340="","",VLOOKUP($U340,'ORF Accuracy Value LookUp'!$G$4:$H$104,2,TRUE))</f>
        <v/>
      </c>
      <c r="AQ340" s="94" t="str">
        <f t="shared" si="68"/>
        <v/>
      </c>
      <c r="AR340" s="46" t="str">
        <f>IF($AE340="","",VLOOKUP($AE340,'ORF Accuracy Value LookUp'!$G$4:$H$104,2,TRUE))</f>
        <v/>
      </c>
      <c r="AS340" s="140" t="str">
        <f t="shared" si="69"/>
        <v/>
      </c>
    </row>
    <row r="341" spans="1:45">
      <c r="A341" s="10"/>
      <c r="B341" s="9"/>
      <c r="C341" s="9"/>
      <c r="D341" s="9"/>
      <c r="E341" s="10"/>
      <c r="F341" s="11"/>
      <c r="G341" s="15"/>
      <c r="H341" s="88"/>
      <c r="I341" s="24"/>
      <c r="J341" s="24"/>
      <c r="K341" s="114" t="str">
        <f t="shared" si="60"/>
        <v/>
      </c>
      <c r="L341" s="24"/>
      <c r="M341" s="24"/>
      <c r="N341" s="24"/>
      <c r="O341" s="24"/>
      <c r="P341" s="97" t="str">
        <f t="shared" si="61"/>
        <v/>
      </c>
      <c r="Q341" s="113" t="str">
        <f t="shared" si="62"/>
        <v/>
      </c>
      <c r="R341" s="88"/>
      <c r="S341" s="24"/>
      <c r="T341" s="24"/>
      <c r="U341" s="78" t="str">
        <f t="shared" si="63"/>
        <v/>
      </c>
      <c r="V341" s="24"/>
      <c r="W341" s="24"/>
      <c r="X341" s="24"/>
      <c r="Y341" s="24"/>
      <c r="Z341" s="98" t="str">
        <f t="shared" si="64"/>
        <v/>
      </c>
      <c r="AA341" s="40" t="str">
        <f t="shared" si="70"/>
        <v/>
      </c>
      <c r="AB341" s="88"/>
      <c r="AC341" s="24"/>
      <c r="AD341" s="24"/>
      <c r="AE341" s="79" t="str">
        <f t="shared" si="65"/>
        <v/>
      </c>
      <c r="AF341" s="24"/>
      <c r="AG341" s="24"/>
      <c r="AH341" s="24"/>
      <c r="AI341" s="24"/>
      <c r="AJ341" s="99" t="str">
        <f t="shared" si="66"/>
        <v/>
      </c>
      <c r="AK341" s="31" t="str">
        <f t="shared" si="71"/>
        <v/>
      </c>
      <c r="AN341" s="139" t="str">
        <f>IF($K341="","",VLOOKUP($K341,'ORF Accuracy Value LookUp'!$G$4:$H$104,2,TRUE))</f>
        <v/>
      </c>
      <c r="AO341" s="94" t="str">
        <f t="shared" si="67"/>
        <v/>
      </c>
      <c r="AP341" s="47" t="str">
        <f>IF($U341="","",VLOOKUP($U341,'ORF Accuracy Value LookUp'!$G$4:$H$104,2,TRUE))</f>
        <v/>
      </c>
      <c r="AQ341" s="94" t="str">
        <f t="shared" si="68"/>
        <v/>
      </c>
      <c r="AR341" s="46" t="str">
        <f>IF($AE341="","",VLOOKUP($AE341,'ORF Accuracy Value LookUp'!$G$4:$H$104,2,TRUE))</f>
        <v/>
      </c>
      <c r="AS341" s="140" t="str">
        <f t="shared" si="69"/>
        <v/>
      </c>
    </row>
    <row r="342" spans="1:45">
      <c r="A342" s="10"/>
      <c r="B342" s="9"/>
      <c r="C342" s="9"/>
      <c r="D342" s="9"/>
      <c r="E342" s="10"/>
      <c r="F342" s="11"/>
      <c r="G342" s="15"/>
      <c r="H342" s="88"/>
      <c r="I342" s="24"/>
      <c r="J342" s="24"/>
      <c r="K342" s="114" t="str">
        <f t="shared" si="60"/>
        <v/>
      </c>
      <c r="L342" s="24"/>
      <c r="M342" s="24"/>
      <c r="N342" s="24"/>
      <c r="O342" s="24"/>
      <c r="P342" s="97" t="str">
        <f t="shared" si="61"/>
        <v/>
      </c>
      <c r="Q342" s="113" t="str">
        <f t="shared" si="62"/>
        <v/>
      </c>
      <c r="R342" s="88"/>
      <c r="S342" s="24"/>
      <c r="T342" s="24"/>
      <c r="U342" s="78" t="str">
        <f t="shared" si="63"/>
        <v/>
      </c>
      <c r="V342" s="24"/>
      <c r="W342" s="24"/>
      <c r="X342" s="24"/>
      <c r="Y342" s="24"/>
      <c r="Z342" s="98" t="str">
        <f t="shared" si="64"/>
        <v/>
      </c>
      <c r="AA342" s="40" t="str">
        <f t="shared" si="70"/>
        <v/>
      </c>
      <c r="AB342" s="88"/>
      <c r="AC342" s="24"/>
      <c r="AD342" s="24"/>
      <c r="AE342" s="79" t="str">
        <f t="shared" si="65"/>
        <v/>
      </c>
      <c r="AF342" s="24"/>
      <c r="AG342" s="24"/>
      <c r="AH342" s="24"/>
      <c r="AI342" s="24"/>
      <c r="AJ342" s="99" t="str">
        <f t="shared" si="66"/>
        <v/>
      </c>
      <c r="AK342" s="31" t="str">
        <f t="shared" si="71"/>
        <v/>
      </c>
      <c r="AN342" s="139" t="str">
        <f>IF($K342="","",VLOOKUP($K342,'ORF Accuracy Value LookUp'!$G$4:$H$104,2,TRUE))</f>
        <v/>
      </c>
      <c r="AO342" s="94" t="str">
        <f t="shared" si="67"/>
        <v/>
      </c>
      <c r="AP342" s="47" t="str">
        <f>IF($U342="","",VLOOKUP($U342,'ORF Accuracy Value LookUp'!$G$4:$H$104,2,TRUE))</f>
        <v/>
      </c>
      <c r="AQ342" s="94" t="str">
        <f t="shared" si="68"/>
        <v/>
      </c>
      <c r="AR342" s="46" t="str">
        <f>IF($AE342="","",VLOOKUP($AE342,'ORF Accuracy Value LookUp'!$G$4:$H$104,2,TRUE))</f>
        <v/>
      </c>
      <c r="AS342" s="140" t="str">
        <f t="shared" si="69"/>
        <v/>
      </c>
    </row>
    <row r="343" spans="1:45">
      <c r="A343" s="10"/>
      <c r="B343" s="9"/>
      <c r="C343" s="9"/>
      <c r="D343" s="9"/>
      <c r="E343" s="10"/>
      <c r="F343" s="11"/>
      <c r="G343" s="15"/>
      <c r="H343" s="88"/>
      <c r="I343" s="24"/>
      <c r="J343" s="24"/>
      <c r="K343" s="114" t="str">
        <f t="shared" si="60"/>
        <v/>
      </c>
      <c r="L343" s="24"/>
      <c r="M343" s="24"/>
      <c r="N343" s="24"/>
      <c r="O343" s="24"/>
      <c r="P343" s="97" t="str">
        <f t="shared" si="61"/>
        <v/>
      </c>
      <c r="Q343" s="113" t="str">
        <f t="shared" si="62"/>
        <v/>
      </c>
      <c r="R343" s="88"/>
      <c r="S343" s="24"/>
      <c r="T343" s="24"/>
      <c r="U343" s="78" t="str">
        <f t="shared" si="63"/>
        <v/>
      </c>
      <c r="V343" s="24"/>
      <c r="W343" s="24"/>
      <c r="X343" s="24"/>
      <c r="Y343" s="24"/>
      <c r="Z343" s="98" t="str">
        <f t="shared" si="64"/>
        <v/>
      </c>
      <c r="AA343" s="40" t="str">
        <f t="shared" si="70"/>
        <v/>
      </c>
      <c r="AB343" s="88"/>
      <c r="AC343" s="24"/>
      <c r="AD343" s="24"/>
      <c r="AE343" s="79" t="str">
        <f t="shared" si="65"/>
        <v/>
      </c>
      <c r="AF343" s="24"/>
      <c r="AG343" s="24"/>
      <c r="AH343" s="24"/>
      <c r="AI343" s="24"/>
      <c r="AJ343" s="99" t="str">
        <f t="shared" si="66"/>
        <v/>
      </c>
      <c r="AK343" s="31" t="str">
        <f t="shared" si="71"/>
        <v/>
      </c>
      <c r="AN343" s="139" t="str">
        <f>IF($K343="","",VLOOKUP($K343,'ORF Accuracy Value LookUp'!$G$4:$H$104,2,TRUE))</f>
        <v/>
      </c>
      <c r="AO343" s="94" t="str">
        <f t="shared" si="67"/>
        <v/>
      </c>
      <c r="AP343" s="47" t="str">
        <f>IF($U343="","",VLOOKUP($U343,'ORF Accuracy Value LookUp'!$G$4:$H$104,2,TRUE))</f>
        <v/>
      </c>
      <c r="AQ343" s="94" t="str">
        <f t="shared" si="68"/>
        <v/>
      </c>
      <c r="AR343" s="46" t="str">
        <f>IF($AE343="","",VLOOKUP($AE343,'ORF Accuracy Value LookUp'!$G$4:$H$104,2,TRUE))</f>
        <v/>
      </c>
      <c r="AS343" s="140" t="str">
        <f t="shared" si="69"/>
        <v/>
      </c>
    </row>
    <row r="344" spans="1:45">
      <c r="A344" s="10"/>
      <c r="B344" s="9"/>
      <c r="C344" s="9"/>
      <c r="D344" s="9"/>
      <c r="E344" s="10"/>
      <c r="F344" s="11"/>
      <c r="G344" s="15"/>
      <c r="H344" s="88"/>
      <c r="I344" s="24"/>
      <c r="J344" s="24"/>
      <c r="K344" s="114" t="str">
        <f t="shared" si="60"/>
        <v/>
      </c>
      <c r="L344" s="24"/>
      <c r="M344" s="24"/>
      <c r="N344" s="24"/>
      <c r="O344" s="24"/>
      <c r="P344" s="97" t="str">
        <f t="shared" si="61"/>
        <v/>
      </c>
      <c r="Q344" s="113" t="str">
        <f t="shared" si="62"/>
        <v/>
      </c>
      <c r="R344" s="88"/>
      <c r="S344" s="24"/>
      <c r="T344" s="24"/>
      <c r="U344" s="78" t="str">
        <f t="shared" si="63"/>
        <v/>
      </c>
      <c r="V344" s="24"/>
      <c r="W344" s="24"/>
      <c r="X344" s="24"/>
      <c r="Y344" s="24"/>
      <c r="Z344" s="98" t="str">
        <f t="shared" si="64"/>
        <v/>
      </c>
      <c r="AA344" s="40" t="str">
        <f t="shared" si="70"/>
        <v/>
      </c>
      <c r="AB344" s="88"/>
      <c r="AC344" s="24"/>
      <c r="AD344" s="24"/>
      <c r="AE344" s="79" t="str">
        <f t="shared" si="65"/>
        <v/>
      </c>
      <c r="AF344" s="24"/>
      <c r="AG344" s="24"/>
      <c r="AH344" s="24"/>
      <c r="AI344" s="24"/>
      <c r="AJ344" s="99" t="str">
        <f t="shared" si="66"/>
        <v/>
      </c>
      <c r="AK344" s="31" t="str">
        <f t="shared" si="71"/>
        <v/>
      </c>
      <c r="AN344" s="139" t="str">
        <f>IF($K344="","",VLOOKUP($K344,'ORF Accuracy Value LookUp'!$G$4:$H$104,2,TRUE))</f>
        <v/>
      </c>
      <c r="AO344" s="94" t="str">
        <f t="shared" si="67"/>
        <v/>
      </c>
      <c r="AP344" s="47" t="str">
        <f>IF($U344="","",VLOOKUP($U344,'ORF Accuracy Value LookUp'!$G$4:$H$104,2,TRUE))</f>
        <v/>
      </c>
      <c r="AQ344" s="94" t="str">
        <f t="shared" si="68"/>
        <v/>
      </c>
      <c r="AR344" s="46" t="str">
        <f>IF($AE344="","",VLOOKUP($AE344,'ORF Accuracy Value LookUp'!$G$4:$H$104,2,TRUE))</f>
        <v/>
      </c>
      <c r="AS344" s="140" t="str">
        <f t="shared" si="69"/>
        <v/>
      </c>
    </row>
    <row r="345" spans="1:45">
      <c r="A345" s="10"/>
      <c r="B345" s="9"/>
      <c r="C345" s="9"/>
      <c r="D345" s="9"/>
      <c r="E345" s="10"/>
      <c r="F345" s="11"/>
      <c r="G345" s="15"/>
      <c r="H345" s="88"/>
      <c r="I345" s="24"/>
      <c r="J345" s="24"/>
      <c r="K345" s="114" t="str">
        <f t="shared" si="60"/>
        <v/>
      </c>
      <c r="L345" s="24"/>
      <c r="M345" s="24"/>
      <c r="N345" s="24"/>
      <c r="O345" s="24"/>
      <c r="P345" s="97" t="str">
        <f t="shared" si="61"/>
        <v/>
      </c>
      <c r="Q345" s="113" t="str">
        <f t="shared" si="62"/>
        <v/>
      </c>
      <c r="R345" s="88"/>
      <c r="S345" s="24"/>
      <c r="T345" s="24"/>
      <c r="U345" s="78" t="str">
        <f t="shared" si="63"/>
        <v/>
      </c>
      <c r="V345" s="24"/>
      <c r="W345" s="24"/>
      <c r="X345" s="24"/>
      <c r="Y345" s="24"/>
      <c r="Z345" s="98" t="str">
        <f t="shared" si="64"/>
        <v/>
      </c>
      <c r="AA345" s="40" t="str">
        <f t="shared" si="70"/>
        <v/>
      </c>
      <c r="AB345" s="88"/>
      <c r="AC345" s="24"/>
      <c r="AD345" s="24"/>
      <c r="AE345" s="79" t="str">
        <f t="shared" si="65"/>
        <v/>
      </c>
      <c r="AF345" s="24"/>
      <c r="AG345" s="24"/>
      <c r="AH345" s="24"/>
      <c r="AI345" s="24"/>
      <c r="AJ345" s="99" t="str">
        <f t="shared" si="66"/>
        <v/>
      </c>
      <c r="AK345" s="31" t="str">
        <f t="shared" si="71"/>
        <v/>
      </c>
      <c r="AN345" s="139" t="str">
        <f>IF($K345="","",VLOOKUP($K345,'ORF Accuracy Value LookUp'!$G$4:$H$104,2,TRUE))</f>
        <v/>
      </c>
      <c r="AO345" s="94" t="str">
        <f t="shared" si="67"/>
        <v/>
      </c>
      <c r="AP345" s="47" t="str">
        <f>IF($U345="","",VLOOKUP($U345,'ORF Accuracy Value LookUp'!$G$4:$H$104,2,TRUE))</f>
        <v/>
      </c>
      <c r="AQ345" s="94" t="str">
        <f t="shared" si="68"/>
        <v/>
      </c>
      <c r="AR345" s="46" t="str">
        <f>IF($AE345="","",VLOOKUP($AE345,'ORF Accuracy Value LookUp'!$G$4:$H$104,2,TRUE))</f>
        <v/>
      </c>
      <c r="AS345" s="140" t="str">
        <f t="shared" si="69"/>
        <v/>
      </c>
    </row>
    <row r="346" spans="1:45">
      <c r="A346" s="10"/>
      <c r="B346" s="9"/>
      <c r="C346" s="9"/>
      <c r="D346" s="9"/>
      <c r="E346" s="10"/>
      <c r="F346" s="11"/>
      <c r="G346" s="15"/>
      <c r="H346" s="88"/>
      <c r="I346" s="24"/>
      <c r="J346" s="24"/>
      <c r="K346" s="114" t="str">
        <f t="shared" si="60"/>
        <v/>
      </c>
      <c r="L346" s="24"/>
      <c r="M346" s="24"/>
      <c r="N346" s="24"/>
      <c r="O346" s="24"/>
      <c r="P346" s="97" t="str">
        <f t="shared" si="61"/>
        <v/>
      </c>
      <c r="Q346" s="113" t="str">
        <f t="shared" si="62"/>
        <v/>
      </c>
      <c r="R346" s="88"/>
      <c r="S346" s="24"/>
      <c r="T346" s="24"/>
      <c r="U346" s="78" t="str">
        <f t="shared" si="63"/>
        <v/>
      </c>
      <c r="V346" s="24"/>
      <c r="W346" s="24"/>
      <c r="X346" s="24"/>
      <c r="Y346" s="24"/>
      <c r="Z346" s="98" t="str">
        <f t="shared" si="64"/>
        <v/>
      </c>
      <c r="AA346" s="40" t="str">
        <f t="shared" si="70"/>
        <v/>
      </c>
      <c r="AB346" s="88"/>
      <c r="AC346" s="24"/>
      <c r="AD346" s="24"/>
      <c r="AE346" s="79" t="str">
        <f t="shared" si="65"/>
        <v/>
      </c>
      <c r="AF346" s="24"/>
      <c r="AG346" s="24"/>
      <c r="AH346" s="24"/>
      <c r="AI346" s="24"/>
      <c r="AJ346" s="99" t="str">
        <f t="shared" si="66"/>
        <v/>
      </c>
      <c r="AK346" s="31" t="str">
        <f t="shared" si="71"/>
        <v/>
      </c>
      <c r="AN346" s="139" t="str">
        <f>IF($K346="","",VLOOKUP($K346,'ORF Accuracy Value LookUp'!$G$4:$H$104,2,TRUE))</f>
        <v/>
      </c>
      <c r="AO346" s="94" t="str">
        <f t="shared" si="67"/>
        <v/>
      </c>
      <c r="AP346" s="47" t="str">
        <f>IF($U346="","",VLOOKUP($U346,'ORF Accuracy Value LookUp'!$G$4:$H$104,2,TRUE))</f>
        <v/>
      </c>
      <c r="AQ346" s="94" t="str">
        <f t="shared" si="68"/>
        <v/>
      </c>
      <c r="AR346" s="46" t="str">
        <f>IF($AE346="","",VLOOKUP($AE346,'ORF Accuracy Value LookUp'!$G$4:$H$104,2,TRUE))</f>
        <v/>
      </c>
      <c r="AS346" s="140" t="str">
        <f t="shared" si="69"/>
        <v/>
      </c>
    </row>
    <row r="347" spans="1:45">
      <c r="A347" s="10"/>
      <c r="B347" s="9"/>
      <c r="C347" s="9"/>
      <c r="D347" s="9"/>
      <c r="E347" s="10"/>
      <c r="F347" s="11"/>
      <c r="G347" s="15"/>
      <c r="H347" s="88"/>
      <c r="I347" s="24"/>
      <c r="J347" s="24"/>
      <c r="K347" s="114" t="str">
        <f t="shared" si="60"/>
        <v/>
      </c>
      <c r="L347" s="24"/>
      <c r="M347" s="24"/>
      <c r="N347" s="24"/>
      <c r="O347" s="24"/>
      <c r="P347" s="97" t="str">
        <f t="shared" si="61"/>
        <v/>
      </c>
      <c r="Q347" s="113" t="str">
        <f t="shared" si="62"/>
        <v/>
      </c>
      <c r="R347" s="88"/>
      <c r="S347" s="24"/>
      <c r="T347" s="24"/>
      <c r="U347" s="78" t="str">
        <f t="shared" si="63"/>
        <v/>
      </c>
      <c r="V347" s="24"/>
      <c r="W347" s="24"/>
      <c r="X347" s="24"/>
      <c r="Y347" s="24"/>
      <c r="Z347" s="98" t="str">
        <f t="shared" si="64"/>
        <v/>
      </c>
      <c r="AA347" s="40" t="str">
        <f t="shared" si="70"/>
        <v/>
      </c>
      <c r="AB347" s="88"/>
      <c r="AC347" s="24"/>
      <c r="AD347" s="24"/>
      <c r="AE347" s="79" t="str">
        <f t="shared" si="65"/>
        <v/>
      </c>
      <c r="AF347" s="24"/>
      <c r="AG347" s="24"/>
      <c r="AH347" s="24"/>
      <c r="AI347" s="24"/>
      <c r="AJ347" s="99" t="str">
        <f t="shared" si="66"/>
        <v/>
      </c>
      <c r="AK347" s="31" t="str">
        <f t="shared" si="71"/>
        <v/>
      </c>
      <c r="AN347" s="139" t="str">
        <f>IF($K347="","",VLOOKUP($K347,'ORF Accuracy Value LookUp'!$G$4:$H$104,2,TRUE))</f>
        <v/>
      </c>
      <c r="AO347" s="94" t="str">
        <f t="shared" si="67"/>
        <v/>
      </c>
      <c r="AP347" s="47" t="str">
        <f>IF($U347="","",VLOOKUP($U347,'ORF Accuracy Value LookUp'!$G$4:$H$104,2,TRUE))</f>
        <v/>
      </c>
      <c r="AQ347" s="94" t="str">
        <f t="shared" si="68"/>
        <v/>
      </c>
      <c r="AR347" s="46" t="str">
        <f>IF($AE347="","",VLOOKUP($AE347,'ORF Accuracy Value LookUp'!$G$4:$H$104,2,TRUE))</f>
        <v/>
      </c>
      <c r="AS347" s="140" t="str">
        <f t="shared" si="69"/>
        <v/>
      </c>
    </row>
    <row r="348" spans="1:45">
      <c r="A348" s="10"/>
      <c r="B348" s="9"/>
      <c r="C348" s="9"/>
      <c r="D348" s="9"/>
      <c r="E348" s="10"/>
      <c r="F348" s="11"/>
      <c r="G348" s="15"/>
      <c r="H348" s="88"/>
      <c r="I348" s="24"/>
      <c r="J348" s="24"/>
      <c r="K348" s="114" t="str">
        <f t="shared" si="60"/>
        <v/>
      </c>
      <c r="L348" s="24"/>
      <c r="M348" s="24"/>
      <c r="N348" s="24"/>
      <c r="O348" s="24"/>
      <c r="P348" s="97" t="str">
        <f t="shared" si="61"/>
        <v/>
      </c>
      <c r="Q348" s="113" t="str">
        <f t="shared" si="62"/>
        <v/>
      </c>
      <c r="R348" s="88"/>
      <c r="S348" s="24"/>
      <c r="T348" s="24"/>
      <c r="U348" s="78" t="str">
        <f t="shared" si="63"/>
        <v/>
      </c>
      <c r="V348" s="24"/>
      <c r="W348" s="24"/>
      <c r="X348" s="24"/>
      <c r="Y348" s="24"/>
      <c r="Z348" s="98" t="str">
        <f t="shared" si="64"/>
        <v/>
      </c>
      <c r="AA348" s="40" t="str">
        <f t="shared" si="70"/>
        <v/>
      </c>
      <c r="AB348" s="88"/>
      <c r="AC348" s="24"/>
      <c r="AD348" s="24"/>
      <c r="AE348" s="79" t="str">
        <f t="shared" si="65"/>
        <v/>
      </c>
      <c r="AF348" s="24"/>
      <c r="AG348" s="24"/>
      <c r="AH348" s="24"/>
      <c r="AI348" s="24"/>
      <c r="AJ348" s="99" t="str">
        <f t="shared" si="66"/>
        <v/>
      </c>
      <c r="AK348" s="31" t="str">
        <f t="shared" si="71"/>
        <v/>
      </c>
      <c r="AN348" s="139" t="str">
        <f>IF($K348="","",VLOOKUP($K348,'ORF Accuracy Value LookUp'!$G$4:$H$104,2,TRUE))</f>
        <v/>
      </c>
      <c r="AO348" s="94" t="str">
        <f t="shared" si="67"/>
        <v/>
      </c>
      <c r="AP348" s="47" t="str">
        <f>IF($U348="","",VLOOKUP($U348,'ORF Accuracy Value LookUp'!$G$4:$H$104,2,TRUE))</f>
        <v/>
      </c>
      <c r="AQ348" s="94" t="str">
        <f t="shared" si="68"/>
        <v/>
      </c>
      <c r="AR348" s="46" t="str">
        <f>IF($AE348="","",VLOOKUP($AE348,'ORF Accuracy Value LookUp'!$G$4:$H$104,2,TRUE))</f>
        <v/>
      </c>
      <c r="AS348" s="140" t="str">
        <f t="shared" si="69"/>
        <v/>
      </c>
    </row>
    <row r="349" spans="1:45">
      <c r="A349" s="10"/>
      <c r="B349" s="9"/>
      <c r="C349" s="9"/>
      <c r="D349" s="9"/>
      <c r="E349" s="10"/>
      <c r="F349" s="11"/>
      <c r="G349" s="15"/>
      <c r="H349" s="88"/>
      <c r="I349" s="24"/>
      <c r="J349" s="24"/>
      <c r="K349" s="114" t="str">
        <f t="shared" si="60"/>
        <v/>
      </c>
      <c r="L349" s="24"/>
      <c r="M349" s="24"/>
      <c r="N349" s="24"/>
      <c r="O349" s="24"/>
      <c r="P349" s="97" t="str">
        <f t="shared" si="61"/>
        <v/>
      </c>
      <c r="Q349" s="113" t="str">
        <f t="shared" si="62"/>
        <v/>
      </c>
      <c r="R349" s="88"/>
      <c r="S349" s="24"/>
      <c r="T349" s="24"/>
      <c r="U349" s="78" t="str">
        <f t="shared" si="63"/>
        <v/>
      </c>
      <c r="V349" s="24"/>
      <c r="W349" s="24"/>
      <c r="X349" s="24"/>
      <c r="Y349" s="24"/>
      <c r="Z349" s="98" t="str">
        <f t="shared" si="64"/>
        <v/>
      </c>
      <c r="AA349" s="40" t="str">
        <f t="shared" si="70"/>
        <v/>
      </c>
      <c r="AB349" s="88"/>
      <c r="AC349" s="24"/>
      <c r="AD349" s="24"/>
      <c r="AE349" s="79" t="str">
        <f t="shared" si="65"/>
        <v/>
      </c>
      <c r="AF349" s="24"/>
      <c r="AG349" s="24"/>
      <c r="AH349" s="24"/>
      <c r="AI349" s="24"/>
      <c r="AJ349" s="99" t="str">
        <f t="shared" si="66"/>
        <v/>
      </c>
      <c r="AK349" s="31" t="str">
        <f t="shared" si="71"/>
        <v/>
      </c>
      <c r="AN349" s="139" t="str">
        <f>IF($K349="","",VLOOKUP($K349,'ORF Accuracy Value LookUp'!$G$4:$H$104,2,TRUE))</f>
        <v/>
      </c>
      <c r="AO349" s="94" t="str">
        <f t="shared" si="67"/>
        <v/>
      </c>
      <c r="AP349" s="47" t="str">
        <f>IF($U349="","",VLOOKUP($U349,'ORF Accuracy Value LookUp'!$G$4:$H$104,2,TRUE))</f>
        <v/>
      </c>
      <c r="AQ349" s="94" t="str">
        <f t="shared" si="68"/>
        <v/>
      </c>
      <c r="AR349" s="46" t="str">
        <f>IF($AE349="","",VLOOKUP($AE349,'ORF Accuracy Value LookUp'!$G$4:$H$104,2,TRUE))</f>
        <v/>
      </c>
      <c r="AS349" s="140" t="str">
        <f t="shared" si="69"/>
        <v/>
      </c>
    </row>
    <row r="350" spans="1:45">
      <c r="A350" s="10"/>
      <c r="B350" s="9"/>
      <c r="C350" s="9"/>
      <c r="D350" s="9"/>
      <c r="E350" s="10"/>
      <c r="F350" s="11"/>
      <c r="G350" s="15"/>
      <c r="H350" s="88"/>
      <c r="I350" s="24"/>
      <c r="J350" s="24"/>
      <c r="K350" s="114" t="str">
        <f t="shared" si="60"/>
        <v/>
      </c>
      <c r="L350" s="24"/>
      <c r="M350" s="24"/>
      <c r="N350" s="24"/>
      <c r="O350" s="24"/>
      <c r="P350" s="97" t="str">
        <f t="shared" si="61"/>
        <v/>
      </c>
      <c r="Q350" s="113" t="str">
        <f t="shared" si="62"/>
        <v/>
      </c>
      <c r="R350" s="88"/>
      <c r="S350" s="24"/>
      <c r="T350" s="24"/>
      <c r="U350" s="78" t="str">
        <f t="shared" si="63"/>
        <v/>
      </c>
      <c r="V350" s="24"/>
      <c r="W350" s="24"/>
      <c r="X350" s="24"/>
      <c r="Y350" s="24"/>
      <c r="Z350" s="98" t="str">
        <f t="shared" si="64"/>
        <v/>
      </c>
      <c r="AA350" s="40" t="str">
        <f t="shared" si="70"/>
        <v/>
      </c>
      <c r="AB350" s="88"/>
      <c r="AC350" s="24"/>
      <c r="AD350" s="24"/>
      <c r="AE350" s="79" t="str">
        <f t="shared" si="65"/>
        <v/>
      </c>
      <c r="AF350" s="24"/>
      <c r="AG350" s="24"/>
      <c r="AH350" s="24"/>
      <c r="AI350" s="24"/>
      <c r="AJ350" s="99" t="str">
        <f t="shared" si="66"/>
        <v/>
      </c>
      <c r="AK350" s="31" t="str">
        <f t="shared" si="71"/>
        <v/>
      </c>
      <c r="AN350" s="139" t="str">
        <f>IF($K350="","",VLOOKUP($K350,'ORF Accuracy Value LookUp'!$G$4:$H$104,2,TRUE))</f>
        <v/>
      </c>
      <c r="AO350" s="94" t="str">
        <f t="shared" si="67"/>
        <v/>
      </c>
      <c r="AP350" s="47" t="str">
        <f>IF($U350="","",VLOOKUP($U350,'ORF Accuracy Value LookUp'!$G$4:$H$104,2,TRUE))</f>
        <v/>
      </c>
      <c r="AQ350" s="94" t="str">
        <f t="shared" si="68"/>
        <v/>
      </c>
      <c r="AR350" s="46" t="str">
        <f>IF($AE350="","",VLOOKUP($AE350,'ORF Accuracy Value LookUp'!$G$4:$H$104,2,TRUE))</f>
        <v/>
      </c>
      <c r="AS350" s="140" t="str">
        <f t="shared" si="69"/>
        <v/>
      </c>
    </row>
    <row r="351" spans="1:45">
      <c r="A351" s="10"/>
      <c r="B351" s="9"/>
      <c r="C351" s="9"/>
      <c r="D351" s="9"/>
      <c r="E351" s="10"/>
      <c r="F351" s="11"/>
      <c r="G351" s="15"/>
      <c r="H351" s="88"/>
      <c r="I351" s="24"/>
      <c r="J351" s="24"/>
      <c r="K351" s="114" t="str">
        <f t="shared" si="60"/>
        <v/>
      </c>
      <c r="L351" s="24"/>
      <c r="M351" s="24"/>
      <c r="N351" s="24"/>
      <c r="O351" s="24"/>
      <c r="P351" s="97" t="str">
        <f t="shared" si="61"/>
        <v/>
      </c>
      <c r="Q351" s="113" t="str">
        <f t="shared" si="62"/>
        <v/>
      </c>
      <c r="R351" s="88"/>
      <c r="S351" s="24"/>
      <c r="T351" s="24"/>
      <c r="U351" s="78" t="str">
        <f t="shared" si="63"/>
        <v/>
      </c>
      <c r="V351" s="24"/>
      <c r="W351" s="24"/>
      <c r="X351" s="24"/>
      <c r="Y351" s="24"/>
      <c r="Z351" s="98" t="str">
        <f t="shared" si="64"/>
        <v/>
      </c>
      <c r="AA351" s="40" t="str">
        <f t="shared" si="70"/>
        <v/>
      </c>
      <c r="AB351" s="88"/>
      <c r="AC351" s="24"/>
      <c r="AD351" s="24"/>
      <c r="AE351" s="79" t="str">
        <f t="shared" si="65"/>
        <v/>
      </c>
      <c r="AF351" s="24"/>
      <c r="AG351" s="24"/>
      <c r="AH351" s="24"/>
      <c r="AI351" s="24"/>
      <c r="AJ351" s="99" t="str">
        <f t="shared" si="66"/>
        <v/>
      </c>
      <c r="AK351" s="31" t="str">
        <f t="shared" si="71"/>
        <v/>
      </c>
      <c r="AN351" s="139" t="str">
        <f>IF($K351="","",VLOOKUP($K351,'ORF Accuracy Value LookUp'!$G$4:$H$104,2,TRUE))</f>
        <v/>
      </c>
      <c r="AO351" s="94" t="str">
        <f t="shared" si="67"/>
        <v/>
      </c>
      <c r="AP351" s="47" t="str">
        <f>IF($U351="","",VLOOKUP($U351,'ORF Accuracy Value LookUp'!$G$4:$H$104,2,TRUE))</f>
        <v/>
      </c>
      <c r="AQ351" s="94" t="str">
        <f t="shared" si="68"/>
        <v/>
      </c>
      <c r="AR351" s="46" t="str">
        <f>IF($AE351="","",VLOOKUP($AE351,'ORF Accuracy Value LookUp'!$G$4:$H$104,2,TRUE))</f>
        <v/>
      </c>
      <c r="AS351" s="140" t="str">
        <f t="shared" si="69"/>
        <v/>
      </c>
    </row>
    <row r="352" spans="1:45">
      <c r="A352" s="10"/>
      <c r="B352" s="9"/>
      <c r="C352" s="9"/>
      <c r="D352" s="9"/>
      <c r="E352" s="10"/>
      <c r="F352" s="11"/>
      <c r="G352" s="15"/>
      <c r="H352" s="88"/>
      <c r="I352" s="24"/>
      <c r="J352" s="24"/>
      <c r="K352" s="114" t="str">
        <f t="shared" si="60"/>
        <v/>
      </c>
      <c r="L352" s="24"/>
      <c r="M352" s="24"/>
      <c r="N352" s="24"/>
      <c r="O352" s="24"/>
      <c r="P352" s="97" t="str">
        <f t="shared" si="61"/>
        <v/>
      </c>
      <c r="Q352" s="113" t="str">
        <f t="shared" si="62"/>
        <v/>
      </c>
      <c r="R352" s="88"/>
      <c r="S352" s="24"/>
      <c r="T352" s="24"/>
      <c r="U352" s="78" t="str">
        <f t="shared" si="63"/>
        <v/>
      </c>
      <c r="V352" s="24"/>
      <c r="W352" s="24"/>
      <c r="X352" s="24"/>
      <c r="Y352" s="24"/>
      <c r="Z352" s="98" t="str">
        <f t="shared" si="64"/>
        <v/>
      </c>
      <c r="AA352" s="40" t="str">
        <f t="shared" si="70"/>
        <v/>
      </c>
      <c r="AB352" s="88"/>
      <c r="AC352" s="24"/>
      <c r="AD352" s="24"/>
      <c r="AE352" s="79" t="str">
        <f t="shared" si="65"/>
        <v/>
      </c>
      <c r="AF352" s="24"/>
      <c r="AG352" s="24"/>
      <c r="AH352" s="24"/>
      <c r="AI352" s="24"/>
      <c r="AJ352" s="99" t="str">
        <f t="shared" si="66"/>
        <v/>
      </c>
      <c r="AK352" s="31" t="str">
        <f t="shared" si="71"/>
        <v/>
      </c>
      <c r="AN352" s="139" t="str">
        <f>IF($K352="","",VLOOKUP($K352,'ORF Accuracy Value LookUp'!$G$4:$H$104,2,TRUE))</f>
        <v/>
      </c>
      <c r="AO352" s="94" t="str">
        <f t="shared" si="67"/>
        <v/>
      </c>
      <c r="AP352" s="47" t="str">
        <f>IF($U352="","",VLOOKUP($U352,'ORF Accuracy Value LookUp'!$G$4:$H$104,2,TRUE))</f>
        <v/>
      </c>
      <c r="AQ352" s="94" t="str">
        <f t="shared" si="68"/>
        <v/>
      </c>
      <c r="AR352" s="46" t="str">
        <f>IF($AE352="","",VLOOKUP($AE352,'ORF Accuracy Value LookUp'!$G$4:$H$104,2,TRUE))</f>
        <v/>
      </c>
      <c r="AS352" s="140" t="str">
        <f t="shared" si="69"/>
        <v/>
      </c>
    </row>
    <row r="353" spans="1:45">
      <c r="A353" s="10"/>
      <c r="B353" s="9"/>
      <c r="C353" s="9"/>
      <c r="D353" s="9"/>
      <c r="E353" s="10"/>
      <c r="F353" s="11"/>
      <c r="G353" s="15"/>
      <c r="H353" s="88"/>
      <c r="I353" s="24"/>
      <c r="J353" s="24"/>
      <c r="K353" s="114" t="str">
        <f t="shared" si="60"/>
        <v/>
      </c>
      <c r="L353" s="24"/>
      <c r="M353" s="24"/>
      <c r="N353" s="24"/>
      <c r="O353" s="24"/>
      <c r="P353" s="97" t="str">
        <f t="shared" si="61"/>
        <v/>
      </c>
      <c r="Q353" s="113" t="str">
        <f t="shared" si="62"/>
        <v/>
      </c>
      <c r="R353" s="88"/>
      <c r="S353" s="24"/>
      <c r="T353" s="24"/>
      <c r="U353" s="78" t="str">
        <f t="shared" si="63"/>
        <v/>
      </c>
      <c r="V353" s="24"/>
      <c r="W353" s="24"/>
      <c r="X353" s="24"/>
      <c r="Y353" s="24"/>
      <c r="Z353" s="98" t="str">
        <f t="shared" si="64"/>
        <v/>
      </c>
      <c r="AA353" s="40" t="str">
        <f t="shared" si="70"/>
        <v/>
      </c>
      <c r="AB353" s="88"/>
      <c r="AC353" s="24"/>
      <c r="AD353" s="24"/>
      <c r="AE353" s="79" t="str">
        <f t="shared" si="65"/>
        <v/>
      </c>
      <c r="AF353" s="24"/>
      <c r="AG353" s="24"/>
      <c r="AH353" s="24"/>
      <c r="AI353" s="24"/>
      <c r="AJ353" s="99" t="str">
        <f t="shared" si="66"/>
        <v/>
      </c>
      <c r="AK353" s="31" t="str">
        <f t="shared" si="71"/>
        <v/>
      </c>
      <c r="AN353" s="139" t="str">
        <f>IF($K353="","",VLOOKUP($K353,'ORF Accuracy Value LookUp'!$G$4:$H$104,2,TRUE))</f>
        <v/>
      </c>
      <c r="AO353" s="94" t="str">
        <f t="shared" si="67"/>
        <v/>
      </c>
      <c r="AP353" s="47" t="str">
        <f>IF($U353="","",VLOOKUP($U353,'ORF Accuracy Value LookUp'!$G$4:$H$104,2,TRUE))</f>
        <v/>
      </c>
      <c r="AQ353" s="94" t="str">
        <f t="shared" si="68"/>
        <v/>
      </c>
      <c r="AR353" s="46" t="str">
        <f>IF($AE353="","",VLOOKUP($AE353,'ORF Accuracy Value LookUp'!$G$4:$H$104,2,TRUE))</f>
        <v/>
      </c>
      <c r="AS353" s="140" t="str">
        <f t="shared" si="69"/>
        <v/>
      </c>
    </row>
    <row r="354" spans="1:45">
      <c r="A354" s="10"/>
      <c r="B354" s="9"/>
      <c r="C354" s="9"/>
      <c r="D354" s="9"/>
      <c r="E354" s="10"/>
      <c r="F354" s="11"/>
      <c r="G354" s="15"/>
      <c r="H354" s="88"/>
      <c r="I354" s="24"/>
      <c r="J354" s="24"/>
      <c r="K354" s="114" t="str">
        <f t="shared" si="60"/>
        <v/>
      </c>
      <c r="L354" s="24"/>
      <c r="M354" s="24"/>
      <c r="N354" s="24"/>
      <c r="O354" s="24"/>
      <c r="P354" s="97" t="str">
        <f t="shared" si="61"/>
        <v/>
      </c>
      <c r="Q354" s="113" t="str">
        <f t="shared" si="62"/>
        <v/>
      </c>
      <c r="R354" s="88"/>
      <c r="S354" s="24"/>
      <c r="T354" s="24"/>
      <c r="U354" s="78" t="str">
        <f t="shared" si="63"/>
        <v/>
      </c>
      <c r="V354" s="24"/>
      <c r="W354" s="24"/>
      <c r="X354" s="24"/>
      <c r="Y354" s="24"/>
      <c r="Z354" s="98" t="str">
        <f t="shared" si="64"/>
        <v/>
      </c>
      <c r="AA354" s="40" t="str">
        <f t="shared" si="70"/>
        <v/>
      </c>
      <c r="AB354" s="88"/>
      <c r="AC354" s="24"/>
      <c r="AD354" s="24"/>
      <c r="AE354" s="79" t="str">
        <f t="shared" si="65"/>
        <v/>
      </c>
      <c r="AF354" s="24"/>
      <c r="AG354" s="24"/>
      <c r="AH354" s="24"/>
      <c r="AI354" s="24"/>
      <c r="AJ354" s="99" t="str">
        <f t="shared" si="66"/>
        <v/>
      </c>
      <c r="AK354" s="31" t="str">
        <f t="shared" si="71"/>
        <v/>
      </c>
      <c r="AN354" s="139" t="str">
        <f>IF($K354="","",VLOOKUP($K354,'ORF Accuracy Value LookUp'!$G$4:$H$104,2,TRUE))</f>
        <v/>
      </c>
      <c r="AO354" s="94" t="str">
        <f t="shared" si="67"/>
        <v/>
      </c>
      <c r="AP354" s="47" t="str">
        <f>IF($U354="","",VLOOKUP($U354,'ORF Accuracy Value LookUp'!$G$4:$H$104,2,TRUE))</f>
        <v/>
      </c>
      <c r="AQ354" s="94" t="str">
        <f t="shared" si="68"/>
        <v/>
      </c>
      <c r="AR354" s="46" t="str">
        <f>IF($AE354="","",VLOOKUP($AE354,'ORF Accuracy Value LookUp'!$G$4:$H$104,2,TRUE))</f>
        <v/>
      </c>
      <c r="AS354" s="140" t="str">
        <f t="shared" si="69"/>
        <v/>
      </c>
    </row>
    <row r="355" spans="1:45">
      <c r="A355" s="10"/>
      <c r="B355" s="9"/>
      <c r="C355" s="9"/>
      <c r="D355" s="9"/>
      <c r="E355" s="10"/>
      <c r="F355" s="11"/>
      <c r="G355" s="15"/>
      <c r="H355" s="88"/>
      <c r="I355" s="24"/>
      <c r="J355" s="24"/>
      <c r="K355" s="114" t="str">
        <f t="shared" si="60"/>
        <v/>
      </c>
      <c r="L355" s="24"/>
      <c r="M355" s="24"/>
      <c r="N355" s="24"/>
      <c r="O355" s="24"/>
      <c r="P355" s="97" t="str">
        <f t="shared" si="61"/>
        <v/>
      </c>
      <c r="Q355" s="113" t="str">
        <f t="shared" si="62"/>
        <v/>
      </c>
      <c r="R355" s="88"/>
      <c r="S355" s="24"/>
      <c r="T355" s="24"/>
      <c r="U355" s="78" t="str">
        <f t="shared" si="63"/>
        <v/>
      </c>
      <c r="V355" s="24"/>
      <c r="W355" s="24"/>
      <c r="X355" s="24"/>
      <c r="Y355" s="24"/>
      <c r="Z355" s="98" t="str">
        <f t="shared" si="64"/>
        <v/>
      </c>
      <c r="AA355" s="40" t="str">
        <f t="shared" si="70"/>
        <v/>
      </c>
      <c r="AB355" s="88"/>
      <c r="AC355" s="24"/>
      <c r="AD355" s="24"/>
      <c r="AE355" s="79" t="str">
        <f t="shared" si="65"/>
        <v/>
      </c>
      <c r="AF355" s="24"/>
      <c r="AG355" s="24"/>
      <c r="AH355" s="24"/>
      <c r="AI355" s="24"/>
      <c r="AJ355" s="99" t="str">
        <f t="shared" si="66"/>
        <v/>
      </c>
      <c r="AK355" s="31" t="str">
        <f t="shared" si="71"/>
        <v/>
      </c>
      <c r="AN355" s="139" t="str">
        <f>IF($K355="","",VLOOKUP($K355,'ORF Accuracy Value LookUp'!$G$4:$H$104,2,TRUE))</f>
        <v/>
      </c>
      <c r="AO355" s="94" t="str">
        <f t="shared" si="67"/>
        <v/>
      </c>
      <c r="AP355" s="47" t="str">
        <f>IF($U355="","",VLOOKUP($U355,'ORF Accuracy Value LookUp'!$G$4:$H$104,2,TRUE))</f>
        <v/>
      </c>
      <c r="AQ355" s="94" t="str">
        <f t="shared" si="68"/>
        <v/>
      </c>
      <c r="AR355" s="46" t="str">
        <f>IF($AE355="","",VLOOKUP($AE355,'ORF Accuracy Value LookUp'!$G$4:$H$104,2,TRUE))</f>
        <v/>
      </c>
      <c r="AS355" s="140" t="str">
        <f t="shared" si="69"/>
        <v/>
      </c>
    </row>
    <row r="356" spans="1:45">
      <c r="A356" s="10"/>
      <c r="B356" s="9"/>
      <c r="C356" s="9"/>
      <c r="D356" s="9"/>
      <c r="E356" s="10"/>
      <c r="F356" s="11"/>
      <c r="G356" s="15"/>
      <c r="H356" s="88"/>
      <c r="I356" s="24"/>
      <c r="J356" s="24"/>
      <c r="K356" s="114" t="str">
        <f t="shared" si="60"/>
        <v/>
      </c>
      <c r="L356" s="24"/>
      <c r="M356" s="24"/>
      <c r="N356" s="24"/>
      <c r="O356" s="24"/>
      <c r="P356" s="97" t="str">
        <f t="shared" si="61"/>
        <v/>
      </c>
      <c r="Q356" s="113" t="str">
        <f t="shared" si="62"/>
        <v/>
      </c>
      <c r="R356" s="88"/>
      <c r="S356" s="24"/>
      <c r="T356" s="24"/>
      <c r="U356" s="78" t="str">
        <f t="shared" si="63"/>
        <v/>
      </c>
      <c r="V356" s="24"/>
      <c r="W356" s="24"/>
      <c r="X356" s="24"/>
      <c r="Y356" s="24"/>
      <c r="Z356" s="98" t="str">
        <f t="shared" si="64"/>
        <v/>
      </c>
      <c r="AA356" s="40" t="str">
        <f t="shared" si="70"/>
        <v/>
      </c>
      <c r="AB356" s="88"/>
      <c r="AC356" s="24"/>
      <c r="AD356" s="24"/>
      <c r="AE356" s="79" t="str">
        <f t="shared" si="65"/>
        <v/>
      </c>
      <c r="AF356" s="24"/>
      <c r="AG356" s="24"/>
      <c r="AH356" s="24"/>
      <c r="AI356" s="24"/>
      <c r="AJ356" s="99" t="str">
        <f t="shared" si="66"/>
        <v/>
      </c>
      <c r="AK356" s="31" t="str">
        <f t="shared" si="71"/>
        <v/>
      </c>
      <c r="AN356" s="139" t="str">
        <f>IF($K356="","",VLOOKUP($K356,'ORF Accuracy Value LookUp'!$G$4:$H$104,2,TRUE))</f>
        <v/>
      </c>
      <c r="AO356" s="94" t="str">
        <f t="shared" si="67"/>
        <v/>
      </c>
      <c r="AP356" s="47" t="str">
        <f>IF($U356="","",VLOOKUP($U356,'ORF Accuracy Value LookUp'!$G$4:$H$104,2,TRUE))</f>
        <v/>
      </c>
      <c r="AQ356" s="94" t="str">
        <f t="shared" si="68"/>
        <v/>
      </c>
      <c r="AR356" s="46" t="str">
        <f>IF($AE356="","",VLOOKUP($AE356,'ORF Accuracy Value LookUp'!$G$4:$H$104,2,TRUE))</f>
        <v/>
      </c>
      <c r="AS356" s="140" t="str">
        <f t="shared" si="69"/>
        <v/>
      </c>
    </row>
    <row r="357" spans="1:45">
      <c r="A357" s="10"/>
      <c r="B357" s="9"/>
      <c r="C357" s="9"/>
      <c r="D357" s="9"/>
      <c r="E357" s="10"/>
      <c r="F357" s="11"/>
      <c r="G357" s="15"/>
      <c r="H357" s="88"/>
      <c r="I357" s="24"/>
      <c r="J357" s="24"/>
      <c r="K357" s="114" t="str">
        <f t="shared" si="60"/>
        <v/>
      </c>
      <c r="L357" s="24"/>
      <c r="M357" s="24"/>
      <c r="N357" s="24"/>
      <c r="O357" s="24"/>
      <c r="P357" s="97" t="str">
        <f t="shared" si="61"/>
        <v/>
      </c>
      <c r="Q357" s="113" t="str">
        <f t="shared" si="62"/>
        <v/>
      </c>
      <c r="R357" s="88"/>
      <c r="S357" s="24"/>
      <c r="T357" s="24"/>
      <c r="U357" s="78" t="str">
        <f t="shared" si="63"/>
        <v/>
      </c>
      <c r="V357" s="24"/>
      <c r="W357" s="24"/>
      <c r="X357" s="24"/>
      <c r="Y357" s="24"/>
      <c r="Z357" s="98" t="str">
        <f t="shared" si="64"/>
        <v/>
      </c>
      <c r="AA357" s="40" t="str">
        <f t="shared" si="70"/>
        <v/>
      </c>
      <c r="AB357" s="88"/>
      <c r="AC357" s="24"/>
      <c r="AD357" s="24"/>
      <c r="AE357" s="79" t="str">
        <f t="shared" si="65"/>
        <v/>
      </c>
      <c r="AF357" s="24"/>
      <c r="AG357" s="24"/>
      <c r="AH357" s="24"/>
      <c r="AI357" s="24"/>
      <c r="AJ357" s="99" t="str">
        <f t="shared" si="66"/>
        <v/>
      </c>
      <c r="AK357" s="31" t="str">
        <f t="shared" si="71"/>
        <v/>
      </c>
      <c r="AN357" s="139" t="str">
        <f>IF($K357="","",VLOOKUP($K357,'ORF Accuracy Value LookUp'!$G$4:$H$104,2,TRUE))</f>
        <v/>
      </c>
      <c r="AO357" s="94" t="str">
        <f t="shared" si="67"/>
        <v/>
      </c>
      <c r="AP357" s="47" t="str">
        <f>IF($U357="","",VLOOKUP($U357,'ORF Accuracy Value LookUp'!$G$4:$H$104,2,TRUE))</f>
        <v/>
      </c>
      <c r="AQ357" s="94" t="str">
        <f t="shared" si="68"/>
        <v/>
      </c>
      <c r="AR357" s="46" t="str">
        <f>IF($AE357="","",VLOOKUP($AE357,'ORF Accuracy Value LookUp'!$G$4:$H$104,2,TRUE))</f>
        <v/>
      </c>
      <c r="AS357" s="140" t="str">
        <f t="shared" si="69"/>
        <v/>
      </c>
    </row>
    <row r="358" spans="1:45">
      <c r="A358" s="10"/>
      <c r="B358" s="9"/>
      <c r="C358" s="9"/>
      <c r="D358" s="9"/>
      <c r="E358" s="10"/>
      <c r="F358" s="11"/>
      <c r="G358" s="15"/>
      <c r="H358" s="88"/>
      <c r="I358" s="24"/>
      <c r="J358" s="24"/>
      <c r="K358" s="114" t="str">
        <f t="shared" si="60"/>
        <v/>
      </c>
      <c r="L358" s="24"/>
      <c r="M358" s="24"/>
      <c r="N358" s="24"/>
      <c r="O358" s="24"/>
      <c r="P358" s="97" t="str">
        <f t="shared" si="61"/>
        <v/>
      </c>
      <c r="Q358" s="113" t="str">
        <f t="shared" si="62"/>
        <v/>
      </c>
      <c r="R358" s="88"/>
      <c r="S358" s="24"/>
      <c r="T358" s="24"/>
      <c r="U358" s="78" t="str">
        <f t="shared" si="63"/>
        <v/>
      </c>
      <c r="V358" s="24"/>
      <c r="W358" s="24"/>
      <c r="X358" s="24"/>
      <c r="Y358" s="24"/>
      <c r="Z358" s="98" t="str">
        <f t="shared" si="64"/>
        <v/>
      </c>
      <c r="AA358" s="40" t="str">
        <f t="shared" si="70"/>
        <v/>
      </c>
      <c r="AB358" s="88"/>
      <c r="AC358" s="24"/>
      <c r="AD358" s="24"/>
      <c r="AE358" s="79" t="str">
        <f t="shared" si="65"/>
        <v/>
      </c>
      <c r="AF358" s="24"/>
      <c r="AG358" s="24"/>
      <c r="AH358" s="24"/>
      <c r="AI358" s="24"/>
      <c r="AJ358" s="99" t="str">
        <f t="shared" si="66"/>
        <v/>
      </c>
      <c r="AK358" s="31" t="str">
        <f t="shared" si="71"/>
        <v/>
      </c>
      <c r="AN358" s="139" t="str">
        <f>IF($K358="","",VLOOKUP($K358,'ORF Accuracy Value LookUp'!$G$4:$H$104,2,TRUE))</f>
        <v/>
      </c>
      <c r="AO358" s="94" t="str">
        <f t="shared" si="67"/>
        <v/>
      </c>
      <c r="AP358" s="47" t="str">
        <f>IF($U358="","",VLOOKUP($U358,'ORF Accuracy Value LookUp'!$G$4:$H$104,2,TRUE))</f>
        <v/>
      </c>
      <c r="AQ358" s="94" t="str">
        <f t="shared" si="68"/>
        <v/>
      </c>
      <c r="AR358" s="46" t="str">
        <f>IF($AE358="","",VLOOKUP($AE358,'ORF Accuracy Value LookUp'!$G$4:$H$104,2,TRUE))</f>
        <v/>
      </c>
      <c r="AS358" s="140" t="str">
        <f t="shared" si="69"/>
        <v/>
      </c>
    </row>
    <row r="359" spans="1:45">
      <c r="A359" s="10"/>
      <c r="B359" s="9"/>
      <c r="C359" s="9"/>
      <c r="D359" s="9"/>
      <c r="E359" s="10"/>
      <c r="F359" s="11"/>
      <c r="G359" s="15"/>
      <c r="H359" s="88"/>
      <c r="I359" s="24"/>
      <c r="J359" s="24"/>
      <c r="K359" s="114" t="str">
        <f t="shared" si="60"/>
        <v/>
      </c>
      <c r="L359" s="24"/>
      <c r="M359" s="24"/>
      <c r="N359" s="24"/>
      <c r="O359" s="24"/>
      <c r="P359" s="97" t="str">
        <f t="shared" si="61"/>
        <v/>
      </c>
      <c r="Q359" s="113" t="str">
        <f t="shared" si="62"/>
        <v/>
      </c>
      <c r="R359" s="88"/>
      <c r="S359" s="24"/>
      <c r="T359" s="24"/>
      <c r="U359" s="78" t="str">
        <f t="shared" si="63"/>
        <v/>
      </c>
      <c r="V359" s="24"/>
      <c r="W359" s="24"/>
      <c r="X359" s="24"/>
      <c r="Y359" s="24"/>
      <c r="Z359" s="98" t="str">
        <f t="shared" si="64"/>
        <v/>
      </c>
      <c r="AA359" s="40" t="str">
        <f t="shared" si="70"/>
        <v/>
      </c>
      <c r="AB359" s="88"/>
      <c r="AC359" s="24"/>
      <c r="AD359" s="24"/>
      <c r="AE359" s="79" t="str">
        <f t="shared" si="65"/>
        <v/>
      </c>
      <c r="AF359" s="24"/>
      <c r="AG359" s="24"/>
      <c r="AH359" s="24"/>
      <c r="AI359" s="24"/>
      <c r="AJ359" s="99" t="str">
        <f t="shared" si="66"/>
        <v/>
      </c>
      <c r="AK359" s="31" t="str">
        <f t="shared" si="71"/>
        <v/>
      </c>
      <c r="AN359" s="139" t="str">
        <f>IF($K359="","",VLOOKUP($K359,'ORF Accuracy Value LookUp'!$G$4:$H$104,2,TRUE))</f>
        <v/>
      </c>
      <c r="AO359" s="94" t="str">
        <f t="shared" si="67"/>
        <v/>
      </c>
      <c r="AP359" s="47" t="str">
        <f>IF($U359="","",VLOOKUP($U359,'ORF Accuracy Value LookUp'!$G$4:$H$104,2,TRUE))</f>
        <v/>
      </c>
      <c r="AQ359" s="94" t="str">
        <f t="shared" si="68"/>
        <v/>
      </c>
      <c r="AR359" s="46" t="str">
        <f>IF($AE359="","",VLOOKUP($AE359,'ORF Accuracy Value LookUp'!$G$4:$H$104,2,TRUE))</f>
        <v/>
      </c>
      <c r="AS359" s="140" t="str">
        <f t="shared" si="69"/>
        <v/>
      </c>
    </row>
    <row r="360" spans="1:45">
      <c r="A360" s="10"/>
      <c r="B360" s="9"/>
      <c r="C360" s="9"/>
      <c r="D360" s="9"/>
      <c r="E360" s="10"/>
      <c r="F360" s="11"/>
      <c r="G360" s="15"/>
      <c r="H360" s="88"/>
      <c r="I360" s="24"/>
      <c r="J360" s="24"/>
      <c r="K360" s="114" t="str">
        <f t="shared" si="60"/>
        <v/>
      </c>
      <c r="L360" s="24"/>
      <c r="M360" s="24"/>
      <c r="N360" s="24"/>
      <c r="O360" s="24"/>
      <c r="P360" s="97" t="str">
        <f t="shared" si="61"/>
        <v/>
      </c>
      <c r="Q360" s="113" t="str">
        <f t="shared" si="62"/>
        <v/>
      </c>
      <c r="R360" s="88"/>
      <c r="S360" s="24"/>
      <c r="T360" s="24"/>
      <c r="U360" s="78" t="str">
        <f t="shared" si="63"/>
        <v/>
      </c>
      <c r="V360" s="24"/>
      <c r="W360" s="24"/>
      <c r="X360" s="24"/>
      <c r="Y360" s="24"/>
      <c r="Z360" s="98" t="str">
        <f t="shared" si="64"/>
        <v/>
      </c>
      <c r="AA360" s="40" t="str">
        <f t="shared" si="70"/>
        <v/>
      </c>
      <c r="AB360" s="88"/>
      <c r="AC360" s="24"/>
      <c r="AD360" s="24"/>
      <c r="AE360" s="79" t="str">
        <f t="shared" si="65"/>
        <v/>
      </c>
      <c r="AF360" s="24"/>
      <c r="AG360" s="24"/>
      <c r="AH360" s="24"/>
      <c r="AI360" s="24"/>
      <c r="AJ360" s="99" t="str">
        <f t="shared" si="66"/>
        <v/>
      </c>
      <c r="AK360" s="31" t="str">
        <f t="shared" si="71"/>
        <v/>
      </c>
      <c r="AN360" s="139" t="str">
        <f>IF($K360="","",VLOOKUP($K360,'ORF Accuracy Value LookUp'!$G$4:$H$104,2,TRUE))</f>
        <v/>
      </c>
      <c r="AO360" s="94" t="str">
        <f t="shared" si="67"/>
        <v/>
      </c>
      <c r="AP360" s="47" t="str">
        <f>IF($U360="","",VLOOKUP($U360,'ORF Accuracy Value LookUp'!$G$4:$H$104,2,TRUE))</f>
        <v/>
      </c>
      <c r="AQ360" s="94" t="str">
        <f t="shared" si="68"/>
        <v/>
      </c>
      <c r="AR360" s="46" t="str">
        <f>IF($AE360="","",VLOOKUP($AE360,'ORF Accuracy Value LookUp'!$G$4:$H$104,2,TRUE))</f>
        <v/>
      </c>
      <c r="AS360" s="140" t="str">
        <f t="shared" si="69"/>
        <v/>
      </c>
    </row>
    <row r="361" spans="1:45">
      <c r="A361" s="10"/>
      <c r="B361" s="9"/>
      <c r="C361" s="9"/>
      <c r="D361" s="9"/>
      <c r="E361" s="10"/>
      <c r="F361" s="11"/>
      <c r="G361" s="15"/>
      <c r="H361" s="88"/>
      <c r="I361" s="24"/>
      <c r="J361" s="24"/>
      <c r="K361" s="114" t="str">
        <f t="shared" si="60"/>
        <v/>
      </c>
      <c r="L361" s="24"/>
      <c r="M361" s="24"/>
      <c r="N361" s="24"/>
      <c r="O361" s="24"/>
      <c r="P361" s="97" t="str">
        <f t="shared" si="61"/>
        <v/>
      </c>
      <c r="Q361" s="113" t="str">
        <f t="shared" si="62"/>
        <v/>
      </c>
      <c r="R361" s="88"/>
      <c r="S361" s="24"/>
      <c r="T361" s="24"/>
      <c r="U361" s="78" t="str">
        <f t="shared" si="63"/>
        <v/>
      </c>
      <c r="V361" s="24"/>
      <c r="W361" s="24"/>
      <c r="X361" s="24"/>
      <c r="Y361" s="24"/>
      <c r="Z361" s="98" t="str">
        <f t="shared" si="64"/>
        <v/>
      </c>
      <c r="AA361" s="40" t="str">
        <f t="shared" si="70"/>
        <v/>
      </c>
      <c r="AB361" s="88"/>
      <c r="AC361" s="24"/>
      <c r="AD361" s="24"/>
      <c r="AE361" s="79" t="str">
        <f t="shared" si="65"/>
        <v/>
      </c>
      <c r="AF361" s="24"/>
      <c r="AG361" s="24"/>
      <c r="AH361" s="24"/>
      <c r="AI361" s="24"/>
      <c r="AJ361" s="99" t="str">
        <f t="shared" si="66"/>
        <v/>
      </c>
      <c r="AK361" s="31" t="str">
        <f t="shared" si="71"/>
        <v/>
      </c>
      <c r="AN361" s="139" t="str">
        <f>IF($K361="","",VLOOKUP($K361,'ORF Accuracy Value LookUp'!$G$4:$H$104,2,TRUE))</f>
        <v/>
      </c>
      <c r="AO361" s="94" t="str">
        <f t="shared" si="67"/>
        <v/>
      </c>
      <c r="AP361" s="47" t="str">
        <f>IF($U361="","",VLOOKUP($U361,'ORF Accuracy Value LookUp'!$G$4:$H$104,2,TRUE))</f>
        <v/>
      </c>
      <c r="AQ361" s="94" t="str">
        <f t="shared" si="68"/>
        <v/>
      </c>
      <c r="AR361" s="46" t="str">
        <f>IF($AE361="","",VLOOKUP($AE361,'ORF Accuracy Value LookUp'!$G$4:$H$104,2,TRUE))</f>
        <v/>
      </c>
      <c r="AS361" s="140" t="str">
        <f t="shared" si="69"/>
        <v/>
      </c>
    </row>
    <row r="362" spans="1:45">
      <c r="A362" s="10"/>
      <c r="B362" s="9"/>
      <c r="C362" s="9"/>
      <c r="D362" s="9"/>
      <c r="E362" s="10"/>
      <c r="F362" s="11"/>
      <c r="G362" s="15"/>
      <c r="H362" s="88"/>
      <c r="I362" s="24"/>
      <c r="J362" s="24"/>
      <c r="K362" s="114" t="str">
        <f t="shared" si="60"/>
        <v/>
      </c>
      <c r="L362" s="24"/>
      <c r="M362" s="24"/>
      <c r="N362" s="24"/>
      <c r="O362" s="24"/>
      <c r="P362" s="97" t="str">
        <f t="shared" si="61"/>
        <v/>
      </c>
      <c r="Q362" s="113" t="str">
        <f t="shared" si="62"/>
        <v/>
      </c>
      <c r="R362" s="88"/>
      <c r="S362" s="24"/>
      <c r="T362" s="24"/>
      <c r="U362" s="78" t="str">
        <f t="shared" si="63"/>
        <v/>
      </c>
      <c r="V362" s="24"/>
      <c r="W362" s="24"/>
      <c r="X362" s="24"/>
      <c r="Y362" s="24"/>
      <c r="Z362" s="98" t="str">
        <f t="shared" si="64"/>
        <v/>
      </c>
      <c r="AA362" s="40" t="str">
        <f t="shared" si="70"/>
        <v/>
      </c>
      <c r="AB362" s="88"/>
      <c r="AC362" s="24"/>
      <c r="AD362" s="24"/>
      <c r="AE362" s="79" t="str">
        <f t="shared" si="65"/>
        <v/>
      </c>
      <c r="AF362" s="24"/>
      <c r="AG362" s="24"/>
      <c r="AH362" s="24"/>
      <c r="AI362" s="24"/>
      <c r="AJ362" s="99" t="str">
        <f t="shared" si="66"/>
        <v/>
      </c>
      <c r="AK362" s="31" t="str">
        <f t="shared" si="71"/>
        <v/>
      </c>
      <c r="AN362" s="139" t="str">
        <f>IF($K362="","",VLOOKUP($K362,'ORF Accuracy Value LookUp'!$G$4:$H$104,2,TRUE))</f>
        <v/>
      </c>
      <c r="AO362" s="94" t="str">
        <f t="shared" si="67"/>
        <v/>
      </c>
      <c r="AP362" s="47" t="str">
        <f>IF($U362="","",VLOOKUP($U362,'ORF Accuracy Value LookUp'!$G$4:$H$104,2,TRUE))</f>
        <v/>
      </c>
      <c r="AQ362" s="94" t="str">
        <f t="shared" si="68"/>
        <v/>
      </c>
      <c r="AR362" s="46" t="str">
        <f>IF($AE362="","",VLOOKUP($AE362,'ORF Accuracy Value LookUp'!$G$4:$H$104,2,TRUE))</f>
        <v/>
      </c>
      <c r="AS362" s="140" t="str">
        <f t="shared" si="69"/>
        <v/>
      </c>
    </row>
    <row r="363" spans="1:45">
      <c r="A363" s="10"/>
      <c r="B363" s="9"/>
      <c r="C363" s="9"/>
      <c r="D363" s="9"/>
      <c r="E363" s="10"/>
      <c r="F363" s="11"/>
      <c r="G363" s="15"/>
      <c r="H363" s="88"/>
      <c r="I363" s="24"/>
      <c r="J363" s="24"/>
      <c r="K363" s="114" t="str">
        <f t="shared" si="60"/>
        <v/>
      </c>
      <c r="L363" s="24"/>
      <c r="M363" s="24"/>
      <c r="N363" s="24"/>
      <c r="O363" s="24"/>
      <c r="P363" s="97" t="str">
        <f t="shared" si="61"/>
        <v/>
      </c>
      <c r="Q363" s="113" t="str">
        <f t="shared" si="62"/>
        <v/>
      </c>
      <c r="R363" s="88"/>
      <c r="S363" s="24"/>
      <c r="T363" s="24"/>
      <c r="U363" s="78" t="str">
        <f t="shared" si="63"/>
        <v/>
      </c>
      <c r="V363" s="24"/>
      <c r="W363" s="24"/>
      <c r="X363" s="24"/>
      <c r="Y363" s="24"/>
      <c r="Z363" s="98" t="str">
        <f t="shared" si="64"/>
        <v/>
      </c>
      <c r="AA363" s="40" t="str">
        <f t="shared" si="70"/>
        <v/>
      </c>
      <c r="AB363" s="88"/>
      <c r="AC363" s="24"/>
      <c r="AD363" s="24"/>
      <c r="AE363" s="79" t="str">
        <f t="shared" si="65"/>
        <v/>
      </c>
      <c r="AF363" s="24"/>
      <c r="AG363" s="24"/>
      <c r="AH363" s="24"/>
      <c r="AI363" s="24"/>
      <c r="AJ363" s="99" t="str">
        <f t="shared" si="66"/>
        <v/>
      </c>
      <c r="AK363" s="31" t="str">
        <f t="shared" si="71"/>
        <v/>
      </c>
      <c r="AN363" s="139" t="str">
        <f>IF($K363="","",VLOOKUP($K363,'ORF Accuracy Value LookUp'!$G$4:$H$104,2,TRUE))</f>
        <v/>
      </c>
      <c r="AO363" s="94" t="str">
        <f t="shared" si="67"/>
        <v/>
      </c>
      <c r="AP363" s="47" t="str">
        <f>IF($U363="","",VLOOKUP($U363,'ORF Accuracy Value LookUp'!$G$4:$H$104,2,TRUE))</f>
        <v/>
      </c>
      <c r="AQ363" s="94" t="str">
        <f t="shared" si="68"/>
        <v/>
      </c>
      <c r="AR363" s="46" t="str">
        <f>IF($AE363="","",VLOOKUP($AE363,'ORF Accuracy Value LookUp'!$G$4:$H$104,2,TRUE))</f>
        <v/>
      </c>
      <c r="AS363" s="140" t="str">
        <f t="shared" si="69"/>
        <v/>
      </c>
    </row>
    <row r="364" spans="1:45">
      <c r="A364" s="10"/>
      <c r="B364" s="9"/>
      <c r="C364" s="9"/>
      <c r="D364" s="9"/>
      <c r="E364" s="10"/>
      <c r="F364" s="11"/>
      <c r="G364" s="15"/>
      <c r="H364" s="88"/>
      <c r="I364" s="24"/>
      <c r="J364" s="24"/>
      <c r="K364" s="114" t="str">
        <f t="shared" si="60"/>
        <v/>
      </c>
      <c r="L364" s="24"/>
      <c r="M364" s="24"/>
      <c r="N364" s="24"/>
      <c r="O364" s="24"/>
      <c r="P364" s="97" t="str">
        <f t="shared" si="61"/>
        <v/>
      </c>
      <c r="Q364" s="113" t="str">
        <f t="shared" si="62"/>
        <v/>
      </c>
      <c r="R364" s="88"/>
      <c r="S364" s="24"/>
      <c r="T364" s="24"/>
      <c r="U364" s="78" t="str">
        <f t="shared" si="63"/>
        <v/>
      </c>
      <c r="V364" s="24"/>
      <c r="W364" s="24"/>
      <c r="X364" s="24"/>
      <c r="Y364" s="24"/>
      <c r="Z364" s="98" t="str">
        <f t="shared" si="64"/>
        <v/>
      </c>
      <c r="AA364" s="40" t="str">
        <f t="shared" si="70"/>
        <v/>
      </c>
      <c r="AB364" s="88"/>
      <c r="AC364" s="24"/>
      <c r="AD364" s="24"/>
      <c r="AE364" s="79" t="str">
        <f t="shared" si="65"/>
        <v/>
      </c>
      <c r="AF364" s="24"/>
      <c r="AG364" s="24"/>
      <c r="AH364" s="24"/>
      <c r="AI364" s="24"/>
      <c r="AJ364" s="99" t="str">
        <f t="shared" si="66"/>
        <v/>
      </c>
      <c r="AK364" s="31" t="str">
        <f t="shared" si="71"/>
        <v/>
      </c>
      <c r="AN364" s="139" t="str">
        <f>IF($K364="","",VLOOKUP($K364,'ORF Accuracy Value LookUp'!$G$4:$H$104,2,TRUE))</f>
        <v/>
      </c>
      <c r="AO364" s="94" t="str">
        <f t="shared" si="67"/>
        <v/>
      </c>
      <c r="AP364" s="47" t="str">
        <f>IF($U364="","",VLOOKUP($U364,'ORF Accuracy Value LookUp'!$G$4:$H$104,2,TRUE))</f>
        <v/>
      </c>
      <c r="AQ364" s="94" t="str">
        <f t="shared" si="68"/>
        <v/>
      </c>
      <c r="AR364" s="46" t="str">
        <f>IF($AE364="","",VLOOKUP($AE364,'ORF Accuracy Value LookUp'!$G$4:$H$104,2,TRUE))</f>
        <v/>
      </c>
      <c r="AS364" s="140" t="str">
        <f t="shared" si="69"/>
        <v/>
      </c>
    </row>
    <row r="365" spans="1:45">
      <c r="A365" s="10"/>
      <c r="B365" s="9"/>
      <c r="C365" s="9"/>
      <c r="D365" s="9"/>
      <c r="E365" s="10"/>
      <c r="F365" s="11"/>
      <c r="G365" s="15"/>
      <c r="H365" s="88"/>
      <c r="I365" s="24"/>
      <c r="J365" s="24"/>
      <c r="K365" s="114" t="str">
        <f t="shared" si="60"/>
        <v/>
      </c>
      <c r="L365" s="24"/>
      <c r="M365" s="24"/>
      <c r="N365" s="24"/>
      <c r="O365" s="24"/>
      <c r="P365" s="97" t="str">
        <f t="shared" si="61"/>
        <v/>
      </c>
      <c r="Q365" s="113" t="str">
        <f t="shared" si="62"/>
        <v/>
      </c>
      <c r="R365" s="88"/>
      <c r="S365" s="24"/>
      <c r="T365" s="24"/>
      <c r="U365" s="78" t="str">
        <f t="shared" si="63"/>
        <v/>
      </c>
      <c r="V365" s="24"/>
      <c r="W365" s="24"/>
      <c r="X365" s="24"/>
      <c r="Y365" s="24"/>
      <c r="Z365" s="98" t="str">
        <f t="shared" si="64"/>
        <v/>
      </c>
      <c r="AA365" s="40" t="str">
        <f t="shared" si="70"/>
        <v/>
      </c>
      <c r="AB365" s="88"/>
      <c r="AC365" s="24"/>
      <c r="AD365" s="24"/>
      <c r="AE365" s="79" t="str">
        <f t="shared" si="65"/>
        <v/>
      </c>
      <c r="AF365" s="24"/>
      <c r="AG365" s="24"/>
      <c r="AH365" s="24"/>
      <c r="AI365" s="24"/>
      <c r="AJ365" s="99" t="str">
        <f t="shared" si="66"/>
        <v/>
      </c>
      <c r="AK365" s="31" t="str">
        <f t="shared" si="71"/>
        <v/>
      </c>
      <c r="AN365" s="139" t="str">
        <f>IF($K365="","",VLOOKUP($K365,'ORF Accuracy Value LookUp'!$G$4:$H$104,2,TRUE))</f>
        <v/>
      </c>
      <c r="AO365" s="94" t="str">
        <f t="shared" si="67"/>
        <v/>
      </c>
      <c r="AP365" s="47" t="str">
        <f>IF($U365="","",VLOOKUP($U365,'ORF Accuracy Value LookUp'!$G$4:$H$104,2,TRUE))</f>
        <v/>
      </c>
      <c r="AQ365" s="94" t="str">
        <f t="shared" si="68"/>
        <v/>
      </c>
      <c r="AR365" s="46" t="str">
        <f>IF($AE365="","",VLOOKUP($AE365,'ORF Accuracy Value LookUp'!$G$4:$H$104,2,TRUE))</f>
        <v/>
      </c>
      <c r="AS365" s="140" t="str">
        <f t="shared" si="69"/>
        <v/>
      </c>
    </row>
    <row r="366" spans="1:45">
      <c r="A366" s="10"/>
      <c r="B366" s="9"/>
      <c r="C366" s="9"/>
      <c r="D366" s="9"/>
      <c r="E366" s="10"/>
      <c r="F366" s="11"/>
      <c r="G366" s="15"/>
      <c r="H366" s="88"/>
      <c r="I366" s="24"/>
      <c r="J366" s="24"/>
      <c r="K366" s="114" t="str">
        <f t="shared" si="60"/>
        <v/>
      </c>
      <c r="L366" s="24"/>
      <c r="M366" s="24"/>
      <c r="N366" s="24"/>
      <c r="O366" s="24"/>
      <c r="P366" s="97" t="str">
        <f t="shared" si="61"/>
        <v/>
      </c>
      <c r="Q366" s="113" t="str">
        <f t="shared" si="62"/>
        <v/>
      </c>
      <c r="R366" s="88"/>
      <c r="S366" s="24"/>
      <c r="T366" s="24"/>
      <c r="U366" s="78" t="str">
        <f t="shared" si="63"/>
        <v/>
      </c>
      <c r="V366" s="24"/>
      <c r="W366" s="24"/>
      <c r="X366" s="24"/>
      <c r="Y366" s="24"/>
      <c r="Z366" s="98" t="str">
        <f t="shared" si="64"/>
        <v/>
      </c>
      <c r="AA366" s="40" t="str">
        <f t="shared" si="70"/>
        <v/>
      </c>
      <c r="AB366" s="88"/>
      <c r="AC366" s="24"/>
      <c r="AD366" s="24"/>
      <c r="AE366" s="79" t="str">
        <f t="shared" si="65"/>
        <v/>
      </c>
      <c r="AF366" s="24"/>
      <c r="AG366" s="24"/>
      <c r="AH366" s="24"/>
      <c r="AI366" s="24"/>
      <c r="AJ366" s="99" t="str">
        <f t="shared" si="66"/>
        <v/>
      </c>
      <c r="AK366" s="31" t="str">
        <f t="shared" si="71"/>
        <v/>
      </c>
      <c r="AN366" s="139" t="str">
        <f>IF($K366="","",VLOOKUP($K366,'ORF Accuracy Value LookUp'!$G$4:$H$104,2,TRUE))</f>
        <v/>
      </c>
      <c r="AO366" s="94" t="str">
        <f t="shared" si="67"/>
        <v/>
      </c>
      <c r="AP366" s="47" t="str">
        <f>IF($U366="","",VLOOKUP($U366,'ORF Accuracy Value LookUp'!$G$4:$H$104,2,TRUE))</f>
        <v/>
      </c>
      <c r="AQ366" s="94" t="str">
        <f t="shared" si="68"/>
        <v/>
      </c>
      <c r="AR366" s="46" t="str">
        <f>IF($AE366="","",VLOOKUP($AE366,'ORF Accuracy Value LookUp'!$G$4:$H$104,2,TRUE))</f>
        <v/>
      </c>
      <c r="AS366" s="140" t="str">
        <f t="shared" si="69"/>
        <v/>
      </c>
    </row>
    <row r="367" spans="1:45">
      <c r="A367" s="10"/>
      <c r="B367" s="9"/>
      <c r="C367" s="9"/>
      <c r="D367" s="9"/>
      <c r="E367" s="10"/>
      <c r="F367" s="11"/>
      <c r="G367" s="15"/>
      <c r="H367" s="88"/>
      <c r="I367" s="24"/>
      <c r="J367" s="24"/>
      <c r="K367" s="114" t="str">
        <f t="shared" si="60"/>
        <v/>
      </c>
      <c r="L367" s="24"/>
      <c r="M367" s="24"/>
      <c r="N367" s="24"/>
      <c r="O367" s="24"/>
      <c r="P367" s="97" t="str">
        <f t="shared" si="61"/>
        <v/>
      </c>
      <c r="Q367" s="113" t="str">
        <f t="shared" si="62"/>
        <v/>
      </c>
      <c r="R367" s="88"/>
      <c r="S367" s="24"/>
      <c r="T367" s="24"/>
      <c r="U367" s="78" t="str">
        <f t="shared" si="63"/>
        <v/>
      </c>
      <c r="V367" s="24"/>
      <c r="W367" s="24"/>
      <c r="X367" s="24"/>
      <c r="Y367" s="24"/>
      <c r="Z367" s="98" t="str">
        <f t="shared" si="64"/>
        <v/>
      </c>
      <c r="AA367" s="40" t="str">
        <f t="shared" si="70"/>
        <v/>
      </c>
      <c r="AB367" s="88"/>
      <c r="AC367" s="24"/>
      <c r="AD367" s="24"/>
      <c r="AE367" s="79" t="str">
        <f t="shared" si="65"/>
        <v/>
      </c>
      <c r="AF367" s="24"/>
      <c r="AG367" s="24"/>
      <c r="AH367" s="24"/>
      <c r="AI367" s="24"/>
      <c r="AJ367" s="99" t="str">
        <f t="shared" si="66"/>
        <v/>
      </c>
      <c r="AK367" s="31" t="str">
        <f t="shared" si="71"/>
        <v/>
      </c>
      <c r="AN367" s="139" t="str">
        <f>IF($K367="","",VLOOKUP($K367,'ORF Accuracy Value LookUp'!$G$4:$H$104,2,TRUE))</f>
        <v/>
      </c>
      <c r="AO367" s="94" t="str">
        <f t="shared" si="67"/>
        <v/>
      </c>
      <c r="AP367" s="47" t="str">
        <f>IF($U367="","",VLOOKUP($U367,'ORF Accuracy Value LookUp'!$G$4:$H$104,2,TRUE))</f>
        <v/>
      </c>
      <c r="AQ367" s="94" t="str">
        <f t="shared" si="68"/>
        <v/>
      </c>
      <c r="AR367" s="46" t="str">
        <f>IF($AE367="","",VLOOKUP($AE367,'ORF Accuracy Value LookUp'!$G$4:$H$104,2,TRUE))</f>
        <v/>
      </c>
      <c r="AS367" s="140" t="str">
        <f t="shared" si="69"/>
        <v/>
      </c>
    </row>
    <row r="368" spans="1:45">
      <c r="A368" s="10"/>
      <c r="B368" s="9"/>
      <c r="C368" s="9"/>
      <c r="D368" s="9"/>
      <c r="E368" s="10"/>
      <c r="F368" s="11"/>
      <c r="G368" s="15"/>
      <c r="H368" s="88"/>
      <c r="I368" s="24"/>
      <c r="J368" s="24"/>
      <c r="K368" s="114" t="str">
        <f t="shared" si="60"/>
        <v/>
      </c>
      <c r="L368" s="24"/>
      <c r="M368" s="24"/>
      <c r="N368" s="24"/>
      <c r="O368" s="24"/>
      <c r="P368" s="97" t="str">
        <f t="shared" si="61"/>
        <v/>
      </c>
      <c r="Q368" s="113" t="str">
        <f t="shared" si="62"/>
        <v/>
      </c>
      <c r="R368" s="88"/>
      <c r="S368" s="24"/>
      <c r="T368" s="24"/>
      <c r="U368" s="78" t="str">
        <f t="shared" si="63"/>
        <v/>
      </c>
      <c r="V368" s="24"/>
      <c r="W368" s="24"/>
      <c r="X368" s="24"/>
      <c r="Y368" s="24"/>
      <c r="Z368" s="98" t="str">
        <f t="shared" si="64"/>
        <v/>
      </c>
      <c r="AA368" s="40" t="str">
        <f t="shared" si="70"/>
        <v/>
      </c>
      <c r="AB368" s="88"/>
      <c r="AC368" s="24"/>
      <c r="AD368" s="24"/>
      <c r="AE368" s="79" t="str">
        <f t="shared" si="65"/>
        <v/>
      </c>
      <c r="AF368" s="24"/>
      <c r="AG368" s="24"/>
      <c r="AH368" s="24"/>
      <c r="AI368" s="24"/>
      <c r="AJ368" s="99" t="str">
        <f t="shared" si="66"/>
        <v/>
      </c>
      <c r="AK368" s="31" t="str">
        <f t="shared" si="71"/>
        <v/>
      </c>
      <c r="AN368" s="139" t="str">
        <f>IF($K368="","",VLOOKUP($K368,'ORF Accuracy Value LookUp'!$G$4:$H$104,2,TRUE))</f>
        <v/>
      </c>
      <c r="AO368" s="94" t="str">
        <f t="shared" si="67"/>
        <v/>
      </c>
      <c r="AP368" s="47" t="str">
        <f>IF($U368="","",VLOOKUP($U368,'ORF Accuracy Value LookUp'!$G$4:$H$104,2,TRUE))</f>
        <v/>
      </c>
      <c r="AQ368" s="94" t="str">
        <f t="shared" si="68"/>
        <v/>
      </c>
      <c r="AR368" s="46" t="str">
        <f>IF($AE368="","",VLOOKUP($AE368,'ORF Accuracy Value LookUp'!$G$4:$H$104,2,TRUE))</f>
        <v/>
      </c>
      <c r="AS368" s="140" t="str">
        <f t="shared" si="69"/>
        <v/>
      </c>
    </row>
    <row r="369" spans="1:45">
      <c r="A369" s="10"/>
      <c r="B369" s="9"/>
      <c r="C369" s="9"/>
      <c r="D369" s="9"/>
      <c r="E369" s="10"/>
      <c r="F369" s="11"/>
      <c r="G369" s="15"/>
      <c r="H369" s="88"/>
      <c r="I369" s="24"/>
      <c r="J369" s="24"/>
      <c r="K369" s="114" t="str">
        <f t="shared" si="60"/>
        <v/>
      </c>
      <c r="L369" s="24"/>
      <c r="M369" s="24"/>
      <c r="N369" s="24"/>
      <c r="O369" s="24"/>
      <c r="P369" s="97" t="str">
        <f t="shared" si="61"/>
        <v/>
      </c>
      <c r="Q369" s="113" t="str">
        <f t="shared" si="62"/>
        <v/>
      </c>
      <c r="R369" s="88"/>
      <c r="S369" s="24"/>
      <c r="T369" s="24"/>
      <c r="U369" s="78" t="str">
        <f t="shared" si="63"/>
        <v/>
      </c>
      <c r="V369" s="24"/>
      <c r="W369" s="24"/>
      <c r="X369" s="24"/>
      <c r="Y369" s="24"/>
      <c r="Z369" s="98" t="str">
        <f t="shared" si="64"/>
        <v/>
      </c>
      <c r="AA369" s="40" t="str">
        <f t="shared" si="70"/>
        <v/>
      </c>
      <c r="AB369" s="88"/>
      <c r="AC369" s="24"/>
      <c r="AD369" s="24"/>
      <c r="AE369" s="79" t="str">
        <f t="shared" si="65"/>
        <v/>
      </c>
      <c r="AF369" s="24"/>
      <c r="AG369" s="24"/>
      <c r="AH369" s="24"/>
      <c r="AI369" s="24"/>
      <c r="AJ369" s="99" t="str">
        <f t="shared" si="66"/>
        <v/>
      </c>
      <c r="AK369" s="31" t="str">
        <f t="shared" si="71"/>
        <v/>
      </c>
      <c r="AN369" s="139" t="str">
        <f>IF($K369="","",VLOOKUP($K369,'ORF Accuracy Value LookUp'!$G$4:$H$104,2,TRUE))</f>
        <v/>
      </c>
      <c r="AO369" s="94" t="str">
        <f t="shared" si="67"/>
        <v/>
      </c>
      <c r="AP369" s="47" t="str">
        <f>IF($U369="","",VLOOKUP($U369,'ORF Accuracy Value LookUp'!$G$4:$H$104,2,TRUE))</f>
        <v/>
      </c>
      <c r="AQ369" s="94" t="str">
        <f t="shared" si="68"/>
        <v/>
      </c>
      <c r="AR369" s="46" t="str">
        <f>IF($AE369="","",VLOOKUP($AE369,'ORF Accuracy Value LookUp'!$G$4:$H$104,2,TRUE))</f>
        <v/>
      </c>
      <c r="AS369" s="140" t="str">
        <f t="shared" si="69"/>
        <v/>
      </c>
    </row>
    <row r="370" spans="1:45">
      <c r="A370" s="10"/>
      <c r="B370" s="9"/>
      <c r="C370" s="9"/>
      <c r="D370" s="9"/>
      <c r="E370" s="10"/>
      <c r="F370" s="11"/>
      <c r="G370" s="15"/>
      <c r="H370" s="88"/>
      <c r="I370" s="24"/>
      <c r="J370" s="24"/>
      <c r="K370" s="114" t="str">
        <f t="shared" si="60"/>
        <v/>
      </c>
      <c r="L370" s="24"/>
      <c r="M370" s="24"/>
      <c r="N370" s="24"/>
      <c r="O370" s="24"/>
      <c r="P370" s="97" t="str">
        <f t="shared" si="61"/>
        <v/>
      </c>
      <c r="Q370" s="113" t="str">
        <f t="shared" si="62"/>
        <v/>
      </c>
      <c r="R370" s="88"/>
      <c r="S370" s="24"/>
      <c r="T370" s="24"/>
      <c r="U370" s="78" t="str">
        <f t="shared" si="63"/>
        <v/>
      </c>
      <c r="V370" s="24"/>
      <c r="W370" s="24"/>
      <c r="X370" s="24"/>
      <c r="Y370" s="24"/>
      <c r="Z370" s="98" t="str">
        <f t="shared" si="64"/>
        <v/>
      </c>
      <c r="AA370" s="40" t="str">
        <f t="shared" si="70"/>
        <v/>
      </c>
      <c r="AB370" s="88"/>
      <c r="AC370" s="24"/>
      <c r="AD370" s="24"/>
      <c r="AE370" s="79" t="str">
        <f t="shared" si="65"/>
        <v/>
      </c>
      <c r="AF370" s="24"/>
      <c r="AG370" s="24"/>
      <c r="AH370" s="24"/>
      <c r="AI370" s="24"/>
      <c r="AJ370" s="99" t="str">
        <f t="shared" si="66"/>
        <v/>
      </c>
      <c r="AK370" s="31" t="str">
        <f t="shared" si="71"/>
        <v/>
      </c>
      <c r="AN370" s="139" t="str">
        <f>IF($K370="","",VLOOKUP($K370,'ORF Accuracy Value LookUp'!$G$4:$H$104,2,TRUE))</f>
        <v/>
      </c>
      <c r="AO370" s="94" t="str">
        <f t="shared" si="67"/>
        <v/>
      </c>
      <c r="AP370" s="47" t="str">
        <f>IF($U370="","",VLOOKUP($U370,'ORF Accuracy Value LookUp'!$G$4:$H$104,2,TRUE))</f>
        <v/>
      </c>
      <c r="AQ370" s="94" t="str">
        <f t="shared" si="68"/>
        <v/>
      </c>
      <c r="AR370" s="46" t="str">
        <f>IF($AE370="","",VLOOKUP($AE370,'ORF Accuracy Value LookUp'!$G$4:$H$104,2,TRUE))</f>
        <v/>
      </c>
      <c r="AS370" s="140" t="str">
        <f t="shared" si="69"/>
        <v/>
      </c>
    </row>
    <row r="371" spans="1:45">
      <c r="A371" s="10"/>
      <c r="B371" s="9"/>
      <c r="C371" s="9"/>
      <c r="D371" s="9"/>
      <c r="E371" s="10"/>
      <c r="F371" s="11"/>
      <c r="G371" s="15"/>
      <c r="H371" s="88"/>
      <c r="I371" s="24"/>
      <c r="J371" s="24"/>
      <c r="K371" s="114" t="str">
        <f t="shared" si="60"/>
        <v/>
      </c>
      <c r="L371" s="24"/>
      <c r="M371" s="24"/>
      <c r="N371" s="24"/>
      <c r="O371" s="24"/>
      <c r="P371" s="97" t="str">
        <f t="shared" si="61"/>
        <v/>
      </c>
      <c r="Q371" s="113" t="str">
        <f t="shared" si="62"/>
        <v/>
      </c>
      <c r="R371" s="88"/>
      <c r="S371" s="24"/>
      <c r="T371" s="24"/>
      <c r="U371" s="78" t="str">
        <f t="shared" si="63"/>
        <v/>
      </c>
      <c r="V371" s="24"/>
      <c r="W371" s="24"/>
      <c r="X371" s="24"/>
      <c r="Y371" s="24"/>
      <c r="Z371" s="98" t="str">
        <f t="shared" si="64"/>
        <v/>
      </c>
      <c r="AA371" s="40" t="str">
        <f t="shared" si="70"/>
        <v/>
      </c>
      <c r="AB371" s="88"/>
      <c r="AC371" s="24"/>
      <c r="AD371" s="24"/>
      <c r="AE371" s="79" t="str">
        <f t="shared" si="65"/>
        <v/>
      </c>
      <c r="AF371" s="24"/>
      <c r="AG371" s="24"/>
      <c r="AH371" s="24"/>
      <c r="AI371" s="24"/>
      <c r="AJ371" s="99" t="str">
        <f t="shared" si="66"/>
        <v/>
      </c>
      <c r="AK371" s="31" t="str">
        <f t="shared" si="71"/>
        <v/>
      </c>
      <c r="AN371" s="139" t="str">
        <f>IF($K371="","",VLOOKUP($K371,'ORF Accuracy Value LookUp'!$G$4:$H$104,2,TRUE))</f>
        <v/>
      </c>
      <c r="AO371" s="94" t="str">
        <f t="shared" si="67"/>
        <v/>
      </c>
      <c r="AP371" s="47" t="str">
        <f>IF($U371="","",VLOOKUP($U371,'ORF Accuracy Value LookUp'!$G$4:$H$104,2,TRUE))</f>
        <v/>
      </c>
      <c r="AQ371" s="94" t="str">
        <f t="shared" si="68"/>
        <v/>
      </c>
      <c r="AR371" s="46" t="str">
        <f>IF($AE371="","",VLOOKUP($AE371,'ORF Accuracy Value LookUp'!$G$4:$H$104,2,TRUE))</f>
        <v/>
      </c>
      <c r="AS371" s="140" t="str">
        <f t="shared" si="69"/>
        <v/>
      </c>
    </row>
    <row r="372" spans="1:45">
      <c r="A372" s="10"/>
      <c r="B372" s="9"/>
      <c r="C372" s="9"/>
      <c r="D372" s="9"/>
      <c r="E372" s="10"/>
      <c r="F372" s="11"/>
      <c r="G372" s="15"/>
      <c r="H372" s="88"/>
      <c r="I372" s="24"/>
      <c r="J372" s="24"/>
      <c r="K372" s="114" t="str">
        <f t="shared" si="60"/>
        <v/>
      </c>
      <c r="L372" s="24"/>
      <c r="M372" s="24"/>
      <c r="N372" s="24"/>
      <c r="O372" s="24"/>
      <c r="P372" s="97" t="str">
        <f t="shared" si="61"/>
        <v/>
      </c>
      <c r="Q372" s="113" t="str">
        <f t="shared" si="62"/>
        <v/>
      </c>
      <c r="R372" s="88"/>
      <c r="S372" s="24"/>
      <c r="T372" s="24"/>
      <c r="U372" s="78" t="str">
        <f t="shared" si="63"/>
        <v/>
      </c>
      <c r="V372" s="24"/>
      <c r="W372" s="24"/>
      <c r="X372" s="24"/>
      <c r="Y372" s="24"/>
      <c r="Z372" s="98" t="str">
        <f t="shared" si="64"/>
        <v/>
      </c>
      <c r="AA372" s="40" t="str">
        <f t="shared" si="70"/>
        <v/>
      </c>
      <c r="AB372" s="88"/>
      <c r="AC372" s="24"/>
      <c r="AD372" s="24"/>
      <c r="AE372" s="79" t="str">
        <f t="shared" si="65"/>
        <v/>
      </c>
      <c r="AF372" s="24"/>
      <c r="AG372" s="24"/>
      <c r="AH372" s="24"/>
      <c r="AI372" s="24"/>
      <c r="AJ372" s="99" t="str">
        <f t="shared" si="66"/>
        <v/>
      </c>
      <c r="AK372" s="31" t="str">
        <f t="shared" si="71"/>
        <v/>
      </c>
      <c r="AN372" s="139" t="str">
        <f>IF($K372="","",VLOOKUP($K372,'ORF Accuracy Value LookUp'!$G$4:$H$104,2,TRUE))</f>
        <v/>
      </c>
      <c r="AO372" s="94" t="str">
        <f t="shared" si="67"/>
        <v/>
      </c>
      <c r="AP372" s="47" t="str">
        <f>IF($U372="","",VLOOKUP($U372,'ORF Accuracy Value LookUp'!$G$4:$H$104,2,TRUE))</f>
        <v/>
      </c>
      <c r="AQ372" s="94" t="str">
        <f t="shared" si="68"/>
        <v/>
      </c>
      <c r="AR372" s="46" t="str">
        <f>IF($AE372="","",VLOOKUP($AE372,'ORF Accuracy Value LookUp'!$G$4:$H$104,2,TRUE))</f>
        <v/>
      </c>
      <c r="AS372" s="140" t="str">
        <f t="shared" si="69"/>
        <v/>
      </c>
    </row>
    <row r="373" spans="1:45">
      <c r="A373" s="10"/>
      <c r="B373" s="9"/>
      <c r="C373" s="9"/>
      <c r="D373" s="9"/>
      <c r="E373" s="10"/>
      <c r="F373" s="11"/>
      <c r="G373" s="15"/>
      <c r="H373" s="88"/>
      <c r="I373" s="24"/>
      <c r="J373" s="24"/>
      <c r="K373" s="114" t="str">
        <f t="shared" si="60"/>
        <v/>
      </c>
      <c r="L373" s="24"/>
      <c r="M373" s="24"/>
      <c r="N373" s="24"/>
      <c r="O373" s="24"/>
      <c r="P373" s="97" t="str">
        <f t="shared" si="61"/>
        <v/>
      </c>
      <c r="Q373" s="113" t="str">
        <f t="shared" si="62"/>
        <v/>
      </c>
      <c r="R373" s="88"/>
      <c r="S373" s="24"/>
      <c r="T373" s="24"/>
      <c r="U373" s="78" t="str">
        <f t="shared" si="63"/>
        <v/>
      </c>
      <c r="V373" s="24"/>
      <c r="W373" s="24"/>
      <c r="X373" s="24"/>
      <c r="Y373" s="24"/>
      <c r="Z373" s="98" t="str">
        <f t="shared" si="64"/>
        <v/>
      </c>
      <c r="AA373" s="40" t="str">
        <f t="shared" si="70"/>
        <v/>
      </c>
      <c r="AB373" s="88"/>
      <c r="AC373" s="24"/>
      <c r="AD373" s="24"/>
      <c r="AE373" s="79" t="str">
        <f t="shared" si="65"/>
        <v/>
      </c>
      <c r="AF373" s="24"/>
      <c r="AG373" s="24"/>
      <c r="AH373" s="24"/>
      <c r="AI373" s="24"/>
      <c r="AJ373" s="99" t="str">
        <f t="shared" si="66"/>
        <v/>
      </c>
      <c r="AK373" s="31" t="str">
        <f t="shared" si="71"/>
        <v/>
      </c>
      <c r="AN373" s="139" t="str">
        <f>IF($K373="","",VLOOKUP($K373,'ORF Accuracy Value LookUp'!$G$4:$H$104,2,TRUE))</f>
        <v/>
      </c>
      <c r="AO373" s="94" t="str">
        <f t="shared" si="67"/>
        <v/>
      </c>
      <c r="AP373" s="47" t="str">
        <f>IF($U373="","",VLOOKUP($U373,'ORF Accuracy Value LookUp'!$G$4:$H$104,2,TRUE))</f>
        <v/>
      </c>
      <c r="AQ373" s="94" t="str">
        <f t="shared" si="68"/>
        <v/>
      </c>
      <c r="AR373" s="46" t="str">
        <f>IF($AE373="","",VLOOKUP($AE373,'ORF Accuracy Value LookUp'!$G$4:$H$104,2,TRUE))</f>
        <v/>
      </c>
      <c r="AS373" s="140" t="str">
        <f t="shared" si="69"/>
        <v/>
      </c>
    </row>
    <row r="374" spans="1:45">
      <c r="A374" s="10"/>
      <c r="B374" s="9"/>
      <c r="C374" s="9"/>
      <c r="D374" s="9"/>
      <c r="E374" s="10"/>
      <c r="F374" s="11"/>
      <c r="G374" s="15"/>
      <c r="H374" s="88"/>
      <c r="I374" s="24"/>
      <c r="J374" s="24"/>
      <c r="K374" s="114" t="str">
        <f t="shared" si="60"/>
        <v/>
      </c>
      <c r="L374" s="24"/>
      <c r="M374" s="24"/>
      <c r="N374" s="24"/>
      <c r="O374" s="24"/>
      <c r="P374" s="97" t="str">
        <f t="shared" si="61"/>
        <v/>
      </c>
      <c r="Q374" s="113" t="str">
        <f t="shared" si="62"/>
        <v/>
      </c>
      <c r="R374" s="88"/>
      <c r="S374" s="24"/>
      <c r="T374" s="24"/>
      <c r="U374" s="78" t="str">
        <f t="shared" si="63"/>
        <v/>
      </c>
      <c r="V374" s="24"/>
      <c r="W374" s="24"/>
      <c r="X374" s="24"/>
      <c r="Y374" s="24"/>
      <c r="Z374" s="98" t="str">
        <f t="shared" si="64"/>
        <v/>
      </c>
      <c r="AA374" s="40" t="str">
        <f t="shared" si="70"/>
        <v/>
      </c>
      <c r="AB374" s="88"/>
      <c r="AC374" s="24"/>
      <c r="AD374" s="24"/>
      <c r="AE374" s="79" t="str">
        <f t="shared" si="65"/>
        <v/>
      </c>
      <c r="AF374" s="24"/>
      <c r="AG374" s="24"/>
      <c r="AH374" s="24"/>
      <c r="AI374" s="24"/>
      <c r="AJ374" s="99" t="str">
        <f t="shared" si="66"/>
        <v/>
      </c>
      <c r="AK374" s="31" t="str">
        <f t="shared" si="71"/>
        <v/>
      </c>
      <c r="AN374" s="139" t="str">
        <f>IF($K374="","",VLOOKUP($K374,'ORF Accuracy Value LookUp'!$G$4:$H$104,2,TRUE))</f>
        <v/>
      </c>
      <c r="AO374" s="94" t="str">
        <f t="shared" si="67"/>
        <v/>
      </c>
      <c r="AP374" s="47" t="str">
        <f>IF($U374="","",VLOOKUP($U374,'ORF Accuracy Value LookUp'!$G$4:$H$104,2,TRUE))</f>
        <v/>
      </c>
      <c r="AQ374" s="94" t="str">
        <f t="shared" si="68"/>
        <v/>
      </c>
      <c r="AR374" s="46" t="str">
        <f>IF($AE374="","",VLOOKUP($AE374,'ORF Accuracy Value LookUp'!$G$4:$H$104,2,TRUE))</f>
        <v/>
      </c>
      <c r="AS374" s="140" t="str">
        <f t="shared" si="69"/>
        <v/>
      </c>
    </row>
    <row r="375" spans="1:45">
      <c r="A375" s="10"/>
      <c r="B375" s="9"/>
      <c r="C375" s="9"/>
      <c r="D375" s="9"/>
      <c r="E375" s="10"/>
      <c r="F375" s="11"/>
      <c r="G375" s="15"/>
      <c r="H375" s="88"/>
      <c r="I375" s="24"/>
      <c r="J375" s="24"/>
      <c r="K375" s="114" t="str">
        <f t="shared" si="60"/>
        <v/>
      </c>
      <c r="L375" s="24"/>
      <c r="M375" s="24"/>
      <c r="N375" s="24"/>
      <c r="O375" s="24"/>
      <c r="P375" s="97" t="str">
        <f t="shared" si="61"/>
        <v/>
      </c>
      <c r="Q375" s="113" t="str">
        <f t="shared" si="62"/>
        <v/>
      </c>
      <c r="R375" s="88"/>
      <c r="S375" s="24"/>
      <c r="T375" s="24"/>
      <c r="U375" s="78" t="str">
        <f t="shared" si="63"/>
        <v/>
      </c>
      <c r="V375" s="24"/>
      <c r="W375" s="24"/>
      <c r="X375" s="24"/>
      <c r="Y375" s="24"/>
      <c r="Z375" s="98" t="str">
        <f t="shared" si="64"/>
        <v/>
      </c>
      <c r="AA375" s="40" t="str">
        <f t="shared" si="70"/>
        <v/>
      </c>
      <c r="AB375" s="88"/>
      <c r="AC375" s="24"/>
      <c r="AD375" s="24"/>
      <c r="AE375" s="79" t="str">
        <f t="shared" si="65"/>
        <v/>
      </c>
      <c r="AF375" s="24"/>
      <c r="AG375" s="24"/>
      <c r="AH375" s="24"/>
      <c r="AI375" s="24"/>
      <c r="AJ375" s="99" t="str">
        <f t="shared" si="66"/>
        <v/>
      </c>
      <c r="AK375" s="31" t="str">
        <f t="shared" si="71"/>
        <v/>
      </c>
      <c r="AN375" s="139" t="str">
        <f>IF($K375="","",VLOOKUP($K375,'ORF Accuracy Value LookUp'!$G$4:$H$104,2,TRUE))</f>
        <v/>
      </c>
      <c r="AO375" s="94" t="str">
        <f t="shared" si="67"/>
        <v/>
      </c>
      <c r="AP375" s="47" t="str">
        <f>IF($U375="","",VLOOKUP($U375,'ORF Accuracy Value LookUp'!$G$4:$H$104,2,TRUE))</f>
        <v/>
      </c>
      <c r="AQ375" s="94" t="str">
        <f t="shared" si="68"/>
        <v/>
      </c>
      <c r="AR375" s="46" t="str">
        <f>IF($AE375="","",VLOOKUP($AE375,'ORF Accuracy Value LookUp'!$G$4:$H$104,2,TRUE))</f>
        <v/>
      </c>
      <c r="AS375" s="140" t="str">
        <f t="shared" si="69"/>
        <v/>
      </c>
    </row>
    <row r="376" spans="1:45">
      <c r="A376" s="10"/>
      <c r="B376" s="9"/>
      <c r="C376" s="9"/>
      <c r="D376" s="9"/>
      <c r="E376" s="10"/>
      <c r="F376" s="11"/>
      <c r="G376" s="15"/>
      <c r="H376" s="88"/>
      <c r="I376" s="24"/>
      <c r="J376" s="24"/>
      <c r="K376" s="114" t="str">
        <f t="shared" si="60"/>
        <v/>
      </c>
      <c r="L376" s="24"/>
      <c r="M376" s="24"/>
      <c r="N376" s="24"/>
      <c r="O376" s="24"/>
      <c r="P376" s="97" t="str">
        <f t="shared" si="61"/>
        <v/>
      </c>
      <c r="Q376" s="113" t="str">
        <f t="shared" si="62"/>
        <v/>
      </c>
      <c r="R376" s="88"/>
      <c r="S376" s="24"/>
      <c r="T376" s="24"/>
      <c r="U376" s="78" t="str">
        <f t="shared" si="63"/>
        <v/>
      </c>
      <c r="V376" s="24"/>
      <c r="W376" s="24"/>
      <c r="X376" s="24"/>
      <c r="Y376" s="24"/>
      <c r="Z376" s="98" t="str">
        <f t="shared" si="64"/>
        <v/>
      </c>
      <c r="AA376" s="40" t="str">
        <f t="shared" si="70"/>
        <v/>
      </c>
      <c r="AB376" s="88"/>
      <c r="AC376" s="24"/>
      <c r="AD376" s="24"/>
      <c r="AE376" s="79" t="str">
        <f t="shared" si="65"/>
        <v/>
      </c>
      <c r="AF376" s="24"/>
      <c r="AG376" s="24"/>
      <c r="AH376" s="24"/>
      <c r="AI376" s="24"/>
      <c r="AJ376" s="99" t="str">
        <f t="shared" si="66"/>
        <v/>
      </c>
      <c r="AK376" s="31" t="str">
        <f t="shared" si="71"/>
        <v/>
      </c>
      <c r="AN376" s="139" t="str">
        <f>IF($K376="","",VLOOKUP($K376,'ORF Accuracy Value LookUp'!$G$4:$H$104,2,TRUE))</f>
        <v/>
      </c>
      <c r="AO376" s="94" t="str">
        <f t="shared" si="67"/>
        <v/>
      </c>
      <c r="AP376" s="47" t="str">
        <f>IF($U376="","",VLOOKUP($U376,'ORF Accuracy Value LookUp'!$G$4:$H$104,2,TRUE))</f>
        <v/>
      </c>
      <c r="AQ376" s="94" t="str">
        <f t="shared" si="68"/>
        <v/>
      </c>
      <c r="AR376" s="46" t="str">
        <f>IF($AE376="","",VLOOKUP($AE376,'ORF Accuracy Value LookUp'!$G$4:$H$104,2,TRUE))</f>
        <v/>
      </c>
      <c r="AS376" s="140" t="str">
        <f t="shared" si="69"/>
        <v/>
      </c>
    </row>
    <row r="377" spans="1:45">
      <c r="A377" s="10"/>
      <c r="B377" s="9"/>
      <c r="C377" s="9"/>
      <c r="D377" s="9"/>
      <c r="E377" s="10"/>
      <c r="F377" s="11"/>
      <c r="G377" s="15"/>
      <c r="H377" s="88"/>
      <c r="I377" s="24"/>
      <c r="J377" s="24"/>
      <c r="K377" s="114" t="str">
        <f t="shared" si="60"/>
        <v/>
      </c>
      <c r="L377" s="24"/>
      <c r="M377" s="24"/>
      <c r="N377" s="24"/>
      <c r="O377" s="24"/>
      <c r="P377" s="97" t="str">
        <f t="shared" si="61"/>
        <v/>
      </c>
      <c r="Q377" s="113" t="str">
        <f t="shared" si="62"/>
        <v/>
      </c>
      <c r="R377" s="88"/>
      <c r="S377" s="24"/>
      <c r="T377" s="24"/>
      <c r="U377" s="78" t="str">
        <f t="shared" si="63"/>
        <v/>
      </c>
      <c r="V377" s="24"/>
      <c r="W377" s="24"/>
      <c r="X377" s="24"/>
      <c r="Y377" s="24"/>
      <c r="Z377" s="98" t="str">
        <f t="shared" si="64"/>
        <v/>
      </c>
      <c r="AA377" s="40" t="str">
        <f t="shared" si="70"/>
        <v/>
      </c>
      <c r="AB377" s="88"/>
      <c r="AC377" s="24"/>
      <c r="AD377" s="24"/>
      <c r="AE377" s="79" t="str">
        <f t="shared" si="65"/>
        <v/>
      </c>
      <c r="AF377" s="24"/>
      <c r="AG377" s="24"/>
      <c r="AH377" s="24"/>
      <c r="AI377" s="24"/>
      <c r="AJ377" s="99" t="str">
        <f t="shared" si="66"/>
        <v/>
      </c>
      <c r="AK377" s="31" t="str">
        <f t="shared" si="71"/>
        <v/>
      </c>
      <c r="AN377" s="139" t="str">
        <f>IF($K377="","",VLOOKUP($K377,'ORF Accuracy Value LookUp'!$G$4:$H$104,2,TRUE))</f>
        <v/>
      </c>
      <c r="AO377" s="94" t="str">
        <f t="shared" si="67"/>
        <v/>
      </c>
      <c r="AP377" s="47" t="str">
        <f>IF($U377="","",VLOOKUP($U377,'ORF Accuracy Value LookUp'!$G$4:$H$104,2,TRUE))</f>
        <v/>
      </c>
      <c r="AQ377" s="94" t="str">
        <f t="shared" si="68"/>
        <v/>
      </c>
      <c r="AR377" s="46" t="str">
        <f>IF($AE377="","",VLOOKUP($AE377,'ORF Accuracy Value LookUp'!$G$4:$H$104,2,TRUE))</f>
        <v/>
      </c>
      <c r="AS377" s="140" t="str">
        <f t="shared" si="69"/>
        <v/>
      </c>
    </row>
    <row r="378" spans="1:45">
      <c r="A378" s="10"/>
      <c r="B378" s="9"/>
      <c r="C378" s="9"/>
      <c r="D378" s="9"/>
      <c r="E378" s="10"/>
      <c r="F378" s="11"/>
      <c r="G378" s="15"/>
      <c r="H378" s="88"/>
      <c r="I378" s="24"/>
      <c r="J378" s="24"/>
      <c r="K378" s="114" t="str">
        <f t="shared" si="60"/>
        <v/>
      </c>
      <c r="L378" s="24"/>
      <c r="M378" s="24"/>
      <c r="N378" s="24"/>
      <c r="O378" s="24"/>
      <c r="P378" s="97" t="str">
        <f t="shared" si="61"/>
        <v/>
      </c>
      <c r="Q378" s="113" t="str">
        <f t="shared" si="62"/>
        <v/>
      </c>
      <c r="R378" s="88"/>
      <c r="S378" s="24"/>
      <c r="T378" s="24"/>
      <c r="U378" s="78" t="str">
        <f t="shared" si="63"/>
        <v/>
      </c>
      <c r="V378" s="24"/>
      <c r="W378" s="24"/>
      <c r="X378" s="24"/>
      <c r="Y378" s="24"/>
      <c r="Z378" s="98" t="str">
        <f t="shared" si="64"/>
        <v/>
      </c>
      <c r="AA378" s="40" t="str">
        <f t="shared" si="70"/>
        <v/>
      </c>
      <c r="AB378" s="88"/>
      <c r="AC378" s="24"/>
      <c r="AD378" s="24"/>
      <c r="AE378" s="79" t="str">
        <f t="shared" si="65"/>
        <v/>
      </c>
      <c r="AF378" s="24"/>
      <c r="AG378" s="24"/>
      <c r="AH378" s="24"/>
      <c r="AI378" s="24"/>
      <c r="AJ378" s="99" t="str">
        <f t="shared" si="66"/>
        <v/>
      </c>
      <c r="AK378" s="31" t="str">
        <f t="shared" si="71"/>
        <v/>
      </c>
      <c r="AN378" s="139" t="str">
        <f>IF($K378="","",VLOOKUP($K378,'ORF Accuracy Value LookUp'!$G$4:$H$104,2,TRUE))</f>
        <v/>
      </c>
      <c r="AO378" s="94" t="str">
        <f t="shared" si="67"/>
        <v/>
      </c>
      <c r="AP378" s="47" t="str">
        <f>IF($U378="","",VLOOKUP($U378,'ORF Accuracy Value LookUp'!$G$4:$H$104,2,TRUE))</f>
        <v/>
      </c>
      <c r="AQ378" s="94" t="str">
        <f t="shared" si="68"/>
        <v/>
      </c>
      <c r="AR378" s="46" t="str">
        <f>IF($AE378="","",VLOOKUP($AE378,'ORF Accuracy Value LookUp'!$G$4:$H$104,2,TRUE))</f>
        <v/>
      </c>
      <c r="AS378" s="140" t="str">
        <f t="shared" si="69"/>
        <v/>
      </c>
    </row>
    <row r="379" spans="1:45">
      <c r="A379" s="10"/>
      <c r="B379" s="9"/>
      <c r="C379" s="9"/>
      <c r="D379" s="9"/>
      <c r="E379" s="10"/>
      <c r="F379" s="11"/>
      <c r="G379" s="15"/>
      <c r="H379" s="88"/>
      <c r="I379" s="24"/>
      <c r="J379" s="24"/>
      <c r="K379" s="114" t="str">
        <f t="shared" si="60"/>
        <v/>
      </c>
      <c r="L379" s="24"/>
      <c r="M379" s="24"/>
      <c r="N379" s="24"/>
      <c r="O379" s="24"/>
      <c r="P379" s="97" t="str">
        <f t="shared" si="61"/>
        <v/>
      </c>
      <c r="Q379" s="113" t="str">
        <f t="shared" si="62"/>
        <v/>
      </c>
      <c r="R379" s="88"/>
      <c r="S379" s="24"/>
      <c r="T379" s="24"/>
      <c r="U379" s="78" t="str">
        <f t="shared" si="63"/>
        <v/>
      </c>
      <c r="V379" s="24"/>
      <c r="W379" s="24"/>
      <c r="X379" s="24"/>
      <c r="Y379" s="24"/>
      <c r="Z379" s="98" t="str">
        <f t="shared" si="64"/>
        <v/>
      </c>
      <c r="AA379" s="40" t="str">
        <f t="shared" si="70"/>
        <v/>
      </c>
      <c r="AB379" s="88"/>
      <c r="AC379" s="24"/>
      <c r="AD379" s="24"/>
      <c r="AE379" s="79" t="str">
        <f t="shared" si="65"/>
        <v/>
      </c>
      <c r="AF379" s="24"/>
      <c r="AG379" s="24"/>
      <c r="AH379" s="24"/>
      <c r="AI379" s="24"/>
      <c r="AJ379" s="99" t="str">
        <f t="shared" si="66"/>
        <v/>
      </c>
      <c r="AK379" s="31" t="str">
        <f t="shared" si="71"/>
        <v/>
      </c>
      <c r="AN379" s="139" t="str">
        <f>IF($K379="","",VLOOKUP($K379,'ORF Accuracy Value LookUp'!$G$4:$H$104,2,TRUE))</f>
        <v/>
      </c>
      <c r="AO379" s="94" t="str">
        <f t="shared" si="67"/>
        <v/>
      </c>
      <c r="AP379" s="47" t="str">
        <f>IF($U379="","",VLOOKUP($U379,'ORF Accuracy Value LookUp'!$G$4:$H$104,2,TRUE))</f>
        <v/>
      </c>
      <c r="AQ379" s="94" t="str">
        <f t="shared" si="68"/>
        <v/>
      </c>
      <c r="AR379" s="46" t="str">
        <f>IF($AE379="","",VLOOKUP($AE379,'ORF Accuracy Value LookUp'!$G$4:$H$104,2,TRUE))</f>
        <v/>
      </c>
      <c r="AS379" s="140" t="str">
        <f t="shared" si="69"/>
        <v/>
      </c>
    </row>
    <row r="380" spans="1:45">
      <c r="A380" s="10"/>
      <c r="B380" s="9"/>
      <c r="C380" s="9"/>
      <c r="D380" s="9"/>
      <c r="E380" s="10"/>
      <c r="F380" s="11"/>
      <c r="G380" s="15"/>
      <c r="H380" s="88"/>
      <c r="I380" s="24"/>
      <c r="J380" s="24"/>
      <c r="K380" s="114" t="str">
        <f t="shared" si="60"/>
        <v/>
      </c>
      <c r="L380" s="24"/>
      <c r="M380" s="24"/>
      <c r="N380" s="24"/>
      <c r="O380" s="24"/>
      <c r="P380" s="97" t="str">
        <f t="shared" si="61"/>
        <v/>
      </c>
      <c r="Q380" s="113" t="str">
        <f t="shared" si="62"/>
        <v/>
      </c>
      <c r="R380" s="88"/>
      <c r="S380" s="24"/>
      <c r="T380" s="24"/>
      <c r="U380" s="78" t="str">
        <f t="shared" si="63"/>
        <v/>
      </c>
      <c r="V380" s="24"/>
      <c r="W380" s="24"/>
      <c r="X380" s="24"/>
      <c r="Y380" s="24"/>
      <c r="Z380" s="98" t="str">
        <f t="shared" si="64"/>
        <v/>
      </c>
      <c r="AA380" s="40" t="str">
        <f t="shared" si="70"/>
        <v/>
      </c>
      <c r="AB380" s="88"/>
      <c r="AC380" s="24"/>
      <c r="AD380" s="24"/>
      <c r="AE380" s="79" t="str">
        <f t="shared" si="65"/>
        <v/>
      </c>
      <c r="AF380" s="24"/>
      <c r="AG380" s="24"/>
      <c r="AH380" s="24"/>
      <c r="AI380" s="24"/>
      <c r="AJ380" s="99" t="str">
        <f t="shared" si="66"/>
        <v/>
      </c>
      <c r="AK380" s="31" t="str">
        <f t="shared" si="71"/>
        <v/>
      </c>
      <c r="AN380" s="139" t="str">
        <f>IF($K380="","",VLOOKUP($K380,'ORF Accuracy Value LookUp'!$G$4:$H$104,2,TRUE))</f>
        <v/>
      </c>
      <c r="AO380" s="94" t="str">
        <f t="shared" si="67"/>
        <v/>
      </c>
      <c r="AP380" s="47" t="str">
        <f>IF($U380="","",VLOOKUP($U380,'ORF Accuracy Value LookUp'!$G$4:$H$104,2,TRUE))</f>
        <v/>
      </c>
      <c r="AQ380" s="94" t="str">
        <f t="shared" si="68"/>
        <v/>
      </c>
      <c r="AR380" s="46" t="str">
        <f>IF($AE380="","",VLOOKUP($AE380,'ORF Accuracy Value LookUp'!$G$4:$H$104,2,TRUE))</f>
        <v/>
      </c>
      <c r="AS380" s="140" t="str">
        <f t="shared" si="69"/>
        <v/>
      </c>
    </row>
    <row r="381" spans="1:45">
      <c r="A381" s="10"/>
      <c r="B381" s="9"/>
      <c r="C381" s="9"/>
      <c r="D381" s="9"/>
      <c r="E381" s="10"/>
      <c r="F381" s="11"/>
      <c r="G381" s="15"/>
      <c r="H381" s="88"/>
      <c r="I381" s="24"/>
      <c r="J381" s="24"/>
      <c r="K381" s="114" t="str">
        <f t="shared" si="60"/>
        <v/>
      </c>
      <c r="L381" s="24"/>
      <c r="M381" s="24"/>
      <c r="N381" s="24"/>
      <c r="O381" s="24"/>
      <c r="P381" s="97" t="str">
        <f t="shared" si="61"/>
        <v/>
      </c>
      <c r="Q381" s="113" t="str">
        <f t="shared" si="62"/>
        <v/>
      </c>
      <c r="R381" s="88"/>
      <c r="S381" s="24"/>
      <c r="T381" s="24"/>
      <c r="U381" s="78" t="str">
        <f t="shared" si="63"/>
        <v/>
      </c>
      <c r="V381" s="24"/>
      <c r="W381" s="24"/>
      <c r="X381" s="24"/>
      <c r="Y381" s="24"/>
      <c r="Z381" s="98" t="str">
        <f t="shared" si="64"/>
        <v/>
      </c>
      <c r="AA381" s="40" t="str">
        <f t="shared" si="70"/>
        <v/>
      </c>
      <c r="AB381" s="88"/>
      <c r="AC381" s="24"/>
      <c r="AD381" s="24"/>
      <c r="AE381" s="79" t="str">
        <f t="shared" si="65"/>
        <v/>
      </c>
      <c r="AF381" s="24"/>
      <c r="AG381" s="24"/>
      <c r="AH381" s="24"/>
      <c r="AI381" s="24"/>
      <c r="AJ381" s="99" t="str">
        <f t="shared" si="66"/>
        <v/>
      </c>
      <c r="AK381" s="31" t="str">
        <f t="shared" si="71"/>
        <v/>
      </c>
      <c r="AN381" s="139" t="str">
        <f>IF($K381="","",VLOOKUP($K381,'ORF Accuracy Value LookUp'!$G$4:$H$104,2,TRUE))</f>
        <v/>
      </c>
      <c r="AO381" s="94" t="str">
        <f t="shared" si="67"/>
        <v/>
      </c>
      <c r="AP381" s="47" t="str">
        <f>IF($U381="","",VLOOKUP($U381,'ORF Accuracy Value LookUp'!$G$4:$H$104,2,TRUE))</f>
        <v/>
      </c>
      <c r="AQ381" s="94" t="str">
        <f t="shared" si="68"/>
        <v/>
      </c>
      <c r="AR381" s="46" t="str">
        <f>IF($AE381="","",VLOOKUP($AE381,'ORF Accuracy Value LookUp'!$G$4:$H$104,2,TRUE))</f>
        <v/>
      </c>
      <c r="AS381" s="140" t="str">
        <f t="shared" si="69"/>
        <v/>
      </c>
    </row>
    <row r="382" spans="1:45">
      <c r="A382" s="10"/>
      <c r="B382" s="9"/>
      <c r="C382" s="9"/>
      <c r="D382" s="9"/>
      <c r="E382" s="10"/>
      <c r="F382" s="11"/>
      <c r="G382" s="15"/>
      <c r="H382" s="88"/>
      <c r="I382" s="24"/>
      <c r="J382" s="24"/>
      <c r="K382" s="114" t="str">
        <f t="shared" si="60"/>
        <v/>
      </c>
      <c r="L382" s="24"/>
      <c r="M382" s="24"/>
      <c r="N382" s="24"/>
      <c r="O382" s="24"/>
      <c r="P382" s="97" t="str">
        <f t="shared" si="61"/>
        <v/>
      </c>
      <c r="Q382" s="113" t="str">
        <f t="shared" si="62"/>
        <v/>
      </c>
      <c r="R382" s="88"/>
      <c r="S382" s="24"/>
      <c r="T382" s="24"/>
      <c r="U382" s="78" t="str">
        <f t="shared" si="63"/>
        <v/>
      </c>
      <c r="V382" s="24"/>
      <c r="W382" s="24"/>
      <c r="X382" s="24"/>
      <c r="Y382" s="24"/>
      <c r="Z382" s="98" t="str">
        <f t="shared" si="64"/>
        <v/>
      </c>
      <c r="AA382" s="40" t="str">
        <f t="shared" si="70"/>
        <v/>
      </c>
      <c r="AB382" s="88"/>
      <c r="AC382" s="24"/>
      <c r="AD382" s="24"/>
      <c r="AE382" s="79" t="str">
        <f t="shared" si="65"/>
        <v/>
      </c>
      <c r="AF382" s="24"/>
      <c r="AG382" s="24"/>
      <c r="AH382" s="24"/>
      <c r="AI382" s="24"/>
      <c r="AJ382" s="99" t="str">
        <f t="shared" si="66"/>
        <v/>
      </c>
      <c r="AK382" s="31" t="str">
        <f t="shared" si="71"/>
        <v/>
      </c>
      <c r="AN382" s="139" t="str">
        <f>IF($K382="","",VLOOKUP($K382,'ORF Accuracy Value LookUp'!$G$4:$H$104,2,TRUE))</f>
        <v/>
      </c>
      <c r="AO382" s="94" t="str">
        <f t="shared" si="67"/>
        <v/>
      </c>
      <c r="AP382" s="47" t="str">
        <f>IF($U382="","",VLOOKUP($U382,'ORF Accuracy Value LookUp'!$G$4:$H$104,2,TRUE))</f>
        <v/>
      </c>
      <c r="AQ382" s="94" t="str">
        <f t="shared" si="68"/>
        <v/>
      </c>
      <c r="AR382" s="46" t="str">
        <f>IF($AE382="","",VLOOKUP($AE382,'ORF Accuracy Value LookUp'!$G$4:$H$104,2,TRUE))</f>
        <v/>
      </c>
      <c r="AS382" s="140" t="str">
        <f t="shared" si="69"/>
        <v/>
      </c>
    </row>
    <row r="383" spans="1:45">
      <c r="A383" s="10"/>
      <c r="B383" s="9"/>
      <c r="C383" s="9"/>
      <c r="D383" s="9"/>
      <c r="E383" s="10"/>
      <c r="F383" s="11"/>
      <c r="G383" s="15"/>
      <c r="H383" s="88"/>
      <c r="I383" s="24"/>
      <c r="J383" s="24"/>
      <c r="K383" s="114" t="str">
        <f t="shared" si="60"/>
        <v/>
      </c>
      <c r="L383" s="24"/>
      <c r="M383" s="24"/>
      <c r="N383" s="24"/>
      <c r="O383" s="24"/>
      <c r="P383" s="97" t="str">
        <f t="shared" si="61"/>
        <v/>
      </c>
      <c r="Q383" s="113" t="str">
        <f t="shared" si="62"/>
        <v/>
      </c>
      <c r="R383" s="88"/>
      <c r="S383" s="24"/>
      <c r="T383" s="24"/>
      <c r="U383" s="78" t="str">
        <f t="shared" si="63"/>
        <v/>
      </c>
      <c r="V383" s="24"/>
      <c r="W383" s="24"/>
      <c r="X383" s="24"/>
      <c r="Y383" s="24"/>
      <c r="Z383" s="98" t="str">
        <f t="shared" si="64"/>
        <v/>
      </c>
      <c r="AA383" s="40" t="str">
        <f t="shared" si="70"/>
        <v/>
      </c>
      <c r="AB383" s="88"/>
      <c r="AC383" s="24"/>
      <c r="AD383" s="24"/>
      <c r="AE383" s="79" t="str">
        <f t="shared" si="65"/>
        <v/>
      </c>
      <c r="AF383" s="24"/>
      <c r="AG383" s="24"/>
      <c r="AH383" s="24"/>
      <c r="AI383" s="24"/>
      <c r="AJ383" s="99" t="str">
        <f t="shared" si="66"/>
        <v/>
      </c>
      <c r="AK383" s="31" t="str">
        <f t="shared" si="71"/>
        <v/>
      </c>
      <c r="AN383" s="139" t="str">
        <f>IF($K383="","",VLOOKUP($K383,'ORF Accuracy Value LookUp'!$G$4:$H$104,2,TRUE))</f>
        <v/>
      </c>
      <c r="AO383" s="94" t="str">
        <f t="shared" si="67"/>
        <v/>
      </c>
      <c r="AP383" s="47" t="str">
        <f>IF($U383="","",VLOOKUP($U383,'ORF Accuracy Value LookUp'!$G$4:$H$104,2,TRUE))</f>
        <v/>
      </c>
      <c r="AQ383" s="94" t="str">
        <f t="shared" si="68"/>
        <v/>
      </c>
      <c r="AR383" s="46" t="str">
        <f>IF($AE383="","",VLOOKUP($AE383,'ORF Accuracy Value LookUp'!$G$4:$H$104,2,TRUE))</f>
        <v/>
      </c>
      <c r="AS383" s="140" t="str">
        <f t="shared" si="69"/>
        <v/>
      </c>
    </row>
    <row r="384" spans="1:45">
      <c r="A384" s="10"/>
      <c r="B384" s="9"/>
      <c r="C384" s="9"/>
      <c r="D384" s="9"/>
      <c r="E384" s="10"/>
      <c r="F384" s="11"/>
      <c r="G384" s="15"/>
      <c r="H384" s="88"/>
      <c r="I384" s="24"/>
      <c r="J384" s="24"/>
      <c r="K384" s="114" t="str">
        <f t="shared" si="60"/>
        <v/>
      </c>
      <c r="L384" s="24"/>
      <c r="M384" s="24"/>
      <c r="N384" s="24"/>
      <c r="O384" s="24"/>
      <c r="P384" s="97" t="str">
        <f t="shared" si="61"/>
        <v/>
      </c>
      <c r="Q384" s="113" t="str">
        <f t="shared" si="62"/>
        <v/>
      </c>
      <c r="R384" s="88"/>
      <c r="S384" s="24"/>
      <c r="T384" s="24"/>
      <c r="U384" s="78" t="str">
        <f t="shared" si="63"/>
        <v/>
      </c>
      <c r="V384" s="24"/>
      <c r="W384" s="24"/>
      <c r="X384" s="24"/>
      <c r="Y384" s="24"/>
      <c r="Z384" s="98" t="str">
        <f t="shared" si="64"/>
        <v/>
      </c>
      <c r="AA384" s="40" t="str">
        <f t="shared" si="70"/>
        <v/>
      </c>
      <c r="AB384" s="88"/>
      <c r="AC384" s="24"/>
      <c r="AD384" s="24"/>
      <c r="AE384" s="79" t="str">
        <f t="shared" si="65"/>
        <v/>
      </c>
      <c r="AF384" s="24"/>
      <c r="AG384" s="24"/>
      <c r="AH384" s="24"/>
      <c r="AI384" s="24"/>
      <c r="AJ384" s="99" t="str">
        <f t="shared" si="66"/>
        <v/>
      </c>
      <c r="AK384" s="31" t="str">
        <f t="shared" si="71"/>
        <v/>
      </c>
      <c r="AN384" s="139" t="str">
        <f>IF($K384="","",VLOOKUP($K384,'ORF Accuracy Value LookUp'!$G$4:$H$104,2,TRUE))</f>
        <v/>
      </c>
      <c r="AO384" s="94" t="str">
        <f t="shared" si="67"/>
        <v/>
      </c>
      <c r="AP384" s="47" t="str">
        <f>IF($U384="","",VLOOKUP($U384,'ORF Accuracy Value LookUp'!$G$4:$H$104,2,TRUE))</f>
        <v/>
      </c>
      <c r="AQ384" s="94" t="str">
        <f t="shared" si="68"/>
        <v/>
      </c>
      <c r="AR384" s="46" t="str">
        <f>IF($AE384="","",VLOOKUP($AE384,'ORF Accuracy Value LookUp'!$G$4:$H$104,2,TRUE))</f>
        <v/>
      </c>
      <c r="AS384" s="140" t="str">
        <f t="shared" si="69"/>
        <v/>
      </c>
    </row>
    <row r="385" spans="1:45">
      <c r="A385" s="10"/>
      <c r="B385" s="9"/>
      <c r="C385" s="9"/>
      <c r="D385" s="9"/>
      <c r="E385" s="10"/>
      <c r="F385" s="11"/>
      <c r="G385" s="15"/>
      <c r="H385" s="88"/>
      <c r="I385" s="24"/>
      <c r="J385" s="24"/>
      <c r="K385" s="114" t="str">
        <f t="shared" si="60"/>
        <v/>
      </c>
      <c r="L385" s="24"/>
      <c r="M385" s="24"/>
      <c r="N385" s="24"/>
      <c r="O385" s="24"/>
      <c r="P385" s="97" t="str">
        <f t="shared" si="61"/>
        <v/>
      </c>
      <c r="Q385" s="113" t="str">
        <f t="shared" si="62"/>
        <v/>
      </c>
      <c r="R385" s="88"/>
      <c r="S385" s="24"/>
      <c r="T385" s="24"/>
      <c r="U385" s="78" t="str">
        <f t="shared" si="63"/>
        <v/>
      </c>
      <c r="V385" s="24"/>
      <c r="W385" s="24"/>
      <c r="X385" s="24"/>
      <c r="Y385" s="24"/>
      <c r="Z385" s="98" t="str">
        <f t="shared" si="64"/>
        <v/>
      </c>
      <c r="AA385" s="40" t="str">
        <f t="shared" si="70"/>
        <v/>
      </c>
      <c r="AB385" s="88"/>
      <c r="AC385" s="24"/>
      <c r="AD385" s="24"/>
      <c r="AE385" s="79" t="str">
        <f t="shared" si="65"/>
        <v/>
      </c>
      <c r="AF385" s="24"/>
      <c r="AG385" s="24"/>
      <c r="AH385" s="24"/>
      <c r="AI385" s="24"/>
      <c r="AJ385" s="99" t="str">
        <f t="shared" si="66"/>
        <v/>
      </c>
      <c r="AK385" s="31" t="str">
        <f t="shared" si="71"/>
        <v/>
      </c>
      <c r="AN385" s="139" t="str">
        <f>IF($K385="","",VLOOKUP($K385,'ORF Accuracy Value LookUp'!$G$4:$H$104,2,TRUE))</f>
        <v/>
      </c>
      <c r="AO385" s="94" t="str">
        <f t="shared" si="67"/>
        <v/>
      </c>
      <c r="AP385" s="47" t="str">
        <f>IF($U385="","",VLOOKUP($U385,'ORF Accuracy Value LookUp'!$G$4:$H$104,2,TRUE))</f>
        <v/>
      </c>
      <c r="AQ385" s="94" t="str">
        <f t="shared" si="68"/>
        <v/>
      </c>
      <c r="AR385" s="46" t="str">
        <f>IF($AE385="","",VLOOKUP($AE385,'ORF Accuracy Value LookUp'!$G$4:$H$104,2,TRUE))</f>
        <v/>
      </c>
      <c r="AS385" s="140" t="str">
        <f t="shared" si="69"/>
        <v/>
      </c>
    </row>
    <row r="386" spans="1:45">
      <c r="A386" s="10"/>
      <c r="B386" s="9"/>
      <c r="C386" s="9"/>
      <c r="D386" s="9"/>
      <c r="E386" s="10"/>
      <c r="F386" s="11"/>
      <c r="G386" s="15"/>
      <c r="H386" s="88"/>
      <c r="I386" s="24"/>
      <c r="J386" s="24"/>
      <c r="K386" s="114" t="str">
        <f t="shared" si="60"/>
        <v/>
      </c>
      <c r="L386" s="24"/>
      <c r="M386" s="24"/>
      <c r="N386" s="24"/>
      <c r="O386" s="24"/>
      <c r="P386" s="97" t="str">
        <f t="shared" si="61"/>
        <v/>
      </c>
      <c r="Q386" s="113" t="str">
        <f t="shared" si="62"/>
        <v/>
      </c>
      <c r="R386" s="88"/>
      <c r="S386" s="24"/>
      <c r="T386" s="24"/>
      <c r="U386" s="78" t="str">
        <f t="shared" si="63"/>
        <v/>
      </c>
      <c r="V386" s="24"/>
      <c r="W386" s="24"/>
      <c r="X386" s="24"/>
      <c r="Y386" s="24"/>
      <c r="Z386" s="98" t="str">
        <f t="shared" si="64"/>
        <v/>
      </c>
      <c r="AA386" s="40" t="str">
        <f t="shared" si="70"/>
        <v/>
      </c>
      <c r="AB386" s="88"/>
      <c r="AC386" s="24"/>
      <c r="AD386" s="24"/>
      <c r="AE386" s="79" t="str">
        <f t="shared" si="65"/>
        <v/>
      </c>
      <c r="AF386" s="24"/>
      <c r="AG386" s="24"/>
      <c r="AH386" s="24"/>
      <c r="AI386" s="24"/>
      <c r="AJ386" s="99" t="str">
        <f t="shared" si="66"/>
        <v/>
      </c>
      <c r="AK386" s="31" t="str">
        <f t="shared" si="71"/>
        <v/>
      </c>
      <c r="AN386" s="139" t="str">
        <f>IF($K386="","",VLOOKUP($K386,'ORF Accuracy Value LookUp'!$G$4:$H$104,2,TRUE))</f>
        <v/>
      </c>
      <c r="AO386" s="94" t="str">
        <f t="shared" si="67"/>
        <v/>
      </c>
      <c r="AP386" s="47" t="str">
        <f>IF($U386="","",VLOOKUP($U386,'ORF Accuracy Value LookUp'!$G$4:$H$104,2,TRUE))</f>
        <v/>
      </c>
      <c r="AQ386" s="94" t="str">
        <f t="shared" si="68"/>
        <v/>
      </c>
      <c r="AR386" s="46" t="str">
        <f>IF($AE386="","",VLOOKUP($AE386,'ORF Accuracy Value LookUp'!$G$4:$H$104,2,TRUE))</f>
        <v/>
      </c>
      <c r="AS386" s="140" t="str">
        <f t="shared" si="69"/>
        <v/>
      </c>
    </row>
    <row r="387" spans="1:45">
      <c r="A387" s="10"/>
      <c r="B387" s="9"/>
      <c r="C387" s="9"/>
      <c r="D387" s="9"/>
      <c r="E387" s="10"/>
      <c r="F387" s="11"/>
      <c r="G387" s="15"/>
      <c r="H387" s="88"/>
      <c r="I387" s="24"/>
      <c r="J387" s="24"/>
      <c r="K387" s="114" t="str">
        <f t="shared" si="60"/>
        <v/>
      </c>
      <c r="L387" s="24"/>
      <c r="M387" s="24"/>
      <c r="N387" s="24"/>
      <c r="O387" s="24"/>
      <c r="P387" s="97" t="str">
        <f t="shared" si="61"/>
        <v/>
      </c>
      <c r="Q387" s="113" t="str">
        <f t="shared" si="62"/>
        <v/>
      </c>
      <c r="R387" s="88"/>
      <c r="S387" s="24"/>
      <c r="T387" s="24"/>
      <c r="U387" s="78" t="str">
        <f t="shared" si="63"/>
        <v/>
      </c>
      <c r="V387" s="24"/>
      <c r="W387" s="24"/>
      <c r="X387" s="24"/>
      <c r="Y387" s="24"/>
      <c r="Z387" s="98" t="str">
        <f t="shared" si="64"/>
        <v/>
      </c>
      <c r="AA387" s="40" t="str">
        <f t="shared" si="70"/>
        <v/>
      </c>
      <c r="AB387" s="88"/>
      <c r="AC387" s="24"/>
      <c r="AD387" s="24"/>
      <c r="AE387" s="79" t="str">
        <f t="shared" si="65"/>
        <v/>
      </c>
      <c r="AF387" s="24"/>
      <c r="AG387" s="24"/>
      <c r="AH387" s="24"/>
      <c r="AI387" s="24"/>
      <c r="AJ387" s="99" t="str">
        <f t="shared" si="66"/>
        <v/>
      </c>
      <c r="AK387" s="31" t="str">
        <f t="shared" si="71"/>
        <v/>
      </c>
      <c r="AN387" s="139" t="str">
        <f>IF($K387="","",VLOOKUP($K387,'ORF Accuracy Value LookUp'!$G$4:$H$104,2,TRUE))</f>
        <v/>
      </c>
      <c r="AO387" s="94" t="str">
        <f t="shared" si="67"/>
        <v/>
      </c>
      <c r="AP387" s="47" t="str">
        <f>IF($U387="","",VLOOKUP($U387,'ORF Accuracy Value LookUp'!$G$4:$H$104,2,TRUE))</f>
        <v/>
      </c>
      <c r="AQ387" s="94" t="str">
        <f t="shared" si="68"/>
        <v/>
      </c>
      <c r="AR387" s="46" t="str">
        <f>IF($AE387="","",VLOOKUP($AE387,'ORF Accuracy Value LookUp'!$G$4:$H$104,2,TRUE))</f>
        <v/>
      </c>
      <c r="AS387" s="140" t="str">
        <f t="shared" si="69"/>
        <v/>
      </c>
    </row>
    <row r="388" spans="1:45">
      <c r="A388" s="10"/>
      <c r="B388" s="9"/>
      <c r="C388" s="9"/>
      <c r="D388" s="9"/>
      <c r="E388" s="10"/>
      <c r="F388" s="11"/>
      <c r="G388" s="15"/>
      <c r="H388" s="88"/>
      <c r="I388" s="24"/>
      <c r="J388" s="24"/>
      <c r="K388" s="114" t="str">
        <f t="shared" si="60"/>
        <v/>
      </c>
      <c r="L388" s="24"/>
      <c r="M388" s="24"/>
      <c r="N388" s="24"/>
      <c r="O388" s="24"/>
      <c r="P388" s="97" t="str">
        <f t="shared" si="61"/>
        <v/>
      </c>
      <c r="Q388" s="113" t="str">
        <f t="shared" si="62"/>
        <v/>
      </c>
      <c r="R388" s="88"/>
      <c r="S388" s="24"/>
      <c r="T388" s="24"/>
      <c r="U388" s="78" t="str">
        <f t="shared" si="63"/>
        <v/>
      </c>
      <c r="V388" s="24"/>
      <c r="W388" s="24"/>
      <c r="X388" s="24"/>
      <c r="Y388" s="24"/>
      <c r="Z388" s="98" t="str">
        <f t="shared" si="64"/>
        <v/>
      </c>
      <c r="AA388" s="40" t="str">
        <f t="shared" si="70"/>
        <v/>
      </c>
      <c r="AB388" s="88"/>
      <c r="AC388" s="24"/>
      <c r="AD388" s="24"/>
      <c r="AE388" s="79" t="str">
        <f t="shared" si="65"/>
        <v/>
      </c>
      <c r="AF388" s="24"/>
      <c r="AG388" s="24"/>
      <c r="AH388" s="24"/>
      <c r="AI388" s="24"/>
      <c r="AJ388" s="99" t="str">
        <f t="shared" si="66"/>
        <v/>
      </c>
      <c r="AK388" s="31" t="str">
        <f t="shared" si="71"/>
        <v/>
      </c>
      <c r="AN388" s="139" t="str">
        <f>IF($K388="","",VLOOKUP($K388,'ORF Accuracy Value LookUp'!$G$4:$H$104,2,TRUE))</f>
        <v/>
      </c>
      <c r="AO388" s="94" t="str">
        <f t="shared" si="67"/>
        <v/>
      </c>
      <c r="AP388" s="47" t="str">
        <f>IF($U388="","",VLOOKUP($U388,'ORF Accuracy Value LookUp'!$G$4:$H$104,2,TRUE))</f>
        <v/>
      </c>
      <c r="AQ388" s="94" t="str">
        <f t="shared" si="68"/>
        <v/>
      </c>
      <c r="AR388" s="46" t="str">
        <f>IF($AE388="","",VLOOKUP($AE388,'ORF Accuracy Value LookUp'!$G$4:$H$104,2,TRUE))</f>
        <v/>
      </c>
      <c r="AS388" s="140" t="str">
        <f t="shared" si="69"/>
        <v/>
      </c>
    </row>
    <row r="389" spans="1:45">
      <c r="A389" s="10"/>
      <c r="B389" s="9"/>
      <c r="C389" s="9"/>
      <c r="D389" s="9"/>
      <c r="E389" s="10"/>
      <c r="F389" s="11"/>
      <c r="G389" s="15"/>
      <c r="H389" s="88"/>
      <c r="I389" s="24"/>
      <c r="J389" s="24"/>
      <c r="K389" s="114" t="str">
        <f t="shared" si="60"/>
        <v/>
      </c>
      <c r="L389" s="24"/>
      <c r="M389" s="24"/>
      <c r="N389" s="24"/>
      <c r="O389" s="24"/>
      <c r="P389" s="97" t="str">
        <f t="shared" si="61"/>
        <v/>
      </c>
      <c r="Q389" s="113" t="str">
        <f t="shared" si="62"/>
        <v/>
      </c>
      <c r="R389" s="88"/>
      <c r="S389" s="24"/>
      <c r="T389" s="24"/>
      <c r="U389" s="78" t="str">
        <f t="shared" si="63"/>
        <v/>
      </c>
      <c r="V389" s="24"/>
      <c r="W389" s="24"/>
      <c r="X389" s="24"/>
      <c r="Y389" s="24"/>
      <c r="Z389" s="98" t="str">
        <f t="shared" si="64"/>
        <v/>
      </c>
      <c r="AA389" s="40" t="str">
        <f t="shared" si="70"/>
        <v/>
      </c>
      <c r="AB389" s="88"/>
      <c r="AC389" s="24"/>
      <c r="AD389" s="24"/>
      <c r="AE389" s="79" t="str">
        <f t="shared" si="65"/>
        <v/>
      </c>
      <c r="AF389" s="24"/>
      <c r="AG389" s="24"/>
      <c r="AH389" s="24"/>
      <c r="AI389" s="24"/>
      <c r="AJ389" s="99" t="str">
        <f t="shared" si="66"/>
        <v/>
      </c>
      <c r="AK389" s="31" t="str">
        <f t="shared" si="71"/>
        <v/>
      </c>
      <c r="AN389" s="139" t="str">
        <f>IF($K389="","",VLOOKUP($K389,'ORF Accuracy Value LookUp'!$G$4:$H$104,2,TRUE))</f>
        <v/>
      </c>
      <c r="AO389" s="94" t="str">
        <f t="shared" si="67"/>
        <v/>
      </c>
      <c r="AP389" s="47" t="str">
        <f>IF($U389="","",VLOOKUP($U389,'ORF Accuracy Value LookUp'!$G$4:$H$104,2,TRUE))</f>
        <v/>
      </c>
      <c r="AQ389" s="94" t="str">
        <f t="shared" si="68"/>
        <v/>
      </c>
      <c r="AR389" s="46" t="str">
        <f>IF($AE389="","",VLOOKUP($AE389,'ORF Accuracy Value LookUp'!$G$4:$H$104,2,TRUE))</f>
        <v/>
      </c>
      <c r="AS389" s="140" t="str">
        <f t="shared" si="69"/>
        <v/>
      </c>
    </row>
    <row r="390" spans="1:45">
      <c r="A390" s="10"/>
      <c r="B390" s="9"/>
      <c r="C390" s="9"/>
      <c r="D390" s="9"/>
      <c r="E390" s="10"/>
      <c r="F390" s="11"/>
      <c r="G390" s="15"/>
      <c r="H390" s="88"/>
      <c r="I390" s="24"/>
      <c r="J390" s="24"/>
      <c r="K390" s="114" t="str">
        <f t="shared" si="60"/>
        <v/>
      </c>
      <c r="L390" s="24"/>
      <c r="M390" s="24"/>
      <c r="N390" s="24"/>
      <c r="O390" s="24"/>
      <c r="P390" s="97" t="str">
        <f t="shared" si="61"/>
        <v/>
      </c>
      <c r="Q390" s="113" t="str">
        <f t="shared" si="62"/>
        <v/>
      </c>
      <c r="R390" s="88"/>
      <c r="S390" s="24"/>
      <c r="T390" s="24"/>
      <c r="U390" s="78" t="str">
        <f t="shared" si="63"/>
        <v/>
      </c>
      <c r="V390" s="24"/>
      <c r="W390" s="24"/>
      <c r="X390" s="24"/>
      <c r="Y390" s="24"/>
      <c r="Z390" s="98" t="str">
        <f t="shared" si="64"/>
        <v/>
      </c>
      <c r="AA390" s="40" t="str">
        <f t="shared" si="70"/>
        <v/>
      </c>
      <c r="AB390" s="88"/>
      <c r="AC390" s="24"/>
      <c r="AD390" s="24"/>
      <c r="AE390" s="79" t="str">
        <f t="shared" si="65"/>
        <v/>
      </c>
      <c r="AF390" s="24"/>
      <c r="AG390" s="24"/>
      <c r="AH390" s="24"/>
      <c r="AI390" s="24"/>
      <c r="AJ390" s="99" t="str">
        <f t="shared" si="66"/>
        <v/>
      </c>
      <c r="AK390" s="31" t="str">
        <f t="shared" si="71"/>
        <v/>
      </c>
      <c r="AN390" s="139" t="str">
        <f>IF($K390="","",VLOOKUP($K390,'ORF Accuracy Value LookUp'!$G$4:$H$104,2,TRUE))</f>
        <v/>
      </c>
      <c r="AO390" s="94" t="str">
        <f t="shared" si="67"/>
        <v/>
      </c>
      <c r="AP390" s="47" t="str">
        <f>IF($U390="","",VLOOKUP($U390,'ORF Accuracy Value LookUp'!$G$4:$H$104,2,TRUE))</f>
        <v/>
      </c>
      <c r="AQ390" s="94" t="str">
        <f t="shared" si="68"/>
        <v/>
      </c>
      <c r="AR390" s="46" t="str">
        <f>IF($AE390="","",VLOOKUP($AE390,'ORF Accuracy Value LookUp'!$G$4:$H$104,2,TRUE))</f>
        <v/>
      </c>
      <c r="AS390" s="140" t="str">
        <f t="shared" si="69"/>
        <v/>
      </c>
    </row>
    <row r="391" spans="1:45">
      <c r="A391" s="10"/>
      <c r="B391" s="9"/>
      <c r="C391" s="9"/>
      <c r="D391" s="9"/>
      <c r="E391" s="10"/>
      <c r="F391" s="11"/>
      <c r="G391" s="15"/>
      <c r="H391" s="88"/>
      <c r="I391" s="24"/>
      <c r="J391" s="24"/>
      <c r="K391" s="114" t="str">
        <f t="shared" si="60"/>
        <v/>
      </c>
      <c r="L391" s="24"/>
      <c r="M391" s="24"/>
      <c r="N391" s="24"/>
      <c r="O391" s="24"/>
      <c r="P391" s="97" t="str">
        <f t="shared" si="61"/>
        <v/>
      </c>
      <c r="Q391" s="113" t="str">
        <f t="shared" si="62"/>
        <v/>
      </c>
      <c r="R391" s="88"/>
      <c r="S391" s="24"/>
      <c r="T391" s="24"/>
      <c r="U391" s="78" t="str">
        <f t="shared" si="63"/>
        <v/>
      </c>
      <c r="V391" s="24"/>
      <c r="W391" s="24"/>
      <c r="X391" s="24"/>
      <c r="Y391" s="24"/>
      <c r="Z391" s="98" t="str">
        <f t="shared" si="64"/>
        <v/>
      </c>
      <c r="AA391" s="40" t="str">
        <f t="shared" si="70"/>
        <v/>
      </c>
      <c r="AB391" s="88"/>
      <c r="AC391" s="24"/>
      <c r="AD391" s="24"/>
      <c r="AE391" s="79" t="str">
        <f t="shared" si="65"/>
        <v/>
      </c>
      <c r="AF391" s="24"/>
      <c r="AG391" s="24"/>
      <c r="AH391" s="24"/>
      <c r="AI391" s="24"/>
      <c r="AJ391" s="99" t="str">
        <f t="shared" si="66"/>
        <v/>
      </c>
      <c r="AK391" s="31" t="str">
        <f t="shared" si="71"/>
        <v/>
      </c>
      <c r="AN391" s="139" t="str">
        <f>IF($K391="","",VLOOKUP($K391,'ORF Accuracy Value LookUp'!$G$4:$H$104,2,TRUE))</f>
        <v/>
      </c>
      <c r="AO391" s="94" t="str">
        <f t="shared" si="67"/>
        <v/>
      </c>
      <c r="AP391" s="47" t="str">
        <f>IF($U391="","",VLOOKUP($U391,'ORF Accuracy Value LookUp'!$G$4:$H$104,2,TRUE))</f>
        <v/>
      </c>
      <c r="AQ391" s="94" t="str">
        <f t="shared" si="68"/>
        <v/>
      </c>
      <c r="AR391" s="46" t="str">
        <f>IF($AE391="","",VLOOKUP($AE391,'ORF Accuracy Value LookUp'!$G$4:$H$104,2,TRUE))</f>
        <v/>
      </c>
      <c r="AS391" s="140" t="str">
        <f t="shared" si="69"/>
        <v/>
      </c>
    </row>
    <row r="392" spans="1:45">
      <c r="A392" s="10"/>
      <c r="B392" s="9"/>
      <c r="C392" s="9"/>
      <c r="D392" s="9"/>
      <c r="E392" s="10"/>
      <c r="F392" s="11"/>
      <c r="G392" s="15"/>
      <c r="H392" s="88"/>
      <c r="I392" s="24"/>
      <c r="J392" s="24"/>
      <c r="K392" s="114" t="str">
        <f t="shared" ref="K392:K400" si="72">IF($I392="","",SUM($I392/($I392+$J392)))</f>
        <v/>
      </c>
      <c r="L392" s="24"/>
      <c r="M392" s="24"/>
      <c r="N392" s="24"/>
      <c r="O392" s="24"/>
      <c r="P392" s="97" t="str">
        <f t="shared" ref="P392:P400" si="73">IF($AO392&gt;0,$AO392,0)</f>
        <v/>
      </c>
      <c r="Q392" s="113" t="str">
        <f t="shared" ref="Q392:Q400" si="74">IF($B392="","",SUM($I392+$AN392+($L392*2)+($P392*2)))</f>
        <v/>
      </c>
      <c r="R392" s="88"/>
      <c r="S392" s="24"/>
      <c r="T392" s="24"/>
      <c r="U392" s="78" t="str">
        <f t="shared" ref="U392:U400" si="75">IF($S392="","",SUM($S392/($S392+$T392)))</f>
        <v/>
      </c>
      <c r="V392" s="24"/>
      <c r="W392" s="24"/>
      <c r="X392" s="24"/>
      <c r="Y392" s="24"/>
      <c r="Z392" s="98" t="str">
        <f t="shared" ref="Z392:Z400" si="76">IF($AQ392&gt;0,$AQ392,0)</f>
        <v/>
      </c>
      <c r="AA392" s="40" t="str">
        <f t="shared" si="70"/>
        <v/>
      </c>
      <c r="AB392" s="88"/>
      <c r="AC392" s="24"/>
      <c r="AD392" s="24"/>
      <c r="AE392" s="79" t="str">
        <f t="shared" ref="AE392:AE400" si="77">IF($AC392="","",SUM($AC392/($AC392+$AD392)))</f>
        <v/>
      </c>
      <c r="AF392" s="24"/>
      <c r="AG392" s="24"/>
      <c r="AH392" s="24"/>
      <c r="AI392" s="24"/>
      <c r="AJ392" s="99" t="str">
        <f t="shared" ref="AJ392:AJ400" si="78">IF($AS392&gt;0,$AS392,0)</f>
        <v/>
      </c>
      <c r="AK392" s="31" t="str">
        <f t="shared" si="71"/>
        <v/>
      </c>
      <c r="AN392" s="139" t="str">
        <f>IF($K392="","",VLOOKUP($K392,'ORF Accuracy Value LookUp'!$G$4:$H$104,2,TRUE))</f>
        <v/>
      </c>
      <c r="AO392" s="94" t="str">
        <f t="shared" ref="AO392:AO400" si="79">IF($N392="","",($N392-($O392/2)))</f>
        <v/>
      </c>
      <c r="AP392" s="47" t="str">
        <f>IF($U392="","",VLOOKUP($U392,'ORF Accuracy Value LookUp'!$G$4:$H$104,2,TRUE))</f>
        <v/>
      </c>
      <c r="AQ392" s="94" t="str">
        <f t="shared" ref="AQ392:AQ400" si="80">IF($X392="","",$X392-($Y392/2))</f>
        <v/>
      </c>
      <c r="AR392" s="46" t="str">
        <f>IF($AE392="","",VLOOKUP($AE392,'ORF Accuracy Value LookUp'!$G$4:$H$104,2,TRUE))</f>
        <v/>
      </c>
      <c r="AS392" s="140" t="str">
        <f t="shared" ref="AS392:AS400" si="81">IF($AH392="","",$AH392-($AI392/2))</f>
        <v/>
      </c>
    </row>
    <row r="393" spans="1:45">
      <c r="A393" s="10"/>
      <c r="B393" s="9"/>
      <c r="C393" s="9"/>
      <c r="D393" s="9"/>
      <c r="E393" s="10"/>
      <c r="F393" s="11"/>
      <c r="G393" s="15"/>
      <c r="H393" s="88"/>
      <c r="I393" s="24"/>
      <c r="J393" s="24"/>
      <c r="K393" s="114" t="str">
        <f t="shared" si="72"/>
        <v/>
      </c>
      <c r="L393" s="24"/>
      <c r="M393" s="24"/>
      <c r="N393" s="24"/>
      <c r="O393" s="24"/>
      <c r="P393" s="97" t="str">
        <f t="shared" si="73"/>
        <v/>
      </c>
      <c r="Q393" s="113" t="str">
        <f t="shared" si="74"/>
        <v/>
      </c>
      <c r="R393" s="88"/>
      <c r="S393" s="24"/>
      <c r="T393" s="24"/>
      <c r="U393" s="78" t="str">
        <f t="shared" si="75"/>
        <v/>
      </c>
      <c r="V393" s="24"/>
      <c r="W393" s="24"/>
      <c r="X393" s="24"/>
      <c r="Y393" s="24"/>
      <c r="Z393" s="98" t="str">
        <f t="shared" si="76"/>
        <v/>
      </c>
      <c r="AA393" s="40" t="str">
        <f t="shared" ref="AA393:AA400" si="82">IF($R393="","",SUM($S393+$AP393+($V393*2)+($Z393*4)))</f>
        <v/>
      </c>
      <c r="AB393" s="88"/>
      <c r="AC393" s="24"/>
      <c r="AD393" s="24"/>
      <c r="AE393" s="79" t="str">
        <f t="shared" si="77"/>
        <v/>
      </c>
      <c r="AF393" s="24"/>
      <c r="AG393" s="24"/>
      <c r="AH393" s="24"/>
      <c r="AI393" s="24"/>
      <c r="AJ393" s="99" t="str">
        <f t="shared" si="78"/>
        <v/>
      </c>
      <c r="AK393" s="31" t="str">
        <f t="shared" ref="AK393:AK400" si="83">IF($AB393="","",SUM($AC393+$AR393+($AF393*2)+($AJ393*4)))</f>
        <v/>
      </c>
      <c r="AN393" s="139" t="str">
        <f>IF($K393="","",VLOOKUP($K393,'ORF Accuracy Value LookUp'!$G$4:$H$104,2,TRUE))</f>
        <v/>
      </c>
      <c r="AO393" s="94" t="str">
        <f t="shared" si="79"/>
        <v/>
      </c>
      <c r="AP393" s="47" t="str">
        <f>IF($U393="","",VLOOKUP($U393,'ORF Accuracy Value LookUp'!$G$4:$H$104,2,TRUE))</f>
        <v/>
      </c>
      <c r="AQ393" s="94" t="str">
        <f t="shared" si="80"/>
        <v/>
      </c>
      <c r="AR393" s="46" t="str">
        <f>IF($AE393="","",VLOOKUP($AE393,'ORF Accuracy Value LookUp'!$G$4:$H$104,2,TRUE))</f>
        <v/>
      </c>
      <c r="AS393" s="140" t="str">
        <f t="shared" si="81"/>
        <v/>
      </c>
    </row>
    <row r="394" spans="1:45">
      <c r="A394" s="10"/>
      <c r="B394" s="9"/>
      <c r="C394" s="9"/>
      <c r="D394" s="9"/>
      <c r="E394" s="10"/>
      <c r="F394" s="11"/>
      <c r="G394" s="15"/>
      <c r="H394" s="88"/>
      <c r="I394" s="24"/>
      <c r="J394" s="24"/>
      <c r="K394" s="114" t="str">
        <f t="shared" si="72"/>
        <v/>
      </c>
      <c r="L394" s="24"/>
      <c r="M394" s="24"/>
      <c r="N394" s="24"/>
      <c r="O394" s="24"/>
      <c r="P394" s="97" t="str">
        <f t="shared" si="73"/>
        <v/>
      </c>
      <c r="Q394" s="113" t="str">
        <f t="shared" si="74"/>
        <v/>
      </c>
      <c r="R394" s="88"/>
      <c r="S394" s="24"/>
      <c r="T394" s="24"/>
      <c r="U394" s="78" t="str">
        <f t="shared" si="75"/>
        <v/>
      </c>
      <c r="V394" s="24"/>
      <c r="W394" s="24"/>
      <c r="X394" s="24"/>
      <c r="Y394" s="24"/>
      <c r="Z394" s="98" t="str">
        <f t="shared" si="76"/>
        <v/>
      </c>
      <c r="AA394" s="40" t="str">
        <f t="shared" si="82"/>
        <v/>
      </c>
      <c r="AB394" s="88"/>
      <c r="AC394" s="24"/>
      <c r="AD394" s="24"/>
      <c r="AE394" s="79" t="str">
        <f t="shared" si="77"/>
        <v/>
      </c>
      <c r="AF394" s="24"/>
      <c r="AG394" s="24"/>
      <c r="AH394" s="24"/>
      <c r="AI394" s="24"/>
      <c r="AJ394" s="99" t="str">
        <f t="shared" si="78"/>
        <v/>
      </c>
      <c r="AK394" s="31" t="str">
        <f t="shared" si="83"/>
        <v/>
      </c>
      <c r="AN394" s="139" t="str">
        <f>IF($K394="","",VLOOKUP($K394,'ORF Accuracy Value LookUp'!$G$4:$H$104,2,TRUE))</f>
        <v/>
      </c>
      <c r="AO394" s="94" t="str">
        <f t="shared" si="79"/>
        <v/>
      </c>
      <c r="AP394" s="47" t="str">
        <f>IF($U394="","",VLOOKUP($U394,'ORF Accuracy Value LookUp'!$G$4:$H$104,2,TRUE))</f>
        <v/>
      </c>
      <c r="AQ394" s="94" t="str">
        <f t="shared" si="80"/>
        <v/>
      </c>
      <c r="AR394" s="46" t="str">
        <f>IF($AE394="","",VLOOKUP($AE394,'ORF Accuracy Value LookUp'!$G$4:$H$104,2,TRUE))</f>
        <v/>
      </c>
      <c r="AS394" s="140" t="str">
        <f t="shared" si="81"/>
        <v/>
      </c>
    </row>
    <row r="395" spans="1:45">
      <c r="A395" s="10"/>
      <c r="B395" s="9"/>
      <c r="C395" s="9"/>
      <c r="D395" s="9"/>
      <c r="E395" s="10"/>
      <c r="F395" s="11"/>
      <c r="G395" s="15"/>
      <c r="H395" s="88"/>
      <c r="I395" s="24"/>
      <c r="J395" s="24"/>
      <c r="K395" s="114" t="str">
        <f t="shared" si="72"/>
        <v/>
      </c>
      <c r="L395" s="24"/>
      <c r="M395" s="24"/>
      <c r="N395" s="24"/>
      <c r="O395" s="24"/>
      <c r="P395" s="97" t="str">
        <f t="shared" si="73"/>
        <v/>
      </c>
      <c r="Q395" s="113" t="str">
        <f t="shared" si="74"/>
        <v/>
      </c>
      <c r="R395" s="88"/>
      <c r="S395" s="24"/>
      <c r="T395" s="24"/>
      <c r="U395" s="78" t="str">
        <f t="shared" si="75"/>
        <v/>
      </c>
      <c r="V395" s="24"/>
      <c r="W395" s="24"/>
      <c r="X395" s="24"/>
      <c r="Y395" s="24"/>
      <c r="Z395" s="98" t="str">
        <f t="shared" si="76"/>
        <v/>
      </c>
      <c r="AA395" s="40" t="str">
        <f t="shared" si="82"/>
        <v/>
      </c>
      <c r="AB395" s="88"/>
      <c r="AC395" s="24"/>
      <c r="AD395" s="24"/>
      <c r="AE395" s="79" t="str">
        <f t="shared" si="77"/>
        <v/>
      </c>
      <c r="AF395" s="24"/>
      <c r="AG395" s="24"/>
      <c r="AH395" s="24"/>
      <c r="AI395" s="24"/>
      <c r="AJ395" s="99" t="str">
        <f t="shared" si="78"/>
        <v/>
      </c>
      <c r="AK395" s="31" t="str">
        <f t="shared" si="83"/>
        <v/>
      </c>
      <c r="AN395" s="139" t="str">
        <f>IF($K395="","",VLOOKUP($K395,'ORF Accuracy Value LookUp'!$G$4:$H$104,2,TRUE))</f>
        <v/>
      </c>
      <c r="AO395" s="94" t="str">
        <f t="shared" si="79"/>
        <v/>
      </c>
      <c r="AP395" s="47" t="str">
        <f>IF($U395="","",VLOOKUP($U395,'ORF Accuracy Value LookUp'!$G$4:$H$104,2,TRUE))</f>
        <v/>
      </c>
      <c r="AQ395" s="94" t="str">
        <f t="shared" si="80"/>
        <v/>
      </c>
      <c r="AR395" s="46" t="str">
        <f>IF($AE395="","",VLOOKUP($AE395,'ORF Accuracy Value LookUp'!$G$4:$H$104,2,TRUE))</f>
        <v/>
      </c>
      <c r="AS395" s="140" t="str">
        <f t="shared" si="81"/>
        <v/>
      </c>
    </row>
    <row r="396" spans="1:45">
      <c r="A396" s="10"/>
      <c r="B396" s="9"/>
      <c r="C396" s="9"/>
      <c r="D396" s="9"/>
      <c r="E396" s="10"/>
      <c r="F396" s="11"/>
      <c r="G396" s="15"/>
      <c r="H396" s="88"/>
      <c r="I396" s="24"/>
      <c r="J396" s="24"/>
      <c r="K396" s="114" t="str">
        <f t="shared" si="72"/>
        <v/>
      </c>
      <c r="L396" s="24"/>
      <c r="M396" s="24"/>
      <c r="N396" s="24"/>
      <c r="O396" s="24"/>
      <c r="P396" s="97" t="str">
        <f t="shared" si="73"/>
        <v/>
      </c>
      <c r="Q396" s="113" t="str">
        <f t="shared" si="74"/>
        <v/>
      </c>
      <c r="R396" s="88"/>
      <c r="S396" s="24"/>
      <c r="T396" s="24"/>
      <c r="U396" s="78" t="str">
        <f t="shared" si="75"/>
        <v/>
      </c>
      <c r="V396" s="24"/>
      <c r="W396" s="24"/>
      <c r="X396" s="24"/>
      <c r="Y396" s="24"/>
      <c r="Z396" s="98" t="str">
        <f t="shared" si="76"/>
        <v/>
      </c>
      <c r="AA396" s="40" t="str">
        <f t="shared" si="82"/>
        <v/>
      </c>
      <c r="AB396" s="88"/>
      <c r="AC396" s="24"/>
      <c r="AD396" s="24"/>
      <c r="AE396" s="79" t="str">
        <f t="shared" si="77"/>
        <v/>
      </c>
      <c r="AF396" s="24"/>
      <c r="AG396" s="24"/>
      <c r="AH396" s="24"/>
      <c r="AI396" s="24"/>
      <c r="AJ396" s="99" t="str">
        <f t="shared" si="78"/>
        <v/>
      </c>
      <c r="AK396" s="31" t="str">
        <f t="shared" si="83"/>
        <v/>
      </c>
      <c r="AN396" s="139" t="str">
        <f>IF($K396="","",VLOOKUP($K396,'ORF Accuracy Value LookUp'!$G$4:$H$104,2,TRUE))</f>
        <v/>
      </c>
      <c r="AO396" s="94" t="str">
        <f t="shared" si="79"/>
        <v/>
      </c>
      <c r="AP396" s="47" t="str">
        <f>IF($U396="","",VLOOKUP($U396,'ORF Accuracy Value LookUp'!$G$4:$H$104,2,TRUE))</f>
        <v/>
      </c>
      <c r="AQ396" s="94" t="str">
        <f t="shared" si="80"/>
        <v/>
      </c>
      <c r="AR396" s="46" t="str">
        <f>IF($AE396="","",VLOOKUP($AE396,'ORF Accuracy Value LookUp'!$G$4:$H$104,2,TRUE))</f>
        <v/>
      </c>
      <c r="AS396" s="140" t="str">
        <f t="shared" si="81"/>
        <v/>
      </c>
    </row>
    <row r="397" spans="1:45">
      <c r="A397" s="10"/>
      <c r="B397" s="9"/>
      <c r="C397" s="9"/>
      <c r="D397" s="9"/>
      <c r="E397" s="10"/>
      <c r="F397" s="11"/>
      <c r="G397" s="15"/>
      <c r="H397" s="88"/>
      <c r="I397" s="24"/>
      <c r="J397" s="24"/>
      <c r="K397" s="114" t="str">
        <f t="shared" si="72"/>
        <v/>
      </c>
      <c r="L397" s="24"/>
      <c r="M397" s="24"/>
      <c r="N397" s="24"/>
      <c r="O397" s="24"/>
      <c r="P397" s="97" t="str">
        <f t="shared" si="73"/>
        <v/>
      </c>
      <c r="Q397" s="113" t="str">
        <f t="shared" si="74"/>
        <v/>
      </c>
      <c r="R397" s="88"/>
      <c r="S397" s="24"/>
      <c r="T397" s="24"/>
      <c r="U397" s="78" t="str">
        <f t="shared" si="75"/>
        <v/>
      </c>
      <c r="V397" s="24"/>
      <c r="W397" s="24"/>
      <c r="X397" s="24"/>
      <c r="Y397" s="24"/>
      <c r="Z397" s="98" t="str">
        <f t="shared" si="76"/>
        <v/>
      </c>
      <c r="AA397" s="40" t="str">
        <f t="shared" si="82"/>
        <v/>
      </c>
      <c r="AB397" s="88"/>
      <c r="AC397" s="24"/>
      <c r="AD397" s="24"/>
      <c r="AE397" s="79" t="str">
        <f t="shared" si="77"/>
        <v/>
      </c>
      <c r="AF397" s="24"/>
      <c r="AG397" s="24"/>
      <c r="AH397" s="24"/>
      <c r="AI397" s="24"/>
      <c r="AJ397" s="99" t="str">
        <f t="shared" si="78"/>
        <v/>
      </c>
      <c r="AK397" s="31" t="str">
        <f t="shared" si="83"/>
        <v/>
      </c>
      <c r="AN397" s="139" t="str">
        <f>IF($K397="","",VLOOKUP($K397,'ORF Accuracy Value LookUp'!$G$4:$H$104,2,TRUE))</f>
        <v/>
      </c>
      <c r="AO397" s="94" t="str">
        <f t="shared" si="79"/>
        <v/>
      </c>
      <c r="AP397" s="47" t="str">
        <f>IF($U397="","",VLOOKUP($U397,'ORF Accuracy Value LookUp'!$G$4:$H$104,2,TRUE))</f>
        <v/>
      </c>
      <c r="AQ397" s="94" t="str">
        <f t="shared" si="80"/>
        <v/>
      </c>
      <c r="AR397" s="46" t="str">
        <f>IF($AE397="","",VLOOKUP($AE397,'ORF Accuracy Value LookUp'!$G$4:$H$104,2,TRUE))</f>
        <v/>
      </c>
      <c r="AS397" s="140" t="str">
        <f t="shared" si="81"/>
        <v/>
      </c>
    </row>
    <row r="398" spans="1:45">
      <c r="A398" s="10"/>
      <c r="B398" s="9"/>
      <c r="C398" s="9"/>
      <c r="D398" s="9"/>
      <c r="E398" s="10"/>
      <c r="F398" s="11"/>
      <c r="G398" s="15"/>
      <c r="H398" s="88"/>
      <c r="I398" s="24"/>
      <c r="J398" s="24"/>
      <c r="K398" s="114" t="str">
        <f t="shared" si="72"/>
        <v/>
      </c>
      <c r="L398" s="24"/>
      <c r="M398" s="24"/>
      <c r="N398" s="24"/>
      <c r="O398" s="24"/>
      <c r="P398" s="97" t="str">
        <f t="shared" si="73"/>
        <v/>
      </c>
      <c r="Q398" s="113" t="str">
        <f t="shared" si="74"/>
        <v/>
      </c>
      <c r="R398" s="88"/>
      <c r="S398" s="24"/>
      <c r="T398" s="24"/>
      <c r="U398" s="78" t="str">
        <f t="shared" si="75"/>
        <v/>
      </c>
      <c r="V398" s="24"/>
      <c r="W398" s="24"/>
      <c r="X398" s="24"/>
      <c r="Y398" s="24"/>
      <c r="Z398" s="98" t="str">
        <f t="shared" si="76"/>
        <v/>
      </c>
      <c r="AA398" s="40" t="str">
        <f t="shared" si="82"/>
        <v/>
      </c>
      <c r="AB398" s="88"/>
      <c r="AC398" s="24"/>
      <c r="AD398" s="24"/>
      <c r="AE398" s="79" t="str">
        <f t="shared" si="77"/>
        <v/>
      </c>
      <c r="AF398" s="24"/>
      <c r="AG398" s="24"/>
      <c r="AH398" s="24"/>
      <c r="AI398" s="24"/>
      <c r="AJ398" s="99" t="str">
        <f t="shared" si="78"/>
        <v/>
      </c>
      <c r="AK398" s="31" t="str">
        <f t="shared" si="83"/>
        <v/>
      </c>
      <c r="AN398" s="139" t="str">
        <f>IF($K398="","",VLOOKUP($K398,'ORF Accuracy Value LookUp'!$G$4:$H$104,2,TRUE))</f>
        <v/>
      </c>
      <c r="AO398" s="94" t="str">
        <f t="shared" si="79"/>
        <v/>
      </c>
      <c r="AP398" s="47" t="str">
        <f>IF($U398="","",VLOOKUP($U398,'ORF Accuracy Value LookUp'!$G$4:$H$104,2,TRUE))</f>
        <v/>
      </c>
      <c r="AQ398" s="94" t="str">
        <f t="shared" si="80"/>
        <v/>
      </c>
      <c r="AR398" s="46" t="str">
        <f>IF($AE398="","",VLOOKUP($AE398,'ORF Accuracy Value LookUp'!$G$4:$H$104,2,TRUE))</f>
        <v/>
      </c>
      <c r="AS398" s="140" t="str">
        <f t="shared" si="81"/>
        <v/>
      </c>
    </row>
    <row r="399" spans="1:45">
      <c r="A399" s="10"/>
      <c r="B399" s="9"/>
      <c r="C399" s="9"/>
      <c r="D399" s="9"/>
      <c r="E399" s="10"/>
      <c r="F399" s="11"/>
      <c r="G399" s="15"/>
      <c r="H399" s="88"/>
      <c r="I399" s="24"/>
      <c r="J399" s="24"/>
      <c r="K399" s="114" t="str">
        <f t="shared" si="72"/>
        <v/>
      </c>
      <c r="L399" s="24"/>
      <c r="M399" s="24"/>
      <c r="N399" s="24"/>
      <c r="O399" s="24"/>
      <c r="P399" s="97" t="str">
        <f t="shared" si="73"/>
        <v/>
      </c>
      <c r="Q399" s="113" t="str">
        <f t="shared" si="74"/>
        <v/>
      </c>
      <c r="R399" s="88"/>
      <c r="S399" s="24"/>
      <c r="T399" s="24"/>
      <c r="U399" s="78" t="str">
        <f t="shared" si="75"/>
        <v/>
      </c>
      <c r="V399" s="24"/>
      <c r="W399" s="24"/>
      <c r="X399" s="24"/>
      <c r="Y399" s="24"/>
      <c r="Z399" s="98" t="str">
        <f t="shared" si="76"/>
        <v/>
      </c>
      <c r="AA399" s="40" t="str">
        <f t="shared" si="82"/>
        <v/>
      </c>
      <c r="AB399" s="88"/>
      <c r="AC399" s="24"/>
      <c r="AD399" s="24"/>
      <c r="AE399" s="79" t="str">
        <f t="shared" si="77"/>
        <v/>
      </c>
      <c r="AF399" s="24"/>
      <c r="AG399" s="24"/>
      <c r="AH399" s="24"/>
      <c r="AI399" s="24"/>
      <c r="AJ399" s="99" t="str">
        <f t="shared" si="78"/>
        <v/>
      </c>
      <c r="AK399" s="31" t="str">
        <f t="shared" si="83"/>
        <v/>
      </c>
      <c r="AN399" s="139" t="str">
        <f>IF($K399="","",VLOOKUP($K399,'ORF Accuracy Value LookUp'!$G$4:$H$104,2,TRUE))</f>
        <v/>
      </c>
      <c r="AO399" s="94" t="str">
        <f t="shared" si="79"/>
        <v/>
      </c>
      <c r="AP399" s="47" t="str">
        <f>IF($U399="","",VLOOKUP($U399,'ORF Accuracy Value LookUp'!$G$4:$H$104,2,TRUE))</f>
        <v/>
      </c>
      <c r="AQ399" s="94" t="str">
        <f t="shared" si="80"/>
        <v/>
      </c>
      <c r="AR399" s="46" t="str">
        <f>IF($AE399="","",VLOOKUP($AE399,'ORF Accuracy Value LookUp'!$G$4:$H$104,2,TRUE))</f>
        <v/>
      </c>
      <c r="AS399" s="140" t="str">
        <f t="shared" si="81"/>
        <v/>
      </c>
    </row>
    <row r="400" spans="1:45" ht="15.75" thickBot="1">
      <c r="A400" s="10"/>
      <c r="B400" s="9"/>
      <c r="C400" s="9"/>
      <c r="D400" s="9"/>
      <c r="E400" s="10"/>
      <c r="F400" s="11"/>
      <c r="G400" s="15"/>
      <c r="H400" s="89"/>
      <c r="I400" s="26"/>
      <c r="J400" s="26"/>
      <c r="K400" s="129" t="str">
        <f t="shared" si="72"/>
        <v/>
      </c>
      <c r="L400" s="26"/>
      <c r="M400" s="26"/>
      <c r="N400" s="26"/>
      <c r="O400" s="26"/>
      <c r="P400" s="130" t="str">
        <f t="shared" si="73"/>
        <v/>
      </c>
      <c r="Q400" s="131" t="str">
        <f t="shared" si="74"/>
        <v/>
      </c>
      <c r="R400" s="89"/>
      <c r="S400" s="26"/>
      <c r="T400" s="26"/>
      <c r="U400" s="128" t="str">
        <f t="shared" si="75"/>
        <v/>
      </c>
      <c r="V400" s="26"/>
      <c r="W400" s="26"/>
      <c r="X400" s="26"/>
      <c r="Y400" s="26"/>
      <c r="Z400" s="132" t="str">
        <f t="shared" si="76"/>
        <v/>
      </c>
      <c r="AA400" s="40" t="str">
        <f t="shared" si="82"/>
        <v/>
      </c>
      <c r="AB400" s="89"/>
      <c r="AC400" s="26"/>
      <c r="AD400" s="26"/>
      <c r="AE400" s="112" t="str">
        <f t="shared" si="77"/>
        <v/>
      </c>
      <c r="AF400" s="26"/>
      <c r="AG400" s="26"/>
      <c r="AH400" s="26"/>
      <c r="AI400" s="26"/>
      <c r="AJ400" s="133" t="str">
        <f t="shared" si="78"/>
        <v/>
      </c>
      <c r="AK400" s="31" t="str">
        <f t="shared" si="83"/>
        <v/>
      </c>
      <c r="AN400" s="141" t="str">
        <f>IF($K400="","",VLOOKUP($K400,'ORF Accuracy Value LookUp'!$G$4:$H$104,2,TRUE))</f>
        <v/>
      </c>
      <c r="AO400" s="142" t="str">
        <f t="shared" si="79"/>
        <v/>
      </c>
      <c r="AP400" s="143" t="str">
        <f>IF($U400="","",VLOOKUP($U400,'ORF Accuracy Value LookUp'!$G$4:$H$104,2,TRUE))</f>
        <v/>
      </c>
      <c r="AQ400" s="142" t="str">
        <f t="shared" si="80"/>
        <v/>
      </c>
      <c r="AR400" s="144" t="str">
        <f>IF($AE400="","",VLOOKUP($AE400,'ORF Accuracy Value LookUp'!$G$4:$H$104,2,TRUE))</f>
        <v/>
      </c>
      <c r="AS400" s="145" t="str">
        <f t="shared" si="81"/>
        <v/>
      </c>
    </row>
    <row r="401" spans="1:45">
      <c r="A401" s="6"/>
      <c r="B401" s="7"/>
      <c r="C401" s="7"/>
      <c r="D401" s="7"/>
      <c r="E401" s="6"/>
      <c r="F401" s="8"/>
      <c r="G401" s="6"/>
      <c r="I401" s="6"/>
      <c r="J401" s="6"/>
      <c r="K401" s="77"/>
      <c r="L401" s="6"/>
      <c r="M401" s="6"/>
      <c r="N401" s="6"/>
      <c r="O401" s="6"/>
      <c r="P401" s="95"/>
      <c r="Q401" s="6"/>
      <c r="S401" s="6"/>
      <c r="T401" s="6"/>
      <c r="U401" s="77"/>
      <c r="V401" s="6"/>
      <c r="W401" s="6"/>
      <c r="X401" s="6"/>
      <c r="Y401" s="6"/>
      <c r="Z401" s="95"/>
      <c r="AA401" s="6"/>
      <c r="AC401" s="6"/>
      <c r="AD401" s="6"/>
      <c r="AE401" s="77"/>
      <c r="AF401" s="6"/>
      <c r="AG401" s="6"/>
      <c r="AH401" s="6"/>
      <c r="AI401" s="6"/>
      <c r="AJ401" s="95"/>
      <c r="AK401" s="6"/>
      <c r="AN401" s="6"/>
      <c r="AO401" s="95"/>
      <c r="AP401" s="6"/>
      <c r="AQ401" s="95"/>
      <c r="AR401" s="6"/>
      <c r="AS401" s="95"/>
    </row>
    <row r="402" spans="1:45">
      <c r="A402" s="6"/>
      <c r="B402" s="7"/>
      <c r="C402" s="7"/>
      <c r="D402" s="7"/>
      <c r="E402" s="6"/>
      <c r="F402" s="8"/>
      <c r="G402" s="6"/>
      <c r="I402" s="6"/>
      <c r="J402" s="6"/>
      <c r="K402" s="77"/>
      <c r="L402" s="6"/>
      <c r="M402" s="6"/>
      <c r="N402" s="6"/>
      <c r="O402" s="6"/>
      <c r="P402" s="95"/>
      <c r="Q402" s="6"/>
      <c r="S402" s="6"/>
      <c r="T402" s="6"/>
      <c r="U402" s="77"/>
      <c r="V402" s="6"/>
      <c r="W402" s="6"/>
      <c r="X402" s="6"/>
      <c r="Y402" s="6"/>
      <c r="Z402" s="95"/>
      <c r="AA402" s="6"/>
      <c r="AC402" s="6"/>
      <c r="AD402" s="6"/>
      <c r="AE402" s="77"/>
      <c r="AF402" s="6"/>
      <c r="AG402" s="6"/>
      <c r="AH402" s="6"/>
      <c r="AI402" s="6"/>
      <c r="AJ402" s="95"/>
      <c r="AK402" s="6"/>
      <c r="AN402" s="6"/>
      <c r="AO402" s="95"/>
      <c r="AP402" s="6"/>
      <c r="AQ402" s="95"/>
      <c r="AR402" s="6"/>
      <c r="AS402" s="95"/>
    </row>
    <row r="403" spans="1:45">
      <c r="A403" s="6"/>
      <c r="B403" s="7"/>
      <c r="C403" s="7"/>
      <c r="D403" s="7"/>
      <c r="E403" s="6"/>
      <c r="F403" s="8"/>
      <c r="G403" s="6"/>
      <c r="I403" s="6"/>
      <c r="J403" s="6"/>
      <c r="K403" s="77"/>
      <c r="L403" s="6"/>
      <c r="M403" s="6"/>
      <c r="N403" s="6"/>
      <c r="O403" s="6"/>
      <c r="P403" s="95"/>
      <c r="Q403" s="6"/>
      <c r="S403" s="6"/>
      <c r="T403" s="6"/>
      <c r="U403" s="77"/>
      <c r="V403" s="6"/>
      <c r="W403" s="6"/>
      <c r="X403" s="6"/>
      <c r="Y403" s="6"/>
      <c r="Z403" s="95"/>
      <c r="AA403" s="6"/>
      <c r="AC403" s="6"/>
      <c r="AD403" s="6"/>
      <c r="AE403" s="77"/>
      <c r="AF403" s="6"/>
      <c r="AG403" s="6"/>
      <c r="AH403" s="6"/>
      <c r="AI403" s="6"/>
      <c r="AJ403" s="95"/>
      <c r="AK403" s="6"/>
      <c r="AN403" s="6"/>
      <c r="AO403" s="95"/>
      <c r="AP403" s="6"/>
      <c r="AQ403" s="95"/>
      <c r="AR403" s="6"/>
      <c r="AS403" s="95"/>
    </row>
    <row r="404" spans="1:45">
      <c r="A404" s="6"/>
      <c r="B404" s="7"/>
      <c r="C404" s="7"/>
      <c r="D404" s="7"/>
      <c r="E404" s="6"/>
      <c r="F404" s="8"/>
      <c r="G404" s="6"/>
      <c r="I404" s="6"/>
      <c r="J404" s="6"/>
      <c r="K404" s="77"/>
      <c r="L404" s="6"/>
      <c r="M404" s="6"/>
      <c r="N404" s="6"/>
      <c r="O404" s="6"/>
      <c r="P404" s="95"/>
      <c r="Q404" s="6"/>
      <c r="S404" s="6"/>
      <c r="T404" s="6"/>
      <c r="U404" s="77"/>
      <c r="V404" s="6"/>
      <c r="W404" s="6"/>
      <c r="X404" s="6"/>
      <c r="Y404" s="6"/>
      <c r="Z404" s="95"/>
      <c r="AA404" s="6"/>
      <c r="AC404" s="6"/>
      <c r="AD404" s="6"/>
      <c r="AE404" s="77"/>
      <c r="AF404" s="6"/>
      <c r="AG404" s="6"/>
      <c r="AH404" s="6"/>
      <c r="AI404" s="6"/>
      <c r="AJ404" s="95"/>
      <c r="AK404" s="6"/>
      <c r="AN404" s="6"/>
      <c r="AO404" s="95"/>
      <c r="AP404" s="6"/>
      <c r="AQ404" s="95"/>
      <c r="AR404" s="6"/>
      <c r="AS404" s="95"/>
    </row>
    <row r="405" spans="1:45">
      <c r="A405" s="6"/>
      <c r="B405" s="7"/>
      <c r="C405" s="7"/>
      <c r="D405" s="7"/>
      <c r="E405" s="6"/>
      <c r="F405" s="8"/>
      <c r="G405" s="6"/>
      <c r="I405" s="6"/>
      <c r="J405" s="6"/>
      <c r="K405" s="77"/>
      <c r="L405" s="6"/>
      <c r="M405" s="6"/>
      <c r="N405" s="6"/>
      <c r="O405" s="6"/>
      <c r="P405" s="95"/>
      <c r="Q405" s="6"/>
      <c r="S405" s="6"/>
      <c r="T405" s="6"/>
      <c r="U405" s="77"/>
      <c r="V405" s="6"/>
      <c r="W405" s="6"/>
      <c r="X405" s="6"/>
      <c r="Y405" s="6"/>
      <c r="Z405" s="95"/>
      <c r="AA405" s="6"/>
      <c r="AC405" s="6"/>
      <c r="AD405" s="6"/>
      <c r="AE405" s="77"/>
      <c r="AF405" s="6"/>
      <c r="AG405" s="6"/>
      <c r="AH405" s="6"/>
      <c r="AI405" s="6"/>
      <c r="AJ405" s="95"/>
      <c r="AK405" s="6"/>
      <c r="AN405" s="6"/>
      <c r="AO405" s="95"/>
      <c r="AP405" s="6"/>
      <c r="AQ405" s="95"/>
      <c r="AR405" s="6"/>
      <c r="AS405" s="95"/>
    </row>
    <row r="406" spans="1:45">
      <c r="A406" s="6"/>
      <c r="B406" s="7"/>
      <c r="C406" s="7"/>
      <c r="D406" s="7"/>
      <c r="E406" s="6"/>
      <c r="F406" s="8"/>
      <c r="G406" s="6"/>
      <c r="I406" s="6"/>
      <c r="J406" s="6"/>
      <c r="K406" s="77"/>
      <c r="L406" s="6"/>
      <c r="M406" s="6"/>
      <c r="N406" s="6"/>
      <c r="O406" s="6"/>
      <c r="P406" s="95"/>
      <c r="Q406" s="6"/>
      <c r="S406" s="6"/>
      <c r="T406" s="6"/>
      <c r="U406" s="77"/>
      <c r="V406" s="6"/>
      <c r="W406" s="6"/>
      <c r="X406" s="6"/>
      <c r="Y406" s="6"/>
      <c r="Z406" s="95"/>
      <c r="AA406" s="6"/>
      <c r="AC406" s="6"/>
      <c r="AD406" s="6"/>
      <c r="AE406" s="77"/>
      <c r="AF406" s="6"/>
      <c r="AG406" s="6"/>
      <c r="AH406" s="6"/>
      <c r="AI406" s="6"/>
      <c r="AJ406" s="95"/>
      <c r="AK406" s="6"/>
      <c r="AN406" s="6"/>
      <c r="AO406" s="95"/>
      <c r="AP406" s="6"/>
      <c r="AQ406" s="95"/>
      <c r="AR406" s="6"/>
      <c r="AS406" s="95"/>
    </row>
    <row r="407" spans="1:45">
      <c r="A407" s="6"/>
      <c r="B407" s="7"/>
      <c r="C407" s="7"/>
      <c r="D407" s="7"/>
      <c r="E407" s="6"/>
      <c r="F407" s="8"/>
      <c r="G407" s="6"/>
      <c r="I407" s="6"/>
      <c r="J407" s="6"/>
      <c r="K407" s="77"/>
      <c r="L407" s="6"/>
      <c r="M407" s="6"/>
      <c r="N407" s="6"/>
      <c r="O407" s="6"/>
      <c r="P407" s="95"/>
      <c r="Q407" s="6"/>
      <c r="S407" s="6"/>
      <c r="T407" s="6"/>
      <c r="U407" s="77"/>
      <c r="V407" s="6"/>
      <c r="W407" s="6"/>
      <c r="X407" s="6"/>
      <c r="Y407" s="6"/>
      <c r="Z407" s="95"/>
      <c r="AA407" s="6"/>
      <c r="AC407" s="6"/>
      <c r="AD407" s="6"/>
      <c r="AE407" s="77"/>
      <c r="AF407" s="6"/>
      <c r="AG407" s="6"/>
      <c r="AH407" s="6"/>
      <c r="AI407" s="6"/>
      <c r="AJ407" s="95"/>
      <c r="AK407" s="6"/>
      <c r="AN407" s="6"/>
      <c r="AO407" s="95"/>
      <c r="AP407" s="6"/>
      <c r="AQ407" s="95"/>
      <c r="AR407" s="6"/>
      <c r="AS407" s="95"/>
    </row>
    <row r="408" spans="1:45">
      <c r="A408" s="6"/>
      <c r="B408" s="7"/>
      <c r="C408" s="7"/>
      <c r="D408" s="7"/>
      <c r="E408" s="6"/>
      <c r="F408" s="8"/>
      <c r="G408" s="6"/>
      <c r="I408" s="6"/>
      <c r="J408" s="6"/>
      <c r="K408" s="77"/>
      <c r="L408" s="6"/>
      <c r="M408" s="6"/>
      <c r="N408" s="6"/>
      <c r="O408" s="6"/>
      <c r="P408" s="95"/>
      <c r="Q408" s="6"/>
      <c r="S408" s="6"/>
      <c r="T408" s="6"/>
      <c r="U408" s="77"/>
      <c r="V408" s="6"/>
      <c r="W408" s="6"/>
      <c r="X408" s="6"/>
      <c r="Y408" s="6"/>
      <c r="Z408" s="95"/>
      <c r="AA408" s="6"/>
      <c r="AC408" s="6"/>
      <c r="AD408" s="6"/>
      <c r="AE408" s="77"/>
      <c r="AF408" s="6"/>
      <c r="AG408" s="6"/>
      <c r="AH408" s="6"/>
      <c r="AI408" s="6"/>
      <c r="AJ408" s="95"/>
      <c r="AK408" s="6"/>
      <c r="AN408" s="6"/>
      <c r="AO408" s="95"/>
      <c r="AP408" s="6"/>
      <c r="AQ408" s="95"/>
      <c r="AR408" s="6"/>
      <c r="AS408" s="95"/>
    </row>
    <row r="409" spans="1:45">
      <c r="A409" s="6"/>
      <c r="B409" s="7"/>
      <c r="C409" s="7"/>
      <c r="D409" s="7"/>
      <c r="E409" s="6"/>
      <c r="F409" s="8"/>
      <c r="G409" s="6"/>
      <c r="I409" s="6"/>
      <c r="J409" s="6"/>
      <c r="K409" s="77"/>
      <c r="L409" s="6"/>
      <c r="M409" s="6"/>
      <c r="N409" s="6"/>
      <c r="O409" s="6"/>
      <c r="P409" s="95"/>
      <c r="Q409" s="6"/>
      <c r="S409" s="6"/>
      <c r="T409" s="6"/>
      <c r="U409" s="77"/>
      <c r="V409" s="6"/>
      <c r="W409" s="6"/>
      <c r="X409" s="6"/>
      <c r="Y409" s="6"/>
      <c r="Z409" s="95"/>
      <c r="AA409" s="6"/>
      <c r="AC409" s="6"/>
      <c r="AD409" s="6"/>
      <c r="AE409" s="77"/>
      <c r="AF409" s="6"/>
      <c r="AG409" s="6"/>
      <c r="AH409" s="6"/>
      <c r="AI409" s="6"/>
      <c r="AJ409" s="95"/>
      <c r="AK409" s="6"/>
      <c r="AN409" s="6"/>
      <c r="AO409" s="95"/>
      <c r="AP409" s="6"/>
      <c r="AQ409" s="95"/>
      <c r="AR409" s="6"/>
      <c r="AS409" s="95"/>
    </row>
  </sheetData>
  <mergeCells count="17">
    <mergeCell ref="AB5:AK5"/>
    <mergeCell ref="I6:M6"/>
    <mergeCell ref="A1:G2"/>
    <mergeCell ref="I1:Z2"/>
    <mergeCell ref="H5:Q5"/>
    <mergeCell ref="R5:AA5"/>
    <mergeCell ref="H3:Q3"/>
    <mergeCell ref="R3:AA3"/>
    <mergeCell ref="AB3:AK3"/>
    <mergeCell ref="AR6:AS6"/>
    <mergeCell ref="AH6:AJ6"/>
    <mergeCell ref="AN6:AO6"/>
    <mergeCell ref="AP6:AQ6"/>
    <mergeCell ref="N6:P6"/>
    <mergeCell ref="X6:Z6"/>
    <mergeCell ref="AC6:AG6"/>
    <mergeCell ref="S6:W6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264E-487B-4D43-8803-1900DCD2B70F}">
  <dimension ref="A1:AS409"/>
  <sheetViews>
    <sheetView topLeftCell="A6" zoomScaleNormal="100" workbookViewId="0">
      <pane xSplit="7" topLeftCell="H1" activePane="topRight" state="frozen"/>
      <selection pane="topRight" activeCell="H8" sqref="H8:AK18"/>
    </sheetView>
  </sheetViews>
  <sheetFormatPr defaultColWidth="10" defaultRowHeight="15"/>
  <cols>
    <col min="1" max="1" width="7.85546875" customWidth="1"/>
    <col min="2" max="2" width="10" customWidth="1"/>
    <col min="3" max="5" width="8.7109375" customWidth="1"/>
    <col min="6" max="6" width="13" customWidth="1"/>
    <col min="7" max="7" width="8.7109375" customWidth="1"/>
    <col min="8" max="8" width="12" customWidth="1"/>
    <col min="9" max="9" width="10.85546875" customWidth="1"/>
    <col min="10" max="10" width="6.85546875" bestFit="1" customWidth="1"/>
    <col min="11" max="11" width="11.42578125" style="90" bestFit="1" customWidth="1"/>
    <col min="12" max="12" width="8.7109375" bestFit="1" customWidth="1"/>
    <col min="13" max="13" width="9.42578125" customWidth="1"/>
    <col min="14" max="14" width="8.7109375" bestFit="1" customWidth="1"/>
    <col min="15" max="15" width="6.85546875" bestFit="1" customWidth="1"/>
    <col min="16" max="16" width="9.28515625" style="92" bestFit="1" customWidth="1"/>
    <col min="17" max="17" width="10.28515625" customWidth="1"/>
    <col min="18" max="18" width="12.42578125" customWidth="1"/>
    <col min="19" max="19" width="11.28515625" customWidth="1"/>
    <col min="20" max="20" width="6.85546875" bestFit="1" customWidth="1"/>
    <col min="21" max="21" width="11.42578125" style="90" bestFit="1" customWidth="1"/>
    <col min="22" max="22" width="8.7109375" bestFit="1" customWidth="1"/>
    <col min="23" max="23" width="10" customWidth="1"/>
    <col min="24" max="24" width="8.7109375" bestFit="1" customWidth="1"/>
    <col min="25" max="25" width="6.85546875" bestFit="1" customWidth="1"/>
    <col min="26" max="26" width="9.28515625" style="92" bestFit="1" customWidth="1"/>
    <col min="27" max="27" width="10.42578125" customWidth="1"/>
    <col min="28" max="28" width="12.28515625" customWidth="1"/>
    <col min="29" max="29" width="11" customWidth="1"/>
    <col min="30" max="30" width="6.85546875" bestFit="1" customWidth="1"/>
    <col min="31" max="31" width="11.42578125" style="90" bestFit="1" customWidth="1"/>
    <col min="32" max="32" width="8.7109375" bestFit="1" customWidth="1"/>
    <col min="33" max="33" width="10.140625" customWidth="1"/>
    <col min="34" max="34" width="8.7109375" bestFit="1" customWidth="1"/>
    <col min="35" max="35" width="6.85546875" bestFit="1" customWidth="1"/>
    <col min="36" max="36" width="9.28515625" style="92" bestFit="1" customWidth="1"/>
    <col min="37" max="37" width="10.42578125" customWidth="1"/>
    <col min="40" max="40" width="9.42578125" customWidth="1"/>
    <col min="41" max="41" width="11.42578125" style="92" customWidth="1"/>
    <col min="42" max="42" width="9.42578125" customWidth="1"/>
    <col min="43" max="43" width="10.42578125" style="92" customWidth="1"/>
    <col min="44" max="44" width="9.7109375" customWidth="1"/>
    <col min="45" max="45" width="11.42578125" style="92" customWidth="1"/>
  </cols>
  <sheetData>
    <row r="1" spans="1:45" ht="36" customHeight="1">
      <c r="A1" s="244" t="s">
        <v>27</v>
      </c>
      <c r="B1" s="244"/>
      <c r="C1" s="244"/>
      <c r="D1" s="244"/>
      <c r="E1" s="244"/>
      <c r="F1" s="244"/>
      <c r="G1" s="244"/>
      <c r="H1" s="35"/>
      <c r="I1" s="260" t="s">
        <v>45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B1" s="35"/>
    </row>
    <row r="2" spans="1:45" ht="29.25" customHeight="1">
      <c r="A2" s="244"/>
      <c r="B2" s="244"/>
      <c r="C2" s="244"/>
      <c r="D2" s="244"/>
      <c r="E2" s="244"/>
      <c r="F2" s="244"/>
      <c r="G2" s="244"/>
      <c r="H2" s="35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B2" s="35"/>
    </row>
    <row r="3" spans="1:45" ht="15" customHeight="1">
      <c r="H3" s="303" t="s">
        <v>48</v>
      </c>
      <c r="I3" s="303"/>
      <c r="J3" s="303"/>
      <c r="K3" s="303"/>
      <c r="L3" s="303"/>
      <c r="M3" s="303"/>
      <c r="N3" s="303"/>
      <c r="O3" s="303"/>
      <c r="P3" s="303"/>
      <c r="Q3" s="303"/>
      <c r="R3" s="303" t="s">
        <v>48</v>
      </c>
      <c r="S3" s="303"/>
      <c r="T3" s="303"/>
      <c r="U3" s="303"/>
      <c r="V3" s="303"/>
      <c r="W3" s="303"/>
      <c r="X3" s="303"/>
      <c r="Y3" s="303"/>
      <c r="Z3" s="303"/>
      <c r="AA3" s="303"/>
      <c r="AB3" s="303" t="s">
        <v>48</v>
      </c>
      <c r="AC3" s="303"/>
      <c r="AD3" s="303"/>
      <c r="AE3" s="303"/>
      <c r="AF3" s="303"/>
      <c r="AG3" s="303"/>
      <c r="AH3" s="303"/>
      <c r="AI3" s="303"/>
      <c r="AJ3" s="303"/>
      <c r="AK3" s="303"/>
    </row>
    <row r="4" spans="1:45" s="36" customFormat="1" ht="15.75" thickBot="1">
      <c r="A4" s="37" t="s">
        <v>4</v>
      </c>
      <c r="B4" s="37" t="s">
        <v>4</v>
      </c>
      <c r="C4" s="37" t="s">
        <v>4</v>
      </c>
      <c r="D4" s="37" t="s">
        <v>4</v>
      </c>
      <c r="E4" s="48" t="s">
        <v>3</v>
      </c>
      <c r="F4" s="37" t="s">
        <v>4</v>
      </c>
      <c r="G4" s="38" t="s">
        <v>3</v>
      </c>
      <c r="H4" s="37" t="s">
        <v>4</v>
      </c>
      <c r="I4" s="37" t="s">
        <v>4</v>
      </c>
      <c r="J4" s="48" t="s">
        <v>3</v>
      </c>
      <c r="K4" s="91" t="s">
        <v>4</v>
      </c>
      <c r="L4" s="37" t="s">
        <v>4</v>
      </c>
      <c r="M4" s="48" t="s">
        <v>3</v>
      </c>
      <c r="N4" s="48" t="s">
        <v>3</v>
      </c>
      <c r="O4" s="48" t="s">
        <v>3</v>
      </c>
      <c r="P4" s="96" t="s">
        <v>4</v>
      </c>
      <c r="Q4" s="37"/>
      <c r="R4" s="37" t="s">
        <v>4</v>
      </c>
      <c r="S4" s="37" t="s">
        <v>4</v>
      </c>
      <c r="T4" s="48" t="s">
        <v>3</v>
      </c>
      <c r="U4" s="91" t="s">
        <v>4</v>
      </c>
      <c r="V4" s="39" t="s">
        <v>4</v>
      </c>
      <c r="W4" s="48" t="s">
        <v>3</v>
      </c>
      <c r="X4" s="48" t="s">
        <v>3</v>
      </c>
      <c r="Y4" s="48" t="s">
        <v>3</v>
      </c>
      <c r="Z4" s="96" t="s">
        <v>4</v>
      </c>
      <c r="AA4" s="37"/>
      <c r="AB4" s="37" t="s">
        <v>4</v>
      </c>
      <c r="AC4" s="37" t="s">
        <v>4</v>
      </c>
      <c r="AD4" s="48" t="s">
        <v>3</v>
      </c>
      <c r="AE4" s="91" t="s">
        <v>4</v>
      </c>
      <c r="AF4" s="39" t="s">
        <v>4</v>
      </c>
      <c r="AG4" s="48" t="s">
        <v>3</v>
      </c>
      <c r="AH4" s="48" t="s">
        <v>3</v>
      </c>
      <c r="AI4" s="48" t="s">
        <v>3</v>
      </c>
      <c r="AJ4" s="96" t="s">
        <v>4</v>
      </c>
      <c r="AK4" s="37"/>
      <c r="AN4" s="117"/>
      <c r="AO4" s="117"/>
      <c r="AP4" s="117"/>
      <c r="AQ4" s="117"/>
      <c r="AR4" s="117"/>
      <c r="AS4" s="117"/>
    </row>
    <row r="5" spans="1:45" s="1" customFormat="1" ht="30.95" customHeight="1" thickBot="1">
      <c r="A5" s="157"/>
      <c r="B5" s="157"/>
      <c r="C5" s="157"/>
      <c r="D5" s="157"/>
      <c r="E5" s="158"/>
      <c r="F5" s="157"/>
      <c r="G5" s="158"/>
      <c r="H5" s="285" t="s">
        <v>23</v>
      </c>
      <c r="I5" s="286"/>
      <c r="J5" s="286"/>
      <c r="K5" s="286"/>
      <c r="L5" s="286"/>
      <c r="M5" s="286"/>
      <c r="N5" s="286"/>
      <c r="O5" s="286"/>
      <c r="P5" s="286"/>
      <c r="Q5" s="287"/>
      <c r="R5" s="290" t="s">
        <v>24</v>
      </c>
      <c r="S5" s="291"/>
      <c r="T5" s="291"/>
      <c r="U5" s="291"/>
      <c r="V5" s="291"/>
      <c r="W5" s="291"/>
      <c r="X5" s="291"/>
      <c r="Y5" s="291"/>
      <c r="Z5" s="291"/>
      <c r="AA5" s="292"/>
      <c r="AB5" s="293" t="s">
        <v>25</v>
      </c>
      <c r="AC5" s="294"/>
      <c r="AD5" s="294"/>
      <c r="AE5" s="294"/>
      <c r="AF5" s="294"/>
      <c r="AG5" s="294"/>
      <c r="AH5" s="294"/>
      <c r="AI5" s="294"/>
      <c r="AJ5" s="294"/>
      <c r="AK5" s="295"/>
      <c r="AN5" s="116"/>
      <c r="AO5" s="116"/>
      <c r="AP5" s="116"/>
      <c r="AQ5" s="116"/>
      <c r="AR5" s="116"/>
      <c r="AS5" s="116"/>
    </row>
    <row r="6" spans="1:45" s="1" customFormat="1" ht="33" customHeight="1" thickBot="1">
      <c r="A6" s="154"/>
      <c r="B6" s="155"/>
      <c r="C6" s="154"/>
      <c r="D6" s="155"/>
      <c r="E6" s="156"/>
      <c r="F6" s="155"/>
      <c r="G6" s="161"/>
      <c r="H6" s="177"/>
      <c r="I6" s="252" t="s">
        <v>10</v>
      </c>
      <c r="J6" s="252"/>
      <c r="K6" s="252"/>
      <c r="L6" s="252"/>
      <c r="M6" s="300"/>
      <c r="N6" s="288" t="s">
        <v>13</v>
      </c>
      <c r="O6" s="289"/>
      <c r="P6" s="289"/>
      <c r="Q6" s="177"/>
      <c r="R6" s="178"/>
      <c r="S6" s="265" t="s">
        <v>10</v>
      </c>
      <c r="T6" s="265"/>
      <c r="U6" s="265"/>
      <c r="V6" s="265"/>
      <c r="W6" s="284"/>
      <c r="X6" s="296" t="s">
        <v>13</v>
      </c>
      <c r="Y6" s="297"/>
      <c r="Z6" s="297"/>
      <c r="AA6" s="178"/>
      <c r="AB6" s="179"/>
      <c r="AC6" s="270" t="s">
        <v>10</v>
      </c>
      <c r="AD6" s="270"/>
      <c r="AE6" s="270"/>
      <c r="AF6" s="270"/>
      <c r="AG6" s="255"/>
      <c r="AH6" s="298" t="s">
        <v>13</v>
      </c>
      <c r="AI6" s="299"/>
      <c r="AJ6" s="299"/>
      <c r="AK6" s="179"/>
      <c r="AN6" s="301" t="s">
        <v>23</v>
      </c>
      <c r="AO6" s="302"/>
      <c r="AP6" s="264" t="s">
        <v>24</v>
      </c>
      <c r="AQ6" s="284"/>
      <c r="AR6" s="269" t="s">
        <v>25</v>
      </c>
      <c r="AS6" s="255"/>
    </row>
    <row r="7" spans="1:45" s="16" customFormat="1" ht="90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83" t="s">
        <v>5</v>
      </c>
      <c r="I7" s="149" t="s">
        <v>14</v>
      </c>
      <c r="J7" s="193" t="s">
        <v>15</v>
      </c>
      <c r="K7" s="204" t="s">
        <v>36</v>
      </c>
      <c r="L7" s="34" t="s">
        <v>28</v>
      </c>
      <c r="M7" s="205" t="s">
        <v>29</v>
      </c>
      <c r="N7" s="205" t="s">
        <v>32</v>
      </c>
      <c r="O7" s="193" t="s">
        <v>33</v>
      </c>
      <c r="P7" s="206" t="s">
        <v>34</v>
      </c>
      <c r="Q7" s="207" t="s">
        <v>8</v>
      </c>
      <c r="R7" s="171" t="s">
        <v>5</v>
      </c>
      <c r="S7" s="148" t="s">
        <v>14</v>
      </c>
      <c r="T7" s="193" t="s">
        <v>15</v>
      </c>
      <c r="U7" s="210" t="s">
        <v>36</v>
      </c>
      <c r="V7" s="29" t="s">
        <v>28</v>
      </c>
      <c r="W7" s="205" t="s">
        <v>29</v>
      </c>
      <c r="X7" s="205" t="s">
        <v>32</v>
      </c>
      <c r="Y7" s="193" t="s">
        <v>33</v>
      </c>
      <c r="Z7" s="211" t="s">
        <v>34</v>
      </c>
      <c r="AA7" s="209" t="s">
        <v>8</v>
      </c>
      <c r="AB7" s="172" t="s">
        <v>5</v>
      </c>
      <c r="AC7" s="100" t="s">
        <v>14</v>
      </c>
      <c r="AD7" s="193" t="s">
        <v>15</v>
      </c>
      <c r="AE7" s="203" t="s">
        <v>36</v>
      </c>
      <c r="AF7" s="30" t="s">
        <v>28</v>
      </c>
      <c r="AG7" s="205" t="s">
        <v>29</v>
      </c>
      <c r="AH7" s="205" t="s">
        <v>32</v>
      </c>
      <c r="AI7" s="193" t="s">
        <v>33</v>
      </c>
      <c r="AJ7" s="208" t="s">
        <v>34</v>
      </c>
      <c r="AK7" s="172" t="s">
        <v>8</v>
      </c>
      <c r="AN7" s="34" t="s">
        <v>26</v>
      </c>
      <c r="AO7" s="93" t="s">
        <v>35</v>
      </c>
      <c r="AP7" s="29" t="s">
        <v>26</v>
      </c>
      <c r="AQ7" s="93" t="s">
        <v>35</v>
      </c>
      <c r="AR7" s="30" t="s">
        <v>26</v>
      </c>
      <c r="AS7" s="93" t="s">
        <v>35</v>
      </c>
    </row>
    <row r="8" spans="1:45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180">
        <v>45376</v>
      </c>
      <c r="I8" s="24">
        <v>10</v>
      </c>
      <c r="J8" s="24">
        <v>1</v>
      </c>
      <c r="K8" s="114">
        <v>0.90909090909090906</v>
      </c>
      <c r="L8" s="24">
        <v>1</v>
      </c>
      <c r="M8" s="24">
        <v>2</v>
      </c>
      <c r="N8" s="24">
        <v>0</v>
      </c>
      <c r="O8" s="24">
        <v>1</v>
      </c>
      <c r="P8" s="97">
        <v>0</v>
      </c>
      <c r="Q8" s="113">
        <v>52</v>
      </c>
      <c r="R8" s="180">
        <v>45441</v>
      </c>
      <c r="S8" s="24">
        <v>17</v>
      </c>
      <c r="T8" s="24">
        <v>1</v>
      </c>
      <c r="U8" s="78">
        <v>0.94444444444444442</v>
      </c>
      <c r="V8" s="24">
        <v>1</v>
      </c>
      <c r="W8" s="24">
        <v>2</v>
      </c>
      <c r="X8" s="24">
        <v>1</v>
      </c>
      <c r="Y8" s="24">
        <v>1</v>
      </c>
      <c r="Z8" s="98">
        <v>0.5</v>
      </c>
      <c r="AA8" s="40">
        <v>93</v>
      </c>
      <c r="AB8" s="180">
        <v>45580</v>
      </c>
      <c r="AC8" s="24">
        <v>22</v>
      </c>
      <c r="AD8" s="24">
        <v>1</v>
      </c>
      <c r="AE8" s="79">
        <v>0.95652173913043481</v>
      </c>
      <c r="AF8" s="24">
        <v>3</v>
      </c>
      <c r="AG8" s="24">
        <v>2</v>
      </c>
      <c r="AH8" s="24">
        <v>1</v>
      </c>
      <c r="AI8" s="24">
        <v>1</v>
      </c>
      <c r="AJ8" s="99">
        <v>0.5</v>
      </c>
      <c r="AK8" s="31">
        <v>110</v>
      </c>
      <c r="AN8" s="134">
        <f>IF($K8="","",VLOOKUP($K8,'ORF Accuracy Value LookUp'!$G$4:$H$104,2,TRUE))</f>
        <v>40</v>
      </c>
      <c r="AO8" s="135">
        <f t="shared" ref="AO8:AO71" si="0">IF($N8="","",($N8-($O8/2)))</f>
        <v>-0.5</v>
      </c>
      <c r="AP8" s="136">
        <f>IF($U8="","",VLOOKUP($U8,'ORF Accuracy Value LookUp'!$G$4:$H$104,2,TRUE))</f>
        <v>72</v>
      </c>
      <c r="AQ8" s="135">
        <f t="shared" ref="AQ8:AQ71" si="1">IF($X8="","",$X8-($Y8/2))</f>
        <v>0.5</v>
      </c>
      <c r="AR8" s="137">
        <f>IF($AE8="","",VLOOKUP($AE8,'ORF Accuracy Value LookUp'!$G$4:$H$104,2,TRUE))</f>
        <v>80</v>
      </c>
      <c r="AS8" s="138">
        <f t="shared" ref="AS8:AS71" si="2">IF($AH8="","",$AH8-($AI8/2))</f>
        <v>0.5</v>
      </c>
    </row>
    <row r="9" spans="1:45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7">
        <v>45376</v>
      </c>
      <c r="I9" s="24">
        <v>47</v>
      </c>
      <c r="J9" s="24">
        <v>3</v>
      </c>
      <c r="K9" s="114">
        <v>0.94</v>
      </c>
      <c r="L9" s="24">
        <v>11</v>
      </c>
      <c r="M9" s="24">
        <v>2</v>
      </c>
      <c r="N9" s="24">
        <v>4</v>
      </c>
      <c r="O9" s="24">
        <v>3</v>
      </c>
      <c r="P9" s="97">
        <v>2.5</v>
      </c>
      <c r="Q9" s="113">
        <v>146</v>
      </c>
      <c r="R9" s="87">
        <v>45441</v>
      </c>
      <c r="S9" s="24">
        <v>60</v>
      </c>
      <c r="T9" s="24">
        <v>3</v>
      </c>
      <c r="U9" s="78">
        <v>0.95238095238095233</v>
      </c>
      <c r="V9" s="24">
        <v>15</v>
      </c>
      <c r="W9" s="24">
        <v>2</v>
      </c>
      <c r="X9" s="24">
        <v>6</v>
      </c>
      <c r="Y9" s="24">
        <v>3</v>
      </c>
      <c r="Z9" s="98">
        <v>4.5</v>
      </c>
      <c r="AA9" s="40">
        <v>188</v>
      </c>
      <c r="AB9" s="87">
        <v>45580</v>
      </c>
      <c r="AC9" s="24">
        <v>60</v>
      </c>
      <c r="AD9" s="24">
        <v>3</v>
      </c>
      <c r="AE9" s="79">
        <v>0.95238095238095233</v>
      </c>
      <c r="AF9" s="24">
        <v>17</v>
      </c>
      <c r="AG9" s="24">
        <v>2</v>
      </c>
      <c r="AH9" s="24">
        <v>10</v>
      </c>
      <c r="AI9" s="24">
        <v>3</v>
      </c>
      <c r="AJ9" s="99">
        <v>8.5</v>
      </c>
      <c r="AK9" s="31">
        <v>208</v>
      </c>
      <c r="AN9" s="139">
        <f>IF($K9="","",VLOOKUP($K9,'ORF Accuracy Value LookUp'!$G$4:$H$104,2,TRUE))</f>
        <v>72</v>
      </c>
      <c r="AO9" s="94">
        <f t="shared" si="0"/>
        <v>2.5</v>
      </c>
      <c r="AP9" s="47">
        <f>IF($U9="","",VLOOKUP($U9,'ORF Accuracy Value LookUp'!$G$4:$H$104,2,TRUE))</f>
        <v>80</v>
      </c>
      <c r="AQ9" s="94">
        <f t="shared" si="1"/>
        <v>4.5</v>
      </c>
      <c r="AR9" s="46">
        <f>IF($AE9="","",VLOOKUP($AE9,'ORF Accuracy Value LookUp'!$G$4:$H$104,2,TRUE))</f>
        <v>80</v>
      </c>
      <c r="AS9" s="140">
        <f t="shared" si="2"/>
        <v>8.5</v>
      </c>
    </row>
    <row r="10" spans="1:45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7">
        <v>45376</v>
      </c>
      <c r="I10" s="24">
        <v>63</v>
      </c>
      <c r="J10" s="24">
        <v>3</v>
      </c>
      <c r="K10" s="114">
        <v>0.95454545454545459</v>
      </c>
      <c r="L10" s="24">
        <v>17</v>
      </c>
      <c r="M10" s="24">
        <v>2</v>
      </c>
      <c r="N10" s="24">
        <v>7</v>
      </c>
      <c r="O10" s="24">
        <v>3</v>
      </c>
      <c r="P10" s="97">
        <v>5.5</v>
      </c>
      <c r="Q10" s="113">
        <v>188</v>
      </c>
      <c r="R10" s="87">
        <v>45441</v>
      </c>
      <c r="S10" s="24">
        <v>77</v>
      </c>
      <c r="T10" s="24">
        <v>3</v>
      </c>
      <c r="U10" s="78">
        <v>0.96250000000000002</v>
      </c>
      <c r="V10" s="24">
        <v>21</v>
      </c>
      <c r="W10" s="24">
        <v>2</v>
      </c>
      <c r="X10" s="24">
        <v>9</v>
      </c>
      <c r="Y10" s="24">
        <v>3</v>
      </c>
      <c r="Z10" s="98">
        <v>7.5</v>
      </c>
      <c r="AA10" s="40">
        <v>237</v>
      </c>
      <c r="AB10" s="87">
        <v>45580</v>
      </c>
      <c r="AC10" s="24">
        <v>79</v>
      </c>
      <c r="AD10" s="24">
        <v>3</v>
      </c>
      <c r="AE10" s="79">
        <v>0.96341463414634143</v>
      </c>
      <c r="AF10" s="24">
        <v>23</v>
      </c>
      <c r="AG10" s="24">
        <v>2</v>
      </c>
      <c r="AH10" s="24">
        <v>14</v>
      </c>
      <c r="AI10" s="24">
        <v>3</v>
      </c>
      <c r="AJ10" s="99">
        <v>12.5</v>
      </c>
      <c r="AK10" s="31">
        <v>263</v>
      </c>
      <c r="AN10" s="139">
        <f>IF($K10="","",VLOOKUP($K10,'ORF Accuracy Value LookUp'!$G$4:$H$104,2,TRUE))</f>
        <v>80</v>
      </c>
      <c r="AO10" s="94">
        <f t="shared" si="0"/>
        <v>5.5</v>
      </c>
      <c r="AP10" s="47">
        <f>IF($U10="","",VLOOKUP($U10,'ORF Accuracy Value LookUp'!$G$4:$H$104,2,TRUE))</f>
        <v>88</v>
      </c>
      <c r="AQ10" s="94">
        <f t="shared" si="1"/>
        <v>7.5</v>
      </c>
      <c r="AR10" s="46">
        <f>IF($AE10="","",VLOOKUP($AE10,'ORF Accuracy Value LookUp'!$G$4:$H$104,2,TRUE))</f>
        <v>88</v>
      </c>
      <c r="AS10" s="140">
        <f t="shared" si="2"/>
        <v>12.5</v>
      </c>
    </row>
    <row r="11" spans="1:45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7">
        <v>45376</v>
      </c>
      <c r="I11" s="24">
        <v>71</v>
      </c>
      <c r="J11" s="24">
        <v>4</v>
      </c>
      <c r="K11" s="114">
        <v>0.94666666666666666</v>
      </c>
      <c r="L11" s="24">
        <v>20</v>
      </c>
      <c r="M11" s="24">
        <v>1</v>
      </c>
      <c r="N11" s="24">
        <v>9</v>
      </c>
      <c r="O11" s="24">
        <v>4</v>
      </c>
      <c r="P11" s="97">
        <v>7</v>
      </c>
      <c r="Q11" s="113">
        <v>197</v>
      </c>
      <c r="R11" s="87">
        <v>45441</v>
      </c>
      <c r="S11" s="24">
        <v>89</v>
      </c>
      <c r="T11" s="24">
        <v>4</v>
      </c>
      <c r="U11" s="78">
        <v>0.956989247311828</v>
      </c>
      <c r="V11" s="24">
        <v>25</v>
      </c>
      <c r="W11" s="24">
        <v>1</v>
      </c>
      <c r="X11" s="24">
        <v>11</v>
      </c>
      <c r="Y11" s="24">
        <v>4</v>
      </c>
      <c r="Z11" s="98">
        <v>9</v>
      </c>
      <c r="AA11" s="40">
        <v>255</v>
      </c>
      <c r="AB11" s="87">
        <v>45580</v>
      </c>
      <c r="AC11" s="24">
        <v>90</v>
      </c>
      <c r="AD11" s="24">
        <v>4</v>
      </c>
      <c r="AE11" s="79">
        <v>0.95744680851063835</v>
      </c>
      <c r="AF11" s="24">
        <v>28</v>
      </c>
      <c r="AG11" s="24">
        <v>1</v>
      </c>
      <c r="AH11" s="24">
        <v>17</v>
      </c>
      <c r="AI11" s="24">
        <v>4</v>
      </c>
      <c r="AJ11" s="99">
        <v>15</v>
      </c>
      <c r="AK11" s="31">
        <v>286</v>
      </c>
      <c r="AN11" s="139">
        <f>IF($K11="","",VLOOKUP($K11,'ORF Accuracy Value LookUp'!$G$4:$H$104,2,TRUE))</f>
        <v>72</v>
      </c>
      <c r="AO11" s="94">
        <f t="shared" si="0"/>
        <v>7</v>
      </c>
      <c r="AP11" s="47">
        <f>IF($U11="","",VLOOKUP($U11,'ORF Accuracy Value LookUp'!$G$4:$H$104,2,TRUE))</f>
        <v>80</v>
      </c>
      <c r="AQ11" s="94">
        <f t="shared" si="1"/>
        <v>9</v>
      </c>
      <c r="AR11" s="46">
        <f>IF($AE11="","",VLOOKUP($AE11,'ORF Accuracy Value LookUp'!$G$4:$H$104,2,TRUE))</f>
        <v>80</v>
      </c>
      <c r="AS11" s="140">
        <f t="shared" si="2"/>
        <v>15</v>
      </c>
    </row>
    <row r="12" spans="1:45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7">
        <v>45376</v>
      </c>
      <c r="I12" s="24">
        <v>78</v>
      </c>
      <c r="J12" s="24">
        <v>3</v>
      </c>
      <c r="K12" s="114">
        <v>0.96296296296296291</v>
      </c>
      <c r="L12" s="24">
        <v>23</v>
      </c>
      <c r="M12" s="24">
        <v>0</v>
      </c>
      <c r="N12" s="24">
        <v>11</v>
      </c>
      <c r="O12" s="24">
        <v>3</v>
      </c>
      <c r="P12" s="97">
        <v>9.5</v>
      </c>
      <c r="Q12" s="113">
        <v>231</v>
      </c>
      <c r="R12" s="87">
        <v>45441</v>
      </c>
      <c r="S12" s="24">
        <v>97</v>
      </c>
      <c r="T12" s="24">
        <v>3</v>
      </c>
      <c r="U12" s="78">
        <v>0.97</v>
      </c>
      <c r="V12" s="24">
        <v>28</v>
      </c>
      <c r="W12" s="24">
        <v>0</v>
      </c>
      <c r="X12" s="24">
        <v>13</v>
      </c>
      <c r="Y12" s="24">
        <v>3</v>
      </c>
      <c r="Z12" s="98">
        <v>11.5</v>
      </c>
      <c r="AA12" s="40">
        <v>295</v>
      </c>
      <c r="AB12" s="87">
        <v>45580</v>
      </c>
      <c r="AC12" s="24">
        <v>99</v>
      </c>
      <c r="AD12" s="24">
        <v>3</v>
      </c>
      <c r="AE12" s="79">
        <v>0.97058823529411764</v>
      </c>
      <c r="AF12" s="24">
        <v>31</v>
      </c>
      <c r="AG12" s="24">
        <v>0</v>
      </c>
      <c r="AH12" s="24">
        <v>18</v>
      </c>
      <c r="AI12" s="24">
        <v>3</v>
      </c>
      <c r="AJ12" s="99">
        <v>16.5</v>
      </c>
      <c r="AK12" s="31">
        <v>323</v>
      </c>
      <c r="AN12" s="139">
        <f>IF($K12="","",VLOOKUP($K12,'ORF Accuracy Value LookUp'!$G$4:$H$104,2,TRUE))</f>
        <v>88</v>
      </c>
      <c r="AO12" s="94">
        <f t="shared" si="0"/>
        <v>9.5</v>
      </c>
      <c r="AP12" s="47">
        <f>IF($U12="","",VLOOKUP($U12,'ORF Accuracy Value LookUp'!$G$4:$H$104,2,TRUE))</f>
        <v>96</v>
      </c>
      <c r="AQ12" s="94">
        <f t="shared" si="1"/>
        <v>11.5</v>
      </c>
      <c r="AR12" s="46">
        <f>IF($AE12="","",VLOOKUP($AE12,'ORF Accuracy Value LookUp'!$G$4:$H$104,2,TRUE))</f>
        <v>96</v>
      </c>
      <c r="AS12" s="140">
        <f t="shared" si="2"/>
        <v>16.5</v>
      </c>
    </row>
    <row r="13" spans="1:45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7">
        <v>45376</v>
      </c>
      <c r="I13" s="24">
        <v>84</v>
      </c>
      <c r="J13" s="24">
        <v>4</v>
      </c>
      <c r="K13" s="114">
        <v>0.95454545454545459</v>
      </c>
      <c r="L13" s="24">
        <v>26</v>
      </c>
      <c r="M13" s="24">
        <v>0</v>
      </c>
      <c r="N13" s="24">
        <v>13</v>
      </c>
      <c r="O13" s="24">
        <v>4</v>
      </c>
      <c r="P13" s="97">
        <v>11</v>
      </c>
      <c r="Q13" s="113">
        <v>238</v>
      </c>
      <c r="R13" s="87">
        <v>45441</v>
      </c>
      <c r="S13" s="24">
        <v>102</v>
      </c>
      <c r="T13" s="24">
        <v>4</v>
      </c>
      <c r="U13" s="78">
        <v>0.96226415094339623</v>
      </c>
      <c r="V13" s="24">
        <v>31</v>
      </c>
      <c r="W13" s="24">
        <v>0</v>
      </c>
      <c r="X13" s="24">
        <v>14</v>
      </c>
      <c r="Y13" s="24">
        <v>4</v>
      </c>
      <c r="Z13" s="98">
        <v>12</v>
      </c>
      <c r="AA13" s="40">
        <v>300</v>
      </c>
      <c r="AB13" s="87">
        <v>45580</v>
      </c>
      <c r="AC13" s="24">
        <v>106</v>
      </c>
      <c r="AD13" s="24">
        <v>4</v>
      </c>
      <c r="AE13" s="79">
        <v>0.96363636363636362</v>
      </c>
      <c r="AF13" s="24">
        <v>34</v>
      </c>
      <c r="AG13" s="24">
        <v>0</v>
      </c>
      <c r="AH13" s="24">
        <v>20</v>
      </c>
      <c r="AI13" s="24">
        <v>4</v>
      </c>
      <c r="AJ13" s="99">
        <v>18</v>
      </c>
      <c r="AK13" s="31">
        <v>334</v>
      </c>
      <c r="AN13" s="139">
        <f>IF($K13="","",VLOOKUP($K13,'ORF Accuracy Value LookUp'!$G$4:$H$104,2,TRUE))</f>
        <v>80</v>
      </c>
      <c r="AO13" s="94">
        <f t="shared" si="0"/>
        <v>11</v>
      </c>
      <c r="AP13" s="47">
        <f>IF($U13="","",VLOOKUP($U13,'ORF Accuracy Value LookUp'!$G$4:$H$104,2,TRUE))</f>
        <v>88</v>
      </c>
      <c r="AQ13" s="94">
        <f t="shared" si="1"/>
        <v>12</v>
      </c>
      <c r="AR13" s="46">
        <f>IF($AE13="","",VLOOKUP($AE13,'ORF Accuracy Value LookUp'!$G$4:$H$104,2,TRUE))</f>
        <v>88</v>
      </c>
      <c r="AS13" s="140">
        <f t="shared" si="2"/>
        <v>18</v>
      </c>
    </row>
    <row r="14" spans="1:45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7">
        <v>45376</v>
      </c>
      <c r="I14" s="24">
        <v>91</v>
      </c>
      <c r="J14" s="24">
        <v>1</v>
      </c>
      <c r="K14" s="114">
        <v>0.98913043478260865</v>
      </c>
      <c r="L14" s="24">
        <v>28</v>
      </c>
      <c r="M14" s="24">
        <v>2</v>
      </c>
      <c r="N14" s="24">
        <v>14</v>
      </c>
      <c r="O14" s="24">
        <v>1</v>
      </c>
      <c r="P14" s="97">
        <v>13.5</v>
      </c>
      <c r="Q14" s="113">
        <v>278</v>
      </c>
      <c r="R14" s="87">
        <v>45441</v>
      </c>
      <c r="S14" s="24">
        <v>107</v>
      </c>
      <c r="T14" s="24">
        <v>1</v>
      </c>
      <c r="U14" s="78">
        <v>0.9907407407407407</v>
      </c>
      <c r="V14" s="24">
        <v>34</v>
      </c>
      <c r="W14" s="24">
        <v>2</v>
      </c>
      <c r="X14" s="24">
        <v>15</v>
      </c>
      <c r="Y14" s="24">
        <v>1</v>
      </c>
      <c r="Z14" s="98">
        <v>14.5</v>
      </c>
      <c r="AA14" s="40">
        <v>345</v>
      </c>
      <c r="AB14" s="87">
        <v>45580</v>
      </c>
      <c r="AC14" s="24">
        <v>112</v>
      </c>
      <c r="AD14" s="24">
        <v>1</v>
      </c>
      <c r="AE14" s="79">
        <v>0.99115044247787609</v>
      </c>
      <c r="AF14" s="24">
        <v>37</v>
      </c>
      <c r="AG14" s="24">
        <v>2</v>
      </c>
      <c r="AH14" s="24">
        <v>21</v>
      </c>
      <c r="AI14" s="24">
        <v>1</v>
      </c>
      <c r="AJ14" s="99">
        <v>20.5</v>
      </c>
      <c r="AK14" s="31">
        <v>380</v>
      </c>
      <c r="AN14" s="139">
        <f>IF($K14="","",VLOOKUP($K14,'ORF Accuracy Value LookUp'!$G$4:$H$104,2,TRUE))</f>
        <v>104</v>
      </c>
      <c r="AO14" s="94">
        <f t="shared" si="0"/>
        <v>13.5</v>
      </c>
      <c r="AP14" s="47">
        <f>IF($U14="","",VLOOKUP($U14,'ORF Accuracy Value LookUp'!$G$4:$H$104,2,TRUE))</f>
        <v>112</v>
      </c>
      <c r="AQ14" s="94">
        <f t="shared" si="1"/>
        <v>14.5</v>
      </c>
      <c r="AR14" s="46">
        <f>IF($AE14="","",VLOOKUP($AE14,'ORF Accuracy Value LookUp'!$G$4:$H$104,2,TRUE))</f>
        <v>112</v>
      </c>
      <c r="AS14" s="140">
        <f t="shared" si="2"/>
        <v>20.5</v>
      </c>
    </row>
    <row r="15" spans="1:45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7">
        <v>45376</v>
      </c>
      <c r="I15" s="24">
        <v>96</v>
      </c>
      <c r="J15" s="24">
        <v>2</v>
      </c>
      <c r="K15" s="114">
        <v>0.97959183673469385</v>
      </c>
      <c r="L15" s="24">
        <v>31</v>
      </c>
      <c r="M15" s="24">
        <v>1</v>
      </c>
      <c r="N15" s="24">
        <v>16</v>
      </c>
      <c r="O15" s="24">
        <v>2</v>
      </c>
      <c r="P15" s="97">
        <v>15</v>
      </c>
      <c r="Q15" s="113">
        <v>284</v>
      </c>
      <c r="R15" s="87">
        <v>45441</v>
      </c>
      <c r="S15" s="24">
        <v>110</v>
      </c>
      <c r="T15" s="24">
        <v>2</v>
      </c>
      <c r="U15" s="78">
        <v>0.9821428571428571</v>
      </c>
      <c r="V15" s="24">
        <v>36</v>
      </c>
      <c r="W15" s="24">
        <v>1</v>
      </c>
      <c r="X15" s="24">
        <v>16</v>
      </c>
      <c r="Y15" s="24">
        <v>2</v>
      </c>
      <c r="Z15" s="98">
        <v>15</v>
      </c>
      <c r="AA15" s="40">
        <v>346</v>
      </c>
      <c r="AB15" s="87">
        <v>45580</v>
      </c>
      <c r="AC15" s="24">
        <v>117</v>
      </c>
      <c r="AD15" s="24">
        <v>2</v>
      </c>
      <c r="AE15" s="79">
        <v>0.98319327731092432</v>
      </c>
      <c r="AF15" s="24">
        <v>40</v>
      </c>
      <c r="AG15" s="24">
        <v>1</v>
      </c>
      <c r="AH15" s="24">
        <v>22</v>
      </c>
      <c r="AI15" s="24">
        <v>2</v>
      </c>
      <c r="AJ15" s="99">
        <v>21</v>
      </c>
      <c r="AK15" s="31">
        <v>385</v>
      </c>
      <c r="AN15" s="139">
        <f>IF($K15="","",VLOOKUP($K15,'ORF Accuracy Value LookUp'!$G$4:$H$104,2,TRUE))</f>
        <v>96</v>
      </c>
      <c r="AO15" s="94">
        <f t="shared" si="0"/>
        <v>15</v>
      </c>
      <c r="AP15" s="47">
        <f>IF($U15="","",VLOOKUP($U15,'ORF Accuracy Value LookUp'!$G$4:$H$104,2,TRUE))</f>
        <v>104</v>
      </c>
      <c r="AQ15" s="94">
        <f t="shared" si="1"/>
        <v>15</v>
      </c>
      <c r="AR15" s="46">
        <f>IF($AE15="","",VLOOKUP($AE15,'ORF Accuracy Value LookUp'!$G$4:$H$104,2,TRUE))</f>
        <v>104</v>
      </c>
      <c r="AS15" s="140">
        <f t="shared" si="2"/>
        <v>21</v>
      </c>
    </row>
    <row r="16" spans="1:45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7">
        <v>45376</v>
      </c>
      <c r="I16" s="24">
        <v>101</v>
      </c>
      <c r="J16" s="24">
        <v>2</v>
      </c>
      <c r="K16" s="114">
        <v>0.98058252427184467</v>
      </c>
      <c r="L16" s="24">
        <v>33</v>
      </c>
      <c r="M16" s="24">
        <v>2</v>
      </c>
      <c r="N16" s="24">
        <v>17</v>
      </c>
      <c r="O16" s="24">
        <v>2</v>
      </c>
      <c r="P16" s="97">
        <v>16</v>
      </c>
      <c r="Q16" s="113">
        <v>303</v>
      </c>
      <c r="R16" s="87">
        <v>45441</v>
      </c>
      <c r="S16" s="24">
        <v>114</v>
      </c>
      <c r="T16" s="24">
        <v>2</v>
      </c>
      <c r="U16" s="78">
        <v>0.98275862068965514</v>
      </c>
      <c r="V16" s="24">
        <v>38</v>
      </c>
      <c r="W16" s="24">
        <v>2</v>
      </c>
      <c r="X16" s="24">
        <v>17</v>
      </c>
      <c r="Y16" s="24">
        <v>2</v>
      </c>
      <c r="Z16" s="98">
        <v>16</v>
      </c>
      <c r="AA16" s="40">
        <v>358</v>
      </c>
      <c r="AB16" s="87">
        <v>45580</v>
      </c>
      <c r="AC16" s="24">
        <v>123</v>
      </c>
      <c r="AD16" s="24">
        <v>2</v>
      </c>
      <c r="AE16" s="79">
        <v>0.98399999999999999</v>
      </c>
      <c r="AF16" s="24">
        <v>42</v>
      </c>
      <c r="AG16" s="24">
        <v>2</v>
      </c>
      <c r="AH16" s="24">
        <v>24</v>
      </c>
      <c r="AI16" s="24">
        <v>2</v>
      </c>
      <c r="AJ16" s="99">
        <v>23</v>
      </c>
      <c r="AK16" s="31">
        <v>403</v>
      </c>
      <c r="AN16" s="139">
        <f>IF($K16="","",VLOOKUP($K16,'ORF Accuracy Value LookUp'!$G$4:$H$104,2,TRUE))</f>
        <v>104</v>
      </c>
      <c r="AO16" s="94">
        <f t="shared" si="0"/>
        <v>16</v>
      </c>
      <c r="AP16" s="47">
        <f>IF($U16="","",VLOOKUP($U16,'ORF Accuracy Value LookUp'!$G$4:$H$104,2,TRUE))</f>
        <v>104</v>
      </c>
      <c r="AQ16" s="94">
        <f t="shared" si="1"/>
        <v>16</v>
      </c>
      <c r="AR16" s="46">
        <f>IF($AE16="","",VLOOKUP($AE16,'ORF Accuracy Value LookUp'!$G$4:$H$104,2,TRUE))</f>
        <v>104</v>
      </c>
      <c r="AS16" s="140">
        <f t="shared" si="2"/>
        <v>23</v>
      </c>
    </row>
    <row r="17" spans="1:45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7">
        <v>45376</v>
      </c>
      <c r="I17" s="24">
        <v>106</v>
      </c>
      <c r="J17" s="24">
        <v>1</v>
      </c>
      <c r="K17" s="114">
        <v>0.99065420560747663</v>
      </c>
      <c r="L17" s="24">
        <v>35</v>
      </c>
      <c r="M17" s="24">
        <v>1</v>
      </c>
      <c r="N17" s="24">
        <v>18</v>
      </c>
      <c r="O17" s="24">
        <v>1</v>
      </c>
      <c r="P17" s="97">
        <v>17.5</v>
      </c>
      <c r="Q17" s="113">
        <v>323</v>
      </c>
      <c r="R17" s="87">
        <v>45441</v>
      </c>
      <c r="S17" s="24">
        <v>117</v>
      </c>
      <c r="T17" s="24">
        <v>1</v>
      </c>
      <c r="U17" s="78">
        <v>0.99152542372881358</v>
      </c>
      <c r="V17" s="24">
        <v>41</v>
      </c>
      <c r="W17" s="24">
        <v>1</v>
      </c>
      <c r="X17" s="24">
        <v>18</v>
      </c>
      <c r="Y17" s="24">
        <v>1</v>
      </c>
      <c r="Z17" s="98">
        <v>17.5</v>
      </c>
      <c r="AA17" s="40">
        <v>381</v>
      </c>
      <c r="AB17" s="87">
        <v>45580</v>
      </c>
      <c r="AC17" s="24">
        <v>128</v>
      </c>
      <c r="AD17" s="24">
        <v>1</v>
      </c>
      <c r="AE17" s="79">
        <v>0.99224806201550386</v>
      </c>
      <c r="AF17" s="24">
        <v>45</v>
      </c>
      <c r="AG17" s="24">
        <v>1</v>
      </c>
      <c r="AH17" s="24">
        <v>25</v>
      </c>
      <c r="AI17" s="24">
        <v>1</v>
      </c>
      <c r="AJ17" s="99">
        <v>24.5</v>
      </c>
      <c r="AK17" s="31">
        <v>428</v>
      </c>
      <c r="AN17" s="139">
        <f>IF($K17="","",VLOOKUP($K17,'ORF Accuracy Value LookUp'!$G$4:$H$104,2,TRUE))</f>
        <v>112</v>
      </c>
      <c r="AO17" s="94">
        <f t="shared" si="0"/>
        <v>17.5</v>
      </c>
      <c r="AP17" s="47">
        <f>IF($U17="","",VLOOKUP($U17,'ORF Accuracy Value LookUp'!$G$4:$H$104,2,TRUE))</f>
        <v>112</v>
      </c>
      <c r="AQ17" s="94">
        <f t="shared" si="1"/>
        <v>17.5</v>
      </c>
      <c r="AR17" s="46">
        <f>IF($AE17="","",VLOOKUP($AE17,'ORF Accuracy Value LookUp'!$G$4:$H$104,2,TRUE))</f>
        <v>112</v>
      </c>
      <c r="AS17" s="140">
        <f t="shared" si="2"/>
        <v>24.5</v>
      </c>
    </row>
    <row r="18" spans="1:45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7">
        <v>45376</v>
      </c>
      <c r="I18" s="24">
        <v>111</v>
      </c>
      <c r="J18" s="24">
        <v>1</v>
      </c>
      <c r="K18" s="114">
        <v>0.9910714285714286</v>
      </c>
      <c r="L18" s="24">
        <v>37</v>
      </c>
      <c r="M18" s="24">
        <v>1</v>
      </c>
      <c r="N18" s="24">
        <v>19</v>
      </c>
      <c r="O18" s="24">
        <v>1</v>
      </c>
      <c r="P18" s="97">
        <v>18.5</v>
      </c>
      <c r="Q18" s="113">
        <v>334</v>
      </c>
      <c r="R18" s="87">
        <v>45441</v>
      </c>
      <c r="S18" s="24">
        <v>122</v>
      </c>
      <c r="T18" s="24">
        <v>1</v>
      </c>
      <c r="U18" s="78">
        <v>0.99186991869918695</v>
      </c>
      <c r="V18" s="24">
        <v>43</v>
      </c>
      <c r="W18" s="24">
        <v>1</v>
      </c>
      <c r="X18" s="24">
        <v>19</v>
      </c>
      <c r="Y18" s="24">
        <v>1</v>
      </c>
      <c r="Z18" s="98">
        <v>18.5</v>
      </c>
      <c r="AA18" s="40">
        <v>394</v>
      </c>
      <c r="AB18" s="87">
        <v>45580</v>
      </c>
      <c r="AC18" s="24">
        <v>133</v>
      </c>
      <c r="AD18" s="24">
        <v>1</v>
      </c>
      <c r="AE18" s="79">
        <v>0.9925373134328358</v>
      </c>
      <c r="AF18" s="24">
        <v>47</v>
      </c>
      <c r="AG18" s="24">
        <v>1</v>
      </c>
      <c r="AH18" s="24">
        <v>26</v>
      </c>
      <c r="AI18" s="24">
        <v>1</v>
      </c>
      <c r="AJ18" s="99">
        <v>25.5</v>
      </c>
      <c r="AK18" s="31">
        <v>441</v>
      </c>
      <c r="AN18" s="139">
        <f>IF($K18="","",VLOOKUP($K18,'ORF Accuracy Value LookUp'!$G$4:$H$104,2,TRUE))</f>
        <v>112</v>
      </c>
      <c r="AO18" s="94">
        <f t="shared" si="0"/>
        <v>18.5</v>
      </c>
      <c r="AP18" s="47">
        <f>IF($U18="","",VLOOKUP($U18,'ORF Accuracy Value LookUp'!$G$4:$H$104,2,TRUE))</f>
        <v>112</v>
      </c>
      <c r="AQ18" s="94">
        <f t="shared" si="1"/>
        <v>18.5</v>
      </c>
      <c r="AR18" s="46">
        <f>IF($AE18="","",VLOOKUP($AE18,'ORF Accuracy Value LookUp'!$G$4:$H$104,2,TRUE))</f>
        <v>112</v>
      </c>
      <c r="AS18" s="140">
        <f t="shared" si="2"/>
        <v>25.5</v>
      </c>
    </row>
    <row r="19" spans="1:45">
      <c r="A19" s="10"/>
      <c r="B19" s="12"/>
      <c r="C19" s="13"/>
      <c r="D19" s="14"/>
      <c r="E19" s="10"/>
      <c r="F19" s="11"/>
      <c r="G19" s="15"/>
      <c r="H19" s="87"/>
      <c r="I19" s="24"/>
      <c r="J19" s="24"/>
      <c r="K19" s="114" t="str">
        <f t="shared" ref="K8:K71" si="3">IF($I19="","",SUM($I19/($I19+$J19)))</f>
        <v/>
      </c>
      <c r="L19" s="24"/>
      <c r="M19" s="24"/>
      <c r="N19" s="24"/>
      <c r="O19" s="24"/>
      <c r="P19" s="97" t="str">
        <f t="shared" ref="P8:P71" si="4">IF($AO19&gt;0,$AO19,0)</f>
        <v/>
      </c>
      <c r="Q19" s="113" t="str">
        <f t="shared" ref="Q8:Q71" si="5">IF($B19="","",SUM($I19+$AN19+($L19*2)+($P19*2)))</f>
        <v/>
      </c>
      <c r="R19" s="87"/>
      <c r="S19" s="24"/>
      <c r="T19" s="24"/>
      <c r="U19" s="78" t="str">
        <f t="shared" ref="U8:U71" si="6">IF($S19="","",SUM($S19/($S19+$T19)))</f>
        <v/>
      </c>
      <c r="V19" s="24"/>
      <c r="W19" s="24"/>
      <c r="X19" s="24"/>
      <c r="Y19" s="24"/>
      <c r="Z19" s="98" t="str">
        <f t="shared" ref="Z8:Z71" si="7">IF($AQ19&gt;0,$AQ19,0)</f>
        <v/>
      </c>
      <c r="AA19" s="40" t="str">
        <f t="shared" ref="AA9:AA72" si="8">IF($R19="","",SUM($S19+$AP19+($V19*2)+($Z19*4)))</f>
        <v/>
      </c>
      <c r="AB19" s="87"/>
      <c r="AC19" s="24"/>
      <c r="AD19" s="24"/>
      <c r="AE19" s="79" t="str">
        <f t="shared" ref="AE8:AE71" si="9">IF($AC19="","",SUM($AC19/($AC19+$AD19)))</f>
        <v/>
      </c>
      <c r="AF19" s="24"/>
      <c r="AG19" s="24"/>
      <c r="AH19" s="24"/>
      <c r="AI19" s="24"/>
      <c r="AJ19" s="99" t="str">
        <f t="shared" ref="AJ8:AJ71" si="10">IF($AS19&gt;0,$AS19,0)</f>
        <v/>
      </c>
      <c r="AK19" s="31" t="str">
        <f t="shared" ref="AK9:AK72" si="11">IF($AB19="","",SUM($AC19+$AR19+($AF19*2)+($AJ19*4)))</f>
        <v/>
      </c>
      <c r="AN19" s="139" t="str">
        <f>IF($K19="","",VLOOKUP($K19,'ORF Accuracy Value LookUp'!$G$4:$H$104,2,TRUE))</f>
        <v/>
      </c>
      <c r="AO19" s="94" t="str">
        <f t="shared" si="0"/>
        <v/>
      </c>
      <c r="AP19" s="47" t="str">
        <f>IF($U19="","",VLOOKUP($U19,'ORF Accuracy Value LookUp'!$G$4:$H$104,2,TRUE))</f>
        <v/>
      </c>
      <c r="AQ19" s="94" t="str">
        <f t="shared" si="1"/>
        <v/>
      </c>
      <c r="AR19" s="46" t="str">
        <f>IF($AE19="","",VLOOKUP($AE19,'ORF Accuracy Value LookUp'!$G$4:$H$104,2,TRUE))</f>
        <v/>
      </c>
      <c r="AS19" s="140" t="str">
        <f t="shared" si="2"/>
        <v/>
      </c>
    </row>
    <row r="20" spans="1:45">
      <c r="A20" s="10"/>
      <c r="B20" s="12"/>
      <c r="C20" s="13"/>
      <c r="D20" s="14"/>
      <c r="E20" s="10"/>
      <c r="F20" s="11"/>
      <c r="G20" s="15"/>
      <c r="H20" s="87"/>
      <c r="I20" s="24"/>
      <c r="J20" s="24"/>
      <c r="K20" s="114" t="str">
        <f t="shared" si="3"/>
        <v/>
      </c>
      <c r="L20" s="24"/>
      <c r="M20" s="24"/>
      <c r="N20" s="24"/>
      <c r="O20" s="24"/>
      <c r="P20" s="97" t="str">
        <f t="shared" si="4"/>
        <v/>
      </c>
      <c r="Q20" s="113" t="str">
        <f t="shared" si="5"/>
        <v/>
      </c>
      <c r="R20" s="87"/>
      <c r="S20" s="24"/>
      <c r="T20" s="24"/>
      <c r="U20" s="78" t="str">
        <f t="shared" si="6"/>
        <v/>
      </c>
      <c r="V20" s="24"/>
      <c r="W20" s="24"/>
      <c r="X20" s="24"/>
      <c r="Y20" s="24"/>
      <c r="Z20" s="98" t="str">
        <f t="shared" si="7"/>
        <v/>
      </c>
      <c r="AA20" s="40" t="str">
        <f t="shared" si="8"/>
        <v/>
      </c>
      <c r="AB20" s="87"/>
      <c r="AC20" s="24"/>
      <c r="AD20" s="24"/>
      <c r="AE20" s="79" t="str">
        <f t="shared" si="9"/>
        <v/>
      </c>
      <c r="AF20" s="24"/>
      <c r="AG20" s="24"/>
      <c r="AH20" s="24"/>
      <c r="AI20" s="24"/>
      <c r="AJ20" s="99" t="str">
        <f t="shared" si="10"/>
        <v/>
      </c>
      <c r="AK20" s="31" t="str">
        <f t="shared" si="11"/>
        <v/>
      </c>
      <c r="AN20" s="139" t="str">
        <f>IF($K20="","",VLOOKUP($K20,'ORF Accuracy Value LookUp'!$G$4:$H$104,2,TRUE))</f>
        <v/>
      </c>
      <c r="AO20" s="94" t="str">
        <f t="shared" si="0"/>
        <v/>
      </c>
      <c r="AP20" s="47" t="str">
        <f>IF($U20="","",VLOOKUP($U20,'ORF Accuracy Value LookUp'!$G$4:$H$104,2,TRUE))</f>
        <v/>
      </c>
      <c r="AQ20" s="94" t="str">
        <f t="shared" si="1"/>
        <v/>
      </c>
      <c r="AR20" s="46" t="str">
        <f>IF($AE20="","",VLOOKUP($AE20,'ORF Accuracy Value LookUp'!$G$4:$H$104,2,TRUE))</f>
        <v/>
      </c>
      <c r="AS20" s="140" t="str">
        <f t="shared" si="2"/>
        <v/>
      </c>
    </row>
    <row r="21" spans="1:45">
      <c r="A21" s="10"/>
      <c r="B21" s="12"/>
      <c r="C21" s="13"/>
      <c r="D21" s="14"/>
      <c r="E21" s="10"/>
      <c r="F21" s="11"/>
      <c r="G21" s="15"/>
      <c r="H21" s="87"/>
      <c r="I21" s="24"/>
      <c r="J21" s="24"/>
      <c r="K21" s="114" t="str">
        <f t="shared" si="3"/>
        <v/>
      </c>
      <c r="L21" s="24"/>
      <c r="M21" s="24"/>
      <c r="N21" s="24"/>
      <c r="O21" s="24"/>
      <c r="P21" s="97" t="str">
        <f t="shared" si="4"/>
        <v/>
      </c>
      <c r="Q21" s="113" t="str">
        <f t="shared" si="5"/>
        <v/>
      </c>
      <c r="R21" s="87"/>
      <c r="S21" s="24"/>
      <c r="T21" s="24"/>
      <c r="U21" s="78" t="str">
        <f t="shared" si="6"/>
        <v/>
      </c>
      <c r="V21" s="24"/>
      <c r="W21" s="24"/>
      <c r="X21" s="24"/>
      <c r="Y21" s="24"/>
      <c r="Z21" s="98" t="str">
        <f t="shared" si="7"/>
        <v/>
      </c>
      <c r="AA21" s="40" t="str">
        <f t="shared" si="8"/>
        <v/>
      </c>
      <c r="AB21" s="87"/>
      <c r="AC21" s="24"/>
      <c r="AD21" s="24"/>
      <c r="AE21" s="79" t="str">
        <f t="shared" si="9"/>
        <v/>
      </c>
      <c r="AF21" s="24"/>
      <c r="AG21" s="24"/>
      <c r="AH21" s="24"/>
      <c r="AI21" s="24"/>
      <c r="AJ21" s="99" t="str">
        <f t="shared" si="10"/>
        <v/>
      </c>
      <c r="AK21" s="31" t="str">
        <f t="shared" si="11"/>
        <v/>
      </c>
      <c r="AN21" s="139" t="str">
        <f>IF($K21="","",VLOOKUP($K21,'ORF Accuracy Value LookUp'!$G$4:$H$104,2,TRUE))</f>
        <v/>
      </c>
      <c r="AO21" s="94" t="str">
        <f t="shared" si="0"/>
        <v/>
      </c>
      <c r="AP21" s="47" t="str">
        <f>IF($U21="","",VLOOKUP($U21,'ORF Accuracy Value LookUp'!$G$4:$H$104,2,TRUE))</f>
        <v/>
      </c>
      <c r="AQ21" s="94" t="str">
        <f t="shared" si="1"/>
        <v/>
      </c>
      <c r="AR21" s="46" t="str">
        <f>IF($AE21="","",VLOOKUP($AE21,'ORF Accuracy Value LookUp'!$G$4:$H$104,2,TRUE))</f>
        <v/>
      </c>
      <c r="AS21" s="140" t="str">
        <f t="shared" si="2"/>
        <v/>
      </c>
    </row>
    <row r="22" spans="1:45">
      <c r="A22" s="10"/>
      <c r="B22" s="12"/>
      <c r="C22" s="13"/>
      <c r="D22" s="14"/>
      <c r="E22" s="10"/>
      <c r="F22" s="11"/>
      <c r="G22" s="15"/>
      <c r="H22" s="87"/>
      <c r="I22" s="24"/>
      <c r="J22" s="24"/>
      <c r="K22" s="114" t="str">
        <f t="shared" si="3"/>
        <v/>
      </c>
      <c r="L22" s="24"/>
      <c r="M22" s="24"/>
      <c r="N22" s="24"/>
      <c r="O22" s="24"/>
      <c r="P22" s="97" t="str">
        <f t="shared" si="4"/>
        <v/>
      </c>
      <c r="Q22" s="113" t="str">
        <f t="shared" si="5"/>
        <v/>
      </c>
      <c r="R22" s="87"/>
      <c r="S22" s="24"/>
      <c r="T22" s="24"/>
      <c r="U22" s="78" t="str">
        <f t="shared" si="6"/>
        <v/>
      </c>
      <c r="V22" s="24"/>
      <c r="W22" s="24"/>
      <c r="X22" s="24"/>
      <c r="Y22" s="24"/>
      <c r="Z22" s="98" t="str">
        <f t="shared" si="7"/>
        <v/>
      </c>
      <c r="AA22" s="40" t="str">
        <f t="shared" si="8"/>
        <v/>
      </c>
      <c r="AB22" s="87"/>
      <c r="AC22" s="24"/>
      <c r="AD22" s="24"/>
      <c r="AE22" s="79" t="str">
        <f t="shared" si="9"/>
        <v/>
      </c>
      <c r="AF22" s="24"/>
      <c r="AG22" s="24"/>
      <c r="AH22" s="24"/>
      <c r="AI22" s="24"/>
      <c r="AJ22" s="99" t="str">
        <f t="shared" si="10"/>
        <v/>
      </c>
      <c r="AK22" s="31" t="str">
        <f t="shared" si="11"/>
        <v/>
      </c>
      <c r="AN22" s="139" t="str">
        <f>IF($K22="","",VLOOKUP($K22,'ORF Accuracy Value LookUp'!$G$4:$H$104,2,TRUE))</f>
        <v/>
      </c>
      <c r="AO22" s="94" t="str">
        <f t="shared" si="0"/>
        <v/>
      </c>
      <c r="AP22" s="47" t="str">
        <f>IF($U22="","",VLOOKUP($U22,'ORF Accuracy Value LookUp'!$G$4:$H$104,2,TRUE))</f>
        <v/>
      </c>
      <c r="AQ22" s="94" t="str">
        <f t="shared" si="1"/>
        <v/>
      </c>
      <c r="AR22" s="46" t="str">
        <f>IF($AE22="","",VLOOKUP($AE22,'ORF Accuracy Value LookUp'!$G$4:$H$104,2,TRUE))</f>
        <v/>
      </c>
      <c r="AS22" s="140" t="str">
        <f t="shared" si="2"/>
        <v/>
      </c>
    </row>
    <row r="23" spans="1:45">
      <c r="A23" s="10"/>
      <c r="B23" s="12"/>
      <c r="C23" s="13"/>
      <c r="D23" s="14"/>
      <c r="E23" s="10"/>
      <c r="F23" s="11"/>
      <c r="G23" s="15"/>
      <c r="H23" s="87"/>
      <c r="I23" s="24"/>
      <c r="J23" s="24"/>
      <c r="K23" s="114" t="str">
        <f t="shared" si="3"/>
        <v/>
      </c>
      <c r="L23" s="24"/>
      <c r="M23" s="24"/>
      <c r="N23" s="24"/>
      <c r="O23" s="24"/>
      <c r="P23" s="97" t="str">
        <f t="shared" si="4"/>
        <v/>
      </c>
      <c r="Q23" s="113" t="str">
        <f t="shared" si="5"/>
        <v/>
      </c>
      <c r="R23" s="87"/>
      <c r="S23" s="24"/>
      <c r="T23" s="24"/>
      <c r="U23" s="78" t="str">
        <f t="shared" si="6"/>
        <v/>
      </c>
      <c r="V23" s="24"/>
      <c r="W23" s="24"/>
      <c r="X23" s="24"/>
      <c r="Y23" s="24"/>
      <c r="Z23" s="98" t="str">
        <f t="shared" si="7"/>
        <v/>
      </c>
      <c r="AA23" s="40" t="str">
        <f t="shared" si="8"/>
        <v/>
      </c>
      <c r="AB23" s="87"/>
      <c r="AC23" s="24"/>
      <c r="AD23" s="24"/>
      <c r="AE23" s="79" t="str">
        <f t="shared" si="9"/>
        <v/>
      </c>
      <c r="AF23" s="24"/>
      <c r="AG23" s="24"/>
      <c r="AH23" s="24"/>
      <c r="AI23" s="24"/>
      <c r="AJ23" s="99" t="str">
        <f t="shared" si="10"/>
        <v/>
      </c>
      <c r="AK23" s="31" t="str">
        <f t="shared" si="11"/>
        <v/>
      </c>
      <c r="AN23" s="139" t="str">
        <f>IF($K23="","",VLOOKUP($K23,'ORF Accuracy Value LookUp'!$G$4:$H$104,2,TRUE))</f>
        <v/>
      </c>
      <c r="AO23" s="94" t="str">
        <f t="shared" si="0"/>
        <v/>
      </c>
      <c r="AP23" s="47" t="str">
        <f>IF($U23="","",VLOOKUP($U23,'ORF Accuracy Value LookUp'!$G$4:$H$104,2,TRUE))</f>
        <v/>
      </c>
      <c r="AQ23" s="94" t="str">
        <f t="shared" si="1"/>
        <v/>
      </c>
      <c r="AR23" s="46" t="str">
        <f>IF($AE23="","",VLOOKUP($AE23,'ORF Accuracy Value LookUp'!$G$4:$H$104,2,TRUE))</f>
        <v/>
      </c>
      <c r="AS23" s="140" t="str">
        <f t="shared" si="2"/>
        <v/>
      </c>
    </row>
    <row r="24" spans="1:45">
      <c r="A24" s="10"/>
      <c r="B24" s="12"/>
      <c r="C24" s="13"/>
      <c r="D24" s="14"/>
      <c r="E24" s="10"/>
      <c r="F24" s="11"/>
      <c r="G24" s="15"/>
      <c r="H24" s="87"/>
      <c r="I24" s="24"/>
      <c r="J24" s="24"/>
      <c r="K24" s="114" t="str">
        <f t="shared" si="3"/>
        <v/>
      </c>
      <c r="L24" s="24"/>
      <c r="M24" s="24"/>
      <c r="N24" s="24"/>
      <c r="O24" s="24"/>
      <c r="P24" s="97" t="str">
        <f t="shared" si="4"/>
        <v/>
      </c>
      <c r="Q24" s="113" t="str">
        <f t="shared" si="5"/>
        <v/>
      </c>
      <c r="R24" s="87"/>
      <c r="S24" s="24"/>
      <c r="T24" s="24"/>
      <c r="U24" s="78" t="str">
        <f t="shared" si="6"/>
        <v/>
      </c>
      <c r="V24" s="24"/>
      <c r="W24" s="24"/>
      <c r="X24" s="24"/>
      <c r="Y24" s="24"/>
      <c r="Z24" s="98" t="str">
        <f t="shared" si="7"/>
        <v/>
      </c>
      <c r="AA24" s="40" t="str">
        <f t="shared" si="8"/>
        <v/>
      </c>
      <c r="AB24" s="87"/>
      <c r="AC24" s="24"/>
      <c r="AD24" s="24"/>
      <c r="AE24" s="79" t="str">
        <f t="shared" si="9"/>
        <v/>
      </c>
      <c r="AF24" s="24"/>
      <c r="AG24" s="24"/>
      <c r="AH24" s="24"/>
      <c r="AI24" s="24"/>
      <c r="AJ24" s="99" t="str">
        <f t="shared" si="10"/>
        <v/>
      </c>
      <c r="AK24" s="31" t="str">
        <f t="shared" si="11"/>
        <v/>
      </c>
      <c r="AN24" s="139" t="str">
        <f>IF($K24="","",VLOOKUP($K24,'ORF Accuracy Value LookUp'!$G$4:$H$104,2,TRUE))</f>
        <v/>
      </c>
      <c r="AO24" s="94" t="str">
        <f t="shared" si="0"/>
        <v/>
      </c>
      <c r="AP24" s="47" t="str">
        <f>IF($U24="","",VLOOKUP($U24,'ORF Accuracy Value LookUp'!$G$4:$H$104,2,TRUE))</f>
        <v/>
      </c>
      <c r="AQ24" s="94" t="str">
        <f t="shared" si="1"/>
        <v/>
      </c>
      <c r="AR24" s="46" t="str">
        <f>IF($AE24="","",VLOOKUP($AE24,'ORF Accuracy Value LookUp'!$G$4:$H$104,2,TRUE))</f>
        <v/>
      </c>
      <c r="AS24" s="140" t="str">
        <f t="shared" si="2"/>
        <v/>
      </c>
    </row>
    <row r="25" spans="1:45">
      <c r="A25" s="10"/>
      <c r="B25" s="12"/>
      <c r="C25" s="13"/>
      <c r="D25" s="14"/>
      <c r="E25" s="10"/>
      <c r="F25" s="11"/>
      <c r="G25" s="15"/>
      <c r="H25" s="87"/>
      <c r="I25" s="24"/>
      <c r="J25" s="24"/>
      <c r="K25" s="114" t="str">
        <f t="shared" si="3"/>
        <v/>
      </c>
      <c r="L25" s="24"/>
      <c r="M25" s="24"/>
      <c r="N25" s="24"/>
      <c r="O25" s="24"/>
      <c r="P25" s="97" t="str">
        <f t="shared" si="4"/>
        <v/>
      </c>
      <c r="Q25" s="113" t="str">
        <f t="shared" si="5"/>
        <v/>
      </c>
      <c r="R25" s="87"/>
      <c r="S25" s="24"/>
      <c r="T25" s="24"/>
      <c r="U25" s="78" t="str">
        <f t="shared" si="6"/>
        <v/>
      </c>
      <c r="V25" s="24"/>
      <c r="W25" s="24"/>
      <c r="X25" s="24"/>
      <c r="Y25" s="24"/>
      <c r="Z25" s="98" t="str">
        <f t="shared" si="7"/>
        <v/>
      </c>
      <c r="AA25" s="40" t="str">
        <f t="shared" si="8"/>
        <v/>
      </c>
      <c r="AB25" s="87"/>
      <c r="AC25" s="24"/>
      <c r="AD25" s="24"/>
      <c r="AE25" s="79" t="str">
        <f t="shared" si="9"/>
        <v/>
      </c>
      <c r="AF25" s="24"/>
      <c r="AG25" s="24"/>
      <c r="AH25" s="24"/>
      <c r="AI25" s="24"/>
      <c r="AJ25" s="99" t="str">
        <f t="shared" si="10"/>
        <v/>
      </c>
      <c r="AK25" s="31" t="str">
        <f t="shared" si="11"/>
        <v/>
      </c>
      <c r="AN25" s="139" t="str">
        <f>IF($K25="","",VLOOKUP($K25,'ORF Accuracy Value LookUp'!$G$4:$H$104,2,TRUE))</f>
        <v/>
      </c>
      <c r="AO25" s="94" t="str">
        <f t="shared" si="0"/>
        <v/>
      </c>
      <c r="AP25" s="47" t="str">
        <f>IF($U25="","",VLOOKUP($U25,'ORF Accuracy Value LookUp'!$G$4:$H$104,2,TRUE))</f>
        <v/>
      </c>
      <c r="AQ25" s="94" t="str">
        <f t="shared" si="1"/>
        <v/>
      </c>
      <c r="AR25" s="46" t="str">
        <f>IF($AE25="","",VLOOKUP($AE25,'ORF Accuracy Value LookUp'!$G$4:$H$104,2,TRUE))</f>
        <v/>
      </c>
      <c r="AS25" s="140" t="str">
        <f t="shared" si="2"/>
        <v/>
      </c>
    </row>
    <row r="26" spans="1:45">
      <c r="A26" s="10"/>
      <c r="B26" s="12"/>
      <c r="C26" s="13"/>
      <c r="D26" s="14"/>
      <c r="E26" s="10"/>
      <c r="F26" s="11"/>
      <c r="G26" s="15"/>
      <c r="H26" s="87"/>
      <c r="I26" s="24"/>
      <c r="J26" s="24"/>
      <c r="K26" s="114" t="str">
        <f t="shared" si="3"/>
        <v/>
      </c>
      <c r="L26" s="24"/>
      <c r="M26" s="24"/>
      <c r="N26" s="24"/>
      <c r="O26" s="24"/>
      <c r="P26" s="97" t="str">
        <f t="shared" si="4"/>
        <v/>
      </c>
      <c r="Q26" s="113" t="str">
        <f t="shared" si="5"/>
        <v/>
      </c>
      <c r="R26" s="87"/>
      <c r="S26" s="24"/>
      <c r="T26" s="24"/>
      <c r="U26" s="78" t="str">
        <f t="shared" si="6"/>
        <v/>
      </c>
      <c r="V26" s="24"/>
      <c r="W26" s="24"/>
      <c r="X26" s="24"/>
      <c r="Y26" s="24"/>
      <c r="Z26" s="98" t="str">
        <f t="shared" si="7"/>
        <v/>
      </c>
      <c r="AA26" s="40" t="str">
        <f t="shared" si="8"/>
        <v/>
      </c>
      <c r="AB26" s="87"/>
      <c r="AC26" s="24"/>
      <c r="AD26" s="24"/>
      <c r="AE26" s="79" t="str">
        <f t="shared" si="9"/>
        <v/>
      </c>
      <c r="AF26" s="24"/>
      <c r="AG26" s="24"/>
      <c r="AH26" s="24"/>
      <c r="AI26" s="24"/>
      <c r="AJ26" s="99" t="str">
        <f t="shared" si="10"/>
        <v/>
      </c>
      <c r="AK26" s="31" t="str">
        <f t="shared" si="11"/>
        <v/>
      </c>
      <c r="AN26" s="139" t="str">
        <f>IF($K26="","",VLOOKUP($K26,'ORF Accuracy Value LookUp'!$G$4:$H$104,2,TRUE))</f>
        <v/>
      </c>
      <c r="AO26" s="94" t="str">
        <f t="shared" si="0"/>
        <v/>
      </c>
      <c r="AP26" s="47" t="str">
        <f>IF($U26="","",VLOOKUP($U26,'ORF Accuracy Value LookUp'!$G$4:$H$104,2,TRUE))</f>
        <v/>
      </c>
      <c r="AQ26" s="94" t="str">
        <f t="shared" si="1"/>
        <v/>
      </c>
      <c r="AR26" s="46" t="str">
        <f>IF($AE26="","",VLOOKUP($AE26,'ORF Accuracy Value LookUp'!$G$4:$H$104,2,TRUE))</f>
        <v/>
      </c>
      <c r="AS26" s="140" t="str">
        <f t="shared" si="2"/>
        <v/>
      </c>
    </row>
    <row r="27" spans="1:45">
      <c r="A27" s="10"/>
      <c r="B27" s="12"/>
      <c r="C27" s="13"/>
      <c r="D27" s="14"/>
      <c r="E27" s="10"/>
      <c r="F27" s="11"/>
      <c r="G27" s="15"/>
      <c r="H27" s="87"/>
      <c r="I27" s="24"/>
      <c r="J27" s="24"/>
      <c r="K27" s="114" t="str">
        <f t="shared" si="3"/>
        <v/>
      </c>
      <c r="L27" s="24"/>
      <c r="M27" s="24"/>
      <c r="N27" s="24"/>
      <c r="O27" s="24"/>
      <c r="P27" s="97" t="str">
        <f t="shared" si="4"/>
        <v/>
      </c>
      <c r="Q27" s="113" t="str">
        <f t="shared" si="5"/>
        <v/>
      </c>
      <c r="R27" s="87"/>
      <c r="S27" s="24"/>
      <c r="T27" s="24"/>
      <c r="U27" s="78" t="str">
        <f t="shared" si="6"/>
        <v/>
      </c>
      <c r="V27" s="24"/>
      <c r="W27" s="24"/>
      <c r="X27" s="24"/>
      <c r="Y27" s="24"/>
      <c r="Z27" s="98" t="str">
        <f t="shared" si="7"/>
        <v/>
      </c>
      <c r="AA27" s="40" t="str">
        <f t="shared" si="8"/>
        <v/>
      </c>
      <c r="AB27" s="87"/>
      <c r="AC27" s="24"/>
      <c r="AD27" s="24"/>
      <c r="AE27" s="79" t="str">
        <f t="shared" si="9"/>
        <v/>
      </c>
      <c r="AF27" s="24"/>
      <c r="AG27" s="24"/>
      <c r="AH27" s="24"/>
      <c r="AI27" s="24"/>
      <c r="AJ27" s="99" t="str">
        <f t="shared" si="10"/>
        <v/>
      </c>
      <c r="AK27" s="31" t="str">
        <f t="shared" si="11"/>
        <v/>
      </c>
      <c r="AN27" s="139" t="str">
        <f>IF($K27="","",VLOOKUP($K27,'ORF Accuracy Value LookUp'!$G$4:$H$104,2,TRUE))</f>
        <v/>
      </c>
      <c r="AO27" s="94" t="str">
        <f t="shared" si="0"/>
        <v/>
      </c>
      <c r="AP27" s="47" t="str">
        <f>IF($U27="","",VLOOKUP($U27,'ORF Accuracy Value LookUp'!$G$4:$H$104,2,TRUE))</f>
        <v/>
      </c>
      <c r="AQ27" s="94" t="str">
        <f t="shared" si="1"/>
        <v/>
      </c>
      <c r="AR27" s="46" t="str">
        <f>IF($AE27="","",VLOOKUP($AE27,'ORF Accuracy Value LookUp'!$G$4:$H$104,2,TRUE))</f>
        <v/>
      </c>
      <c r="AS27" s="140" t="str">
        <f t="shared" si="2"/>
        <v/>
      </c>
    </row>
    <row r="28" spans="1:45">
      <c r="A28" s="10"/>
      <c r="B28" s="12"/>
      <c r="C28" s="13"/>
      <c r="D28" s="14"/>
      <c r="E28" s="10"/>
      <c r="F28" s="11"/>
      <c r="G28" s="15"/>
      <c r="H28" s="87"/>
      <c r="I28" s="24"/>
      <c r="J28" s="24"/>
      <c r="K28" s="114" t="str">
        <f t="shared" si="3"/>
        <v/>
      </c>
      <c r="L28" s="24"/>
      <c r="M28" s="24"/>
      <c r="N28" s="24"/>
      <c r="O28" s="24"/>
      <c r="P28" s="97" t="str">
        <f t="shared" si="4"/>
        <v/>
      </c>
      <c r="Q28" s="113" t="str">
        <f t="shared" si="5"/>
        <v/>
      </c>
      <c r="R28" s="87"/>
      <c r="S28" s="24"/>
      <c r="T28" s="24"/>
      <c r="U28" s="78" t="str">
        <f t="shared" si="6"/>
        <v/>
      </c>
      <c r="V28" s="24"/>
      <c r="W28" s="24"/>
      <c r="X28" s="24"/>
      <c r="Y28" s="24"/>
      <c r="Z28" s="98" t="str">
        <f t="shared" si="7"/>
        <v/>
      </c>
      <c r="AA28" s="40" t="str">
        <f t="shared" si="8"/>
        <v/>
      </c>
      <c r="AB28" s="87"/>
      <c r="AC28" s="24"/>
      <c r="AD28" s="24"/>
      <c r="AE28" s="79" t="str">
        <f t="shared" si="9"/>
        <v/>
      </c>
      <c r="AF28" s="24"/>
      <c r="AG28" s="24"/>
      <c r="AH28" s="24"/>
      <c r="AI28" s="24"/>
      <c r="AJ28" s="99" t="str">
        <f t="shared" si="10"/>
        <v/>
      </c>
      <c r="AK28" s="31" t="str">
        <f t="shared" si="11"/>
        <v/>
      </c>
      <c r="AN28" s="139" t="str">
        <f>IF($K28="","",VLOOKUP($K28,'ORF Accuracy Value LookUp'!$G$4:$H$104,2,TRUE))</f>
        <v/>
      </c>
      <c r="AO28" s="94" t="str">
        <f t="shared" si="0"/>
        <v/>
      </c>
      <c r="AP28" s="47" t="str">
        <f>IF($U28="","",VLOOKUP($U28,'ORF Accuracy Value LookUp'!$G$4:$H$104,2,TRUE))</f>
        <v/>
      </c>
      <c r="AQ28" s="94" t="str">
        <f t="shared" si="1"/>
        <v/>
      </c>
      <c r="AR28" s="46" t="str">
        <f>IF($AE28="","",VLOOKUP($AE28,'ORF Accuracy Value LookUp'!$G$4:$H$104,2,TRUE))</f>
        <v/>
      </c>
      <c r="AS28" s="140" t="str">
        <f t="shared" si="2"/>
        <v/>
      </c>
    </row>
    <row r="29" spans="1:45">
      <c r="A29" s="10"/>
      <c r="B29" s="12"/>
      <c r="C29" s="13"/>
      <c r="D29" s="14"/>
      <c r="E29" s="10"/>
      <c r="F29" s="11"/>
      <c r="G29" s="15"/>
      <c r="H29" s="87"/>
      <c r="I29" s="24"/>
      <c r="J29" s="24"/>
      <c r="K29" s="114" t="str">
        <f t="shared" si="3"/>
        <v/>
      </c>
      <c r="L29" s="24"/>
      <c r="M29" s="24"/>
      <c r="N29" s="24"/>
      <c r="O29" s="24"/>
      <c r="P29" s="97" t="str">
        <f t="shared" si="4"/>
        <v/>
      </c>
      <c r="Q29" s="113" t="str">
        <f t="shared" si="5"/>
        <v/>
      </c>
      <c r="R29" s="87"/>
      <c r="S29" s="24"/>
      <c r="T29" s="24"/>
      <c r="U29" s="78" t="str">
        <f t="shared" si="6"/>
        <v/>
      </c>
      <c r="V29" s="24"/>
      <c r="W29" s="24"/>
      <c r="X29" s="24"/>
      <c r="Y29" s="24"/>
      <c r="Z29" s="98" t="str">
        <f t="shared" si="7"/>
        <v/>
      </c>
      <c r="AA29" s="40" t="str">
        <f t="shared" si="8"/>
        <v/>
      </c>
      <c r="AB29" s="87"/>
      <c r="AC29" s="24"/>
      <c r="AD29" s="24"/>
      <c r="AE29" s="79" t="str">
        <f t="shared" si="9"/>
        <v/>
      </c>
      <c r="AF29" s="24"/>
      <c r="AG29" s="24"/>
      <c r="AH29" s="24"/>
      <c r="AI29" s="24"/>
      <c r="AJ29" s="99" t="str">
        <f t="shared" si="10"/>
        <v/>
      </c>
      <c r="AK29" s="31" t="str">
        <f t="shared" si="11"/>
        <v/>
      </c>
      <c r="AN29" s="139" t="str">
        <f>IF($K29="","",VLOOKUP($K29,'ORF Accuracy Value LookUp'!$G$4:$H$104,2,TRUE))</f>
        <v/>
      </c>
      <c r="AO29" s="94" t="str">
        <f t="shared" si="0"/>
        <v/>
      </c>
      <c r="AP29" s="47" t="str">
        <f>IF($U29="","",VLOOKUP($U29,'ORF Accuracy Value LookUp'!$G$4:$H$104,2,TRUE))</f>
        <v/>
      </c>
      <c r="AQ29" s="94" t="str">
        <f t="shared" si="1"/>
        <v/>
      </c>
      <c r="AR29" s="46" t="str">
        <f>IF($AE29="","",VLOOKUP($AE29,'ORF Accuracy Value LookUp'!$G$4:$H$104,2,TRUE))</f>
        <v/>
      </c>
      <c r="AS29" s="140" t="str">
        <f t="shared" si="2"/>
        <v/>
      </c>
    </row>
    <row r="30" spans="1:45">
      <c r="A30" s="10"/>
      <c r="B30" s="12"/>
      <c r="C30" s="13"/>
      <c r="D30" s="14"/>
      <c r="E30" s="10"/>
      <c r="F30" s="11"/>
      <c r="G30" s="15"/>
      <c r="H30" s="87"/>
      <c r="I30" s="24"/>
      <c r="J30" s="24"/>
      <c r="K30" s="114" t="str">
        <f t="shared" si="3"/>
        <v/>
      </c>
      <c r="L30" s="24"/>
      <c r="M30" s="24"/>
      <c r="N30" s="24"/>
      <c r="O30" s="24"/>
      <c r="P30" s="97" t="str">
        <f t="shared" si="4"/>
        <v/>
      </c>
      <c r="Q30" s="113" t="str">
        <f t="shared" si="5"/>
        <v/>
      </c>
      <c r="R30" s="87"/>
      <c r="S30" s="24"/>
      <c r="T30" s="24"/>
      <c r="U30" s="78" t="str">
        <f t="shared" si="6"/>
        <v/>
      </c>
      <c r="V30" s="24"/>
      <c r="W30" s="24"/>
      <c r="X30" s="24"/>
      <c r="Y30" s="24"/>
      <c r="Z30" s="98" t="str">
        <f t="shared" si="7"/>
        <v/>
      </c>
      <c r="AA30" s="40" t="str">
        <f t="shared" si="8"/>
        <v/>
      </c>
      <c r="AB30" s="87"/>
      <c r="AC30" s="24"/>
      <c r="AD30" s="24"/>
      <c r="AE30" s="79" t="str">
        <f t="shared" si="9"/>
        <v/>
      </c>
      <c r="AF30" s="24"/>
      <c r="AG30" s="24"/>
      <c r="AH30" s="24"/>
      <c r="AI30" s="24"/>
      <c r="AJ30" s="99" t="str">
        <f t="shared" si="10"/>
        <v/>
      </c>
      <c r="AK30" s="31" t="str">
        <f t="shared" si="11"/>
        <v/>
      </c>
      <c r="AN30" s="139" t="str">
        <f>IF($K30="","",VLOOKUP($K30,'ORF Accuracy Value LookUp'!$G$4:$H$104,2,TRUE))</f>
        <v/>
      </c>
      <c r="AO30" s="94" t="str">
        <f t="shared" si="0"/>
        <v/>
      </c>
      <c r="AP30" s="47" t="str">
        <f>IF($U30="","",VLOOKUP($U30,'ORF Accuracy Value LookUp'!$G$4:$H$104,2,TRUE))</f>
        <v/>
      </c>
      <c r="AQ30" s="94" t="str">
        <f t="shared" si="1"/>
        <v/>
      </c>
      <c r="AR30" s="46" t="str">
        <f>IF($AE30="","",VLOOKUP($AE30,'ORF Accuracy Value LookUp'!$G$4:$H$104,2,TRUE))</f>
        <v/>
      </c>
      <c r="AS30" s="140" t="str">
        <f t="shared" si="2"/>
        <v/>
      </c>
    </row>
    <row r="31" spans="1:45">
      <c r="A31" s="10"/>
      <c r="B31" s="12"/>
      <c r="C31" s="13"/>
      <c r="D31" s="14"/>
      <c r="E31" s="10"/>
      <c r="F31" s="11"/>
      <c r="G31" s="15"/>
      <c r="H31" s="87"/>
      <c r="I31" s="24"/>
      <c r="J31" s="24"/>
      <c r="K31" s="114" t="str">
        <f t="shared" si="3"/>
        <v/>
      </c>
      <c r="L31" s="24"/>
      <c r="M31" s="24"/>
      <c r="N31" s="24"/>
      <c r="O31" s="24"/>
      <c r="P31" s="97" t="str">
        <f t="shared" si="4"/>
        <v/>
      </c>
      <c r="Q31" s="113" t="str">
        <f t="shared" si="5"/>
        <v/>
      </c>
      <c r="R31" s="87"/>
      <c r="S31" s="24"/>
      <c r="T31" s="24"/>
      <c r="U31" s="78" t="str">
        <f t="shared" si="6"/>
        <v/>
      </c>
      <c r="V31" s="24"/>
      <c r="W31" s="24"/>
      <c r="X31" s="24"/>
      <c r="Y31" s="24"/>
      <c r="Z31" s="98" t="str">
        <f t="shared" si="7"/>
        <v/>
      </c>
      <c r="AA31" s="40" t="str">
        <f t="shared" si="8"/>
        <v/>
      </c>
      <c r="AB31" s="87"/>
      <c r="AC31" s="24"/>
      <c r="AD31" s="24"/>
      <c r="AE31" s="79" t="str">
        <f t="shared" si="9"/>
        <v/>
      </c>
      <c r="AF31" s="24"/>
      <c r="AG31" s="24"/>
      <c r="AH31" s="24"/>
      <c r="AI31" s="24"/>
      <c r="AJ31" s="99" t="str">
        <f t="shared" si="10"/>
        <v/>
      </c>
      <c r="AK31" s="31" t="str">
        <f t="shared" si="11"/>
        <v/>
      </c>
      <c r="AN31" s="139" t="str">
        <f>IF($K31="","",VLOOKUP($K31,'ORF Accuracy Value LookUp'!$G$4:$H$104,2,TRUE))</f>
        <v/>
      </c>
      <c r="AO31" s="94" t="str">
        <f t="shared" si="0"/>
        <v/>
      </c>
      <c r="AP31" s="47" t="str">
        <f>IF($U31="","",VLOOKUP($U31,'ORF Accuracy Value LookUp'!$G$4:$H$104,2,TRUE))</f>
        <v/>
      </c>
      <c r="AQ31" s="94" t="str">
        <f t="shared" si="1"/>
        <v/>
      </c>
      <c r="AR31" s="46" t="str">
        <f>IF($AE31="","",VLOOKUP($AE31,'ORF Accuracy Value LookUp'!$G$4:$H$104,2,TRUE))</f>
        <v/>
      </c>
      <c r="AS31" s="140" t="str">
        <f t="shared" si="2"/>
        <v/>
      </c>
    </row>
    <row r="32" spans="1:45">
      <c r="A32" s="10"/>
      <c r="B32" s="12"/>
      <c r="C32" s="13"/>
      <c r="D32" s="14"/>
      <c r="E32" s="10"/>
      <c r="F32" s="11"/>
      <c r="G32" s="15"/>
      <c r="H32" s="87"/>
      <c r="I32" s="24"/>
      <c r="J32" s="24"/>
      <c r="K32" s="114" t="str">
        <f t="shared" si="3"/>
        <v/>
      </c>
      <c r="L32" s="24"/>
      <c r="M32" s="24"/>
      <c r="N32" s="24"/>
      <c r="O32" s="24"/>
      <c r="P32" s="97" t="str">
        <f t="shared" si="4"/>
        <v/>
      </c>
      <c r="Q32" s="113" t="str">
        <f t="shared" si="5"/>
        <v/>
      </c>
      <c r="R32" s="87"/>
      <c r="S32" s="24"/>
      <c r="T32" s="24"/>
      <c r="U32" s="78" t="str">
        <f t="shared" si="6"/>
        <v/>
      </c>
      <c r="V32" s="24"/>
      <c r="W32" s="24"/>
      <c r="X32" s="24"/>
      <c r="Y32" s="24"/>
      <c r="Z32" s="98" t="str">
        <f t="shared" si="7"/>
        <v/>
      </c>
      <c r="AA32" s="40" t="str">
        <f t="shared" si="8"/>
        <v/>
      </c>
      <c r="AB32" s="87"/>
      <c r="AC32" s="24"/>
      <c r="AD32" s="24"/>
      <c r="AE32" s="79" t="str">
        <f t="shared" si="9"/>
        <v/>
      </c>
      <c r="AF32" s="24"/>
      <c r="AG32" s="24"/>
      <c r="AH32" s="24"/>
      <c r="AI32" s="24"/>
      <c r="AJ32" s="99" t="str">
        <f t="shared" si="10"/>
        <v/>
      </c>
      <c r="AK32" s="31" t="str">
        <f t="shared" si="11"/>
        <v/>
      </c>
      <c r="AN32" s="139" t="str">
        <f>IF($K32="","",VLOOKUP($K32,'ORF Accuracy Value LookUp'!$G$4:$H$104,2,TRUE))</f>
        <v/>
      </c>
      <c r="AO32" s="94" t="str">
        <f t="shared" si="0"/>
        <v/>
      </c>
      <c r="AP32" s="47" t="str">
        <f>IF($U32="","",VLOOKUP($U32,'ORF Accuracy Value LookUp'!$G$4:$H$104,2,TRUE))</f>
        <v/>
      </c>
      <c r="AQ32" s="94" t="str">
        <f t="shared" si="1"/>
        <v/>
      </c>
      <c r="AR32" s="46" t="str">
        <f>IF($AE32="","",VLOOKUP($AE32,'ORF Accuracy Value LookUp'!$G$4:$H$104,2,TRUE))</f>
        <v/>
      </c>
      <c r="AS32" s="140" t="str">
        <f t="shared" si="2"/>
        <v/>
      </c>
    </row>
    <row r="33" spans="1:45">
      <c r="A33" s="10"/>
      <c r="B33" s="12"/>
      <c r="C33" s="13"/>
      <c r="D33" s="14"/>
      <c r="E33" s="10"/>
      <c r="F33" s="11"/>
      <c r="G33" s="15"/>
      <c r="H33" s="87"/>
      <c r="I33" s="24"/>
      <c r="J33" s="24"/>
      <c r="K33" s="114" t="str">
        <f t="shared" si="3"/>
        <v/>
      </c>
      <c r="L33" s="24"/>
      <c r="M33" s="24"/>
      <c r="N33" s="24"/>
      <c r="O33" s="24"/>
      <c r="P33" s="97" t="str">
        <f t="shared" si="4"/>
        <v/>
      </c>
      <c r="Q33" s="113" t="str">
        <f t="shared" si="5"/>
        <v/>
      </c>
      <c r="R33" s="87"/>
      <c r="S33" s="24"/>
      <c r="T33" s="24"/>
      <c r="U33" s="78" t="str">
        <f t="shared" si="6"/>
        <v/>
      </c>
      <c r="V33" s="24"/>
      <c r="W33" s="24"/>
      <c r="X33" s="24"/>
      <c r="Y33" s="24"/>
      <c r="Z33" s="98" t="str">
        <f t="shared" si="7"/>
        <v/>
      </c>
      <c r="AA33" s="40" t="str">
        <f t="shared" si="8"/>
        <v/>
      </c>
      <c r="AB33" s="87"/>
      <c r="AC33" s="24"/>
      <c r="AD33" s="24"/>
      <c r="AE33" s="79" t="str">
        <f t="shared" si="9"/>
        <v/>
      </c>
      <c r="AF33" s="24"/>
      <c r="AG33" s="24"/>
      <c r="AH33" s="24"/>
      <c r="AI33" s="24"/>
      <c r="AJ33" s="99" t="str">
        <f t="shared" si="10"/>
        <v/>
      </c>
      <c r="AK33" s="31" t="str">
        <f t="shared" si="11"/>
        <v/>
      </c>
      <c r="AN33" s="139" t="str">
        <f>IF($K33="","",VLOOKUP($K33,'ORF Accuracy Value LookUp'!$G$4:$H$104,2,TRUE))</f>
        <v/>
      </c>
      <c r="AO33" s="94" t="str">
        <f t="shared" si="0"/>
        <v/>
      </c>
      <c r="AP33" s="47" t="str">
        <f>IF($U33="","",VLOOKUP($U33,'ORF Accuracy Value LookUp'!$G$4:$H$104,2,TRUE))</f>
        <v/>
      </c>
      <c r="AQ33" s="94" t="str">
        <f t="shared" si="1"/>
        <v/>
      </c>
      <c r="AR33" s="46" t="str">
        <f>IF($AE33="","",VLOOKUP($AE33,'ORF Accuracy Value LookUp'!$G$4:$H$104,2,TRUE))</f>
        <v/>
      </c>
      <c r="AS33" s="140" t="str">
        <f t="shared" si="2"/>
        <v/>
      </c>
    </row>
    <row r="34" spans="1:45">
      <c r="A34" s="10"/>
      <c r="B34" s="12"/>
      <c r="C34" s="13"/>
      <c r="D34" s="14"/>
      <c r="E34" s="10"/>
      <c r="F34" s="11"/>
      <c r="G34" s="15"/>
      <c r="H34" s="87"/>
      <c r="I34" s="24"/>
      <c r="J34" s="24"/>
      <c r="K34" s="114" t="str">
        <f t="shared" si="3"/>
        <v/>
      </c>
      <c r="L34" s="24"/>
      <c r="M34" s="24"/>
      <c r="N34" s="24"/>
      <c r="O34" s="24"/>
      <c r="P34" s="97" t="str">
        <f t="shared" si="4"/>
        <v/>
      </c>
      <c r="Q34" s="113" t="str">
        <f t="shared" si="5"/>
        <v/>
      </c>
      <c r="R34" s="87"/>
      <c r="S34" s="24"/>
      <c r="T34" s="24"/>
      <c r="U34" s="78" t="str">
        <f t="shared" si="6"/>
        <v/>
      </c>
      <c r="V34" s="24"/>
      <c r="W34" s="24"/>
      <c r="X34" s="24"/>
      <c r="Y34" s="24"/>
      <c r="Z34" s="98" t="str">
        <f t="shared" si="7"/>
        <v/>
      </c>
      <c r="AA34" s="40" t="str">
        <f t="shared" si="8"/>
        <v/>
      </c>
      <c r="AB34" s="87"/>
      <c r="AC34" s="24"/>
      <c r="AD34" s="24"/>
      <c r="AE34" s="79" t="str">
        <f t="shared" si="9"/>
        <v/>
      </c>
      <c r="AF34" s="24"/>
      <c r="AG34" s="24"/>
      <c r="AH34" s="24"/>
      <c r="AI34" s="24"/>
      <c r="AJ34" s="99" t="str">
        <f t="shared" si="10"/>
        <v/>
      </c>
      <c r="AK34" s="31" t="str">
        <f t="shared" si="11"/>
        <v/>
      </c>
      <c r="AN34" s="139" t="str">
        <f>IF($K34="","",VLOOKUP($K34,'ORF Accuracy Value LookUp'!$G$4:$H$104,2,TRUE))</f>
        <v/>
      </c>
      <c r="AO34" s="94" t="str">
        <f t="shared" si="0"/>
        <v/>
      </c>
      <c r="AP34" s="47" t="str">
        <f>IF($U34="","",VLOOKUP($U34,'ORF Accuracy Value LookUp'!$G$4:$H$104,2,TRUE))</f>
        <v/>
      </c>
      <c r="AQ34" s="94" t="str">
        <f t="shared" si="1"/>
        <v/>
      </c>
      <c r="AR34" s="46" t="str">
        <f>IF($AE34="","",VLOOKUP($AE34,'ORF Accuracy Value LookUp'!$G$4:$H$104,2,TRUE))</f>
        <v/>
      </c>
      <c r="AS34" s="140" t="str">
        <f t="shared" si="2"/>
        <v/>
      </c>
    </row>
    <row r="35" spans="1:45">
      <c r="A35" s="10"/>
      <c r="B35" s="12"/>
      <c r="C35" s="13"/>
      <c r="D35" s="14"/>
      <c r="E35" s="10"/>
      <c r="F35" s="11"/>
      <c r="G35" s="15"/>
      <c r="H35" s="87"/>
      <c r="I35" s="24"/>
      <c r="J35" s="24"/>
      <c r="K35" s="114" t="str">
        <f t="shared" si="3"/>
        <v/>
      </c>
      <c r="L35" s="24"/>
      <c r="M35" s="24"/>
      <c r="N35" s="24"/>
      <c r="O35" s="24"/>
      <c r="P35" s="97" t="str">
        <f t="shared" si="4"/>
        <v/>
      </c>
      <c r="Q35" s="113" t="str">
        <f t="shared" si="5"/>
        <v/>
      </c>
      <c r="R35" s="87"/>
      <c r="S35" s="24"/>
      <c r="T35" s="24"/>
      <c r="U35" s="78" t="str">
        <f t="shared" si="6"/>
        <v/>
      </c>
      <c r="V35" s="24"/>
      <c r="W35" s="24"/>
      <c r="X35" s="24"/>
      <c r="Y35" s="24"/>
      <c r="Z35" s="98" t="str">
        <f t="shared" si="7"/>
        <v/>
      </c>
      <c r="AA35" s="40" t="str">
        <f t="shared" si="8"/>
        <v/>
      </c>
      <c r="AB35" s="87"/>
      <c r="AC35" s="24"/>
      <c r="AD35" s="24"/>
      <c r="AE35" s="79" t="str">
        <f t="shared" si="9"/>
        <v/>
      </c>
      <c r="AF35" s="24"/>
      <c r="AG35" s="24"/>
      <c r="AH35" s="24"/>
      <c r="AI35" s="24"/>
      <c r="AJ35" s="99" t="str">
        <f t="shared" si="10"/>
        <v/>
      </c>
      <c r="AK35" s="31" t="str">
        <f t="shared" si="11"/>
        <v/>
      </c>
      <c r="AN35" s="139" t="str">
        <f>IF($K35="","",VLOOKUP($K35,'ORF Accuracy Value LookUp'!$G$4:$H$104,2,TRUE))</f>
        <v/>
      </c>
      <c r="AO35" s="94" t="str">
        <f t="shared" si="0"/>
        <v/>
      </c>
      <c r="AP35" s="47" t="str">
        <f>IF($U35="","",VLOOKUP($U35,'ORF Accuracy Value LookUp'!$G$4:$H$104,2,TRUE))</f>
        <v/>
      </c>
      <c r="AQ35" s="94" t="str">
        <f t="shared" si="1"/>
        <v/>
      </c>
      <c r="AR35" s="46" t="str">
        <f>IF($AE35="","",VLOOKUP($AE35,'ORF Accuracy Value LookUp'!$G$4:$H$104,2,TRUE))</f>
        <v/>
      </c>
      <c r="AS35" s="140" t="str">
        <f t="shared" si="2"/>
        <v/>
      </c>
    </row>
    <row r="36" spans="1:45">
      <c r="A36" s="10"/>
      <c r="B36" s="12"/>
      <c r="C36" s="13"/>
      <c r="D36" s="14"/>
      <c r="E36" s="10"/>
      <c r="F36" s="11"/>
      <c r="G36" s="15"/>
      <c r="H36" s="87"/>
      <c r="I36" s="24"/>
      <c r="J36" s="24"/>
      <c r="K36" s="114" t="str">
        <f t="shared" si="3"/>
        <v/>
      </c>
      <c r="L36" s="24"/>
      <c r="M36" s="24"/>
      <c r="N36" s="24"/>
      <c r="O36" s="24"/>
      <c r="P36" s="97" t="str">
        <f t="shared" si="4"/>
        <v/>
      </c>
      <c r="Q36" s="113" t="str">
        <f t="shared" si="5"/>
        <v/>
      </c>
      <c r="R36" s="87"/>
      <c r="S36" s="24"/>
      <c r="T36" s="24"/>
      <c r="U36" s="78" t="str">
        <f t="shared" si="6"/>
        <v/>
      </c>
      <c r="V36" s="24"/>
      <c r="W36" s="24"/>
      <c r="X36" s="24"/>
      <c r="Y36" s="24"/>
      <c r="Z36" s="98" t="str">
        <f t="shared" si="7"/>
        <v/>
      </c>
      <c r="AA36" s="40" t="str">
        <f t="shared" si="8"/>
        <v/>
      </c>
      <c r="AB36" s="87"/>
      <c r="AC36" s="24"/>
      <c r="AD36" s="24"/>
      <c r="AE36" s="79" t="str">
        <f t="shared" si="9"/>
        <v/>
      </c>
      <c r="AF36" s="24"/>
      <c r="AG36" s="24"/>
      <c r="AH36" s="24"/>
      <c r="AI36" s="24"/>
      <c r="AJ36" s="99" t="str">
        <f t="shared" si="10"/>
        <v/>
      </c>
      <c r="AK36" s="31" t="str">
        <f t="shared" si="11"/>
        <v/>
      </c>
      <c r="AN36" s="139" t="str">
        <f>IF($K36="","",VLOOKUP($K36,'ORF Accuracy Value LookUp'!$G$4:$H$104,2,TRUE))</f>
        <v/>
      </c>
      <c r="AO36" s="94" t="str">
        <f t="shared" si="0"/>
        <v/>
      </c>
      <c r="AP36" s="47" t="str">
        <f>IF($U36="","",VLOOKUP($U36,'ORF Accuracy Value LookUp'!$G$4:$H$104,2,TRUE))</f>
        <v/>
      </c>
      <c r="AQ36" s="94" t="str">
        <f t="shared" si="1"/>
        <v/>
      </c>
      <c r="AR36" s="46" t="str">
        <f>IF($AE36="","",VLOOKUP($AE36,'ORF Accuracy Value LookUp'!$G$4:$H$104,2,TRUE))</f>
        <v/>
      </c>
      <c r="AS36" s="140" t="str">
        <f t="shared" si="2"/>
        <v/>
      </c>
    </row>
    <row r="37" spans="1:45">
      <c r="A37" s="10"/>
      <c r="B37" s="12"/>
      <c r="C37" s="13"/>
      <c r="D37" s="14"/>
      <c r="E37" s="10"/>
      <c r="F37" s="11"/>
      <c r="G37" s="15"/>
      <c r="H37" s="87"/>
      <c r="I37" s="24"/>
      <c r="J37" s="24"/>
      <c r="K37" s="114" t="str">
        <f t="shared" si="3"/>
        <v/>
      </c>
      <c r="L37" s="24"/>
      <c r="M37" s="24"/>
      <c r="N37" s="24"/>
      <c r="O37" s="24"/>
      <c r="P37" s="97" t="str">
        <f t="shared" si="4"/>
        <v/>
      </c>
      <c r="Q37" s="113" t="str">
        <f t="shared" si="5"/>
        <v/>
      </c>
      <c r="R37" s="87"/>
      <c r="S37" s="24"/>
      <c r="T37" s="24"/>
      <c r="U37" s="78" t="str">
        <f t="shared" si="6"/>
        <v/>
      </c>
      <c r="V37" s="24"/>
      <c r="W37" s="24"/>
      <c r="X37" s="24"/>
      <c r="Y37" s="24"/>
      <c r="Z37" s="98" t="str">
        <f t="shared" si="7"/>
        <v/>
      </c>
      <c r="AA37" s="40" t="str">
        <f t="shared" si="8"/>
        <v/>
      </c>
      <c r="AB37" s="87"/>
      <c r="AC37" s="24"/>
      <c r="AD37" s="24"/>
      <c r="AE37" s="79" t="str">
        <f t="shared" si="9"/>
        <v/>
      </c>
      <c r="AF37" s="24"/>
      <c r="AG37" s="24"/>
      <c r="AH37" s="24"/>
      <c r="AI37" s="24"/>
      <c r="AJ37" s="99" t="str">
        <f t="shared" si="10"/>
        <v/>
      </c>
      <c r="AK37" s="31" t="str">
        <f t="shared" si="11"/>
        <v/>
      </c>
      <c r="AN37" s="139" t="str">
        <f>IF($K37="","",VLOOKUP($K37,'ORF Accuracy Value LookUp'!$G$4:$H$104,2,TRUE))</f>
        <v/>
      </c>
      <c r="AO37" s="94" t="str">
        <f t="shared" si="0"/>
        <v/>
      </c>
      <c r="AP37" s="47" t="str">
        <f>IF($U37="","",VLOOKUP($U37,'ORF Accuracy Value LookUp'!$G$4:$H$104,2,TRUE))</f>
        <v/>
      </c>
      <c r="AQ37" s="94" t="str">
        <f t="shared" si="1"/>
        <v/>
      </c>
      <c r="AR37" s="46" t="str">
        <f>IF($AE37="","",VLOOKUP($AE37,'ORF Accuracy Value LookUp'!$G$4:$H$104,2,TRUE))</f>
        <v/>
      </c>
      <c r="AS37" s="140" t="str">
        <f t="shared" si="2"/>
        <v/>
      </c>
    </row>
    <row r="38" spans="1:45">
      <c r="A38" s="10"/>
      <c r="B38" s="12"/>
      <c r="C38" s="13"/>
      <c r="D38" s="14"/>
      <c r="E38" s="10"/>
      <c r="F38" s="11"/>
      <c r="G38" s="15"/>
      <c r="H38" s="87"/>
      <c r="I38" s="24"/>
      <c r="J38" s="24"/>
      <c r="K38" s="114" t="str">
        <f t="shared" si="3"/>
        <v/>
      </c>
      <c r="L38" s="24"/>
      <c r="M38" s="24"/>
      <c r="N38" s="24"/>
      <c r="O38" s="24"/>
      <c r="P38" s="97" t="str">
        <f t="shared" si="4"/>
        <v/>
      </c>
      <c r="Q38" s="113" t="str">
        <f t="shared" si="5"/>
        <v/>
      </c>
      <c r="R38" s="87"/>
      <c r="S38" s="24"/>
      <c r="T38" s="24"/>
      <c r="U38" s="78" t="str">
        <f t="shared" si="6"/>
        <v/>
      </c>
      <c r="V38" s="24"/>
      <c r="W38" s="24"/>
      <c r="X38" s="24"/>
      <c r="Y38" s="24"/>
      <c r="Z38" s="98" t="str">
        <f t="shared" si="7"/>
        <v/>
      </c>
      <c r="AA38" s="40" t="str">
        <f t="shared" si="8"/>
        <v/>
      </c>
      <c r="AB38" s="87"/>
      <c r="AC38" s="24"/>
      <c r="AD38" s="24"/>
      <c r="AE38" s="79" t="str">
        <f t="shared" si="9"/>
        <v/>
      </c>
      <c r="AF38" s="24"/>
      <c r="AG38" s="24"/>
      <c r="AH38" s="24"/>
      <c r="AI38" s="24"/>
      <c r="AJ38" s="99" t="str">
        <f t="shared" si="10"/>
        <v/>
      </c>
      <c r="AK38" s="31" t="str">
        <f t="shared" si="11"/>
        <v/>
      </c>
      <c r="AN38" s="139" t="str">
        <f>IF($K38="","",VLOOKUP($K38,'ORF Accuracy Value LookUp'!$G$4:$H$104,2,TRUE))</f>
        <v/>
      </c>
      <c r="AO38" s="94" t="str">
        <f t="shared" si="0"/>
        <v/>
      </c>
      <c r="AP38" s="47" t="str">
        <f>IF($U38="","",VLOOKUP($U38,'ORF Accuracy Value LookUp'!$G$4:$H$104,2,TRUE))</f>
        <v/>
      </c>
      <c r="AQ38" s="94" t="str">
        <f t="shared" si="1"/>
        <v/>
      </c>
      <c r="AR38" s="46" t="str">
        <f>IF($AE38="","",VLOOKUP($AE38,'ORF Accuracy Value LookUp'!$G$4:$H$104,2,TRUE))</f>
        <v/>
      </c>
      <c r="AS38" s="140" t="str">
        <f t="shared" si="2"/>
        <v/>
      </c>
    </row>
    <row r="39" spans="1:45">
      <c r="A39" s="10"/>
      <c r="B39" s="12"/>
      <c r="C39" s="13"/>
      <c r="D39" s="14"/>
      <c r="E39" s="10"/>
      <c r="F39" s="11"/>
      <c r="G39" s="15"/>
      <c r="H39" s="87"/>
      <c r="I39" s="24"/>
      <c r="J39" s="24"/>
      <c r="K39" s="114" t="str">
        <f t="shared" si="3"/>
        <v/>
      </c>
      <c r="L39" s="24"/>
      <c r="M39" s="24"/>
      <c r="N39" s="24"/>
      <c r="O39" s="24"/>
      <c r="P39" s="97" t="str">
        <f t="shared" si="4"/>
        <v/>
      </c>
      <c r="Q39" s="113" t="str">
        <f t="shared" si="5"/>
        <v/>
      </c>
      <c r="R39" s="87"/>
      <c r="S39" s="24"/>
      <c r="T39" s="24"/>
      <c r="U39" s="78" t="str">
        <f t="shared" si="6"/>
        <v/>
      </c>
      <c r="V39" s="24"/>
      <c r="W39" s="24"/>
      <c r="X39" s="24"/>
      <c r="Y39" s="24"/>
      <c r="Z39" s="98" t="str">
        <f t="shared" si="7"/>
        <v/>
      </c>
      <c r="AA39" s="40" t="str">
        <f t="shared" si="8"/>
        <v/>
      </c>
      <c r="AB39" s="87"/>
      <c r="AC39" s="24"/>
      <c r="AD39" s="24"/>
      <c r="AE39" s="79" t="str">
        <f t="shared" si="9"/>
        <v/>
      </c>
      <c r="AF39" s="24"/>
      <c r="AG39" s="24"/>
      <c r="AH39" s="24"/>
      <c r="AI39" s="24"/>
      <c r="AJ39" s="99" t="str">
        <f t="shared" si="10"/>
        <v/>
      </c>
      <c r="AK39" s="31" t="str">
        <f t="shared" si="11"/>
        <v/>
      </c>
      <c r="AN39" s="139" t="str">
        <f>IF($K39="","",VLOOKUP($K39,'ORF Accuracy Value LookUp'!$G$4:$H$104,2,TRUE))</f>
        <v/>
      </c>
      <c r="AO39" s="94" t="str">
        <f t="shared" si="0"/>
        <v/>
      </c>
      <c r="AP39" s="47" t="str">
        <f>IF($U39="","",VLOOKUP($U39,'ORF Accuracy Value LookUp'!$G$4:$H$104,2,TRUE))</f>
        <v/>
      </c>
      <c r="AQ39" s="94" t="str">
        <f t="shared" si="1"/>
        <v/>
      </c>
      <c r="AR39" s="46" t="str">
        <f>IF($AE39="","",VLOOKUP($AE39,'ORF Accuracy Value LookUp'!$G$4:$H$104,2,TRUE))</f>
        <v/>
      </c>
      <c r="AS39" s="140" t="str">
        <f t="shared" si="2"/>
        <v/>
      </c>
    </row>
    <row r="40" spans="1:45">
      <c r="A40" s="10"/>
      <c r="B40" s="12"/>
      <c r="C40" s="13"/>
      <c r="D40" s="14"/>
      <c r="E40" s="10"/>
      <c r="F40" s="11"/>
      <c r="G40" s="15"/>
      <c r="H40" s="87"/>
      <c r="I40" s="24"/>
      <c r="J40" s="24"/>
      <c r="K40" s="114" t="str">
        <f t="shared" si="3"/>
        <v/>
      </c>
      <c r="L40" s="24"/>
      <c r="M40" s="24"/>
      <c r="N40" s="24"/>
      <c r="O40" s="24"/>
      <c r="P40" s="97" t="str">
        <f t="shared" si="4"/>
        <v/>
      </c>
      <c r="Q40" s="113" t="str">
        <f t="shared" si="5"/>
        <v/>
      </c>
      <c r="R40" s="87"/>
      <c r="S40" s="24"/>
      <c r="T40" s="24"/>
      <c r="U40" s="78" t="str">
        <f t="shared" si="6"/>
        <v/>
      </c>
      <c r="V40" s="24"/>
      <c r="W40" s="24"/>
      <c r="X40" s="24"/>
      <c r="Y40" s="24"/>
      <c r="Z40" s="98" t="str">
        <f t="shared" si="7"/>
        <v/>
      </c>
      <c r="AA40" s="40" t="str">
        <f t="shared" si="8"/>
        <v/>
      </c>
      <c r="AB40" s="87"/>
      <c r="AC40" s="24"/>
      <c r="AD40" s="24"/>
      <c r="AE40" s="79" t="str">
        <f t="shared" si="9"/>
        <v/>
      </c>
      <c r="AF40" s="24"/>
      <c r="AG40" s="24"/>
      <c r="AH40" s="24"/>
      <c r="AI40" s="24"/>
      <c r="AJ40" s="99" t="str">
        <f t="shared" si="10"/>
        <v/>
      </c>
      <c r="AK40" s="31" t="str">
        <f t="shared" si="11"/>
        <v/>
      </c>
      <c r="AN40" s="139" t="str">
        <f>IF($K40="","",VLOOKUP($K40,'ORF Accuracy Value LookUp'!$G$4:$H$104,2,TRUE))</f>
        <v/>
      </c>
      <c r="AO40" s="94" t="str">
        <f t="shared" si="0"/>
        <v/>
      </c>
      <c r="AP40" s="47" t="str">
        <f>IF($U40="","",VLOOKUP($U40,'ORF Accuracy Value LookUp'!$G$4:$H$104,2,TRUE))</f>
        <v/>
      </c>
      <c r="AQ40" s="94" t="str">
        <f t="shared" si="1"/>
        <v/>
      </c>
      <c r="AR40" s="46" t="str">
        <f>IF($AE40="","",VLOOKUP($AE40,'ORF Accuracy Value LookUp'!$G$4:$H$104,2,TRUE))</f>
        <v/>
      </c>
      <c r="AS40" s="140" t="str">
        <f t="shared" si="2"/>
        <v/>
      </c>
    </row>
    <row r="41" spans="1:45">
      <c r="A41" s="10"/>
      <c r="B41" s="12"/>
      <c r="C41" s="13"/>
      <c r="D41" s="14"/>
      <c r="E41" s="10"/>
      <c r="F41" s="11"/>
      <c r="G41" s="15"/>
      <c r="H41" s="87"/>
      <c r="I41" s="24"/>
      <c r="J41" s="24"/>
      <c r="K41" s="114" t="str">
        <f t="shared" si="3"/>
        <v/>
      </c>
      <c r="L41" s="24"/>
      <c r="M41" s="24"/>
      <c r="N41" s="24"/>
      <c r="O41" s="24"/>
      <c r="P41" s="97" t="str">
        <f t="shared" si="4"/>
        <v/>
      </c>
      <c r="Q41" s="113" t="str">
        <f t="shared" si="5"/>
        <v/>
      </c>
      <c r="R41" s="87"/>
      <c r="S41" s="24"/>
      <c r="T41" s="24"/>
      <c r="U41" s="78" t="str">
        <f t="shared" si="6"/>
        <v/>
      </c>
      <c r="V41" s="24"/>
      <c r="W41" s="24"/>
      <c r="X41" s="24"/>
      <c r="Y41" s="24"/>
      <c r="Z41" s="98" t="str">
        <f t="shared" si="7"/>
        <v/>
      </c>
      <c r="AA41" s="40" t="str">
        <f t="shared" si="8"/>
        <v/>
      </c>
      <c r="AB41" s="87"/>
      <c r="AC41" s="24"/>
      <c r="AD41" s="24"/>
      <c r="AE41" s="79" t="str">
        <f t="shared" si="9"/>
        <v/>
      </c>
      <c r="AF41" s="24"/>
      <c r="AG41" s="24"/>
      <c r="AH41" s="24"/>
      <c r="AI41" s="24"/>
      <c r="AJ41" s="99" t="str">
        <f t="shared" si="10"/>
        <v/>
      </c>
      <c r="AK41" s="31" t="str">
        <f t="shared" si="11"/>
        <v/>
      </c>
      <c r="AN41" s="139" t="str">
        <f>IF($K41="","",VLOOKUP($K41,'ORF Accuracy Value LookUp'!$G$4:$H$104,2,TRUE))</f>
        <v/>
      </c>
      <c r="AO41" s="94" t="str">
        <f t="shared" si="0"/>
        <v/>
      </c>
      <c r="AP41" s="47" t="str">
        <f>IF($U41="","",VLOOKUP($U41,'ORF Accuracy Value LookUp'!$G$4:$H$104,2,TRUE))</f>
        <v/>
      </c>
      <c r="AQ41" s="94" t="str">
        <f t="shared" si="1"/>
        <v/>
      </c>
      <c r="AR41" s="46" t="str">
        <f>IF($AE41="","",VLOOKUP($AE41,'ORF Accuracy Value LookUp'!$G$4:$H$104,2,TRUE))</f>
        <v/>
      </c>
      <c r="AS41" s="140" t="str">
        <f t="shared" si="2"/>
        <v/>
      </c>
    </row>
    <row r="42" spans="1:45">
      <c r="A42" s="10"/>
      <c r="B42" s="12"/>
      <c r="C42" s="13"/>
      <c r="D42" s="14"/>
      <c r="E42" s="10"/>
      <c r="F42" s="11"/>
      <c r="G42" s="15"/>
      <c r="H42" s="87"/>
      <c r="I42" s="24"/>
      <c r="J42" s="24"/>
      <c r="K42" s="114" t="str">
        <f t="shared" si="3"/>
        <v/>
      </c>
      <c r="L42" s="24"/>
      <c r="M42" s="24"/>
      <c r="N42" s="24"/>
      <c r="O42" s="24"/>
      <c r="P42" s="97" t="str">
        <f t="shared" si="4"/>
        <v/>
      </c>
      <c r="Q42" s="113" t="str">
        <f t="shared" si="5"/>
        <v/>
      </c>
      <c r="R42" s="87"/>
      <c r="S42" s="24"/>
      <c r="T42" s="24"/>
      <c r="U42" s="78" t="str">
        <f t="shared" si="6"/>
        <v/>
      </c>
      <c r="V42" s="24"/>
      <c r="W42" s="24"/>
      <c r="X42" s="24"/>
      <c r="Y42" s="24"/>
      <c r="Z42" s="98" t="str">
        <f t="shared" si="7"/>
        <v/>
      </c>
      <c r="AA42" s="40" t="str">
        <f t="shared" si="8"/>
        <v/>
      </c>
      <c r="AB42" s="87"/>
      <c r="AC42" s="24"/>
      <c r="AD42" s="24"/>
      <c r="AE42" s="79" t="str">
        <f t="shared" si="9"/>
        <v/>
      </c>
      <c r="AF42" s="24"/>
      <c r="AG42" s="24"/>
      <c r="AH42" s="24"/>
      <c r="AI42" s="24"/>
      <c r="AJ42" s="99" t="str">
        <f t="shared" si="10"/>
        <v/>
      </c>
      <c r="AK42" s="31" t="str">
        <f t="shared" si="11"/>
        <v/>
      </c>
      <c r="AN42" s="139" t="str">
        <f>IF($K42="","",VLOOKUP($K42,'ORF Accuracy Value LookUp'!$G$4:$H$104,2,TRUE))</f>
        <v/>
      </c>
      <c r="AO42" s="94" t="str">
        <f t="shared" si="0"/>
        <v/>
      </c>
      <c r="AP42" s="47" t="str">
        <f>IF($U42="","",VLOOKUP($U42,'ORF Accuracy Value LookUp'!$G$4:$H$104,2,TRUE))</f>
        <v/>
      </c>
      <c r="AQ42" s="94" t="str">
        <f t="shared" si="1"/>
        <v/>
      </c>
      <c r="AR42" s="46" t="str">
        <f>IF($AE42="","",VLOOKUP($AE42,'ORF Accuracy Value LookUp'!$G$4:$H$104,2,TRUE))</f>
        <v/>
      </c>
      <c r="AS42" s="140" t="str">
        <f t="shared" si="2"/>
        <v/>
      </c>
    </row>
    <row r="43" spans="1:45">
      <c r="A43" s="10"/>
      <c r="B43" s="12"/>
      <c r="C43" s="13"/>
      <c r="D43" s="14"/>
      <c r="E43" s="10"/>
      <c r="F43" s="11"/>
      <c r="G43" s="15"/>
      <c r="H43" s="87"/>
      <c r="I43" s="24"/>
      <c r="J43" s="24"/>
      <c r="K43" s="114" t="str">
        <f t="shared" si="3"/>
        <v/>
      </c>
      <c r="L43" s="24"/>
      <c r="M43" s="24"/>
      <c r="N43" s="24"/>
      <c r="O43" s="24"/>
      <c r="P43" s="97" t="str">
        <f t="shared" si="4"/>
        <v/>
      </c>
      <c r="Q43" s="113" t="str">
        <f t="shared" si="5"/>
        <v/>
      </c>
      <c r="R43" s="87"/>
      <c r="S43" s="24"/>
      <c r="T43" s="24"/>
      <c r="U43" s="78" t="str">
        <f t="shared" si="6"/>
        <v/>
      </c>
      <c r="V43" s="24"/>
      <c r="W43" s="24"/>
      <c r="X43" s="24"/>
      <c r="Y43" s="24"/>
      <c r="Z43" s="98" t="str">
        <f t="shared" si="7"/>
        <v/>
      </c>
      <c r="AA43" s="40" t="str">
        <f t="shared" si="8"/>
        <v/>
      </c>
      <c r="AB43" s="87"/>
      <c r="AC43" s="24"/>
      <c r="AD43" s="24"/>
      <c r="AE43" s="79" t="str">
        <f t="shared" si="9"/>
        <v/>
      </c>
      <c r="AF43" s="24"/>
      <c r="AG43" s="24"/>
      <c r="AH43" s="24"/>
      <c r="AI43" s="24"/>
      <c r="AJ43" s="99" t="str">
        <f t="shared" si="10"/>
        <v/>
      </c>
      <c r="AK43" s="31" t="str">
        <f t="shared" si="11"/>
        <v/>
      </c>
      <c r="AN43" s="139" t="str">
        <f>IF($K43="","",VLOOKUP($K43,'ORF Accuracy Value LookUp'!$G$4:$H$104,2,TRUE))</f>
        <v/>
      </c>
      <c r="AO43" s="94" t="str">
        <f t="shared" si="0"/>
        <v/>
      </c>
      <c r="AP43" s="47" t="str">
        <f>IF($U43="","",VLOOKUP($U43,'ORF Accuracy Value LookUp'!$G$4:$H$104,2,TRUE))</f>
        <v/>
      </c>
      <c r="AQ43" s="94" t="str">
        <f t="shared" si="1"/>
        <v/>
      </c>
      <c r="AR43" s="46" t="str">
        <f>IF($AE43="","",VLOOKUP($AE43,'ORF Accuracy Value LookUp'!$G$4:$H$104,2,TRUE))</f>
        <v/>
      </c>
      <c r="AS43" s="140" t="str">
        <f t="shared" si="2"/>
        <v/>
      </c>
    </row>
    <row r="44" spans="1:45">
      <c r="A44" s="10"/>
      <c r="B44" s="12"/>
      <c r="C44" s="13"/>
      <c r="D44" s="14"/>
      <c r="E44" s="10"/>
      <c r="F44" s="11"/>
      <c r="G44" s="15"/>
      <c r="H44" s="87"/>
      <c r="I44" s="24"/>
      <c r="J44" s="24"/>
      <c r="K44" s="114" t="str">
        <f t="shared" si="3"/>
        <v/>
      </c>
      <c r="L44" s="24"/>
      <c r="M44" s="24"/>
      <c r="N44" s="24"/>
      <c r="O44" s="24"/>
      <c r="P44" s="97" t="str">
        <f t="shared" si="4"/>
        <v/>
      </c>
      <c r="Q44" s="113" t="str">
        <f t="shared" si="5"/>
        <v/>
      </c>
      <c r="R44" s="87"/>
      <c r="S44" s="24"/>
      <c r="T44" s="24"/>
      <c r="U44" s="78" t="str">
        <f t="shared" si="6"/>
        <v/>
      </c>
      <c r="V44" s="24"/>
      <c r="W44" s="24"/>
      <c r="X44" s="24"/>
      <c r="Y44" s="24"/>
      <c r="Z44" s="98" t="str">
        <f t="shared" si="7"/>
        <v/>
      </c>
      <c r="AA44" s="40" t="str">
        <f t="shared" si="8"/>
        <v/>
      </c>
      <c r="AB44" s="87"/>
      <c r="AC44" s="24"/>
      <c r="AD44" s="24"/>
      <c r="AE44" s="79" t="str">
        <f t="shared" si="9"/>
        <v/>
      </c>
      <c r="AF44" s="24"/>
      <c r="AG44" s="24"/>
      <c r="AH44" s="24"/>
      <c r="AI44" s="24"/>
      <c r="AJ44" s="99" t="str">
        <f t="shared" si="10"/>
        <v/>
      </c>
      <c r="AK44" s="31" t="str">
        <f t="shared" si="11"/>
        <v/>
      </c>
      <c r="AN44" s="139" t="str">
        <f>IF($K44="","",VLOOKUP($K44,'ORF Accuracy Value LookUp'!$G$4:$H$104,2,TRUE))</f>
        <v/>
      </c>
      <c r="AO44" s="94" t="str">
        <f t="shared" si="0"/>
        <v/>
      </c>
      <c r="AP44" s="47" t="str">
        <f>IF($U44="","",VLOOKUP($U44,'ORF Accuracy Value LookUp'!$G$4:$H$104,2,TRUE))</f>
        <v/>
      </c>
      <c r="AQ44" s="94" t="str">
        <f t="shared" si="1"/>
        <v/>
      </c>
      <c r="AR44" s="46" t="str">
        <f>IF($AE44="","",VLOOKUP($AE44,'ORF Accuracy Value LookUp'!$G$4:$H$104,2,TRUE))</f>
        <v/>
      </c>
      <c r="AS44" s="140" t="str">
        <f t="shared" si="2"/>
        <v/>
      </c>
    </row>
    <row r="45" spans="1:45">
      <c r="A45" s="10"/>
      <c r="B45" s="12"/>
      <c r="C45" s="13"/>
      <c r="D45" s="14"/>
      <c r="E45" s="10"/>
      <c r="F45" s="11"/>
      <c r="G45" s="15"/>
      <c r="H45" s="87"/>
      <c r="I45" s="24"/>
      <c r="J45" s="24"/>
      <c r="K45" s="114" t="str">
        <f t="shared" si="3"/>
        <v/>
      </c>
      <c r="L45" s="24"/>
      <c r="M45" s="24"/>
      <c r="N45" s="24"/>
      <c r="O45" s="24"/>
      <c r="P45" s="97" t="str">
        <f t="shared" si="4"/>
        <v/>
      </c>
      <c r="Q45" s="113" t="str">
        <f t="shared" si="5"/>
        <v/>
      </c>
      <c r="R45" s="87"/>
      <c r="S45" s="24"/>
      <c r="T45" s="24"/>
      <c r="U45" s="78" t="str">
        <f t="shared" si="6"/>
        <v/>
      </c>
      <c r="V45" s="24"/>
      <c r="W45" s="24"/>
      <c r="X45" s="24"/>
      <c r="Y45" s="24"/>
      <c r="Z45" s="98" t="str">
        <f t="shared" si="7"/>
        <v/>
      </c>
      <c r="AA45" s="40" t="str">
        <f t="shared" si="8"/>
        <v/>
      </c>
      <c r="AB45" s="87"/>
      <c r="AC45" s="24"/>
      <c r="AD45" s="24"/>
      <c r="AE45" s="79" t="str">
        <f t="shared" si="9"/>
        <v/>
      </c>
      <c r="AF45" s="24"/>
      <c r="AG45" s="24"/>
      <c r="AH45" s="24"/>
      <c r="AI45" s="24"/>
      <c r="AJ45" s="99" t="str">
        <f t="shared" si="10"/>
        <v/>
      </c>
      <c r="AK45" s="31" t="str">
        <f t="shared" si="11"/>
        <v/>
      </c>
      <c r="AN45" s="139" t="str">
        <f>IF($K45="","",VLOOKUP($K45,'ORF Accuracy Value LookUp'!$G$4:$H$104,2,TRUE))</f>
        <v/>
      </c>
      <c r="AO45" s="94" t="str">
        <f t="shared" si="0"/>
        <v/>
      </c>
      <c r="AP45" s="47" t="str">
        <f>IF($U45="","",VLOOKUP($U45,'ORF Accuracy Value LookUp'!$G$4:$H$104,2,TRUE))</f>
        <v/>
      </c>
      <c r="AQ45" s="94" t="str">
        <f t="shared" si="1"/>
        <v/>
      </c>
      <c r="AR45" s="46" t="str">
        <f>IF($AE45="","",VLOOKUP($AE45,'ORF Accuracy Value LookUp'!$G$4:$H$104,2,TRUE))</f>
        <v/>
      </c>
      <c r="AS45" s="140" t="str">
        <f t="shared" si="2"/>
        <v/>
      </c>
    </row>
    <row r="46" spans="1:45">
      <c r="A46" s="10"/>
      <c r="B46" s="12"/>
      <c r="C46" s="13"/>
      <c r="D46" s="14"/>
      <c r="E46" s="10"/>
      <c r="F46" s="11"/>
      <c r="G46" s="15"/>
      <c r="H46" s="87"/>
      <c r="I46" s="24"/>
      <c r="J46" s="24"/>
      <c r="K46" s="114" t="str">
        <f t="shared" si="3"/>
        <v/>
      </c>
      <c r="L46" s="24"/>
      <c r="M46" s="24"/>
      <c r="N46" s="24"/>
      <c r="O46" s="24"/>
      <c r="P46" s="97" t="str">
        <f t="shared" si="4"/>
        <v/>
      </c>
      <c r="Q46" s="113" t="str">
        <f t="shared" si="5"/>
        <v/>
      </c>
      <c r="R46" s="87"/>
      <c r="S46" s="24"/>
      <c r="T46" s="24"/>
      <c r="U46" s="78" t="str">
        <f t="shared" si="6"/>
        <v/>
      </c>
      <c r="V46" s="24"/>
      <c r="W46" s="24"/>
      <c r="X46" s="24"/>
      <c r="Y46" s="24"/>
      <c r="Z46" s="98" t="str">
        <f t="shared" si="7"/>
        <v/>
      </c>
      <c r="AA46" s="40" t="str">
        <f t="shared" si="8"/>
        <v/>
      </c>
      <c r="AB46" s="87"/>
      <c r="AC46" s="24"/>
      <c r="AD46" s="24"/>
      <c r="AE46" s="79" t="str">
        <f t="shared" si="9"/>
        <v/>
      </c>
      <c r="AF46" s="24"/>
      <c r="AG46" s="24"/>
      <c r="AH46" s="24"/>
      <c r="AI46" s="24"/>
      <c r="AJ46" s="99" t="str">
        <f t="shared" si="10"/>
        <v/>
      </c>
      <c r="AK46" s="31" t="str">
        <f t="shared" si="11"/>
        <v/>
      </c>
      <c r="AN46" s="139" t="str">
        <f>IF($K46="","",VLOOKUP($K46,'ORF Accuracy Value LookUp'!$G$4:$H$104,2,TRUE))</f>
        <v/>
      </c>
      <c r="AO46" s="94" t="str">
        <f t="shared" si="0"/>
        <v/>
      </c>
      <c r="AP46" s="47" t="str">
        <f>IF($U46="","",VLOOKUP($U46,'ORF Accuracy Value LookUp'!$G$4:$H$104,2,TRUE))</f>
        <v/>
      </c>
      <c r="AQ46" s="94" t="str">
        <f t="shared" si="1"/>
        <v/>
      </c>
      <c r="AR46" s="46" t="str">
        <f>IF($AE46="","",VLOOKUP($AE46,'ORF Accuracy Value LookUp'!$G$4:$H$104,2,TRUE))</f>
        <v/>
      </c>
      <c r="AS46" s="140" t="str">
        <f t="shared" si="2"/>
        <v/>
      </c>
    </row>
    <row r="47" spans="1:45">
      <c r="A47" s="10"/>
      <c r="B47" s="12"/>
      <c r="C47" s="13"/>
      <c r="D47" s="14"/>
      <c r="E47" s="10"/>
      <c r="F47" s="11"/>
      <c r="G47" s="15"/>
      <c r="H47" s="87"/>
      <c r="I47" s="24"/>
      <c r="J47" s="24"/>
      <c r="K47" s="114" t="str">
        <f t="shared" si="3"/>
        <v/>
      </c>
      <c r="L47" s="24"/>
      <c r="M47" s="24"/>
      <c r="N47" s="24"/>
      <c r="O47" s="24"/>
      <c r="P47" s="97" t="str">
        <f t="shared" si="4"/>
        <v/>
      </c>
      <c r="Q47" s="113" t="str">
        <f t="shared" si="5"/>
        <v/>
      </c>
      <c r="R47" s="87"/>
      <c r="S47" s="24"/>
      <c r="T47" s="24"/>
      <c r="U47" s="78" t="str">
        <f t="shared" si="6"/>
        <v/>
      </c>
      <c r="V47" s="24"/>
      <c r="W47" s="24"/>
      <c r="X47" s="24"/>
      <c r="Y47" s="24"/>
      <c r="Z47" s="98" t="str">
        <f t="shared" si="7"/>
        <v/>
      </c>
      <c r="AA47" s="40" t="str">
        <f t="shared" si="8"/>
        <v/>
      </c>
      <c r="AB47" s="87"/>
      <c r="AC47" s="24"/>
      <c r="AD47" s="24"/>
      <c r="AE47" s="79" t="str">
        <f t="shared" si="9"/>
        <v/>
      </c>
      <c r="AF47" s="24"/>
      <c r="AG47" s="24"/>
      <c r="AH47" s="24"/>
      <c r="AI47" s="24"/>
      <c r="AJ47" s="99" t="str">
        <f t="shared" si="10"/>
        <v/>
      </c>
      <c r="AK47" s="31" t="str">
        <f t="shared" si="11"/>
        <v/>
      </c>
      <c r="AN47" s="139" t="str">
        <f>IF($K47="","",VLOOKUP($K47,'ORF Accuracy Value LookUp'!$G$4:$H$104,2,TRUE))</f>
        <v/>
      </c>
      <c r="AO47" s="94" t="str">
        <f t="shared" si="0"/>
        <v/>
      </c>
      <c r="AP47" s="47" t="str">
        <f>IF($U47="","",VLOOKUP($U47,'ORF Accuracy Value LookUp'!$G$4:$H$104,2,TRUE))</f>
        <v/>
      </c>
      <c r="AQ47" s="94" t="str">
        <f t="shared" si="1"/>
        <v/>
      </c>
      <c r="AR47" s="46" t="str">
        <f>IF($AE47="","",VLOOKUP($AE47,'ORF Accuracy Value LookUp'!$G$4:$H$104,2,TRUE))</f>
        <v/>
      </c>
      <c r="AS47" s="140" t="str">
        <f t="shared" si="2"/>
        <v/>
      </c>
    </row>
    <row r="48" spans="1:45">
      <c r="A48" s="10"/>
      <c r="B48" s="12"/>
      <c r="C48" s="13"/>
      <c r="D48" s="14"/>
      <c r="E48" s="10"/>
      <c r="F48" s="11"/>
      <c r="G48" s="15"/>
      <c r="H48" s="87"/>
      <c r="I48" s="24"/>
      <c r="J48" s="24"/>
      <c r="K48" s="114" t="str">
        <f t="shared" si="3"/>
        <v/>
      </c>
      <c r="L48" s="24"/>
      <c r="M48" s="24"/>
      <c r="N48" s="24"/>
      <c r="O48" s="24"/>
      <c r="P48" s="97" t="str">
        <f t="shared" si="4"/>
        <v/>
      </c>
      <c r="Q48" s="113" t="str">
        <f t="shared" si="5"/>
        <v/>
      </c>
      <c r="R48" s="87"/>
      <c r="S48" s="24"/>
      <c r="T48" s="24"/>
      <c r="U48" s="78" t="str">
        <f t="shared" si="6"/>
        <v/>
      </c>
      <c r="V48" s="24"/>
      <c r="W48" s="24"/>
      <c r="X48" s="24"/>
      <c r="Y48" s="24"/>
      <c r="Z48" s="98" t="str">
        <f t="shared" si="7"/>
        <v/>
      </c>
      <c r="AA48" s="40" t="str">
        <f t="shared" si="8"/>
        <v/>
      </c>
      <c r="AB48" s="87"/>
      <c r="AC48" s="24"/>
      <c r="AD48" s="24"/>
      <c r="AE48" s="79" t="str">
        <f t="shared" si="9"/>
        <v/>
      </c>
      <c r="AF48" s="24"/>
      <c r="AG48" s="24"/>
      <c r="AH48" s="24"/>
      <c r="AI48" s="24"/>
      <c r="AJ48" s="99" t="str">
        <f t="shared" si="10"/>
        <v/>
      </c>
      <c r="AK48" s="31" t="str">
        <f t="shared" si="11"/>
        <v/>
      </c>
      <c r="AN48" s="139" t="str">
        <f>IF($K48="","",VLOOKUP($K48,'ORF Accuracy Value LookUp'!$G$4:$H$104,2,TRUE))</f>
        <v/>
      </c>
      <c r="AO48" s="94" t="str">
        <f t="shared" si="0"/>
        <v/>
      </c>
      <c r="AP48" s="47" t="str">
        <f>IF($U48="","",VLOOKUP($U48,'ORF Accuracy Value LookUp'!$G$4:$H$104,2,TRUE))</f>
        <v/>
      </c>
      <c r="AQ48" s="94" t="str">
        <f t="shared" si="1"/>
        <v/>
      </c>
      <c r="AR48" s="46" t="str">
        <f>IF($AE48="","",VLOOKUP($AE48,'ORF Accuracy Value LookUp'!$G$4:$H$104,2,TRUE))</f>
        <v/>
      </c>
      <c r="AS48" s="140" t="str">
        <f t="shared" si="2"/>
        <v/>
      </c>
    </row>
    <row r="49" spans="1:45">
      <c r="A49" s="10"/>
      <c r="B49" s="12"/>
      <c r="C49" s="13"/>
      <c r="D49" s="14"/>
      <c r="E49" s="10"/>
      <c r="F49" s="11"/>
      <c r="G49" s="15"/>
      <c r="H49" s="87"/>
      <c r="I49" s="24"/>
      <c r="J49" s="24"/>
      <c r="K49" s="114" t="str">
        <f t="shared" si="3"/>
        <v/>
      </c>
      <c r="L49" s="24"/>
      <c r="M49" s="24"/>
      <c r="N49" s="24"/>
      <c r="O49" s="24"/>
      <c r="P49" s="97" t="str">
        <f t="shared" si="4"/>
        <v/>
      </c>
      <c r="Q49" s="113" t="str">
        <f t="shared" si="5"/>
        <v/>
      </c>
      <c r="R49" s="87"/>
      <c r="S49" s="24"/>
      <c r="T49" s="24"/>
      <c r="U49" s="78" t="str">
        <f t="shared" si="6"/>
        <v/>
      </c>
      <c r="V49" s="24"/>
      <c r="W49" s="24"/>
      <c r="X49" s="24"/>
      <c r="Y49" s="24"/>
      <c r="Z49" s="98" t="str">
        <f t="shared" si="7"/>
        <v/>
      </c>
      <c r="AA49" s="40" t="str">
        <f t="shared" si="8"/>
        <v/>
      </c>
      <c r="AB49" s="87"/>
      <c r="AC49" s="24"/>
      <c r="AD49" s="24"/>
      <c r="AE49" s="79" t="str">
        <f t="shared" si="9"/>
        <v/>
      </c>
      <c r="AF49" s="24"/>
      <c r="AG49" s="24"/>
      <c r="AH49" s="24"/>
      <c r="AI49" s="24"/>
      <c r="AJ49" s="99" t="str">
        <f t="shared" si="10"/>
        <v/>
      </c>
      <c r="AK49" s="31" t="str">
        <f t="shared" si="11"/>
        <v/>
      </c>
      <c r="AN49" s="139" t="str">
        <f>IF($K49="","",VLOOKUP($K49,'ORF Accuracy Value LookUp'!$G$4:$H$104,2,TRUE))</f>
        <v/>
      </c>
      <c r="AO49" s="94" t="str">
        <f t="shared" si="0"/>
        <v/>
      </c>
      <c r="AP49" s="47" t="str">
        <f>IF($U49="","",VLOOKUP($U49,'ORF Accuracy Value LookUp'!$G$4:$H$104,2,TRUE))</f>
        <v/>
      </c>
      <c r="AQ49" s="94" t="str">
        <f t="shared" si="1"/>
        <v/>
      </c>
      <c r="AR49" s="46" t="str">
        <f>IF($AE49="","",VLOOKUP($AE49,'ORF Accuracy Value LookUp'!$G$4:$H$104,2,TRUE))</f>
        <v/>
      </c>
      <c r="AS49" s="140" t="str">
        <f t="shared" si="2"/>
        <v/>
      </c>
    </row>
    <row r="50" spans="1:45">
      <c r="A50" s="10"/>
      <c r="B50" s="12"/>
      <c r="C50" s="13"/>
      <c r="D50" s="14"/>
      <c r="E50" s="10"/>
      <c r="F50" s="11"/>
      <c r="G50" s="15"/>
      <c r="H50" s="87"/>
      <c r="I50" s="24"/>
      <c r="J50" s="24"/>
      <c r="K50" s="114" t="str">
        <f t="shared" si="3"/>
        <v/>
      </c>
      <c r="L50" s="24"/>
      <c r="M50" s="24"/>
      <c r="N50" s="24"/>
      <c r="O50" s="24"/>
      <c r="P50" s="97" t="str">
        <f t="shared" si="4"/>
        <v/>
      </c>
      <c r="Q50" s="113" t="str">
        <f t="shared" si="5"/>
        <v/>
      </c>
      <c r="R50" s="87"/>
      <c r="S50" s="24"/>
      <c r="T50" s="24"/>
      <c r="U50" s="78" t="str">
        <f t="shared" si="6"/>
        <v/>
      </c>
      <c r="V50" s="24"/>
      <c r="W50" s="24"/>
      <c r="X50" s="24"/>
      <c r="Y50" s="24"/>
      <c r="Z50" s="98" t="str">
        <f t="shared" si="7"/>
        <v/>
      </c>
      <c r="AA50" s="40" t="str">
        <f t="shared" si="8"/>
        <v/>
      </c>
      <c r="AB50" s="87"/>
      <c r="AC50" s="24"/>
      <c r="AD50" s="24"/>
      <c r="AE50" s="79" t="str">
        <f t="shared" si="9"/>
        <v/>
      </c>
      <c r="AF50" s="24"/>
      <c r="AG50" s="24"/>
      <c r="AH50" s="24"/>
      <c r="AI50" s="24"/>
      <c r="AJ50" s="99" t="str">
        <f t="shared" si="10"/>
        <v/>
      </c>
      <c r="AK50" s="31" t="str">
        <f t="shared" si="11"/>
        <v/>
      </c>
      <c r="AN50" s="139" t="str">
        <f>IF($K50="","",VLOOKUP($K50,'ORF Accuracy Value LookUp'!$G$4:$H$104,2,TRUE))</f>
        <v/>
      </c>
      <c r="AO50" s="94" t="str">
        <f t="shared" si="0"/>
        <v/>
      </c>
      <c r="AP50" s="47" t="str">
        <f>IF($U50="","",VLOOKUP($U50,'ORF Accuracy Value LookUp'!$G$4:$H$104,2,TRUE))</f>
        <v/>
      </c>
      <c r="AQ50" s="94" t="str">
        <f t="shared" si="1"/>
        <v/>
      </c>
      <c r="AR50" s="46" t="str">
        <f>IF($AE50="","",VLOOKUP($AE50,'ORF Accuracy Value LookUp'!$G$4:$H$104,2,TRUE))</f>
        <v/>
      </c>
      <c r="AS50" s="140" t="str">
        <f t="shared" si="2"/>
        <v/>
      </c>
    </row>
    <row r="51" spans="1:45">
      <c r="A51" s="10"/>
      <c r="B51" s="12"/>
      <c r="C51" s="13"/>
      <c r="D51" s="14"/>
      <c r="E51" s="10"/>
      <c r="F51" s="11"/>
      <c r="G51" s="15"/>
      <c r="H51" s="87"/>
      <c r="I51" s="24"/>
      <c r="J51" s="24"/>
      <c r="K51" s="114" t="str">
        <f t="shared" si="3"/>
        <v/>
      </c>
      <c r="L51" s="24"/>
      <c r="M51" s="24"/>
      <c r="N51" s="24"/>
      <c r="O51" s="24"/>
      <c r="P51" s="97" t="str">
        <f t="shared" si="4"/>
        <v/>
      </c>
      <c r="Q51" s="113" t="str">
        <f t="shared" si="5"/>
        <v/>
      </c>
      <c r="R51" s="87"/>
      <c r="S51" s="24"/>
      <c r="T51" s="24"/>
      <c r="U51" s="78" t="str">
        <f t="shared" si="6"/>
        <v/>
      </c>
      <c r="V51" s="24"/>
      <c r="W51" s="24"/>
      <c r="X51" s="24"/>
      <c r="Y51" s="24"/>
      <c r="Z51" s="98" t="str">
        <f t="shared" si="7"/>
        <v/>
      </c>
      <c r="AA51" s="40" t="str">
        <f t="shared" si="8"/>
        <v/>
      </c>
      <c r="AB51" s="87"/>
      <c r="AC51" s="24"/>
      <c r="AD51" s="24"/>
      <c r="AE51" s="79" t="str">
        <f t="shared" si="9"/>
        <v/>
      </c>
      <c r="AF51" s="24"/>
      <c r="AG51" s="24"/>
      <c r="AH51" s="24"/>
      <c r="AI51" s="24"/>
      <c r="AJ51" s="99" t="str">
        <f t="shared" si="10"/>
        <v/>
      </c>
      <c r="AK51" s="31" t="str">
        <f t="shared" si="11"/>
        <v/>
      </c>
      <c r="AN51" s="139" t="str">
        <f>IF($K51="","",VLOOKUP($K51,'ORF Accuracy Value LookUp'!$G$4:$H$104,2,TRUE))</f>
        <v/>
      </c>
      <c r="AO51" s="94" t="str">
        <f t="shared" si="0"/>
        <v/>
      </c>
      <c r="AP51" s="47" t="str">
        <f>IF($U51="","",VLOOKUP($U51,'ORF Accuracy Value LookUp'!$G$4:$H$104,2,TRUE))</f>
        <v/>
      </c>
      <c r="AQ51" s="94" t="str">
        <f t="shared" si="1"/>
        <v/>
      </c>
      <c r="AR51" s="46" t="str">
        <f>IF($AE51="","",VLOOKUP($AE51,'ORF Accuracy Value LookUp'!$G$4:$H$104,2,TRUE))</f>
        <v/>
      </c>
      <c r="AS51" s="140" t="str">
        <f t="shared" si="2"/>
        <v/>
      </c>
    </row>
    <row r="52" spans="1:45">
      <c r="A52" s="10"/>
      <c r="B52" s="12"/>
      <c r="C52" s="13"/>
      <c r="D52" s="14"/>
      <c r="E52" s="10"/>
      <c r="F52" s="11"/>
      <c r="G52" s="15"/>
      <c r="H52" s="87"/>
      <c r="I52" s="24"/>
      <c r="J52" s="24"/>
      <c r="K52" s="114" t="str">
        <f t="shared" si="3"/>
        <v/>
      </c>
      <c r="L52" s="24"/>
      <c r="M52" s="24"/>
      <c r="N52" s="24"/>
      <c r="O52" s="24"/>
      <c r="P52" s="97" t="str">
        <f t="shared" si="4"/>
        <v/>
      </c>
      <c r="Q52" s="113" t="str">
        <f t="shared" si="5"/>
        <v/>
      </c>
      <c r="R52" s="87"/>
      <c r="S52" s="24"/>
      <c r="T52" s="24"/>
      <c r="U52" s="78" t="str">
        <f t="shared" si="6"/>
        <v/>
      </c>
      <c r="V52" s="24"/>
      <c r="W52" s="24"/>
      <c r="X52" s="24"/>
      <c r="Y52" s="24"/>
      <c r="Z52" s="98" t="str">
        <f t="shared" si="7"/>
        <v/>
      </c>
      <c r="AA52" s="40" t="str">
        <f t="shared" si="8"/>
        <v/>
      </c>
      <c r="AB52" s="87"/>
      <c r="AC52" s="24"/>
      <c r="AD52" s="24"/>
      <c r="AE52" s="79" t="str">
        <f t="shared" si="9"/>
        <v/>
      </c>
      <c r="AF52" s="24"/>
      <c r="AG52" s="24"/>
      <c r="AH52" s="24"/>
      <c r="AI52" s="24"/>
      <c r="AJ52" s="99" t="str">
        <f t="shared" si="10"/>
        <v/>
      </c>
      <c r="AK52" s="31" t="str">
        <f t="shared" si="11"/>
        <v/>
      </c>
      <c r="AN52" s="139" t="str">
        <f>IF($K52="","",VLOOKUP($K52,'ORF Accuracy Value LookUp'!$G$4:$H$104,2,TRUE))</f>
        <v/>
      </c>
      <c r="AO52" s="94" t="str">
        <f t="shared" si="0"/>
        <v/>
      </c>
      <c r="AP52" s="47" t="str">
        <f>IF($U52="","",VLOOKUP($U52,'ORF Accuracy Value LookUp'!$G$4:$H$104,2,TRUE))</f>
        <v/>
      </c>
      <c r="AQ52" s="94" t="str">
        <f t="shared" si="1"/>
        <v/>
      </c>
      <c r="AR52" s="46" t="str">
        <f>IF($AE52="","",VLOOKUP($AE52,'ORF Accuracy Value LookUp'!$G$4:$H$104,2,TRUE))</f>
        <v/>
      </c>
      <c r="AS52" s="140" t="str">
        <f t="shared" si="2"/>
        <v/>
      </c>
    </row>
    <row r="53" spans="1:45">
      <c r="A53" s="10"/>
      <c r="B53" s="12"/>
      <c r="C53" s="13"/>
      <c r="D53" s="14"/>
      <c r="E53" s="10"/>
      <c r="F53" s="11"/>
      <c r="G53" s="15"/>
      <c r="H53" s="87"/>
      <c r="I53" s="24"/>
      <c r="J53" s="24"/>
      <c r="K53" s="114" t="str">
        <f t="shared" si="3"/>
        <v/>
      </c>
      <c r="L53" s="24"/>
      <c r="M53" s="24"/>
      <c r="N53" s="24"/>
      <c r="O53" s="24"/>
      <c r="P53" s="97" t="str">
        <f t="shared" si="4"/>
        <v/>
      </c>
      <c r="Q53" s="113" t="str">
        <f t="shared" si="5"/>
        <v/>
      </c>
      <c r="R53" s="87"/>
      <c r="S53" s="24"/>
      <c r="T53" s="24"/>
      <c r="U53" s="78" t="str">
        <f t="shared" si="6"/>
        <v/>
      </c>
      <c r="V53" s="24"/>
      <c r="W53" s="24"/>
      <c r="X53" s="24"/>
      <c r="Y53" s="24"/>
      <c r="Z53" s="98" t="str">
        <f t="shared" si="7"/>
        <v/>
      </c>
      <c r="AA53" s="40" t="str">
        <f t="shared" si="8"/>
        <v/>
      </c>
      <c r="AB53" s="87"/>
      <c r="AC53" s="24"/>
      <c r="AD53" s="24"/>
      <c r="AE53" s="79" t="str">
        <f t="shared" si="9"/>
        <v/>
      </c>
      <c r="AF53" s="24"/>
      <c r="AG53" s="24"/>
      <c r="AH53" s="24"/>
      <c r="AI53" s="24"/>
      <c r="AJ53" s="99" t="str">
        <f t="shared" si="10"/>
        <v/>
      </c>
      <c r="AK53" s="31" t="str">
        <f t="shared" si="11"/>
        <v/>
      </c>
      <c r="AN53" s="139" t="str">
        <f>IF($K53="","",VLOOKUP($K53,'ORF Accuracy Value LookUp'!$G$4:$H$104,2,TRUE))</f>
        <v/>
      </c>
      <c r="AO53" s="94" t="str">
        <f t="shared" si="0"/>
        <v/>
      </c>
      <c r="AP53" s="47" t="str">
        <f>IF($U53="","",VLOOKUP($U53,'ORF Accuracy Value LookUp'!$G$4:$H$104,2,TRUE))</f>
        <v/>
      </c>
      <c r="AQ53" s="94" t="str">
        <f t="shared" si="1"/>
        <v/>
      </c>
      <c r="AR53" s="46" t="str">
        <f>IF($AE53="","",VLOOKUP($AE53,'ORF Accuracy Value LookUp'!$G$4:$H$104,2,TRUE))</f>
        <v/>
      </c>
      <c r="AS53" s="140" t="str">
        <f t="shared" si="2"/>
        <v/>
      </c>
    </row>
    <row r="54" spans="1:45">
      <c r="A54" s="10"/>
      <c r="B54" s="12"/>
      <c r="C54" s="13"/>
      <c r="D54" s="14"/>
      <c r="E54" s="10"/>
      <c r="F54" s="11"/>
      <c r="G54" s="15"/>
      <c r="H54" s="87"/>
      <c r="I54" s="24"/>
      <c r="J54" s="24"/>
      <c r="K54" s="114" t="str">
        <f t="shared" si="3"/>
        <v/>
      </c>
      <c r="L54" s="24"/>
      <c r="M54" s="24"/>
      <c r="N54" s="24"/>
      <c r="O54" s="24"/>
      <c r="P54" s="97" t="str">
        <f t="shared" si="4"/>
        <v/>
      </c>
      <c r="Q54" s="113" t="str">
        <f t="shared" si="5"/>
        <v/>
      </c>
      <c r="R54" s="87"/>
      <c r="S54" s="24"/>
      <c r="T54" s="24"/>
      <c r="U54" s="78" t="str">
        <f t="shared" si="6"/>
        <v/>
      </c>
      <c r="V54" s="24"/>
      <c r="W54" s="24"/>
      <c r="X54" s="24"/>
      <c r="Y54" s="24"/>
      <c r="Z54" s="98" t="str">
        <f t="shared" si="7"/>
        <v/>
      </c>
      <c r="AA54" s="40" t="str">
        <f t="shared" si="8"/>
        <v/>
      </c>
      <c r="AB54" s="87"/>
      <c r="AC54" s="24"/>
      <c r="AD54" s="24"/>
      <c r="AE54" s="79" t="str">
        <f t="shared" si="9"/>
        <v/>
      </c>
      <c r="AF54" s="24"/>
      <c r="AG54" s="24"/>
      <c r="AH54" s="24"/>
      <c r="AI54" s="24"/>
      <c r="AJ54" s="99" t="str">
        <f t="shared" si="10"/>
        <v/>
      </c>
      <c r="AK54" s="31" t="str">
        <f t="shared" si="11"/>
        <v/>
      </c>
      <c r="AN54" s="139" t="str">
        <f>IF($K54="","",VLOOKUP($K54,'ORF Accuracy Value LookUp'!$G$4:$H$104,2,TRUE))</f>
        <v/>
      </c>
      <c r="AO54" s="94" t="str">
        <f t="shared" si="0"/>
        <v/>
      </c>
      <c r="AP54" s="47" t="str">
        <f>IF($U54="","",VLOOKUP($U54,'ORF Accuracy Value LookUp'!$G$4:$H$104,2,TRUE))</f>
        <v/>
      </c>
      <c r="AQ54" s="94" t="str">
        <f t="shared" si="1"/>
        <v/>
      </c>
      <c r="AR54" s="46" t="str">
        <f>IF($AE54="","",VLOOKUP($AE54,'ORF Accuracy Value LookUp'!$G$4:$H$104,2,TRUE))</f>
        <v/>
      </c>
      <c r="AS54" s="140" t="str">
        <f t="shared" si="2"/>
        <v/>
      </c>
    </row>
    <row r="55" spans="1:45">
      <c r="A55" s="10"/>
      <c r="B55" s="12"/>
      <c r="C55" s="13"/>
      <c r="D55" s="14"/>
      <c r="E55" s="10"/>
      <c r="F55" s="11"/>
      <c r="G55" s="15"/>
      <c r="H55" s="87"/>
      <c r="I55" s="24"/>
      <c r="J55" s="24"/>
      <c r="K55" s="114" t="str">
        <f t="shared" si="3"/>
        <v/>
      </c>
      <c r="L55" s="24"/>
      <c r="M55" s="24"/>
      <c r="N55" s="24"/>
      <c r="O55" s="24"/>
      <c r="P55" s="97" t="str">
        <f t="shared" si="4"/>
        <v/>
      </c>
      <c r="Q55" s="113" t="str">
        <f t="shared" si="5"/>
        <v/>
      </c>
      <c r="R55" s="87"/>
      <c r="S55" s="24"/>
      <c r="T55" s="24"/>
      <c r="U55" s="78" t="str">
        <f t="shared" si="6"/>
        <v/>
      </c>
      <c r="V55" s="24"/>
      <c r="W55" s="24"/>
      <c r="X55" s="24"/>
      <c r="Y55" s="24"/>
      <c r="Z55" s="98" t="str">
        <f t="shared" si="7"/>
        <v/>
      </c>
      <c r="AA55" s="40" t="str">
        <f t="shared" si="8"/>
        <v/>
      </c>
      <c r="AB55" s="87"/>
      <c r="AC55" s="24"/>
      <c r="AD55" s="24"/>
      <c r="AE55" s="79" t="str">
        <f t="shared" si="9"/>
        <v/>
      </c>
      <c r="AF55" s="24"/>
      <c r="AG55" s="24"/>
      <c r="AH55" s="24"/>
      <c r="AI55" s="24"/>
      <c r="AJ55" s="99" t="str">
        <f t="shared" si="10"/>
        <v/>
      </c>
      <c r="AK55" s="31" t="str">
        <f t="shared" si="11"/>
        <v/>
      </c>
      <c r="AN55" s="139" t="str">
        <f>IF($K55="","",VLOOKUP($K55,'ORF Accuracy Value LookUp'!$G$4:$H$104,2,TRUE))</f>
        <v/>
      </c>
      <c r="AO55" s="94" t="str">
        <f t="shared" si="0"/>
        <v/>
      </c>
      <c r="AP55" s="47" t="str">
        <f>IF($U55="","",VLOOKUP($U55,'ORF Accuracy Value LookUp'!$G$4:$H$104,2,TRUE))</f>
        <v/>
      </c>
      <c r="AQ55" s="94" t="str">
        <f t="shared" si="1"/>
        <v/>
      </c>
      <c r="AR55" s="46" t="str">
        <f>IF($AE55="","",VLOOKUP($AE55,'ORF Accuracy Value LookUp'!$G$4:$H$104,2,TRUE))</f>
        <v/>
      </c>
      <c r="AS55" s="140" t="str">
        <f t="shared" si="2"/>
        <v/>
      </c>
    </row>
    <row r="56" spans="1:45">
      <c r="A56" s="10"/>
      <c r="B56" s="12"/>
      <c r="C56" s="13"/>
      <c r="D56" s="14"/>
      <c r="E56" s="10"/>
      <c r="F56" s="11"/>
      <c r="G56" s="15"/>
      <c r="H56" s="87"/>
      <c r="I56" s="24"/>
      <c r="J56" s="24"/>
      <c r="K56" s="114" t="str">
        <f t="shared" si="3"/>
        <v/>
      </c>
      <c r="L56" s="24"/>
      <c r="M56" s="24"/>
      <c r="N56" s="24"/>
      <c r="O56" s="24"/>
      <c r="P56" s="97" t="str">
        <f t="shared" si="4"/>
        <v/>
      </c>
      <c r="Q56" s="113" t="str">
        <f t="shared" si="5"/>
        <v/>
      </c>
      <c r="R56" s="87"/>
      <c r="S56" s="24"/>
      <c r="T56" s="24"/>
      <c r="U56" s="78" t="str">
        <f t="shared" si="6"/>
        <v/>
      </c>
      <c r="V56" s="24"/>
      <c r="W56" s="24"/>
      <c r="X56" s="24"/>
      <c r="Y56" s="24"/>
      <c r="Z56" s="98" t="str">
        <f t="shared" si="7"/>
        <v/>
      </c>
      <c r="AA56" s="40" t="str">
        <f t="shared" si="8"/>
        <v/>
      </c>
      <c r="AB56" s="87"/>
      <c r="AC56" s="24"/>
      <c r="AD56" s="24"/>
      <c r="AE56" s="79" t="str">
        <f t="shared" si="9"/>
        <v/>
      </c>
      <c r="AF56" s="24"/>
      <c r="AG56" s="24"/>
      <c r="AH56" s="24"/>
      <c r="AI56" s="24"/>
      <c r="AJ56" s="99" t="str">
        <f t="shared" si="10"/>
        <v/>
      </c>
      <c r="AK56" s="31" t="str">
        <f t="shared" si="11"/>
        <v/>
      </c>
      <c r="AN56" s="139" t="str">
        <f>IF($K56="","",VLOOKUP($K56,'ORF Accuracy Value LookUp'!$G$4:$H$104,2,TRUE))</f>
        <v/>
      </c>
      <c r="AO56" s="94" t="str">
        <f t="shared" si="0"/>
        <v/>
      </c>
      <c r="AP56" s="47" t="str">
        <f>IF($U56="","",VLOOKUP($U56,'ORF Accuracy Value LookUp'!$G$4:$H$104,2,TRUE))</f>
        <v/>
      </c>
      <c r="AQ56" s="94" t="str">
        <f t="shared" si="1"/>
        <v/>
      </c>
      <c r="AR56" s="46" t="str">
        <f>IF($AE56="","",VLOOKUP($AE56,'ORF Accuracy Value LookUp'!$G$4:$H$104,2,TRUE))</f>
        <v/>
      </c>
      <c r="AS56" s="140" t="str">
        <f t="shared" si="2"/>
        <v/>
      </c>
    </row>
    <row r="57" spans="1:45">
      <c r="A57" s="10"/>
      <c r="B57" s="12"/>
      <c r="C57" s="13"/>
      <c r="D57" s="14"/>
      <c r="E57" s="10"/>
      <c r="F57" s="11"/>
      <c r="G57" s="15"/>
      <c r="H57" s="87"/>
      <c r="I57" s="24"/>
      <c r="J57" s="24"/>
      <c r="K57" s="114" t="str">
        <f t="shared" si="3"/>
        <v/>
      </c>
      <c r="L57" s="24"/>
      <c r="M57" s="24"/>
      <c r="N57" s="24"/>
      <c r="O57" s="24"/>
      <c r="P57" s="97" t="str">
        <f t="shared" si="4"/>
        <v/>
      </c>
      <c r="Q57" s="113" t="str">
        <f t="shared" si="5"/>
        <v/>
      </c>
      <c r="R57" s="87"/>
      <c r="S57" s="24"/>
      <c r="T57" s="24"/>
      <c r="U57" s="78" t="str">
        <f t="shared" si="6"/>
        <v/>
      </c>
      <c r="V57" s="24"/>
      <c r="W57" s="24"/>
      <c r="X57" s="24"/>
      <c r="Y57" s="24"/>
      <c r="Z57" s="98" t="str">
        <f t="shared" si="7"/>
        <v/>
      </c>
      <c r="AA57" s="40" t="str">
        <f t="shared" si="8"/>
        <v/>
      </c>
      <c r="AB57" s="87"/>
      <c r="AC57" s="24"/>
      <c r="AD57" s="24"/>
      <c r="AE57" s="79" t="str">
        <f t="shared" si="9"/>
        <v/>
      </c>
      <c r="AF57" s="24"/>
      <c r="AG57" s="24"/>
      <c r="AH57" s="24"/>
      <c r="AI57" s="24"/>
      <c r="AJ57" s="99" t="str">
        <f t="shared" si="10"/>
        <v/>
      </c>
      <c r="AK57" s="31" t="str">
        <f t="shared" si="11"/>
        <v/>
      </c>
      <c r="AN57" s="139" t="str">
        <f>IF($K57="","",VLOOKUP($K57,'ORF Accuracy Value LookUp'!$G$4:$H$104,2,TRUE))</f>
        <v/>
      </c>
      <c r="AO57" s="94" t="str">
        <f t="shared" si="0"/>
        <v/>
      </c>
      <c r="AP57" s="47" t="str">
        <f>IF($U57="","",VLOOKUP($U57,'ORF Accuracy Value LookUp'!$G$4:$H$104,2,TRUE))</f>
        <v/>
      </c>
      <c r="AQ57" s="94" t="str">
        <f t="shared" si="1"/>
        <v/>
      </c>
      <c r="AR57" s="46" t="str">
        <f>IF($AE57="","",VLOOKUP($AE57,'ORF Accuracy Value LookUp'!$G$4:$H$104,2,TRUE))</f>
        <v/>
      </c>
      <c r="AS57" s="140" t="str">
        <f t="shared" si="2"/>
        <v/>
      </c>
    </row>
    <row r="58" spans="1:45">
      <c r="A58" s="10"/>
      <c r="B58" s="12"/>
      <c r="C58" s="13"/>
      <c r="D58" s="14"/>
      <c r="E58" s="10"/>
      <c r="F58" s="11"/>
      <c r="G58" s="15"/>
      <c r="H58" s="87"/>
      <c r="I58" s="24"/>
      <c r="J58" s="24"/>
      <c r="K58" s="114" t="str">
        <f t="shared" si="3"/>
        <v/>
      </c>
      <c r="L58" s="24"/>
      <c r="M58" s="24"/>
      <c r="N58" s="24"/>
      <c r="O58" s="24"/>
      <c r="P58" s="97" t="str">
        <f t="shared" si="4"/>
        <v/>
      </c>
      <c r="Q58" s="113" t="str">
        <f t="shared" si="5"/>
        <v/>
      </c>
      <c r="R58" s="87"/>
      <c r="S58" s="24"/>
      <c r="T58" s="24"/>
      <c r="U58" s="78" t="str">
        <f t="shared" si="6"/>
        <v/>
      </c>
      <c r="V58" s="24"/>
      <c r="W58" s="24"/>
      <c r="X58" s="24"/>
      <c r="Y58" s="24"/>
      <c r="Z58" s="98" t="str">
        <f t="shared" si="7"/>
        <v/>
      </c>
      <c r="AA58" s="40" t="str">
        <f t="shared" si="8"/>
        <v/>
      </c>
      <c r="AB58" s="87"/>
      <c r="AC58" s="24"/>
      <c r="AD58" s="24"/>
      <c r="AE58" s="79" t="str">
        <f t="shared" si="9"/>
        <v/>
      </c>
      <c r="AF58" s="24"/>
      <c r="AG58" s="24"/>
      <c r="AH58" s="24"/>
      <c r="AI58" s="24"/>
      <c r="AJ58" s="99" t="str">
        <f t="shared" si="10"/>
        <v/>
      </c>
      <c r="AK58" s="31" t="str">
        <f t="shared" si="11"/>
        <v/>
      </c>
      <c r="AN58" s="139" t="str">
        <f>IF($K58="","",VLOOKUP($K58,'ORF Accuracy Value LookUp'!$G$4:$H$104,2,TRUE))</f>
        <v/>
      </c>
      <c r="AO58" s="94" t="str">
        <f t="shared" si="0"/>
        <v/>
      </c>
      <c r="AP58" s="47" t="str">
        <f>IF($U58="","",VLOOKUP($U58,'ORF Accuracy Value LookUp'!$G$4:$H$104,2,TRUE))</f>
        <v/>
      </c>
      <c r="AQ58" s="94" t="str">
        <f t="shared" si="1"/>
        <v/>
      </c>
      <c r="AR58" s="46" t="str">
        <f>IF($AE58="","",VLOOKUP($AE58,'ORF Accuracy Value LookUp'!$G$4:$H$104,2,TRUE))</f>
        <v/>
      </c>
      <c r="AS58" s="140" t="str">
        <f t="shared" si="2"/>
        <v/>
      </c>
    </row>
    <row r="59" spans="1:45">
      <c r="A59" s="10"/>
      <c r="B59" s="12"/>
      <c r="C59" s="13"/>
      <c r="D59" s="14"/>
      <c r="E59" s="10"/>
      <c r="F59" s="11"/>
      <c r="G59" s="15"/>
      <c r="H59" s="87"/>
      <c r="I59" s="24"/>
      <c r="J59" s="24"/>
      <c r="K59" s="114" t="str">
        <f t="shared" si="3"/>
        <v/>
      </c>
      <c r="L59" s="24"/>
      <c r="M59" s="24"/>
      <c r="N59" s="24"/>
      <c r="O59" s="24"/>
      <c r="P59" s="97" t="str">
        <f t="shared" si="4"/>
        <v/>
      </c>
      <c r="Q59" s="113" t="str">
        <f t="shared" si="5"/>
        <v/>
      </c>
      <c r="R59" s="87"/>
      <c r="S59" s="24"/>
      <c r="T59" s="24"/>
      <c r="U59" s="78" t="str">
        <f t="shared" si="6"/>
        <v/>
      </c>
      <c r="V59" s="24"/>
      <c r="W59" s="24"/>
      <c r="X59" s="24"/>
      <c r="Y59" s="24"/>
      <c r="Z59" s="98" t="str">
        <f t="shared" si="7"/>
        <v/>
      </c>
      <c r="AA59" s="40" t="str">
        <f t="shared" si="8"/>
        <v/>
      </c>
      <c r="AB59" s="87"/>
      <c r="AC59" s="24"/>
      <c r="AD59" s="24"/>
      <c r="AE59" s="79" t="str">
        <f t="shared" si="9"/>
        <v/>
      </c>
      <c r="AF59" s="24"/>
      <c r="AG59" s="24"/>
      <c r="AH59" s="24"/>
      <c r="AI59" s="24"/>
      <c r="AJ59" s="99" t="str">
        <f t="shared" si="10"/>
        <v/>
      </c>
      <c r="AK59" s="31" t="str">
        <f t="shared" si="11"/>
        <v/>
      </c>
      <c r="AN59" s="139" t="str">
        <f>IF($K59="","",VLOOKUP($K59,'ORF Accuracy Value LookUp'!$G$4:$H$104,2,TRUE))</f>
        <v/>
      </c>
      <c r="AO59" s="94" t="str">
        <f t="shared" si="0"/>
        <v/>
      </c>
      <c r="AP59" s="47" t="str">
        <f>IF($U59="","",VLOOKUP($U59,'ORF Accuracy Value LookUp'!$G$4:$H$104,2,TRUE))</f>
        <v/>
      </c>
      <c r="AQ59" s="94" t="str">
        <f t="shared" si="1"/>
        <v/>
      </c>
      <c r="AR59" s="46" t="str">
        <f>IF($AE59="","",VLOOKUP($AE59,'ORF Accuracy Value LookUp'!$G$4:$H$104,2,TRUE))</f>
        <v/>
      </c>
      <c r="AS59" s="140" t="str">
        <f t="shared" si="2"/>
        <v/>
      </c>
    </row>
    <row r="60" spans="1:45">
      <c r="A60" s="10"/>
      <c r="B60" s="12"/>
      <c r="C60" s="13"/>
      <c r="D60" s="14"/>
      <c r="E60" s="10"/>
      <c r="F60" s="11"/>
      <c r="G60" s="15"/>
      <c r="H60" s="87"/>
      <c r="I60" s="24"/>
      <c r="J60" s="24"/>
      <c r="K60" s="114" t="str">
        <f t="shared" si="3"/>
        <v/>
      </c>
      <c r="L60" s="24"/>
      <c r="M60" s="24"/>
      <c r="N60" s="24"/>
      <c r="O60" s="24"/>
      <c r="P60" s="97" t="str">
        <f t="shared" si="4"/>
        <v/>
      </c>
      <c r="Q60" s="113" t="str">
        <f t="shared" si="5"/>
        <v/>
      </c>
      <c r="R60" s="87"/>
      <c r="S60" s="24"/>
      <c r="T60" s="24"/>
      <c r="U60" s="78" t="str">
        <f t="shared" si="6"/>
        <v/>
      </c>
      <c r="V60" s="24"/>
      <c r="W60" s="24"/>
      <c r="X60" s="24"/>
      <c r="Y60" s="24"/>
      <c r="Z60" s="98" t="str">
        <f t="shared" si="7"/>
        <v/>
      </c>
      <c r="AA60" s="40" t="str">
        <f t="shared" si="8"/>
        <v/>
      </c>
      <c r="AB60" s="87"/>
      <c r="AC60" s="24"/>
      <c r="AD60" s="24"/>
      <c r="AE60" s="79" t="str">
        <f t="shared" si="9"/>
        <v/>
      </c>
      <c r="AF60" s="24"/>
      <c r="AG60" s="24"/>
      <c r="AH60" s="24"/>
      <c r="AI60" s="24"/>
      <c r="AJ60" s="99" t="str">
        <f t="shared" si="10"/>
        <v/>
      </c>
      <c r="AK60" s="31" t="str">
        <f t="shared" si="11"/>
        <v/>
      </c>
      <c r="AN60" s="139" t="str">
        <f>IF($K60="","",VLOOKUP($K60,'ORF Accuracy Value LookUp'!$G$4:$H$104,2,TRUE))</f>
        <v/>
      </c>
      <c r="AO60" s="94" t="str">
        <f t="shared" si="0"/>
        <v/>
      </c>
      <c r="AP60" s="47" t="str">
        <f>IF($U60="","",VLOOKUP($U60,'ORF Accuracy Value LookUp'!$G$4:$H$104,2,TRUE))</f>
        <v/>
      </c>
      <c r="AQ60" s="94" t="str">
        <f t="shared" si="1"/>
        <v/>
      </c>
      <c r="AR60" s="46" t="str">
        <f>IF($AE60="","",VLOOKUP($AE60,'ORF Accuracy Value LookUp'!$G$4:$H$104,2,TRUE))</f>
        <v/>
      </c>
      <c r="AS60" s="140" t="str">
        <f t="shared" si="2"/>
        <v/>
      </c>
    </row>
    <row r="61" spans="1:45">
      <c r="A61" s="10"/>
      <c r="B61" s="12"/>
      <c r="C61" s="13"/>
      <c r="D61" s="14"/>
      <c r="E61" s="10"/>
      <c r="F61" s="11"/>
      <c r="G61" s="15"/>
      <c r="H61" s="87"/>
      <c r="I61" s="24"/>
      <c r="J61" s="24"/>
      <c r="K61" s="114" t="str">
        <f t="shared" si="3"/>
        <v/>
      </c>
      <c r="L61" s="24"/>
      <c r="M61" s="24"/>
      <c r="N61" s="24"/>
      <c r="O61" s="24"/>
      <c r="P61" s="97" t="str">
        <f t="shared" si="4"/>
        <v/>
      </c>
      <c r="Q61" s="113" t="str">
        <f t="shared" si="5"/>
        <v/>
      </c>
      <c r="R61" s="87"/>
      <c r="S61" s="24"/>
      <c r="T61" s="24"/>
      <c r="U61" s="78" t="str">
        <f t="shared" si="6"/>
        <v/>
      </c>
      <c r="V61" s="24"/>
      <c r="W61" s="24"/>
      <c r="X61" s="24"/>
      <c r="Y61" s="24"/>
      <c r="Z61" s="98" t="str">
        <f t="shared" si="7"/>
        <v/>
      </c>
      <c r="AA61" s="40" t="str">
        <f t="shared" si="8"/>
        <v/>
      </c>
      <c r="AB61" s="87"/>
      <c r="AC61" s="24"/>
      <c r="AD61" s="24"/>
      <c r="AE61" s="79" t="str">
        <f t="shared" si="9"/>
        <v/>
      </c>
      <c r="AF61" s="24"/>
      <c r="AG61" s="24"/>
      <c r="AH61" s="24"/>
      <c r="AI61" s="24"/>
      <c r="AJ61" s="99" t="str">
        <f t="shared" si="10"/>
        <v/>
      </c>
      <c r="AK61" s="31" t="str">
        <f t="shared" si="11"/>
        <v/>
      </c>
      <c r="AN61" s="139" t="str">
        <f>IF($K61="","",VLOOKUP($K61,'ORF Accuracy Value LookUp'!$G$4:$H$104,2,TRUE))</f>
        <v/>
      </c>
      <c r="AO61" s="94" t="str">
        <f t="shared" si="0"/>
        <v/>
      </c>
      <c r="AP61" s="47" t="str">
        <f>IF($U61="","",VLOOKUP($U61,'ORF Accuracy Value LookUp'!$G$4:$H$104,2,TRUE))</f>
        <v/>
      </c>
      <c r="AQ61" s="94" t="str">
        <f t="shared" si="1"/>
        <v/>
      </c>
      <c r="AR61" s="46" t="str">
        <f>IF($AE61="","",VLOOKUP($AE61,'ORF Accuracy Value LookUp'!$G$4:$H$104,2,TRUE))</f>
        <v/>
      </c>
      <c r="AS61" s="140" t="str">
        <f t="shared" si="2"/>
        <v/>
      </c>
    </row>
    <row r="62" spans="1:45">
      <c r="A62" s="10"/>
      <c r="B62" s="12"/>
      <c r="C62" s="13"/>
      <c r="D62" s="14"/>
      <c r="E62" s="10"/>
      <c r="F62" s="11"/>
      <c r="G62" s="15"/>
      <c r="H62" s="87"/>
      <c r="I62" s="24"/>
      <c r="J62" s="24"/>
      <c r="K62" s="114" t="str">
        <f t="shared" si="3"/>
        <v/>
      </c>
      <c r="L62" s="24"/>
      <c r="M62" s="24"/>
      <c r="N62" s="24"/>
      <c r="O62" s="24"/>
      <c r="P62" s="97" t="str">
        <f t="shared" si="4"/>
        <v/>
      </c>
      <c r="Q62" s="113" t="str">
        <f t="shared" si="5"/>
        <v/>
      </c>
      <c r="R62" s="87"/>
      <c r="S62" s="24"/>
      <c r="T62" s="24"/>
      <c r="U62" s="78" t="str">
        <f t="shared" si="6"/>
        <v/>
      </c>
      <c r="V62" s="24"/>
      <c r="W62" s="24"/>
      <c r="X62" s="24"/>
      <c r="Y62" s="24"/>
      <c r="Z62" s="98" t="str">
        <f t="shared" si="7"/>
        <v/>
      </c>
      <c r="AA62" s="40" t="str">
        <f t="shared" si="8"/>
        <v/>
      </c>
      <c r="AB62" s="87"/>
      <c r="AC62" s="24"/>
      <c r="AD62" s="24"/>
      <c r="AE62" s="79" t="str">
        <f t="shared" si="9"/>
        <v/>
      </c>
      <c r="AF62" s="24"/>
      <c r="AG62" s="24"/>
      <c r="AH62" s="24"/>
      <c r="AI62" s="24"/>
      <c r="AJ62" s="99" t="str">
        <f t="shared" si="10"/>
        <v/>
      </c>
      <c r="AK62" s="31" t="str">
        <f t="shared" si="11"/>
        <v/>
      </c>
      <c r="AN62" s="139" t="str">
        <f>IF($K62="","",VLOOKUP($K62,'ORF Accuracy Value LookUp'!$G$4:$H$104,2,TRUE))</f>
        <v/>
      </c>
      <c r="AO62" s="94" t="str">
        <f t="shared" si="0"/>
        <v/>
      </c>
      <c r="AP62" s="47" t="str">
        <f>IF($U62="","",VLOOKUP($U62,'ORF Accuracy Value LookUp'!$G$4:$H$104,2,TRUE))</f>
        <v/>
      </c>
      <c r="AQ62" s="94" t="str">
        <f t="shared" si="1"/>
        <v/>
      </c>
      <c r="AR62" s="46" t="str">
        <f>IF($AE62="","",VLOOKUP($AE62,'ORF Accuracy Value LookUp'!$G$4:$H$104,2,TRUE))</f>
        <v/>
      </c>
      <c r="AS62" s="140" t="str">
        <f t="shared" si="2"/>
        <v/>
      </c>
    </row>
    <row r="63" spans="1:45">
      <c r="A63" s="10"/>
      <c r="B63" s="12"/>
      <c r="C63" s="13"/>
      <c r="D63" s="14"/>
      <c r="E63" s="10"/>
      <c r="F63" s="11"/>
      <c r="G63" s="15"/>
      <c r="H63" s="87"/>
      <c r="I63" s="24"/>
      <c r="J63" s="24"/>
      <c r="K63" s="114" t="str">
        <f t="shared" si="3"/>
        <v/>
      </c>
      <c r="L63" s="24"/>
      <c r="M63" s="24"/>
      <c r="N63" s="24"/>
      <c r="O63" s="24"/>
      <c r="P63" s="97" t="str">
        <f t="shared" si="4"/>
        <v/>
      </c>
      <c r="Q63" s="113" t="str">
        <f t="shared" si="5"/>
        <v/>
      </c>
      <c r="R63" s="87"/>
      <c r="S63" s="24"/>
      <c r="T63" s="24"/>
      <c r="U63" s="78" t="str">
        <f t="shared" si="6"/>
        <v/>
      </c>
      <c r="V63" s="24"/>
      <c r="W63" s="24"/>
      <c r="X63" s="24"/>
      <c r="Y63" s="24"/>
      <c r="Z63" s="98" t="str">
        <f t="shared" si="7"/>
        <v/>
      </c>
      <c r="AA63" s="40" t="str">
        <f t="shared" si="8"/>
        <v/>
      </c>
      <c r="AB63" s="87"/>
      <c r="AC63" s="24"/>
      <c r="AD63" s="24"/>
      <c r="AE63" s="79" t="str">
        <f t="shared" si="9"/>
        <v/>
      </c>
      <c r="AF63" s="24"/>
      <c r="AG63" s="24"/>
      <c r="AH63" s="24"/>
      <c r="AI63" s="24"/>
      <c r="AJ63" s="99" t="str">
        <f t="shared" si="10"/>
        <v/>
      </c>
      <c r="AK63" s="31" t="str">
        <f t="shared" si="11"/>
        <v/>
      </c>
      <c r="AN63" s="139" t="str">
        <f>IF($K63="","",VLOOKUP($K63,'ORF Accuracy Value LookUp'!$G$4:$H$104,2,TRUE))</f>
        <v/>
      </c>
      <c r="AO63" s="94" t="str">
        <f t="shared" si="0"/>
        <v/>
      </c>
      <c r="AP63" s="47" t="str">
        <f>IF($U63="","",VLOOKUP($U63,'ORF Accuracy Value LookUp'!$G$4:$H$104,2,TRUE))</f>
        <v/>
      </c>
      <c r="AQ63" s="94" t="str">
        <f t="shared" si="1"/>
        <v/>
      </c>
      <c r="AR63" s="46" t="str">
        <f>IF($AE63="","",VLOOKUP($AE63,'ORF Accuracy Value LookUp'!$G$4:$H$104,2,TRUE))</f>
        <v/>
      </c>
      <c r="AS63" s="140" t="str">
        <f t="shared" si="2"/>
        <v/>
      </c>
    </row>
    <row r="64" spans="1:45">
      <c r="A64" s="10"/>
      <c r="B64" s="12"/>
      <c r="C64" s="13"/>
      <c r="D64" s="14"/>
      <c r="E64" s="10"/>
      <c r="F64" s="11"/>
      <c r="G64" s="15"/>
      <c r="H64" s="87"/>
      <c r="I64" s="24"/>
      <c r="J64" s="24"/>
      <c r="K64" s="114" t="str">
        <f t="shared" si="3"/>
        <v/>
      </c>
      <c r="L64" s="24"/>
      <c r="M64" s="24"/>
      <c r="N64" s="24"/>
      <c r="O64" s="24"/>
      <c r="P64" s="97" t="str">
        <f t="shared" si="4"/>
        <v/>
      </c>
      <c r="Q64" s="113" t="str">
        <f t="shared" si="5"/>
        <v/>
      </c>
      <c r="R64" s="87"/>
      <c r="S64" s="24"/>
      <c r="T64" s="24"/>
      <c r="U64" s="78" t="str">
        <f t="shared" si="6"/>
        <v/>
      </c>
      <c r="V64" s="24"/>
      <c r="W64" s="24"/>
      <c r="X64" s="24"/>
      <c r="Y64" s="24"/>
      <c r="Z64" s="98" t="str">
        <f t="shared" si="7"/>
        <v/>
      </c>
      <c r="AA64" s="40" t="str">
        <f t="shared" si="8"/>
        <v/>
      </c>
      <c r="AB64" s="87"/>
      <c r="AC64" s="24"/>
      <c r="AD64" s="24"/>
      <c r="AE64" s="79" t="str">
        <f t="shared" si="9"/>
        <v/>
      </c>
      <c r="AF64" s="24"/>
      <c r="AG64" s="24"/>
      <c r="AH64" s="24"/>
      <c r="AI64" s="24"/>
      <c r="AJ64" s="99" t="str">
        <f t="shared" si="10"/>
        <v/>
      </c>
      <c r="AK64" s="31" t="str">
        <f t="shared" si="11"/>
        <v/>
      </c>
      <c r="AN64" s="139" t="str">
        <f>IF($K64="","",VLOOKUP($K64,'ORF Accuracy Value LookUp'!$G$4:$H$104,2,TRUE))</f>
        <v/>
      </c>
      <c r="AO64" s="94" t="str">
        <f t="shared" si="0"/>
        <v/>
      </c>
      <c r="AP64" s="47" t="str">
        <f>IF($U64="","",VLOOKUP($U64,'ORF Accuracy Value LookUp'!$G$4:$H$104,2,TRUE))</f>
        <v/>
      </c>
      <c r="AQ64" s="94" t="str">
        <f t="shared" si="1"/>
        <v/>
      </c>
      <c r="AR64" s="46" t="str">
        <f>IF($AE64="","",VLOOKUP($AE64,'ORF Accuracy Value LookUp'!$G$4:$H$104,2,TRUE))</f>
        <v/>
      </c>
      <c r="AS64" s="140" t="str">
        <f t="shared" si="2"/>
        <v/>
      </c>
    </row>
    <row r="65" spans="1:45">
      <c r="A65" s="10"/>
      <c r="B65" s="12"/>
      <c r="C65" s="13"/>
      <c r="D65" s="14"/>
      <c r="E65" s="10"/>
      <c r="F65" s="11"/>
      <c r="G65" s="15"/>
      <c r="H65" s="87"/>
      <c r="I65" s="24"/>
      <c r="J65" s="24"/>
      <c r="K65" s="114" t="str">
        <f t="shared" si="3"/>
        <v/>
      </c>
      <c r="L65" s="24"/>
      <c r="M65" s="24"/>
      <c r="N65" s="24"/>
      <c r="O65" s="24"/>
      <c r="P65" s="97" t="str">
        <f t="shared" si="4"/>
        <v/>
      </c>
      <c r="Q65" s="113" t="str">
        <f t="shared" si="5"/>
        <v/>
      </c>
      <c r="R65" s="87"/>
      <c r="S65" s="24"/>
      <c r="T65" s="24"/>
      <c r="U65" s="78" t="str">
        <f t="shared" si="6"/>
        <v/>
      </c>
      <c r="V65" s="24"/>
      <c r="W65" s="24"/>
      <c r="X65" s="24"/>
      <c r="Y65" s="24"/>
      <c r="Z65" s="98" t="str">
        <f t="shared" si="7"/>
        <v/>
      </c>
      <c r="AA65" s="40" t="str">
        <f t="shared" si="8"/>
        <v/>
      </c>
      <c r="AB65" s="87"/>
      <c r="AC65" s="24"/>
      <c r="AD65" s="24"/>
      <c r="AE65" s="79" t="str">
        <f t="shared" si="9"/>
        <v/>
      </c>
      <c r="AF65" s="24"/>
      <c r="AG65" s="24"/>
      <c r="AH65" s="24"/>
      <c r="AI65" s="24"/>
      <c r="AJ65" s="99" t="str">
        <f t="shared" si="10"/>
        <v/>
      </c>
      <c r="AK65" s="31" t="str">
        <f t="shared" si="11"/>
        <v/>
      </c>
      <c r="AN65" s="139" t="str">
        <f>IF($K65="","",VLOOKUP($K65,'ORF Accuracy Value LookUp'!$G$4:$H$104,2,TRUE))</f>
        <v/>
      </c>
      <c r="AO65" s="94" t="str">
        <f t="shared" si="0"/>
        <v/>
      </c>
      <c r="AP65" s="47" t="str">
        <f>IF($U65="","",VLOOKUP($U65,'ORF Accuracy Value LookUp'!$G$4:$H$104,2,TRUE))</f>
        <v/>
      </c>
      <c r="AQ65" s="94" t="str">
        <f t="shared" si="1"/>
        <v/>
      </c>
      <c r="AR65" s="46" t="str">
        <f>IF($AE65="","",VLOOKUP($AE65,'ORF Accuracy Value LookUp'!$G$4:$H$104,2,TRUE))</f>
        <v/>
      </c>
      <c r="AS65" s="140" t="str">
        <f t="shared" si="2"/>
        <v/>
      </c>
    </row>
    <row r="66" spans="1:45">
      <c r="A66" s="10"/>
      <c r="B66" s="12"/>
      <c r="C66" s="13"/>
      <c r="D66" s="14"/>
      <c r="E66" s="10"/>
      <c r="F66" s="11"/>
      <c r="G66" s="15"/>
      <c r="H66" s="87"/>
      <c r="I66" s="24"/>
      <c r="J66" s="24"/>
      <c r="K66" s="114" t="str">
        <f t="shared" si="3"/>
        <v/>
      </c>
      <c r="L66" s="24"/>
      <c r="M66" s="24"/>
      <c r="N66" s="24"/>
      <c r="O66" s="24"/>
      <c r="P66" s="97" t="str">
        <f t="shared" si="4"/>
        <v/>
      </c>
      <c r="Q66" s="113" t="str">
        <f t="shared" si="5"/>
        <v/>
      </c>
      <c r="R66" s="87"/>
      <c r="S66" s="24"/>
      <c r="T66" s="24"/>
      <c r="U66" s="78" t="str">
        <f t="shared" si="6"/>
        <v/>
      </c>
      <c r="V66" s="24"/>
      <c r="W66" s="24"/>
      <c r="X66" s="24"/>
      <c r="Y66" s="24"/>
      <c r="Z66" s="98" t="str">
        <f t="shared" si="7"/>
        <v/>
      </c>
      <c r="AA66" s="40" t="str">
        <f t="shared" si="8"/>
        <v/>
      </c>
      <c r="AB66" s="87"/>
      <c r="AC66" s="24"/>
      <c r="AD66" s="24"/>
      <c r="AE66" s="79" t="str">
        <f t="shared" si="9"/>
        <v/>
      </c>
      <c r="AF66" s="24"/>
      <c r="AG66" s="24"/>
      <c r="AH66" s="24"/>
      <c r="AI66" s="24"/>
      <c r="AJ66" s="99" t="str">
        <f t="shared" si="10"/>
        <v/>
      </c>
      <c r="AK66" s="31" t="str">
        <f t="shared" si="11"/>
        <v/>
      </c>
      <c r="AN66" s="139" t="str">
        <f>IF($K66="","",VLOOKUP($K66,'ORF Accuracy Value LookUp'!$G$4:$H$104,2,TRUE))</f>
        <v/>
      </c>
      <c r="AO66" s="94" t="str">
        <f t="shared" si="0"/>
        <v/>
      </c>
      <c r="AP66" s="47" t="str">
        <f>IF($U66="","",VLOOKUP($U66,'ORF Accuracy Value LookUp'!$G$4:$H$104,2,TRUE))</f>
        <v/>
      </c>
      <c r="AQ66" s="94" t="str">
        <f t="shared" si="1"/>
        <v/>
      </c>
      <c r="AR66" s="46" t="str">
        <f>IF($AE66="","",VLOOKUP($AE66,'ORF Accuracy Value LookUp'!$G$4:$H$104,2,TRUE))</f>
        <v/>
      </c>
      <c r="AS66" s="140" t="str">
        <f t="shared" si="2"/>
        <v/>
      </c>
    </row>
    <row r="67" spans="1:45">
      <c r="A67" s="10"/>
      <c r="B67" s="12"/>
      <c r="C67" s="13"/>
      <c r="D67" s="14"/>
      <c r="E67" s="10"/>
      <c r="F67" s="11"/>
      <c r="G67" s="15"/>
      <c r="H67" s="87"/>
      <c r="I67" s="24"/>
      <c r="J67" s="24"/>
      <c r="K67" s="114" t="str">
        <f t="shared" si="3"/>
        <v/>
      </c>
      <c r="L67" s="24"/>
      <c r="M67" s="24"/>
      <c r="N67" s="24"/>
      <c r="O67" s="24"/>
      <c r="P67" s="97" t="str">
        <f t="shared" si="4"/>
        <v/>
      </c>
      <c r="Q67" s="113" t="str">
        <f t="shared" si="5"/>
        <v/>
      </c>
      <c r="R67" s="87"/>
      <c r="S67" s="24"/>
      <c r="T67" s="24"/>
      <c r="U67" s="78" t="str">
        <f t="shared" si="6"/>
        <v/>
      </c>
      <c r="V67" s="24"/>
      <c r="W67" s="24"/>
      <c r="X67" s="24"/>
      <c r="Y67" s="24"/>
      <c r="Z67" s="98" t="str">
        <f t="shared" si="7"/>
        <v/>
      </c>
      <c r="AA67" s="40" t="str">
        <f t="shared" si="8"/>
        <v/>
      </c>
      <c r="AB67" s="87"/>
      <c r="AC67" s="24"/>
      <c r="AD67" s="24"/>
      <c r="AE67" s="79" t="str">
        <f t="shared" si="9"/>
        <v/>
      </c>
      <c r="AF67" s="24"/>
      <c r="AG67" s="24"/>
      <c r="AH67" s="24"/>
      <c r="AI67" s="24"/>
      <c r="AJ67" s="99" t="str">
        <f t="shared" si="10"/>
        <v/>
      </c>
      <c r="AK67" s="31" t="str">
        <f t="shared" si="11"/>
        <v/>
      </c>
      <c r="AN67" s="139" t="str">
        <f>IF($K67="","",VLOOKUP($K67,'ORF Accuracy Value LookUp'!$G$4:$H$104,2,TRUE))</f>
        <v/>
      </c>
      <c r="AO67" s="94" t="str">
        <f t="shared" si="0"/>
        <v/>
      </c>
      <c r="AP67" s="47" t="str">
        <f>IF($U67="","",VLOOKUP($U67,'ORF Accuracy Value LookUp'!$G$4:$H$104,2,TRUE))</f>
        <v/>
      </c>
      <c r="AQ67" s="94" t="str">
        <f t="shared" si="1"/>
        <v/>
      </c>
      <c r="AR67" s="46" t="str">
        <f>IF($AE67="","",VLOOKUP($AE67,'ORF Accuracy Value LookUp'!$G$4:$H$104,2,TRUE))</f>
        <v/>
      </c>
      <c r="AS67" s="140" t="str">
        <f t="shared" si="2"/>
        <v/>
      </c>
    </row>
    <row r="68" spans="1:45">
      <c r="A68" s="10"/>
      <c r="B68" s="12"/>
      <c r="C68" s="13"/>
      <c r="D68" s="14"/>
      <c r="E68" s="10"/>
      <c r="F68" s="11"/>
      <c r="G68" s="15"/>
      <c r="H68" s="87"/>
      <c r="I68" s="24"/>
      <c r="J68" s="24"/>
      <c r="K68" s="114" t="str">
        <f t="shared" si="3"/>
        <v/>
      </c>
      <c r="L68" s="24"/>
      <c r="M68" s="24"/>
      <c r="N68" s="24"/>
      <c r="O68" s="24"/>
      <c r="P68" s="97" t="str">
        <f t="shared" si="4"/>
        <v/>
      </c>
      <c r="Q68" s="113" t="str">
        <f t="shared" si="5"/>
        <v/>
      </c>
      <c r="R68" s="87"/>
      <c r="S68" s="24"/>
      <c r="T68" s="24"/>
      <c r="U68" s="78" t="str">
        <f t="shared" si="6"/>
        <v/>
      </c>
      <c r="V68" s="24"/>
      <c r="W68" s="24"/>
      <c r="X68" s="24"/>
      <c r="Y68" s="24"/>
      <c r="Z68" s="98" t="str">
        <f t="shared" si="7"/>
        <v/>
      </c>
      <c r="AA68" s="40" t="str">
        <f t="shared" si="8"/>
        <v/>
      </c>
      <c r="AB68" s="87"/>
      <c r="AC68" s="24"/>
      <c r="AD68" s="24"/>
      <c r="AE68" s="79" t="str">
        <f t="shared" si="9"/>
        <v/>
      </c>
      <c r="AF68" s="24"/>
      <c r="AG68" s="24"/>
      <c r="AH68" s="24"/>
      <c r="AI68" s="24"/>
      <c r="AJ68" s="99" t="str">
        <f t="shared" si="10"/>
        <v/>
      </c>
      <c r="AK68" s="31" t="str">
        <f t="shared" si="11"/>
        <v/>
      </c>
      <c r="AN68" s="139" t="str">
        <f>IF($K68="","",VLOOKUP($K68,'ORF Accuracy Value LookUp'!$G$4:$H$104,2,TRUE))</f>
        <v/>
      </c>
      <c r="AO68" s="94" t="str">
        <f t="shared" si="0"/>
        <v/>
      </c>
      <c r="AP68" s="47" t="str">
        <f>IF($U68="","",VLOOKUP($U68,'ORF Accuracy Value LookUp'!$G$4:$H$104,2,TRUE))</f>
        <v/>
      </c>
      <c r="AQ68" s="94" t="str">
        <f t="shared" si="1"/>
        <v/>
      </c>
      <c r="AR68" s="46" t="str">
        <f>IF($AE68="","",VLOOKUP($AE68,'ORF Accuracy Value LookUp'!$G$4:$H$104,2,TRUE))</f>
        <v/>
      </c>
      <c r="AS68" s="140" t="str">
        <f t="shared" si="2"/>
        <v/>
      </c>
    </row>
    <row r="69" spans="1:45">
      <c r="A69" s="10"/>
      <c r="B69" s="12"/>
      <c r="C69" s="13"/>
      <c r="D69" s="14"/>
      <c r="E69" s="10"/>
      <c r="F69" s="11"/>
      <c r="G69" s="15"/>
      <c r="H69" s="87"/>
      <c r="I69" s="24"/>
      <c r="J69" s="24"/>
      <c r="K69" s="114" t="str">
        <f t="shared" si="3"/>
        <v/>
      </c>
      <c r="L69" s="24"/>
      <c r="M69" s="24"/>
      <c r="N69" s="24"/>
      <c r="O69" s="24"/>
      <c r="P69" s="97" t="str">
        <f t="shared" si="4"/>
        <v/>
      </c>
      <c r="Q69" s="113" t="str">
        <f t="shared" si="5"/>
        <v/>
      </c>
      <c r="R69" s="87"/>
      <c r="S69" s="24"/>
      <c r="T69" s="24"/>
      <c r="U69" s="78" t="str">
        <f t="shared" si="6"/>
        <v/>
      </c>
      <c r="V69" s="24"/>
      <c r="W69" s="24"/>
      <c r="X69" s="24"/>
      <c r="Y69" s="24"/>
      <c r="Z69" s="98" t="str">
        <f t="shared" si="7"/>
        <v/>
      </c>
      <c r="AA69" s="40" t="str">
        <f t="shared" si="8"/>
        <v/>
      </c>
      <c r="AB69" s="87"/>
      <c r="AC69" s="24"/>
      <c r="AD69" s="24"/>
      <c r="AE69" s="79" t="str">
        <f t="shared" si="9"/>
        <v/>
      </c>
      <c r="AF69" s="24"/>
      <c r="AG69" s="24"/>
      <c r="AH69" s="24"/>
      <c r="AI69" s="24"/>
      <c r="AJ69" s="99" t="str">
        <f t="shared" si="10"/>
        <v/>
      </c>
      <c r="AK69" s="31" t="str">
        <f t="shared" si="11"/>
        <v/>
      </c>
      <c r="AN69" s="139" t="str">
        <f>IF($K69="","",VLOOKUP($K69,'ORF Accuracy Value LookUp'!$G$4:$H$104,2,TRUE))</f>
        <v/>
      </c>
      <c r="AO69" s="94" t="str">
        <f t="shared" si="0"/>
        <v/>
      </c>
      <c r="AP69" s="47" t="str">
        <f>IF($U69="","",VLOOKUP($U69,'ORF Accuracy Value LookUp'!$G$4:$H$104,2,TRUE))</f>
        <v/>
      </c>
      <c r="AQ69" s="94" t="str">
        <f t="shared" si="1"/>
        <v/>
      </c>
      <c r="AR69" s="46" t="str">
        <f>IF($AE69="","",VLOOKUP($AE69,'ORF Accuracy Value LookUp'!$G$4:$H$104,2,TRUE))</f>
        <v/>
      </c>
      <c r="AS69" s="140" t="str">
        <f t="shared" si="2"/>
        <v/>
      </c>
    </row>
    <row r="70" spans="1:45">
      <c r="A70" s="10"/>
      <c r="B70" s="12"/>
      <c r="C70" s="13"/>
      <c r="D70" s="14"/>
      <c r="E70" s="10"/>
      <c r="F70" s="11"/>
      <c r="G70" s="15"/>
      <c r="H70" s="87"/>
      <c r="I70" s="24"/>
      <c r="J70" s="24"/>
      <c r="K70" s="114" t="str">
        <f t="shared" si="3"/>
        <v/>
      </c>
      <c r="L70" s="24"/>
      <c r="M70" s="24"/>
      <c r="N70" s="24"/>
      <c r="O70" s="24"/>
      <c r="P70" s="97" t="str">
        <f t="shared" si="4"/>
        <v/>
      </c>
      <c r="Q70" s="113" t="str">
        <f t="shared" si="5"/>
        <v/>
      </c>
      <c r="R70" s="87"/>
      <c r="S70" s="24"/>
      <c r="T70" s="24"/>
      <c r="U70" s="78" t="str">
        <f t="shared" si="6"/>
        <v/>
      </c>
      <c r="V70" s="24"/>
      <c r="W70" s="24"/>
      <c r="X70" s="24"/>
      <c r="Y70" s="24"/>
      <c r="Z70" s="98" t="str">
        <f t="shared" si="7"/>
        <v/>
      </c>
      <c r="AA70" s="40" t="str">
        <f t="shared" si="8"/>
        <v/>
      </c>
      <c r="AB70" s="87"/>
      <c r="AC70" s="24"/>
      <c r="AD70" s="24"/>
      <c r="AE70" s="79" t="str">
        <f t="shared" si="9"/>
        <v/>
      </c>
      <c r="AF70" s="24"/>
      <c r="AG70" s="24"/>
      <c r="AH70" s="24"/>
      <c r="AI70" s="24"/>
      <c r="AJ70" s="99" t="str">
        <f t="shared" si="10"/>
        <v/>
      </c>
      <c r="AK70" s="31" t="str">
        <f t="shared" si="11"/>
        <v/>
      </c>
      <c r="AN70" s="139" t="str">
        <f>IF($K70="","",VLOOKUP($K70,'ORF Accuracy Value LookUp'!$G$4:$H$104,2,TRUE))</f>
        <v/>
      </c>
      <c r="AO70" s="94" t="str">
        <f t="shared" si="0"/>
        <v/>
      </c>
      <c r="AP70" s="47" t="str">
        <f>IF($U70="","",VLOOKUP($U70,'ORF Accuracy Value LookUp'!$G$4:$H$104,2,TRUE))</f>
        <v/>
      </c>
      <c r="AQ70" s="94" t="str">
        <f t="shared" si="1"/>
        <v/>
      </c>
      <c r="AR70" s="46" t="str">
        <f>IF($AE70="","",VLOOKUP($AE70,'ORF Accuracy Value LookUp'!$G$4:$H$104,2,TRUE))</f>
        <v/>
      </c>
      <c r="AS70" s="140" t="str">
        <f t="shared" si="2"/>
        <v/>
      </c>
    </row>
    <row r="71" spans="1:45">
      <c r="A71" s="10"/>
      <c r="B71" s="12"/>
      <c r="C71" s="13"/>
      <c r="D71" s="14"/>
      <c r="E71" s="10"/>
      <c r="F71" s="11"/>
      <c r="G71" s="15"/>
      <c r="H71" s="87"/>
      <c r="I71" s="24"/>
      <c r="J71" s="24"/>
      <c r="K71" s="114" t="str">
        <f t="shared" si="3"/>
        <v/>
      </c>
      <c r="L71" s="24"/>
      <c r="M71" s="24"/>
      <c r="N71" s="24"/>
      <c r="O71" s="24"/>
      <c r="P71" s="97" t="str">
        <f t="shared" si="4"/>
        <v/>
      </c>
      <c r="Q71" s="113" t="str">
        <f t="shared" si="5"/>
        <v/>
      </c>
      <c r="R71" s="87"/>
      <c r="S71" s="24"/>
      <c r="T71" s="24"/>
      <c r="U71" s="78" t="str">
        <f t="shared" si="6"/>
        <v/>
      </c>
      <c r="V71" s="24"/>
      <c r="W71" s="24"/>
      <c r="X71" s="24"/>
      <c r="Y71" s="24"/>
      <c r="Z71" s="98" t="str">
        <f t="shared" si="7"/>
        <v/>
      </c>
      <c r="AA71" s="40" t="str">
        <f t="shared" si="8"/>
        <v/>
      </c>
      <c r="AB71" s="87"/>
      <c r="AC71" s="24"/>
      <c r="AD71" s="24"/>
      <c r="AE71" s="79" t="str">
        <f t="shared" si="9"/>
        <v/>
      </c>
      <c r="AF71" s="24"/>
      <c r="AG71" s="24"/>
      <c r="AH71" s="24"/>
      <c r="AI71" s="24"/>
      <c r="AJ71" s="99" t="str">
        <f t="shared" si="10"/>
        <v/>
      </c>
      <c r="AK71" s="31" t="str">
        <f t="shared" si="11"/>
        <v/>
      </c>
      <c r="AN71" s="139" t="str">
        <f>IF($K71="","",VLOOKUP($K71,'ORF Accuracy Value LookUp'!$G$4:$H$104,2,TRUE))</f>
        <v/>
      </c>
      <c r="AO71" s="94" t="str">
        <f t="shared" si="0"/>
        <v/>
      </c>
      <c r="AP71" s="47" t="str">
        <f>IF($U71="","",VLOOKUP($U71,'ORF Accuracy Value LookUp'!$G$4:$H$104,2,TRUE))</f>
        <v/>
      </c>
      <c r="AQ71" s="94" t="str">
        <f t="shared" si="1"/>
        <v/>
      </c>
      <c r="AR71" s="46" t="str">
        <f>IF($AE71="","",VLOOKUP($AE71,'ORF Accuracy Value LookUp'!$G$4:$H$104,2,TRUE))</f>
        <v/>
      </c>
      <c r="AS71" s="140" t="str">
        <f t="shared" si="2"/>
        <v/>
      </c>
    </row>
    <row r="72" spans="1:45">
      <c r="A72" s="10"/>
      <c r="B72" s="12"/>
      <c r="C72" s="13"/>
      <c r="D72" s="14"/>
      <c r="E72" s="10"/>
      <c r="F72" s="11"/>
      <c r="G72" s="15"/>
      <c r="H72" s="87"/>
      <c r="I72" s="24"/>
      <c r="J72" s="24"/>
      <c r="K72" s="114" t="str">
        <f t="shared" ref="K72:K135" si="12">IF($I72="","",SUM($I72/($I72+$J72)))</f>
        <v/>
      </c>
      <c r="L72" s="24"/>
      <c r="M72" s="24"/>
      <c r="N72" s="24"/>
      <c r="O72" s="24"/>
      <c r="P72" s="97" t="str">
        <f t="shared" ref="P72:P135" si="13">IF($AO72&gt;0,$AO72,0)</f>
        <v/>
      </c>
      <c r="Q72" s="113" t="str">
        <f t="shared" ref="Q72:Q135" si="14">IF($B72="","",SUM($I72+$AN72+($L72*2)+($P72*2)))</f>
        <v/>
      </c>
      <c r="R72" s="87"/>
      <c r="S72" s="24"/>
      <c r="T72" s="24"/>
      <c r="U72" s="78" t="str">
        <f t="shared" ref="U72:U135" si="15">IF($S72="","",SUM($S72/($S72+$T72)))</f>
        <v/>
      </c>
      <c r="V72" s="24"/>
      <c r="W72" s="24"/>
      <c r="X72" s="24"/>
      <c r="Y72" s="24"/>
      <c r="Z72" s="98" t="str">
        <f t="shared" ref="Z72:Z135" si="16">IF($AQ72&gt;0,$AQ72,0)</f>
        <v/>
      </c>
      <c r="AA72" s="40" t="str">
        <f t="shared" si="8"/>
        <v/>
      </c>
      <c r="AB72" s="87"/>
      <c r="AC72" s="24"/>
      <c r="AD72" s="24"/>
      <c r="AE72" s="79" t="str">
        <f t="shared" ref="AE72:AE135" si="17">IF($AC72="","",SUM($AC72/($AC72+$AD72)))</f>
        <v/>
      </c>
      <c r="AF72" s="24"/>
      <c r="AG72" s="24"/>
      <c r="AH72" s="24"/>
      <c r="AI72" s="24"/>
      <c r="AJ72" s="99" t="str">
        <f t="shared" ref="AJ72:AJ135" si="18">IF($AS72&gt;0,$AS72,0)</f>
        <v/>
      </c>
      <c r="AK72" s="31" t="str">
        <f t="shared" si="11"/>
        <v/>
      </c>
      <c r="AN72" s="139" t="str">
        <f>IF($K72="","",VLOOKUP($K72,'ORF Accuracy Value LookUp'!$G$4:$H$104,2,TRUE))</f>
        <v/>
      </c>
      <c r="AO72" s="94" t="str">
        <f t="shared" ref="AO72:AO135" si="19">IF($N72="","",($N72-($O72/2)))</f>
        <v/>
      </c>
      <c r="AP72" s="47" t="str">
        <f>IF($U72="","",VLOOKUP($U72,'ORF Accuracy Value LookUp'!$G$4:$H$104,2,TRUE))</f>
        <v/>
      </c>
      <c r="AQ72" s="94" t="str">
        <f t="shared" ref="AQ72:AQ135" si="20">IF($X72="","",$X72-($Y72/2))</f>
        <v/>
      </c>
      <c r="AR72" s="46" t="str">
        <f>IF($AE72="","",VLOOKUP($AE72,'ORF Accuracy Value LookUp'!$G$4:$H$104,2,TRUE))</f>
        <v/>
      </c>
      <c r="AS72" s="140" t="str">
        <f t="shared" ref="AS72:AS135" si="21">IF($AH72="","",$AH72-($AI72/2))</f>
        <v/>
      </c>
    </row>
    <row r="73" spans="1:45">
      <c r="A73" s="10"/>
      <c r="B73" s="12"/>
      <c r="C73" s="13"/>
      <c r="D73" s="14"/>
      <c r="E73" s="10"/>
      <c r="F73" s="11"/>
      <c r="G73" s="15"/>
      <c r="H73" s="87"/>
      <c r="I73" s="24"/>
      <c r="J73" s="24"/>
      <c r="K73" s="114" t="str">
        <f t="shared" si="12"/>
        <v/>
      </c>
      <c r="L73" s="24"/>
      <c r="M73" s="24"/>
      <c r="N73" s="24"/>
      <c r="O73" s="24"/>
      <c r="P73" s="97" t="str">
        <f t="shared" si="13"/>
        <v/>
      </c>
      <c r="Q73" s="113" t="str">
        <f t="shared" si="14"/>
        <v/>
      </c>
      <c r="R73" s="87"/>
      <c r="S73" s="24"/>
      <c r="T73" s="24"/>
      <c r="U73" s="78" t="str">
        <f t="shared" si="15"/>
        <v/>
      </c>
      <c r="V73" s="24"/>
      <c r="W73" s="24"/>
      <c r="X73" s="24"/>
      <c r="Y73" s="24"/>
      <c r="Z73" s="98" t="str">
        <f t="shared" si="16"/>
        <v/>
      </c>
      <c r="AA73" s="40" t="str">
        <f t="shared" ref="AA73:AA136" si="22">IF($R73="","",SUM($S73+$AP73+($V73*2)+($Z73*4)))</f>
        <v/>
      </c>
      <c r="AB73" s="87"/>
      <c r="AC73" s="24"/>
      <c r="AD73" s="24"/>
      <c r="AE73" s="79" t="str">
        <f t="shared" si="17"/>
        <v/>
      </c>
      <c r="AF73" s="24"/>
      <c r="AG73" s="24"/>
      <c r="AH73" s="24"/>
      <c r="AI73" s="24"/>
      <c r="AJ73" s="99" t="str">
        <f t="shared" si="18"/>
        <v/>
      </c>
      <c r="AK73" s="31" t="str">
        <f t="shared" ref="AK73:AK136" si="23">IF($AB73="","",SUM($AC73+$AR73+($AF73*2)+($AJ73*4)))</f>
        <v/>
      </c>
      <c r="AN73" s="139" t="str">
        <f>IF($K73="","",VLOOKUP($K73,'ORF Accuracy Value LookUp'!$G$4:$H$104,2,TRUE))</f>
        <v/>
      </c>
      <c r="AO73" s="94" t="str">
        <f t="shared" si="19"/>
        <v/>
      </c>
      <c r="AP73" s="47" t="str">
        <f>IF($U73="","",VLOOKUP($U73,'ORF Accuracy Value LookUp'!$G$4:$H$104,2,TRUE))</f>
        <v/>
      </c>
      <c r="AQ73" s="94" t="str">
        <f t="shared" si="20"/>
        <v/>
      </c>
      <c r="AR73" s="46" t="str">
        <f>IF($AE73="","",VLOOKUP($AE73,'ORF Accuracy Value LookUp'!$G$4:$H$104,2,TRUE))</f>
        <v/>
      </c>
      <c r="AS73" s="140" t="str">
        <f t="shared" si="21"/>
        <v/>
      </c>
    </row>
    <row r="74" spans="1:45">
      <c r="A74" s="10"/>
      <c r="B74" s="12"/>
      <c r="C74" s="13"/>
      <c r="D74" s="14"/>
      <c r="E74" s="10"/>
      <c r="F74" s="11"/>
      <c r="G74" s="15"/>
      <c r="H74" s="87"/>
      <c r="I74" s="24"/>
      <c r="J74" s="24"/>
      <c r="K74" s="114" t="str">
        <f t="shared" si="12"/>
        <v/>
      </c>
      <c r="L74" s="24"/>
      <c r="M74" s="24"/>
      <c r="N74" s="24"/>
      <c r="O74" s="24"/>
      <c r="P74" s="97" t="str">
        <f t="shared" si="13"/>
        <v/>
      </c>
      <c r="Q74" s="113" t="str">
        <f t="shared" si="14"/>
        <v/>
      </c>
      <c r="R74" s="87"/>
      <c r="S74" s="24"/>
      <c r="T74" s="24"/>
      <c r="U74" s="78" t="str">
        <f t="shared" si="15"/>
        <v/>
      </c>
      <c r="V74" s="24"/>
      <c r="W74" s="24"/>
      <c r="X74" s="24"/>
      <c r="Y74" s="24"/>
      <c r="Z74" s="98" t="str">
        <f t="shared" si="16"/>
        <v/>
      </c>
      <c r="AA74" s="40" t="str">
        <f t="shared" si="22"/>
        <v/>
      </c>
      <c r="AB74" s="87"/>
      <c r="AC74" s="24"/>
      <c r="AD74" s="24"/>
      <c r="AE74" s="79" t="str">
        <f t="shared" si="17"/>
        <v/>
      </c>
      <c r="AF74" s="24"/>
      <c r="AG74" s="24"/>
      <c r="AH74" s="24"/>
      <c r="AI74" s="24"/>
      <c r="AJ74" s="99" t="str">
        <f t="shared" si="18"/>
        <v/>
      </c>
      <c r="AK74" s="31" t="str">
        <f t="shared" si="23"/>
        <v/>
      </c>
      <c r="AN74" s="139" t="str">
        <f>IF($K74="","",VLOOKUP($K74,'ORF Accuracy Value LookUp'!$G$4:$H$104,2,TRUE))</f>
        <v/>
      </c>
      <c r="AO74" s="94" t="str">
        <f t="shared" si="19"/>
        <v/>
      </c>
      <c r="AP74" s="47" t="str">
        <f>IF($U74="","",VLOOKUP($U74,'ORF Accuracy Value LookUp'!$G$4:$H$104,2,TRUE))</f>
        <v/>
      </c>
      <c r="AQ74" s="94" t="str">
        <f t="shared" si="20"/>
        <v/>
      </c>
      <c r="AR74" s="46" t="str">
        <f>IF($AE74="","",VLOOKUP($AE74,'ORF Accuracy Value LookUp'!$G$4:$H$104,2,TRUE))</f>
        <v/>
      </c>
      <c r="AS74" s="140" t="str">
        <f t="shared" si="21"/>
        <v/>
      </c>
    </row>
    <row r="75" spans="1:45">
      <c r="A75" s="10"/>
      <c r="B75" s="12"/>
      <c r="C75" s="13"/>
      <c r="D75" s="14"/>
      <c r="E75" s="10"/>
      <c r="F75" s="11"/>
      <c r="G75" s="15"/>
      <c r="H75" s="87"/>
      <c r="I75" s="24"/>
      <c r="J75" s="24"/>
      <c r="K75" s="114" t="str">
        <f t="shared" si="12"/>
        <v/>
      </c>
      <c r="L75" s="24"/>
      <c r="M75" s="24"/>
      <c r="N75" s="24"/>
      <c r="O75" s="24"/>
      <c r="P75" s="97" t="str">
        <f t="shared" si="13"/>
        <v/>
      </c>
      <c r="Q75" s="113" t="str">
        <f t="shared" si="14"/>
        <v/>
      </c>
      <c r="R75" s="87"/>
      <c r="S75" s="24"/>
      <c r="T75" s="24"/>
      <c r="U75" s="78" t="str">
        <f t="shared" si="15"/>
        <v/>
      </c>
      <c r="V75" s="24"/>
      <c r="W75" s="24"/>
      <c r="X75" s="24"/>
      <c r="Y75" s="24"/>
      <c r="Z75" s="98" t="str">
        <f t="shared" si="16"/>
        <v/>
      </c>
      <c r="AA75" s="40" t="str">
        <f t="shared" si="22"/>
        <v/>
      </c>
      <c r="AB75" s="87"/>
      <c r="AC75" s="24"/>
      <c r="AD75" s="24"/>
      <c r="AE75" s="79" t="str">
        <f t="shared" si="17"/>
        <v/>
      </c>
      <c r="AF75" s="24"/>
      <c r="AG75" s="24"/>
      <c r="AH75" s="24"/>
      <c r="AI75" s="24"/>
      <c r="AJ75" s="99" t="str">
        <f t="shared" si="18"/>
        <v/>
      </c>
      <c r="AK75" s="31" t="str">
        <f t="shared" si="23"/>
        <v/>
      </c>
      <c r="AN75" s="139" t="str">
        <f>IF($K75="","",VLOOKUP($K75,'ORF Accuracy Value LookUp'!$G$4:$H$104,2,TRUE))</f>
        <v/>
      </c>
      <c r="AO75" s="94" t="str">
        <f t="shared" si="19"/>
        <v/>
      </c>
      <c r="AP75" s="47" t="str">
        <f>IF($U75="","",VLOOKUP($U75,'ORF Accuracy Value LookUp'!$G$4:$H$104,2,TRUE))</f>
        <v/>
      </c>
      <c r="AQ75" s="94" t="str">
        <f t="shared" si="20"/>
        <v/>
      </c>
      <c r="AR75" s="46" t="str">
        <f>IF($AE75="","",VLOOKUP($AE75,'ORF Accuracy Value LookUp'!$G$4:$H$104,2,TRUE))</f>
        <v/>
      </c>
      <c r="AS75" s="140" t="str">
        <f t="shared" si="21"/>
        <v/>
      </c>
    </row>
    <row r="76" spans="1:45">
      <c r="A76" s="10"/>
      <c r="B76" s="12"/>
      <c r="C76" s="13"/>
      <c r="D76" s="14"/>
      <c r="E76" s="10"/>
      <c r="F76" s="11"/>
      <c r="G76" s="15"/>
      <c r="H76" s="87"/>
      <c r="I76" s="24"/>
      <c r="J76" s="24"/>
      <c r="K76" s="114" t="str">
        <f t="shared" si="12"/>
        <v/>
      </c>
      <c r="L76" s="24"/>
      <c r="M76" s="24"/>
      <c r="N76" s="24"/>
      <c r="O76" s="24"/>
      <c r="P76" s="97" t="str">
        <f t="shared" si="13"/>
        <v/>
      </c>
      <c r="Q76" s="113" t="str">
        <f t="shared" si="14"/>
        <v/>
      </c>
      <c r="R76" s="87"/>
      <c r="S76" s="24"/>
      <c r="T76" s="24"/>
      <c r="U76" s="78" t="str">
        <f t="shared" si="15"/>
        <v/>
      </c>
      <c r="V76" s="24"/>
      <c r="W76" s="24"/>
      <c r="X76" s="24"/>
      <c r="Y76" s="24"/>
      <c r="Z76" s="98" t="str">
        <f t="shared" si="16"/>
        <v/>
      </c>
      <c r="AA76" s="40" t="str">
        <f t="shared" si="22"/>
        <v/>
      </c>
      <c r="AB76" s="87"/>
      <c r="AC76" s="24"/>
      <c r="AD76" s="24"/>
      <c r="AE76" s="79" t="str">
        <f t="shared" si="17"/>
        <v/>
      </c>
      <c r="AF76" s="24"/>
      <c r="AG76" s="24"/>
      <c r="AH76" s="24"/>
      <c r="AI76" s="24"/>
      <c r="AJ76" s="99" t="str">
        <f t="shared" si="18"/>
        <v/>
      </c>
      <c r="AK76" s="31" t="str">
        <f t="shared" si="23"/>
        <v/>
      </c>
      <c r="AN76" s="139" t="str">
        <f>IF($K76="","",VLOOKUP($K76,'ORF Accuracy Value LookUp'!$G$4:$H$104,2,TRUE))</f>
        <v/>
      </c>
      <c r="AO76" s="94" t="str">
        <f t="shared" si="19"/>
        <v/>
      </c>
      <c r="AP76" s="47" t="str">
        <f>IF($U76="","",VLOOKUP($U76,'ORF Accuracy Value LookUp'!$G$4:$H$104,2,TRUE))</f>
        <v/>
      </c>
      <c r="AQ76" s="94" t="str">
        <f t="shared" si="20"/>
        <v/>
      </c>
      <c r="AR76" s="46" t="str">
        <f>IF($AE76="","",VLOOKUP($AE76,'ORF Accuracy Value LookUp'!$G$4:$H$104,2,TRUE))</f>
        <v/>
      </c>
      <c r="AS76" s="140" t="str">
        <f t="shared" si="21"/>
        <v/>
      </c>
    </row>
    <row r="77" spans="1:45">
      <c r="A77" s="10"/>
      <c r="B77" s="12"/>
      <c r="C77" s="13"/>
      <c r="D77" s="14"/>
      <c r="E77" s="10"/>
      <c r="F77" s="11"/>
      <c r="G77" s="15"/>
      <c r="H77" s="87"/>
      <c r="I77" s="24"/>
      <c r="J77" s="24"/>
      <c r="K77" s="114" t="str">
        <f t="shared" si="12"/>
        <v/>
      </c>
      <c r="L77" s="24"/>
      <c r="M77" s="24"/>
      <c r="N77" s="24"/>
      <c r="O77" s="24"/>
      <c r="P77" s="97" t="str">
        <f t="shared" si="13"/>
        <v/>
      </c>
      <c r="Q77" s="113" t="str">
        <f t="shared" si="14"/>
        <v/>
      </c>
      <c r="R77" s="87"/>
      <c r="S77" s="24"/>
      <c r="T77" s="24"/>
      <c r="U77" s="78" t="str">
        <f t="shared" si="15"/>
        <v/>
      </c>
      <c r="V77" s="24"/>
      <c r="W77" s="24"/>
      <c r="X77" s="24"/>
      <c r="Y77" s="24"/>
      <c r="Z77" s="98" t="str">
        <f t="shared" si="16"/>
        <v/>
      </c>
      <c r="AA77" s="40" t="str">
        <f t="shared" si="22"/>
        <v/>
      </c>
      <c r="AB77" s="87"/>
      <c r="AC77" s="24"/>
      <c r="AD77" s="24"/>
      <c r="AE77" s="79" t="str">
        <f t="shared" si="17"/>
        <v/>
      </c>
      <c r="AF77" s="24"/>
      <c r="AG77" s="24"/>
      <c r="AH77" s="24"/>
      <c r="AI77" s="24"/>
      <c r="AJ77" s="99" t="str">
        <f t="shared" si="18"/>
        <v/>
      </c>
      <c r="AK77" s="31" t="str">
        <f t="shared" si="23"/>
        <v/>
      </c>
      <c r="AN77" s="139" t="str">
        <f>IF($K77="","",VLOOKUP($K77,'ORF Accuracy Value LookUp'!$G$4:$H$104,2,TRUE))</f>
        <v/>
      </c>
      <c r="AO77" s="94" t="str">
        <f t="shared" si="19"/>
        <v/>
      </c>
      <c r="AP77" s="47" t="str">
        <f>IF($U77="","",VLOOKUP($U77,'ORF Accuracy Value LookUp'!$G$4:$H$104,2,TRUE))</f>
        <v/>
      </c>
      <c r="AQ77" s="94" t="str">
        <f t="shared" si="20"/>
        <v/>
      </c>
      <c r="AR77" s="46" t="str">
        <f>IF($AE77="","",VLOOKUP($AE77,'ORF Accuracy Value LookUp'!$G$4:$H$104,2,TRUE))</f>
        <v/>
      </c>
      <c r="AS77" s="140" t="str">
        <f t="shared" si="21"/>
        <v/>
      </c>
    </row>
    <row r="78" spans="1:45">
      <c r="A78" s="10"/>
      <c r="B78" s="12"/>
      <c r="C78" s="13"/>
      <c r="D78" s="14"/>
      <c r="E78" s="10"/>
      <c r="F78" s="11"/>
      <c r="G78" s="15"/>
      <c r="H78" s="87"/>
      <c r="I78" s="24"/>
      <c r="J78" s="24"/>
      <c r="K78" s="114" t="str">
        <f t="shared" si="12"/>
        <v/>
      </c>
      <c r="L78" s="24"/>
      <c r="M78" s="24"/>
      <c r="N78" s="24"/>
      <c r="O78" s="24"/>
      <c r="P78" s="97" t="str">
        <f t="shared" si="13"/>
        <v/>
      </c>
      <c r="Q78" s="113" t="str">
        <f t="shared" si="14"/>
        <v/>
      </c>
      <c r="R78" s="87"/>
      <c r="S78" s="24"/>
      <c r="T78" s="24"/>
      <c r="U78" s="78" t="str">
        <f t="shared" si="15"/>
        <v/>
      </c>
      <c r="V78" s="24"/>
      <c r="W78" s="24"/>
      <c r="X78" s="24"/>
      <c r="Y78" s="24"/>
      <c r="Z78" s="98" t="str">
        <f t="shared" si="16"/>
        <v/>
      </c>
      <c r="AA78" s="40" t="str">
        <f t="shared" si="22"/>
        <v/>
      </c>
      <c r="AB78" s="87"/>
      <c r="AC78" s="24"/>
      <c r="AD78" s="24"/>
      <c r="AE78" s="79" t="str">
        <f t="shared" si="17"/>
        <v/>
      </c>
      <c r="AF78" s="24"/>
      <c r="AG78" s="24"/>
      <c r="AH78" s="24"/>
      <c r="AI78" s="24"/>
      <c r="AJ78" s="99" t="str">
        <f t="shared" si="18"/>
        <v/>
      </c>
      <c r="AK78" s="31" t="str">
        <f t="shared" si="23"/>
        <v/>
      </c>
      <c r="AN78" s="139" t="str">
        <f>IF($K78="","",VLOOKUP($K78,'ORF Accuracy Value LookUp'!$G$4:$H$104,2,TRUE))</f>
        <v/>
      </c>
      <c r="AO78" s="94" t="str">
        <f t="shared" si="19"/>
        <v/>
      </c>
      <c r="AP78" s="47" t="str">
        <f>IF($U78="","",VLOOKUP($U78,'ORF Accuracy Value LookUp'!$G$4:$H$104,2,TRUE))</f>
        <v/>
      </c>
      <c r="AQ78" s="94" t="str">
        <f t="shared" si="20"/>
        <v/>
      </c>
      <c r="AR78" s="46" t="str">
        <f>IF($AE78="","",VLOOKUP($AE78,'ORF Accuracy Value LookUp'!$G$4:$H$104,2,TRUE))</f>
        <v/>
      </c>
      <c r="AS78" s="140" t="str">
        <f t="shared" si="21"/>
        <v/>
      </c>
    </row>
    <row r="79" spans="1:45">
      <c r="A79" s="10"/>
      <c r="B79" s="12"/>
      <c r="C79" s="13"/>
      <c r="D79" s="14"/>
      <c r="E79" s="10"/>
      <c r="F79" s="11"/>
      <c r="G79" s="15"/>
      <c r="H79" s="87"/>
      <c r="I79" s="24"/>
      <c r="J79" s="24"/>
      <c r="K79" s="114" t="str">
        <f t="shared" si="12"/>
        <v/>
      </c>
      <c r="L79" s="24"/>
      <c r="M79" s="24"/>
      <c r="N79" s="24"/>
      <c r="O79" s="24"/>
      <c r="P79" s="97" t="str">
        <f t="shared" si="13"/>
        <v/>
      </c>
      <c r="Q79" s="113" t="str">
        <f t="shared" si="14"/>
        <v/>
      </c>
      <c r="R79" s="87"/>
      <c r="S79" s="24"/>
      <c r="T79" s="24"/>
      <c r="U79" s="78" t="str">
        <f t="shared" si="15"/>
        <v/>
      </c>
      <c r="V79" s="24"/>
      <c r="W79" s="24"/>
      <c r="X79" s="24"/>
      <c r="Y79" s="24"/>
      <c r="Z79" s="98" t="str">
        <f t="shared" si="16"/>
        <v/>
      </c>
      <c r="AA79" s="40" t="str">
        <f t="shared" si="22"/>
        <v/>
      </c>
      <c r="AB79" s="87"/>
      <c r="AC79" s="24"/>
      <c r="AD79" s="24"/>
      <c r="AE79" s="79" t="str">
        <f t="shared" si="17"/>
        <v/>
      </c>
      <c r="AF79" s="24"/>
      <c r="AG79" s="24"/>
      <c r="AH79" s="24"/>
      <c r="AI79" s="24"/>
      <c r="AJ79" s="99" t="str">
        <f t="shared" si="18"/>
        <v/>
      </c>
      <c r="AK79" s="31" t="str">
        <f t="shared" si="23"/>
        <v/>
      </c>
      <c r="AN79" s="139" t="str">
        <f>IF($K79="","",VLOOKUP($K79,'ORF Accuracy Value LookUp'!$G$4:$H$104,2,TRUE))</f>
        <v/>
      </c>
      <c r="AO79" s="94" t="str">
        <f t="shared" si="19"/>
        <v/>
      </c>
      <c r="AP79" s="47" t="str">
        <f>IF($U79="","",VLOOKUP($U79,'ORF Accuracy Value LookUp'!$G$4:$H$104,2,TRUE))</f>
        <v/>
      </c>
      <c r="AQ79" s="94" t="str">
        <f t="shared" si="20"/>
        <v/>
      </c>
      <c r="AR79" s="46" t="str">
        <f>IF($AE79="","",VLOOKUP($AE79,'ORF Accuracy Value LookUp'!$G$4:$H$104,2,TRUE))</f>
        <v/>
      </c>
      <c r="AS79" s="140" t="str">
        <f t="shared" si="21"/>
        <v/>
      </c>
    </row>
    <row r="80" spans="1:45">
      <c r="A80" s="10"/>
      <c r="B80" s="12"/>
      <c r="C80" s="13"/>
      <c r="D80" s="14"/>
      <c r="E80" s="10"/>
      <c r="F80" s="11"/>
      <c r="G80" s="15"/>
      <c r="H80" s="87"/>
      <c r="I80" s="24"/>
      <c r="J80" s="24"/>
      <c r="K80" s="114" t="str">
        <f t="shared" si="12"/>
        <v/>
      </c>
      <c r="L80" s="24"/>
      <c r="M80" s="24"/>
      <c r="N80" s="24"/>
      <c r="O80" s="24"/>
      <c r="P80" s="97" t="str">
        <f t="shared" si="13"/>
        <v/>
      </c>
      <c r="Q80" s="113" t="str">
        <f t="shared" si="14"/>
        <v/>
      </c>
      <c r="R80" s="87"/>
      <c r="S80" s="24"/>
      <c r="T80" s="24"/>
      <c r="U80" s="78" t="str">
        <f t="shared" si="15"/>
        <v/>
      </c>
      <c r="V80" s="24"/>
      <c r="W80" s="24"/>
      <c r="X80" s="24"/>
      <c r="Y80" s="24"/>
      <c r="Z80" s="98" t="str">
        <f t="shared" si="16"/>
        <v/>
      </c>
      <c r="AA80" s="40" t="str">
        <f t="shared" si="22"/>
        <v/>
      </c>
      <c r="AB80" s="87"/>
      <c r="AC80" s="24"/>
      <c r="AD80" s="24"/>
      <c r="AE80" s="79" t="str">
        <f t="shared" si="17"/>
        <v/>
      </c>
      <c r="AF80" s="24"/>
      <c r="AG80" s="24"/>
      <c r="AH80" s="24"/>
      <c r="AI80" s="24"/>
      <c r="AJ80" s="99" t="str">
        <f t="shared" si="18"/>
        <v/>
      </c>
      <c r="AK80" s="31" t="str">
        <f t="shared" si="23"/>
        <v/>
      </c>
      <c r="AN80" s="139" t="str">
        <f>IF($K80="","",VLOOKUP($K80,'ORF Accuracy Value LookUp'!$G$4:$H$104,2,TRUE))</f>
        <v/>
      </c>
      <c r="AO80" s="94" t="str">
        <f t="shared" si="19"/>
        <v/>
      </c>
      <c r="AP80" s="47" t="str">
        <f>IF($U80="","",VLOOKUP($U80,'ORF Accuracy Value LookUp'!$G$4:$H$104,2,TRUE))</f>
        <v/>
      </c>
      <c r="AQ80" s="94" t="str">
        <f t="shared" si="20"/>
        <v/>
      </c>
      <c r="AR80" s="46" t="str">
        <f>IF($AE80="","",VLOOKUP($AE80,'ORF Accuracy Value LookUp'!$G$4:$H$104,2,TRUE))</f>
        <v/>
      </c>
      <c r="AS80" s="140" t="str">
        <f t="shared" si="21"/>
        <v/>
      </c>
    </row>
    <row r="81" spans="1:45">
      <c r="A81" s="10"/>
      <c r="B81" s="12"/>
      <c r="C81" s="13"/>
      <c r="D81" s="14"/>
      <c r="E81" s="10"/>
      <c r="F81" s="11"/>
      <c r="G81" s="15"/>
      <c r="H81" s="87"/>
      <c r="I81" s="24"/>
      <c r="J81" s="24"/>
      <c r="K81" s="114" t="str">
        <f t="shared" si="12"/>
        <v/>
      </c>
      <c r="L81" s="24"/>
      <c r="M81" s="24"/>
      <c r="N81" s="24"/>
      <c r="O81" s="24"/>
      <c r="P81" s="97" t="str">
        <f t="shared" si="13"/>
        <v/>
      </c>
      <c r="Q81" s="113" t="str">
        <f t="shared" si="14"/>
        <v/>
      </c>
      <c r="R81" s="87"/>
      <c r="S81" s="24"/>
      <c r="T81" s="24"/>
      <c r="U81" s="78" t="str">
        <f t="shared" si="15"/>
        <v/>
      </c>
      <c r="V81" s="24"/>
      <c r="W81" s="24"/>
      <c r="X81" s="24"/>
      <c r="Y81" s="24"/>
      <c r="Z81" s="98" t="str">
        <f t="shared" si="16"/>
        <v/>
      </c>
      <c r="AA81" s="40" t="str">
        <f t="shared" si="22"/>
        <v/>
      </c>
      <c r="AB81" s="87"/>
      <c r="AC81" s="24"/>
      <c r="AD81" s="24"/>
      <c r="AE81" s="79" t="str">
        <f t="shared" si="17"/>
        <v/>
      </c>
      <c r="AF81" s="24"/>
      <c r="AG81" s="24"/>
      <c r="AH81" s="24"/>
      <c r="AI81" s="24"/>
      <c r="AJ81" s="99" t="str">
        <f t="shared" si="18"/>
        <v/>
      </c>
      <c r="AK81" s="31" t="str">
        <f t="shared" si="23"/>
        <v/>
      </c>
      <c r="AN81" s="139" t="str">
        <f>IF($K81="","",VLOOKUP($K81,'ORF Accuracy Value LookUp'!$G$4:$H$104,2,TRUE))</f>
        <v/>
      </c>
      <c r="AO81" s="94" t="str">
        <f t="shared" si="19"/>
        <v/>
      </c>
      <c r="AP81" s="47" t="str">
        <f>IF($U81="","",VLOOKUP($U81,'ORF Accuracy Value LookUp'!$G$4:$H$104,2,TRUE))</f>
        <v/>
      </c>
      <c r="AQ81" s="94" t="str">
        <f t="shared" si="20"/>
        <v/>
      </c>
      <c r="AR81" s="46" t="str">
        <f>IF($AE81="","",VLOOKUP($AE81,'ORF Accuracy Value LookUp'!$G$4:$H$104,2,TRUE))</f>
        <v/>
      </c>
      <c r="AS81" s="140" t="str">
        <f t="shared" si="21"/>
        <v/>
      </c>
    </row>
    <row r="82" spans="1:45">
      <c r="A82" s="10"/>
      <c r="B82" s="12"/>
      <c r="C82" s="13"/>
      <c r="D82" s="14"/>
      <c r="E82" s="10"/>
      <c r="F82" s="11"/>
      <c r="G82" s="15"/>
      <c r="H82" s="87"/>
      <c r="I82" s="24"/>
      <c r="J82" s="24"/>
      <c r="K82" s="114" t="str">
        <f t="shared" si="12"/>
        <v/>
      </c>
      <c r="L82" s="24"/>
      <c r="M82" s="24"/>
      <c r="N82" s="24"/>
      <c r="O82" s="24"/>
      <c r="P82" s="97" t="str">
        <f t="shared" si="13"/>
        <v/>
      </c>
      <c r="Q82" s="113" t="str">
        <f t="shared" si="14"/>
        <v/>
      </c>
      <c r="R82" s="87"/>
      <c r="S82" s="24"/>
      <c r="T82" s="24"/>
      <c r="U82" s="78" t="str">
        <f t="shared" si="15"/>
        <v/>
      </c>
      <c r="V82" s="24"/>
      <c r="W82" s="24"/>
      <c r="X82" s="24"/>
      <c r="Y82" s="24"/>
      <c r="Z82" s="98" t="str">
        <f t="shared" si="16"/>
        <v/>
      </c>
      <c r="AA82" s="40" t="str">
        <f t="shared" si="22"/>
        <v/>
      </c>
      <c r="AB82" s="87"/>
      <c r="AC82" s="24"/>
      <c r="AD82" s="24"/>
      <c r="AE82" s="79" t="str">
        <f t="shared" si="17"/>
        <v/>
      </c>
      <c r="AF82" s="24"/>
      <c r="AG82" s="24"/>
      <c r="AH82" s="24"/>
      <c r="AI82" s="24"/>
      <c r="AJ82" s="99" t="str">
        <f t="shared" si="18"/>
        <v/>
      </c>
      <c r="AK82" s="31" t="str">
        <f t="shared" si="23"/>
        <v/>
      </c>
      <c r="AN82" s="139" t="str">
        <f>IF($K82="","",VLOOKUP($K82,'ORF Accuracy Value LookUp'!$G$4:$H$104,2,TRUE))</f>
        <v/>
      </c>
      <c r="AO82" s="94" t="str">
        <f t="shared" si="19"/>
        <v/>
      </c>
      <c r="AP82" s="47" t="str">
        <f>IF($U82="","",VLOOKUP($U82,'ORF Accuracy Value LookUp'!$G$4:$H$104,2,TRUE))</f>
        <v/>
      </c>
      <c r="AQ82" s="94" t="str">
        <f t="shared" si="20"/>
        <v/>
      </c>
      <c r="AR82" s="46" t="str">
        <f>IF($AE82="","",VLOOKUP($AE82,'ORF Accuracy Value LookUp'!$G$4:$H$104,2,TRUE))</f>
        <v/>
      </c>
      <c r="AS82" s="140" t="str">
        <f t="shared" si="21"/>
        <v/>
      </c>
    </row>
    <row r="83" spans="1:45">
      <c r="A83" s="10"/>
      <c r="B83" s="12"/>
      <c r="C83" s="13"/>
      <c r="D83" s="14"/>
      <c r="E83" s="10"/>
      <c r="F83" s="11"/>
      <c r="G83" s="15"/>
      <c r="H83" s="87"/>
      <c r="I83" s="24"/>
      <c r="J83" s="24"/>
      <c r="K83" s="114" t="str">
        <f t="shared" si="12"/>
        <v/>
      </c>
      <c r="L83" s="24"/>
      <c r="M83" s="24"/>
      <c r="N83" s="24"/>
      <c r="O83" s="24"/>
      <c r="P83" s="97" t="str">
        <f t="shared" si="13"/>
        <v/>
      </c>
      <c r="Q83" s="113" t="str">
        <f t="shared" si="14"/>
        <v/>
      </c>
      <c r="R83" s="87"/>
      <c r="S83" s="24"/>
      <c r="T83" s="24"/>
      <c r="U83" s="78" t="str">
        <f t="shared" si="15"/>
        <v/>
      </c>
      <c r="V83" s="24"/>
      <c r="W83" s="24"/>
      <c r="X83" s="24"/>
      <c r="Y83" s="24"/>
      <c r="Z83" s="98" t="str">
        <f t="shared" si="16"/>
        <v/>
      </c>
      <c r="AA83" s="40" t="str">
        <f t="shared" si="22"/>
        <v/>
      </c>
      <c r="AB83" s="87"/>
      <c r="AC83" s="24"/>
      <c r="AD83" s="24"/>
      <c r="AE83" s="79" t="str">
        <f t="shared" si="17"/>
        <v/>
      </c>
      <c r="AF83" s="24"/>
      <c r="AG83" s="24"/>
      <c r="AH83" s="24"/>
      <c r="AI83" s="24"/>
      <c r="AJ83" s="99" t="str">
        <f t="shared" si="18"/>
        <v/>
      </c>
      <c r="AK83" s="31" t="str">
        <f t="shared" si="23"/>
        <v/>
      </c>
      <c r="AN83" s="139" t="str">
        <f>IF($K83="","",VLOOKUP($K83,'ORF Accuracy Value LookUp'!$G$4:$H$104,2,TRUE))</f>
        <v/>
      </c>
      <c r="AO83" s="94" t="str">
        <f t="shared" si="19"/>
        <v/>
      </c>
      <c r="AP83" s="47" t="str">
        <f>IF($U83="","",VLOOKUP($U83,'ORF Accuracy Value LookUp'!$G$4:$H$104,2,TRUE))</f>
        <v/>
      </c>
      <c r="AQ83" s="94" t="str">
        <f t="shared" si="20"/>
        <v/>
      </c>
      <c r="AR83" s="46" t="str">
        <f>IF($AE83="","",VLOOKUP($AE83,'ORF Accuracy Value LookUp'!$G$4:$H$104,2,TRUE))</f>
        <v/>
      </c>
      <c r="AS83" s="140" t="str">
        <f t="shared" si="21"/>
        <v/>
      </c>
    </row>
    <row r="84" spans="1:45">
      <c r="A84" s="10"/>
      <c r="B84" s="12"/>
      <c r="C84" s="13"/>
      <c r="D84" s="14"/>
      <c r="E84" s="10"/>
      <c r="F84" s="11"/>
      <c r="G84" s="15"/>
      <c r="H84" s="87"/>
      <c r="I84" s="24"/>
      <c r="J84" s="24"/>
      <c r="K84" s="114" t="str">
        <f t="shared" si="12"/>
        <v/>
      </c>
      <c r="L84" s="24"/>
      <c r="M84" s="24"/>
      <c r="N84" s="24"/>
      <c r="O84" s="24"/>
      <c r="P84" s="97" t="str">
        <f t="shared" si="13"/>
        <v/>
      </c>
      <c r="Q84" s="113" t="str">
        <f t="shared" si="14"/>
        <v/>
      </c>
      <c r="R84" s="87"/>
      <c r="S84" s="24"/>
      <c r="T84" s="24"/>
      <c r="U84" s="78" t="str">
        <f t="shared" si="15"/>
        <v/>
      </c>
      <c r="V84" s="24"/>
      <c r="W84" s="24"/>
      <c r="X84" s="24"/>
      <c r="Y84" s="24"/>
      <c r="Z84" s="98" t="str">
        <f t="shared" si="16"/>
        <v/>
      </c>
      <c r="AA84" s="40" t="str">
        <f t="shared" si="22"/>
        <v/>
      </c>
      <c r="AB84" s="87"/>
      <c r="AC84" s="24"/>
      <c r="AD84" s="24"/>
      <c r="AE84" s="79" t="str">
        <f t="shared" si="17"/>
        <v/>
      </c>
      <c r="AF84" s="24"/>
      <c r="AG84" s="24"/>
      <c r="AH84" s="24"/>
      <c r="AI84" s="24"/>
      <c r="AJ84" s="99" t="str">
        <f t="shared" si="18"/>
        <v/>
      </c>
      <c r="AK84" s="31" t="str">
        <f t="shared" si="23"/>
        <v/>
      </c>
      <c r="AN84" s="139" t="str">
        <f>IF($K84="","",VLOOKUP($K84,'ORF Accuracy Value LookUp'!$G$4:$H$104,2,TRUE))</f>
        <v/>
      </c>
      <c r="AO84" s="94" t="str">
        <f t="shared" si="19"/>
        <v/>
      </c>
      <c r="AP84" s="47" t="str">
        <f>IF($U84="","",VLOOKUP($U84,'ORF Accuracy Value LookUp'!$G$4:$H$104,2,TRUE))</f>
        <v/>
      </c>
      <c r="AQ84" s="94" t="str">
        <f t="shared" si="20"/>
        <v/>
      </c>
      <c r="AR84" s="46" t="str">
        <f>IF($AE84="","",VLOOKUP($AE84,'ORF Accuracy Value LookUp'!$G$4:$H$104,2,TRUE))</f>
        <v/>
      </c>
      <c r="AS84" s="140" t="str">
        <f t="shared" si="21"/>
        <v/>
      </c>
    </row>
    <row r="85" spans="1:45">
      <c r="A85" s="10"/>
      <c r="B85" s="12"/>
      <c r="C85" s="13"/>
      <c r="D85" s="14"/>
      <c r="E85" s="10"/>
      <c r="F85" s="11"/>
      <c r="G85" s="15"/>
      <c r="H85" s="87"/>
      <c r="I85" s="24"/>
      <c r="J85" s="24"/>
      <c r="K85" s="114" t="str">
        <f t="shared" si="12"/>
        <v/>
      </c>
      <c r="L85" s="24"/>
      <c r="M85" s="24"/>
      <c r="N85" s="24"/>
      <c r="O85" s="24"/>
      <c r="P85" s="97" t="str">
        <f t="shared" si="13"/>
        <v/>
      </c>
      <c r="Q85" s="113" t="str">
        <f t="shared" si="14"/>
        <v/>
      </c>
      <c r="R85" s="87"/>
      <c r="S85" s="24"/>
      <c r="T85" s="24"/>
      <c r="U85" s="78" t="str">
        <f t="shared" si="15"/>
        <v/>
      </c>
      <c r="V85" s="24"/>
      <c r="W85" s="24"/>
      <c r="X85" s="24"/>
      <c r="Y85" s="24"/>
      <c r="Z85" s="98" t="str">
        <f t="shared" si="16"/>
        <v/>
      </c>
      <c r="AA85" s="40" t="str">
        <f t="shared" si="22"/>
        <v/>
      </c>
      <c r="AB85" s="87"/>
      <c r="AC85" s="24"/>
      <c r="AD85" s="24"/>
      <c r="AE85" s="79" t="str">
        <f t="shared" si="17"/>
        <v/>
      </c>
      <c r="AF85" s="24"/>
      <c r="AG85" s="24"/>
      <c r="AH85" s="24"/>
      <c r="AI85" s="24"/>
      <c r="AJ85" s="99" t="str">
        <f t="shared" si="18"/>
        <v/>
      </c>
      <c r="AK85" s="31" t="str">
        <f t="shared" si="23"/>
        <v/>
      </c>
      <c r="AN85" s="139" t="str">
        <f>IF($K85="","",VLOOKUP($K85,'ORF Accuracy Value LookUp'!$G$4:$H$104,2,TRUE))</f>
        <v/>
      </c>
      <c r="AO85" s="94" t="str">
        <f t="shared" si="19"/>
        <v/>
      </c>
      <c r="AP85" s="47" t="str">
        <f>IF($U85="","",VLOOKUP($U85,'ORF Accuracy Value LookUp'!$G$4:$H$104,2,TRUE))</f>
        <v/>
      </c>
      <c r="AQ85" s="94" t="str">
        <f t="shared" si="20"/>
        <v/>
      </c>
      <c r="AR85" s="46" t="str">
        <f>IF($AE85="","",VLOOKUP($AE85,'ORF Accuracy Value LookUp'!$G$4:$H$104,2,TRUE))</f>
        <v/>
      </c>
      <c r="AS85" s="140" t="str">
        <f t="shared" si="21"/>
        <v/>
      </c>
    </row>
    <row r="86" spans="1:45">
      <c r="A86" s="10"/>
      <c r="B86" s="12"/>
      <c r="C86" s="13"/>
      <c r="D86" s="14"/>
      <c r="E86" s="10"/>
      <c r="F86" s="11"/>
      <c r="G86" s="15"/>
      <c r="H86" s="87"/>
      <c r="I86" s="24"/>
      <c r="J86" s="24"/>
      <c r="K86" s="114" t="str">
        <f t="shared" si="12"/>
        <v/>
      </c>
      <c r="L86" s="24"/>
      <c r="M86" s="24"/>
      <c r="N86" s="24"/>
      <c r="O86" s="24"/>
      <c r="P86" s="97" t="str">
        <f t="shared" si="13"/>
        <v/>
      </c>
      <c r="Q86" s="113" t="str">
        <f t="shared" si="14"/>
        <v/>
      </c>
      <c r="R86" s="87"/>
      <c r="S86" s="24"/>
      <c r="T86" s="24"/>
      <c r="U86" s="78" t="str">
        <f t="shared" si="15"/>
        <v/>
      </c>
      <c r="V86" s="24"/>
      <c r="W86" s="24"/>
      <c r="X86" s="24"/>
      <c r="Y86" s="24"/>
      <c r="Z86" s="98" t="str">
        <f t="shared" si="16"/>
        <v/>
      </c>
      <c r="AA86" s="40" t="str">
        <f t="shared" si="22"/>
        <v/>
      </c>
      <c r="AB86" s="87"/>
      <c r="AC86" s="24"/>
      <c r="AD86" s="24"/>
      <c r="AE86" s="79" t="str">
        <f t="shared" si="17"/>
        <v/>
      </c>
      <c r="AF86" s="24"/>
      <c r="AG86" s="24"/>
      <c r="AH86" s="24"/>
      <c r="AI86" s="24"/>
      <c r="AJ86" s="99" t="str">
        <f t="shared" si="18"/>
        <v/>
      </c>
      <c r="AK86" s="31" t="str">
        <f t="shared" si="23"/>
        <v/>
      </c>
      <c r="AN86" s="139" t="str">
        <f>IF($K86="","",VLOOKUP($K86,'ORF Accuracy Value LookUp'!$G$4:$H$104,2,TRUE))</f>
        <v/>
      </c>
      <c r="AO86" s="94" t="str">
        <f t="shared" si="19"/>
        <v/>
      </c>
      <c r="AP86" s="47" t="str">
        <f>IF($U86="","",VLOOKUP($U86,'ORF Accuracy Value LookUp'!$G$4:$H$104,2,TRUE))</f>
        <v/>
      </c>
      <c r="AQ86" s="94" t="str">
        <f t="shared" si="20"/>
        <v/>
      </c>
      <c r="AR86" s="46" t="str">
        <f>IF($AE86="","",VLOOKUP($AE86,'ORF Accuracy Value LookUp'!$G$4:$H$104,2,TRUE))</f>
        <v/>
      </c>
      <c r="AS86" s="140" t="str">
        <f t="shared" si="21"/>
        <v/>
      </c>
    </row>
    <row r="87" spans="1:45">
      <c r="A87" s="10"/>
      <c r="B87" s="12"/>
      <c r="C87" s="13"/>
      <c r="D87" s="14"/>
      <c r="E87" s="10"/>
      <c r="F87" s="11"/>
      <c r="G87" s="15"/>
      <c r="H87" s="87"/>
      <c r="I87" s="24"/>
      <c r="J87" s="24"/>
      <c r="K87" s="114" t="str">
        <f t="shared" si="12"/>
        <v/>
      </c>
      <c r="L87" s="24"/>
      <c r="M87" s="24"/>
      <c r="N87" s="24"/>
      <c r="O87" s="24"/>
      <c r="P87" s="97" t="str">
        <f t="shared" si="13"/>
        <v/>
      </c>
      <c r="Q87" s="113" t="str">
        <f t="shared" si="14"/>
        <v/>
      </c>
      <c r="R87" s="87"/>
      <c r="S87" s="24"/>
      <c r="T87" s="24"/>
      <c r="U87" s="78" t="str">
        <f t="shared" si="15"/>
        <v/>
      </c>
      <c r="V87" s="24"/>
      <c r="W87" s="24"/>
      <c r="X87" s="24"/>
      <c r="Y87" s="24"/>
      <c r="Z87" s="98" t="str">
        <f t="shared" si="16"/>
        <v/>
      </c>
      <c r="AA87" s="40" t="str">
        <f t="shared" si="22"/>
        <v/>
      </c>
      <c r="AB87" s="87"/>
      <c r="AC87" s="24"/>
      <c r="AD87" s="24"/>
      <c r="AE87" s="79" t="str">
        <f t="shared" si="17"/>
        <v/>
      </c>
      <c r="AF87" s="24"/>
      <c r="AG87" s="24"/>
      <c r="AH87" s="24"/>
      <c r="AI87" s="24"/>
      <c r="AJ87" s="99" t="str">
        <f t="shared" si="18"/>
        <v/>
      </c>
      <c r="AK87" s="31" t="str">
        <f t="shared" si="23"/>
        <v/>
      </c>
      <c r="AN87" s="139" t="str">
        <f>IF($K87="","",VLOOKUP($K87,'ORF Accuracy Value LookUp'!$G$4:$H$104,2,TRUE))</f>
        <v/>
      </c>
      <c r="AO87" s="94" t="str">
        <f t="shared" si="19"/>
        <v/>
      </c>
      <c r="AP87" s="47" t="str">
        <f>IF($U87="","",VLOOKUP($U87,'ORF Accuracy Value LookUp'!$G$4:$H$104,2,TRUE))</f>
        <v/>
      </c>
      <c r="AQ87" s="94" t="str">
        <f t="shared" si="20"/>
        <v/>
      </c>
      <c r="AR87" s="46" t="str">
        <f>IF($AE87="","",VLOOKUP($AE87,'ORF Accuracy Value LookUp'!$G$4:$H$104,2,TRUE))</f>
        <v/>
      </c>
      <c r="AS87" s="140" t="str">
        <f t="shared" si="21"/>
        <v/>
      </c>
    </row>
    <row r="88" spans="1:45">
      <c r="A88" s="10"/>
      <c r="B88" s="12"/>
      <c r="C88" s="13"/>
      <c r="D88" s="14"/>
      <c r="E88" s="10"/>
      <c r="F88" s="11"/>
      <c r="G88" s="15"/>
      <c r="H88" s="87"/>
      <c r="I88" s="24"/>
      <c r="J88" s="24"/>
      <c r="K88" s="114" t="str">
        <f t="shared" si="12"/>
        <v/>
      </c>
      <c r="L88" s="24"/>
      <c r="M88" s="24"/>
      <c r="N88" s="24"/>
      <c r="O88" s="24"/>
      <c r="P88" s="97" t="str">
        <f t="shared" si="13"/>
        <v/>
      </c>
      <c r="Q88" s="113" t="str">
        <f t="shared" si="14"/>
        <v/>
      </c>
      <c r="R88" s="87"/>
      <c r="S88" s="24"/>
      <c r="T88" s="24"/>
      <c r="U88" s="78" t="str">
        <f t="shared" si="15"/>
        <v/>
      </c>
      <c r="V88" s="24"/>
      <c r="W88" s="24"/>
      <c r="X88" s="24"/>
      <c r="Y88" s="24"/>
      <c r="Z88" s="98" t="str">
        <f t="shared" si="16"/>
        <v/>
      </c>
      <c r="AA88" s="40" t="str">
        <f t="shared" si="22"/>
        <v/>
      </c>
      <c r="AB88" s="87"/>
      <c r="AC88" s="24"/>
      <c r="AD88" s="24"/>
      <c r="AE88" s="79" t="str">
        <f t="shared" si="17"/>
        <v/>
      </c>
      <c r="AF88" s="24"/>
      <c r="AG88" s="24"/>
      <c r="AH88" s="24"/>
      <c r="AI88" s="24"/>
      <c r="AJ88" s="99" t="str">
        <f t="shared" si="18"/>
        <v/>
      </c>
      <c r="AK88" s="31" t="str">
        <f t="shared" si="23"/>
        <v/>
      </c>
      <c r="AN88" s="139" t="str">
        <f>IF($K88="","",VLOOKUP($K88,'ORF Accuracy Value LookUp'!$G$4:$H$104,2,TRUE))</f>
        <v/>
      </c>
      <c r="AO88" s="94" t="str">
        <f t="shared" si="19"/>
        <v/>
      </c>
      <c r="AP88" s="47" t="str">
        <f>IF($U88="","",VLOOKUP($U88,'ORF Accuracy Value LookUp'!$G$4:$H$104,2,TRUE))</f>
        <v/>
      </c>
      <c r="AQ88" s="94" t="str">
        <f t="shared" si="20"/>
        <v/>
      </c>
      <c r="AR88" s="46" t="str">
        <f>IF($AE88="","",VLOOKUP($AE88,'ORF Accuracy Value LookUp'!$G$4:$H$104,2,TRUE))</f>
        <v/>
      </c>
      <c r="AS88" s="140" t="str">
        <f t="shared" si="21"/>
        <v/>
      </c>
    </row>
    <row r="89" spans="1:45">
      <c r="A89" s="10"/>
      <c r="B89" s="12"/>
      <c r="C89" s="13"/>
      <c r="D89" s="14"/>
      <c r="E89" s="10"/>
      <c r="F89" s="11"/>
      <c r="G89" s="15"/>
      <c r="H89" s="87"/>
      <c r="I89" s="24"/>
      <c r="J89" s="24"/>
      <c r="K89" s="114" t="str">
        <f t="shared" si="12"/>
        <v/>
      </c>
      <c r="L89" s="24"/>
      <c r="M89" s="24"/>
      <c r="N89" s="24"/>
      <c r="O89" s="24"/>
      <c r="P89" s="97" t="str">
        <f t="shared" si="13"/>
        <v/>
      </c>
      <c r="Q89" s="113" t="str">
        <f t="shared" si="14"/>
        <v/>
      </c>
      <c r="R89" s="87"/>
      <c r="S89" s="24"/>
      <c r="T89" s="24"/>
      <c r="U89" s="78" t="str">
        <f t="shared" si="15"/>
        <v/>
      </c>
      <c r="V89" s="24"/>
      <c r="W89" s="24"/>
      <c r="X89" s="24"/>
      <c r="Y89" s="24"/>
      <c r="Z89" s="98" t="str">
        <f t="shared" si="16"/>
        <v/>
      </c>
      <c r="AA89" s="40" t="str">
        <f t="shared" si="22"/>
        <v/>
      </c>
      <c r="AB89" s="87"/>
      <c r="AC89" s="24"/>
      <c r="AD89" s="24"/>
      <c r="AE89" s="79" t="str">
        <f t="shared" si="17"/>
        <v/>
      </c>
      <c r="AF89" s="24"/>
      <c r="AG89" s="24"/>
      <c r="AH89" s="24"/>
      <c r="AI89" s="24"/>
      <c r="AJ89" s="99" t="str">
        <f t="shared" si="18"/>
        <v/>
      </c>
      <c r="AK89" s="31" t="str">
        <f t="shared" si="23"/>
        <v/>
      </c>
      <c r="AN89" s="139" t="str">
        <f>IF($K89="","",VLOOKUP($K89,'ORF Accuracy Value LookUp'!$G$4:$H$104,2,TRUE))</f>
        <v/>
      </c>
      <c r="AO89" s="94" t="str">
        <f t="shared" si="19"/>
        <v/>
      </c>
      <c r="AP89" s="47" t="str">
        <f>IF($U89="","",VLOOKUP($U89,'ORF Accuracy Value LookUp'!$G$4:$H$104,2,TRUE))</f>
        <v/>
      </c>
      <c r="AQ89" s="94" t="str">
        <f t="shared" si="20"/>
        <v/>
      </c>
      <c r="AR89" s="46" t="str">
        <f>IF($AE89="","",VLOOKUP($AE89,'ORF Accuracy Value LookUp'!$G$4:$H$104,2,TRUE))</f>
        <v/>
      </c>
      <c r="AS89" s="140" t="str">
        <f t="shared" si="21"/>
        <v/>
      </c>
    </row>
    <row r="90" spans="1:45">
      <c r="A90" s="10"/>
      <c r="B90" s="12"/>
      <c r="C90" s="13"/>
      <c r="D90" s="14"/>
      <c r="E90" s="10"/>
      <c r="F90" s="11"/>
      <c r="G90" s="15"/>
      <c r="H90" s="87"/>
      <c r="I90" s="24"/>
      <c r="J90" s="24"/>
      <c r="K90" s="114" t="str">
        <f t="shared" si="12"/>
        <v/>
      </c>
      <c r="L90" s="24"/>
      <c r="M90" s="24"/>
      <c r="N90" s="24"/>
      <c r="O90" s="24"/>
      <c r="P90" s="97" t="str">
        <f t="shared" si="13"/>
        <v/>
      </c>
      <c r="Q90" s="113" t="str">
        <f t="shared" si="14"/>
        <v/>
      </c>
      <c r="R90" s="87"/>
      <c r="S90" s="24"/>
      <c r="T90" s="24"/>
      <c r="U90" s="78" t="str">
        <f t="shared" si="15"/>
        <v/>
      </c>
      <c r="V90" s="24"/>
      <c r="W90" s="24"/>
      <c r="X90" s="24"/>
      <c r="Y90" s="24"/>
      <c r="Z90" s="98" t="str">
        <f t="shared" si="16"/>
        <v/>
      </c>
      <c r="AA90" s="40" t="str">
        <f t="shared" si="22"/>
        <v/>
      </c>
      <c r="AB90" s="87"/>
      <c r="AC90" s="24"/>
      <c r="AD90" s="24"/>
      <c r="AE90" s="79" t="str">
        <f t="shared" si="17"/>
        <v/>
      </c>
      <c r="AF90" s="24"/>
      <c r="AG90" s="24"/>
      <c r="AH90" s="24"/>
      <c r="AI90" s="24"/>
      <c r="AJ90" s="99" t="str">
        <f t="shared" si="18"/>
        <v/>
      </c>
      <c r="AK90" s="31" t="str">
        <f t="shared" si="23"/>
        <v/>
      </c>
      <c r="AN90" s="139" t="str">
        <f>IF($K90="","",VLOOKUP($K90,'ORF Accuracy Value LookUp'!$G$4:$H$104,2,TRUE))</f>
        <v/>
      </c>
      <c r="AO90" s="94" t="str">
        <f t="shared" si="19"/>
        <v/>
      </c>
      <c r="AP90" s="47" t="str">
        <f>IF($U90="","",VLOOKUP($U90,'ORF Accuracy Value LookUp'!$G$4:$H$104,2,TRUE))</f>
        <v/>
      </c>
      <c r="AQ90" s="94" t="str">
        <f t="shared" si="20"/>
        <v/>
      </c>
      <c r="AR90" s="46" t="str">
        <f>IF($AE90="","",VLOOKUP($AE90,'ORF Accuracy Value LookUp'!$G$4:$H$104,2,TRUE))</f>
        <v/>
      </c>
      <c r="AS90" s="140" t="str">
        <f t="shared" si="21"/>
        <v/>
      </c>
    </row>
    <row r="91" spans="1:45">
      <c r="A91" s="10"/>
      <c r="B91" s="12"/>
      <c r="C91" s="13"/>
      <c r="D91" s="14"/>
      <c r="E91" s="10"/>
      <c r="F91" s="11"/>
      <c r="G91" s="15"/>
      <c r="H91" s="87"/>
      <c r="I91" s="24"/>
      <c r="J91" s="24"/>
      <c r="K91" s="114" t="str">
        <f t="shared" si="12"/>
        <v/>
      </c>
      <c r="L91" s="24"/>
      <c r="M91" s="24"/>
      <c r="N91" s="24"/>
      <c r="O91" s="24"/>
      <c r="P91" s="97" t="str">
        <f t="shared" si="13"/>
        <v/>
      </c>
      <c r="Q91" s="113" t="str">
        <f t="shared" si="14"/>
        <v/>
      </c>
      <c r="R91" s="87"/>
      <c r="S91" s="24"/>
      <c r="T91" s="24"/>
      <c r="U91" s="78" t="str">
        <f t="shared" si="15"/>
        <v/>
      </c>
      <c r="V91" s="24"/>
      <c r="W91" s="24"/>
      <c r="X91" s="24"/>
      <c r="Y91" s="24"/>
      <c r="Z91" s="98" t="str">
        <f t="shared" si="16"/>
        <v/>
      </c>
      <c r="AA91" s="40" t="str">
        <f t="shared" si="22"/>
        <v/>
      </c>
      <c r="AB91" s="87"/>
      <c r="AC91" s="24"/>
      <c r="AD91" s="24"/>
      <c r="AE91" s="79" t="str">
        <f t="shared" si="17"/>
        <v/>
      </c>
      <c r="AF91" s="24"/>
      <c r="AG91" s="24"/>
      <c r="AH91" s="24"/>
      <c r="AI91" s="24"/>
      <c r="AJ91" s="99" t="str">
        <f t="shared" si="18"/>
        <v/>
      </c>
      <c r="AK91" s="31" t="str">
        <f t="shared" si="23"/>
        <v/>
      </c>
      <c r="AN91" s="139" t="str">
        <f>IF($K91="","",VLOOKUP($K91,'ORF Accuracy Value LookUp'!$G$4:$H$104,2,TRUE))</f>
        <v/>
      </c>
      <c r="AO91" s="94" t="str">
        <f t="shared" si="19"/>
        <v/>
      </c>
      <c r="AP91" s="47" t="str">
        <f>IF($U91="","",VLOOKUP($U91,'ORF Accuracy Value LookUp'!$G$4:$H$104,2,TRUE))</f>
        <v/>
      </c>
      <c r="AQ91" s="94" t="str">
        <f t="shared" si="20"/>
        <v/>
      </c>
      <c r="AR91" s="46" t="str">
        <f>IF($AE91="","",VLOOKUP($AE91,'ORF Accuracy Value LookUp'!$G$4:$H$104,2,TRUE))</f>
        <v/>
      </c>
      <c r="AS91" s="140" t="str">
        <f t="shared" si="21"/>
        <v/>
      </c>
    </row>
    <row r="92" spans="1:45">
      <c r="A92" s="10"/>
      <c r="B92" s="12"/>
      <c r="C92" s="13"/>
      <c r="D92" s="14"/>
      <c r="E92" s="10"/>
      <c r="F92" s="11"/>
      <c r="G92" s="15"/>
      <c r="H92" s="87"/>
      <c r="I92" s="24"/>
      <c r="J92" s="24"/>
      <c r="K92" s="114" t="str">
        <f t="shared" si="12"/>
        <v/>
      </c>
      <c r="L92" s="24"/>
      <c r="M92" s="24"/>
      <c r="N92" s="24"/>
      <c r="O92" s="24"/>
      <c r="P92" s="97" t="str">
        <f t="shared" si="13"/>
        <v/>
      </c>
      <c r="Q92" s="113" t="str">
        <f t="shared" si="14"/>
        <v/>
      </c>
      <c r="R92" s="87"/>
      <c r="S92" s="24"/>
      <c r="T92" s="24"/>
      <c r="U92" s="78" t="str">
        <f t="shared" si="15"/>
        <v/>
      </c>
      <c r="V92" s="24"/>
      <c r="W92" s="24"/>
      <c r="X92" s="24"/>
      <c r="Y92" s="24"/>
      <c r="Z92" s="98" t="str">
        <f t="shared" si="16"/>
        <v/>
      </c>
      <c r="AA92" s="40" t="str">
        <f t="shared" si="22"/>
        <v/>
      </c>
      <c r="AB92" s="87"/>
      <c r="AC92" s="24"/>
      <c r="AD92" s="24"/>
      <c r="AE92" s="79" t="str">
        <f t="shared" si="17"/>
        <v/>
      </c>
      <c r="AF92" s="24"/>
      <c r="AG92" s="24"/>
      <c r="AH92" s="24"/>
      <c r="AI92" s="24"/>
      <c r="AJ92" s="99" t="str">
        <f t="shared" si="18"/>
        <v/>
      </c>
      <c r="AK92" s="31" t="str">
        <f t="shared" si="23"/>
        <v/>
      </c>
      <c r="AN92" s="139" t="str">
        <f>IF($K92="","",VLOOKUP($K92,'ORF Accuracy Value LookUp'!$G$4:$H$104,2,TRUE))</f>
        <v/>
      </c>
      <c r="AO92" s="94" t="str">
        <f t="shared" si="19"/>
        <v/>
      </c>
      <c r="AP92" s="47" t="str">
        <f>IF($U92="","",VLOOKUP($U92,'ORF Accuracy Value LookUp'!$G$4:$H$104,2,TRUE))</f>
        <v/>
      </c>
      <c r="AQ92" s="94" t="str">
        <f t="shared" si="20"/>
        <v/>
      </c>
      <c r="AR92" s="46" t="str">
        <f>IF($AE92="","",VLOOKUP($AE92,'ORF Accuracy Value LookUp'!$G$4:$H$104,2,TRUE))</f>
        <v/>
      </c>
      <c r="AS92" s="140" t="str">
        <f t="shared" si="21"/>
        <v/>
      </c>
    </row>
    <row r="93" spans="1:45">
      <c r="A93" s="10"/>
      <c r="B93" s="12"/>
      <c r="C93" s="13"/>
      <c r="D93" s="14"/>
      <c r="E93" s="10"/>
      <c r="F93" s="11"/>
      <c r="G93" s="15"/>
      <c r="H93" s="87"/>
      <c r="I93" s="24"/>
      <c r="J93" s="24"/>
      <c r="K93" s="114" t="str">
        <f t="shared" si="12"/>
        <v/>
      </c>
      <c r="L93" s="24"/>
      <c r="M93" s="24"/>
      <c r="N93" s="24"/>
      <c r="O93" s="24"/>
      <c r="P93" s="97" t="str">
        <f t="shared" si="13"/>
        <v/>
      </c>
      <c r="Q93" s="113" t="str">
        <f t="shared" si="14"/>
        <v/>
      </c>
      <c r="R93" s="87"/>
      <c r="S93" s="24"/>
      <c r="T93" s="24"/>
      <c r="U93" s="78" t="str">
        <f t="shared" si="15"/>
        <v/>
      </c>
      <c r="V93" s="24"/>
      <c r="W93" s="24"/>
      <c r="X93" s="24"/>
      <c r="Y93" s="24"/>
      <c r="Z93" s="98" t="str">
        <f t="shared" si="16"/>
        <v/>
      </c>
      <c r="AA93" s="40" t="str">
        <f t="shared" si="22"/>
        <v/>
      </c>
      <c r="AB93" s="87"/>
      <c r="AC93" s="24"/>
      <c r="AD93" s="24"/>
      <c r="AE93" s="79" t="str">
        <f t="shared" si="17"/>
        <v/>
      </c>
      <c r="AF93" s="24"/>
      <c r="AG93" s="24"/>
      <c r="AH93" s="24"/>
      <c r="AI93" s="24"/>
      <c r="AJ93" s="99" t="str">
        <f t="shared" si="18"/>
        <v/>
      </c>
      <c r="AK93" s="31" t="str">
        <f t="shared" si="23"/>
        <v/>
      </c>
      <c r="AN93" s="139" t="str">
        <f>IF($K93="","",VLOOKUP($K93,'ORF Accuracy Value LookUp'!$G$4:$H$104,2,TRUE))</f>
        <v/>
      </c>
      <c r="AO93" s="94" t="str">
        <f t="shared" si="19"/>
        <v/>
      </c>
      <c r="AP93" s="47" t="str">
        <f>IF($U93="","",VLOOKUP($U93,'ORF Accuracy Value LookUp'!$G$4:$H$104,2,TRUE))</f>
        <v/>
      </c>
      <c r="AQ93" s="94" t="str">
        <f t="shared" si="20"/>
        <v/>
      </c>
      <c r="AR93" s="46" t="str">
        <f>IF($AE93="","",VLOOKUP($AE93,'ORF Accuracy Value LookUp'!$G$4:$H$104,2,TRUE))</f>
        <v/>
      </c>
      <c r="AS93" s="140" t="str">
        <f t="shared" si="21"/>
        <v/>
      </c>
    </row>
    <row r="94" spans="1:45">
      <c r="A94" s="10"/>
      <c r="B94" s="12"/>
      <c r="C94" s="13"/>
      <c r="D94" s="14"/>
      <c r="E94" s="10"/>
      <c r="F94" s="11"/>
      <c r="G94" s="15"/>
      <c r="H94" s="87"/>
      <c r="I94" s="24"/>
      <c r="J94" s="24"/>
      <c r="K94" s="114" t="str">
        <f t="shared" si="12"/>
        <v/>
      </c>
      <c r="L94" s="24"/>
      <c r="M94" s="24"/>
      <c r="N94" s="24"/>
      <c r="O94" s="24"/>
      <c r="P94" s="97" t="str">
        <f t="shared" si="13"/>
        <v/>
      </c>
      <c r="Q94" s="113" t="str">
        <f t="shared" si="14"/>
        <v/>
      </c>
      <c r="R94" s="87"/>
      <c r="S94" s="24"/>
      <c r="T94" s="24"/>
      <c r="U94" s="78" t="str">
        <f t="shared" si="15"/>
        <v/>
      </c>
      <c r="V94" s="24"/>
      <c r="W94" s="24"/>
      <c r="X94" s="24"/>
      <c r="Y94" s="24"/>
      <c r="Z94" s="98" t="str">
        <f t="shared" si="16"/>
        <v/>
      </c>
      <c r="AA94" s="40" t="str">
        <f t="shared" si="22"/>
        <v/>
      </c>
      <c r="AB94" s="87"/>
      <c r="AC94" s="24"/>
      <c r="AD94" s="24"/>
      <c r="AE94" s="79" t="str">
        <f t="shared" si="17"/>
        <v/>
      </c>
      <c r="AF94" s="24"/>
      <c r="AG94" s="24"/>
      <c r="AH94" s="24"/>
      <c r="AI94" s="24"/>
      <c r="AJ94" s="99" t="str">
        <f t="shared" si="18"/>
        <v/>
      </c>
      <c r="AK94" s="31" t="str">
        <f t="shared" si="23"/>
        <v/>
      </c>
      <c r="AN94" s="139" t="str">
        <f>IF($K94="","",VLOOKUP($K94,'ORF Accuracy Value LookUp'!$G$4:$H$104,2,TRUE))</f>
        <v/>
      </c>
      <c r="AO94" s="94" t="str">
        <f t="shared" si="19"/>
        <v/>
      </c>
      <c r="AP94" s="47" t="str">
        <f>IF($U94="","",VLOOKUP($U94,'ORF Accuracy Value LookUp'!$G$4:$H$104,2,TRUE))</f>
        <v/>
      </c>
      <c r="AQ94" s="94" t="str">
        <f t="shared" si="20"/>
        <v/>
      </c>
      <c r="AR94" s="46" t="str">
        <f>IF($AE94="","",VLOOKUP($AE94,'ORF Accuracy Value LookUp'!$G$4:$H$104,2,TRUE))</f>
        <v/>
      </c>
      <c r="AS94" s="140" t="str">
        <f t="shared" si="21"/>
        <v/>
      </c>
    </row>
    <row r="95" spans="1:45">
      <c r="A95" s="10"/>
      <c r="B95" s="12"/>
      <c r="C95" s="13"/>
      <c r="D95" s="14"/>
      <c r="E95" s="10"/>
      <c r="F95" s="11"/>
      <c r="G95" s="15"/>
      <c r="H95" s="87"/>
      <c r="I95" s="24"/>
      <c r="J95" s="24"/>
      <c r="K95" s="114" t="str">
        <f t="shared" si="12"/>
        <v/>
      </c>
      <c r="L95" s="24"/>
      <c r="M95" s="24"/>
      <c r="N95" s="24"/>
      <c r="O95" s="24"/>
      <c r="P95" s="97" t="str">
        <f t="shared" si="13"/>
        <v/>
      </c>
      <c r="Q95" s="113" t="str">
        <f t="shared" si="14"/>
        <v/>
      </c>
      <c r="R95" s="87"/>
      <c r="S95" s="24"/>
      <c r="T95" s="24"/>
      <c r="U95" s="78" t="str">
        <f t="shared" si="15"/>
        <v/>
      </c>
      <c r="V95" s="24"/>
      <c r="W95" s="24"/>
      <c r="X95" s="24"/>
      <c r="Y95" s="24"/>
      <c r="Z95" s="98" t="str">
        <f t="shared" si="16"/>
        <v/>
      </c>
      <c r="AA95" s="40" t="str">
        <f t="shared" si="22"/>
        <v/>
      </c>
      <c r="AB95" s="87"/>
      <c r="AC95" s="24"/>
      <c r="AD95" s="24"/>
      <c r="AE95" s="79" t="str">
        <f t="shared" si="17"/>
        <v/>
      </c>
      <c r="AF95" s="24"/>
      <c r="AG95" s="24"/>
      <c r="AH95" s="24"/>
      <c r="AI95" s="24"/>
      <c r="AJ95" s="99" t="str">
        <f t="shared" si="18"/>
        <v/>
      </c>
      <c r="AK95" s="31" t="str">
        <f t="shared" si="23"/>
        <v/>
      </c>
      <c r="AN95" s="139" t="str">
        <f>IF($K95="","",VLOOKUP($K95,'ORF Accuracy Value LookUp'!$G$4:$H$104,2,TRUE))</f>
        <v/>
      </c>
      <c r="AO95" s="94" t="str">
        <f t="shared" si="19"/>
        <v/>
      </c>
      <c r="AP95" s="47" t="str">
        <f>IF($U95="","",VLOOKUP($U95,'ORF Accuracy Value LookUp'!$G$4:$H$104,2,TRUE))</f>
        <v/>
      </c>
      <c r="AQ95" s="94" t="str">
        <f t="shared" si="20"/>
        <v/>
      </c>
      <c r="AR95" s="46" t="str">
        <f>IF($AE95="","",VLOOKUP($AE95,'ORF Accuracy Value LookUp'!$G$4:$H$104,2,TRUE))</f>
        <v/>
      </c>
      <c r="AS95" s="140" t="str">
        <f t="shared" si="21"/>
        <v/>
      </c>
    </row>
    <row r="96" spans="1:45">
      <c r="A96" s="10"/>
      <c r="B96" s="12"/>
      <c r="C96" s="13"/>
      <c r="D96" s="14"/>
      <c r="E96" s="10"/>
      <c r="F96" s="11"/>
      <c r="G96" s="15"/>
      <c r="H96" s="87"/>
      <c r="I96" s="24"/>
      <c r="J96" s="24"/>
      <c r="K96" s="114" t="str">
        <f t="shared" si="12"/>
        <v/>
      </c>
      <c r="L96" s="24"/>
      <c r="M96" s="24"/>
      <c r="N96" s="24"/>
      <c r="O96" s="24"/>
      <c r="P96" s="97" t="str">
        <f t="shared" si="13"/>
        <v/>
      </c>
      <c r="Q96" s="113" t="str">
        <f t="shared" si="14"/>
        <v/>
      </c>
      <c r="R96" s="87"/>
      <c r="S96" s="24"/>
      <c r="T96" s="24"/>
      <c r="U96" s="78" t="str">
        <f t="shared" si="15"/>
        <v/>
      </c>
      <c r="V96" s="24"/>
      <c r="W96" s="24"/>
      <c r="X96" s="24"/>
      <c r="Y96" s="24"/>
      <c r="Z96" s="98" t="str">
        <f t="shared" si="16"/>
        <v/>
      </c>
      <c r="AA96" s="40" t="str">
        <f t="shared" si="22"/>
        <v/>
      </c>
      <c r="AB96" s="87"/>
      <c r="AC96" s="24"/>
      <c r="AD96" s="24"/>
      <c r="AE96" s="79" t="str">
        <f t="shared" si="17"/>
        <v/>
      </c>
      <c r="AF96" s="24"/>
      <c r="AG96" s="24"/>
      <c r="AH96" s="24"/>
      <c r="AI96" s="24"/>
      <c r="AJ96" s="99" t="str">
        <f t="shared" si="18"/>
        <v/>
      </c>
      <c r="AK96" s="31" t="str">
        <f t="shared" si="23"/>
        <v/>
      </c>
      <c r="AN96" s="139" t="str">
        <f>IF($K96="","",VLOOKUP($K96,'ORF Accuracy Value LookUp'!$G$4:$H$104,2,TRUE))</f>
        <v/>
      </c>
      <c r="AO96" s="94" t="str">
        <f t="shared" si="19"/>
        <v/>
      </c>
      <c r="AP96" s="47" t="str">
        <f>IF($U96="","",VLOOKUP($U96,'ORF Accuracy Value LookUp'!$G$4:$H$104,2,TRUE))</f>
        <v/>
      </c>
      <c r="AQ96" s="94" t="str">
        <f t="shared" si="20"/>
        <v/>
      </c>
      <c r="AR96" s="46" t="str">
        <f>IF($AE96="","",VLOOKUP($AE96,'ORF Accuracy Value LookUp'!$G$4:$H$104,2,TRUE))</f>
        <v/>
      </c>
      <c r="AS96" s="140" t="str">
        <f t="shared" si="21"/>
        <v/>
      </c>
    </row>
    <row r="97" spans="1:45">
      <c r="A97" s="10"/>
      <c r="B97" s="12"/>
      <c r="C97" s="13"/>
      <c r="D97" s="14"/>
      <c r="E97" s="10"/>
      <c r="F97" s="11"/>
      <c r="G97" s="15"/>
      <c r="H97" s="87"/>
      <c r="I97" s="24"/>
      <c r="J97" s="24"/>
      <c r="K97" s="114" t="str">
        <f t="shared" si="12"/>
        <v/>
      </c>
      <c r="L97" s="24"/>
      <c r="M97" s="24"/>
      <c r="N97" s="24"/>
      <c r="O97" s="24"/>
      <c r="P97" s="97" t="str">
        <f t="shared" si="13"/>
        <v/>
      </c>
      <c r="Q97" s="113" t="str">
        <f t="shared" si="14"/>
        <v/>
      </c>
      <c r="R97" s="87"/>
      <c r="S97" s="24"/>
      <c r="T97" s="24"/>
      <c r="U97" s="78" t="str">
        <f t="shared" si="15"/>
        <v/>
      </c>
      <c r="V97" s="24"/>
      <c r="W97" s="24"/>
      <c r="X97" s="24"/>
      <c r="Y97" s="24"/>
      <c r="Z97" s="98" t="str">
        <f t="shared" si="16"/>
        <v/>
      </c>
      <c r="AA97" s="40" t="str">
        <f t="shared" si="22"/>
        <v/>
      </c>
      <c r="AB97" s="87"/>
      <c r="AC97" s="24"/>
      <c r="AD97" s="24"/>
      <c r="AE97" s="79" t="str">
        <f t="shared" si="17"/>
        <v/>
      </c>
      <c r="AF97" s="24"/>
      <c r="AG97" s="24"/>
      <c r="AH97" s="24"/>
      <c r="AI97" s="24"/>
      <c r="AJ97" s="99" t="str">
        <f t="shared" si="18"/>
        <v/>
      </c>
      <c r="AK97" s="31" t="str">
        <f t="shared" si="23"/>
        <v/>
      </c>
      <c r="AN97" s="139" t="str">
        <f>IF($K97="","",VLOOKUP($K97,'ORF Accuracy Value LookUp'!$G$4:$H$104,2,TRUE))</f>
        <v/>
      </c>
      <c r="AO97" s="94" t="str">
        <f t="shared" si="19"/>
        <v/>
      </c>
      <c r="AP97" s="47" t="str">
        <f>IF($U97="","",VLOOKUP($U97,'ORF Accuracy Value LookUp'!$G$4:$H$104,2,TRUE))</f>
        <v/>
      </c>
      <c r="AQ97" s="94" t="str">
        <f t="shared" si="20"/>
        <v/>
      </c>
      <c r="AR97" s="46" t="str">
        <f>IF($AE97="","",VLOOKUP($AE97,'ORF Accuracy Value LookUp'!$G$4:$H$104,2,TRUE))</f>
        <v/>
      </c>
      <c r="AS97" s="140" t="str">
        <f t="shared" si="21"/>
        <v/>
      </c>
    </row>
    <row r="98" spans="1:45">
      <c r="A98" s="10"/>
      <c r="B98" s="12"/>
      <c r="C98" s="13"/>
      <c r="D98" s="14"/>
      <c r="E98" s="10"/>
      <c r="F98" s="11"/>
      <c r="G98" s="15"/>
      <c r="H98" s="87"/>
      <c r="I98" s="24"/>
      <c r="J98" s="24"/>
      <c r="K98" s="114" t="str">
        <f t="shared" si="12"/>
        <v/>
      </c>
      <c r="L98" s="24"/>
      <c r="M98" s="24"/>
      <c r="N98" s="24"/>
      <c r="O98" s="24"/>
      <c r="P98" s="97" t="str">
        <f t="shared" si="13"/>
        <v/>
      </c>
      <c r="Q98" s="113" t="str">
        <f t="shared" si="14"/>
        <v/>
      </c>
      <c r="R98" s="87"/>
      <c r="S98" s="24"/>
      <c r="T98" s="24"/>
      <c r="U98" s="78" t="str">
        <f t="shared" si="15"/>
        <v/>
      </c>
      <c r="V98" s="24"/>
      <c r="W98" s="24"/>
      <c r="X98" s="24"/>
      <c r="Y98" s="24"/>
      <c r="Z98" s="98" t="str">
        <f t="shared" si="16"/>
        <v/>
      </c>
      <c r="AA98" s="40" t="str">
        <f t="shared" si="22"/>
        <v/>
      </c>
      <c r="AB98" s="87"/>
      <c r="AC98" s="24"/>
      <c r="AD98" s="24"/>
      <c r="AE98" s="79" t="str">
        <f t="shared" si="17"/>
        <v/>
      </c>
      <c r="AF98" s="24"/>
      <c r="AG98" s="24"/>
      <c r="AH98" s="24"/>
      <c r="AI98" s="24"/>
      <c r="AJ98" s="99" t="str">
        <f t="shared" si="18"/>
        <v/>
      </c>
      <c r="AK98" s="31" t="str">
        <f t="shared" si="23"/>
        <v/>
      </c>
      <c r="AN98" s="139" t="str">
        <f>IF($K98="","",VLOOKUP($K98,'ORF Accuracy Value LookUp'!$G$4:$H$104,2,TRUE))</f>
        <v/>
      </c>
      <c r="AO98" s="94" t="str">
        <f t="shared" si="19"/>
        <v/>
      </c>
      <c r="AP98" s="47" t="str">
        <f>IF($U98="","",VLOOKUP($U98,'ORF Accuracy Value LookUp'!$G$4:$H$104,2,TRUE))</f>
        <v/>
      </c>
      <c r="AQ98" s="94" t="str">
        <f t="shared" si="20"/>
        <v/>
      </c>
      <c r="AR98" s="46" t="str">
        <f>IF($AE98="","",VLOOKUP($AE98,'ORF Accuracy Value LookUp'!$G$4:$H$104,2,TRUE))</f>
        <v/>
      </c>
      <c r="AS98" s="140" t="str">
        <f t="shared" si="21"/>
        <v/>
      </c>
    </row>
    <row r="99" spans="1:45">
      <c r="A99" s="10"/>
      <c r="B99" s="12"/>
      <c r="C99" s="13"/>
      <c r="D99" s="14"/>
      <c r="E99" s="10"/>
      <c r="F99" s="11"/>
      <c r="G99" s="15"/>
      <c r="H99" s="87"/>
      <c r="I99" s="24"/>
      <c r="J99" s="24"/>
      <c r="K99" s="114" t="str">
        <f t="shared" si="12"/>
        <v/>
      </c>
      <c r="L99" s="24"/>
      <c r="M99" s="24"/>
      <c r="N99" s="24"/>
      <c r="O99" s="24"/>
      <c r="P99" s="97" t="str">
        <f t="shared" si="13"/>
        <v/>
      </c>
      <c r="Q99" s="113" t="str">
        <f t="shared" si="14"/>
        <v/>
      </c>
      <c r="R99" s="87"/>
      <c r="S99" s="24"/>
      <c r="T99" s="24"/>
      <c r="U99" s="78" t="str">
        <f t="shared" si="15"/>
        <v/>
      </c>
      <c r="V99" s="24"/>
      <c r="W99" s="24"/>
      <c r="X99" s="24"/>
      <c r="Y99" s="24"/>
      <c r="Z99" s="98" t="str">
        <f t="shared" si="16"/>
        <v/>
      </c>
      <c r="AA99" s="40" t="str">
        <f t="shared" si="22"/>
        <v/>
      </c>
      <c r="AB99" s="87"/>
      <c r="AC99" s="24"/>
      <c r="AD99" s="24"/>
      <c r="AE99" s="79" t="str">
        <f t="shared" si="17"/>
        <v/>
      </c>
      <c r="AF99" s="24"/>
      <c r="AG99" s="24"/>
      <c r="AH99" s="24"/>
      <c r="AI99" s="24"/>
      <c r="AJ99" s="99" t="str">
        <f t="shared" si="18"/>
        <v/>
      </c>
      <c r="AK99" s="31" t="str">
        <f t="shared" si="23"/>
        <v/>
      </c>
      <c r="AN99" s="139" t="str">
        <f>IF($K99="","",VLOOKUP($K99,'ORF Accuracy Value LookUp'!$G$4:$H$104,2,TRUE))</f>
        <v/>
      </c>
      <c r="AO99" s="94" t="str">
        <f t="shared" si="19"/>
        <v/>
      </c>
      <c r="AP99" s="47" t="str">
        <f>IF($U99="","",VLOOKUP($U99,'ORF Accuracy Value LookUp'!$G$4:$H$104,2,TRUE))</f>
        <v/>
      </c>
      <c r="AQ99" s="94" t="str">
        <f t="shared" si="20"/>
        <v/>
      </c>
      <c r="AR99" s="46" t="str">
        <f>IF($AE99="","",VLOOKUP($AE99,'ORF Accuracy Value LookUp'!$G$4:$H$104,2,TRUE))</f>
        <v/>
      </c>
      <c r="AS99" s="140" t="str">
        <f t="shared" si="21"/>
        <v/>
      </c>
    </row>
    <row r="100" spans="1:45">
      <c r="A100" s="10"/>
      <c r="B100" s="12"/>
      <c r="C100" s="13"/>
      <c r="D100" s="14"/>
      <c r="E100" s="10"/>
      <c r="F100" s="11"/>
      <c r="G100" s="15"/>
      <c r="H100" s="87"/>
      <c r="I100" s="24"/>
      <c r="J100" s="24"/>
      <c r="K100" s="114" t="str">
        <f t="shared" si="12"/>
        <v/>
      </c>
      <c r="L100" s="24"/>
      <c r="M100" s="24"/>
      <c r="N100" s="24"/>
      <c r="O100" s="24"/>
      <c r="P100" s="97" t="str">
        <f t="shared" si="13"/>
        <v/>
      </c>
      <c r="Q100" s="113" t="str">
        <f t="shared" si="14"/>
        <v/>
      </c>
      <c r="R100" s="87"/>
      <c r="S100" s="24"/>
      <c r="T100" s="24"/>
      <c r="U100" s="78" t="str">
        <f t="shared" si="15"/>
        <v/>
      </c>
      <c r="V100" s="24"/>
      <c r="W100" s="24"/>
      <c r="X100" s="24"/>
      <c r="Y100" s="24"/>
      <c r="Z100" s="98" t="str">
        <f t="shared" si="16"/>
        <v/>
      </c>
      <c r="AA100" s="40" t="str">
        <f t="shared" si="22"/>
        <v/>
      </c>
      <c r="AB100" s="87"/>
      <c r="AC100" s="24"/>
      <c r="AD100" s="24"/>
      <c r="AE100" s="79" t="str">
        <f t="shared" si="17"/>
        <v/>
      </c>
      <c r="AF100" s="24"/>
      <c r="AG100" s="24"/>
      <c r="AH100" s="24"/>
      <c r="AI100" s="24"/>
      <c r="AJ100" s="99" t="str">
        <f t="shared" si="18"/>
        <v/>
      </c>
      <c r="AK100" s="31" t="str">
        <f t="shared" si="23"/>
        <v/>
      </c>
      <c r="AN100" s="139" t="str">
        <f>IF($K100="","",VLOOKUP($K100,'ORF Accuracy Value LookUp'!$G$4:$H$104,2,TRUE))</f>
        <v/>
      </c>
      <c r="AO100" s="94" t="str">
        <f t="shared" si="19"/>
        <v/>
      </c>
      <c r="AP100" s="47" t="str">
        <f>IF($U100="","",VLOOKUP($U100,'ORF Accuracy Value LookUp'!$G$4:$H$104,2,TRUE))</f>
        <v/>
      </c>
      <c r="AQ100" s="94" t="str">
        <f t="shared" si="20"/>
        <v/>
      </c>
      <c r="AR100" s="46" t="str">
        <f>IF($AE100="","",VLOOKUP($AE100,'ORF Accuracy Value LookUp'!$G$4:$H$104,2,TRUE))</f>
        <v/>
      </c>
      <c r="AS100" s="140" t="str">
        <f t="shared" si="21"/>
        <v/>
      </c>
    </row>
    <row r="101" spans="1:45">
      <c r="A101" s="10"/>
      <c r="B101" s="12"/>
      <c r="C101" s="13"/>
      <c r="D101" s="14"/>
      <c r="E101" s="10"/>
      <c r="F101" s="11"/>
      <c r="G101" s="15"/>
      <c r="H101" s="87"/>
      <c r="I101" s="24"/>
      <c r="J101" s="24"/>
      <c r="K101" s="114" t="str">
        <f t="shared" si="12"/>
        <v/>
      </c>
      <c r="L101" s="24"/>
      <c r="M101" s="24"/>
      <c r="N101" s="24"/>
      <c r="O101" s="24"/>
      <c r="P101" s="97" t="str">
        <f t="shared" si="13"/>
        <v/>
      </c>
      <c r="Q101" s="113" t="str">
        <f t="shared" si="14"/>
        <v/>
      </c>
      <c r="R101" s="87"/>
      <c r="S101" s="24"/>
      <c r="T101" s="24"/>
      <c r="U101" s="78" t="str">
        <f t="shared" si="15"/>
        <v/>
      </c>
      <c r="V101" s="24"/>
      <c r="W101" s="24"/>
      <c r="X101" s="24"/>
      <c r="Y101" s="24"/>
      <c r="Z101" s="98" t="str">
        <f t="shared" si="16"/>
        <v/>
      </c>
      <c r="AA101" s="40" t="str">
        <f t="shared" si="22"/>
        <v/>
      </c>
      <c r="AB101" s="87"/>
      <c r="AC101" s="24"/>
      <c r="AD101" s="24"/>
      <c r="AE101" s="79" t="str">
        <f t="shared" si="17"/>
        <v/>
      </c>
      <c r="AF101" s="24"/>
      <c r="AG101" s="24"/>
      <c r="AH101" s="24"/>
      <c r="AI101" s="24"/>
      <c r="AJ101" s="99" t="str">
        <f t="shared" si="18"/>
        <v/>
      </c>
      <c r="AK101" s="31" t="str">
        <f t="shared" si="23"/>
        <v/>
      </c>
      <c r="AN101" s="139" t="str">
        <f>IF($K101="","",VLOOKUP($K101,'ORF Accuracy Value LookUp'!$G$4:$H$104,2,TRUE))</f>
        <v/>
      </c>
      <c r="AO101" s="94" t="str">
        <f t="shared" si="19"/>
        <v/>
      </c>
      <c r="AP101" s="47" t="str">
        <f>IF($U101="","",VLOOKUP($U101,'ORF Accuracy Value LookUp'!$G$4:$H$104,2,TRUE))</f>
        <v/>
      </c>
      <c r="AQ101" s="94" t="str">
        <f t="shared" si="20"/>
        <v/>
      </c>
      <c r="AR101" s="46" t="str">
        <f>IF($AE101="","",VLOOKUP($AE101,'ORF Accuracy Value LookUp'!$G$4:$H$104,2,TRUE))</f>
        <v/>
      </c>
      <c r="AS101" s="140" t="str">
        <f t="shared" si="21"/>
        <v/>
      </c>
    </row>
    <row r="102" spans="1:45">
      <c r="A102" s="10"/>
      <c r="B102" s="12"/>
      <c r="C102" s="13"/>
      <c r="D102" s="14"/>
      <c r="E102" s="10"/>
      <c r="F102" s="11"/>
      <c r="G102" s="15"/>
      <c r="H102" s="87"/>
      <c r="I102" s="24"/>
      <c r="J102" s="24"/>
      <c r="K102" s="114" t="str">
        <f t="shared" si="12"/>
        <v/>
      </c>
      <c r="L102" s="24"/>
      <c r="M102" s="24"/>
      <c r="N102" s="24"/>
      <c r="O102" s="24"/>
      <c r="P102" s="97" t="str">
        <f t="shared" si="13"/>
        <v/>
      </c>
      <c r="Q102" s="113" t="str">
        <f t="shared" si="14"/>
        <v/>
      </c>
      <c r="R102" s="87"/>
      <c r="S102" s="24"/>
      <c r="T102" s="24"/>
      <c r="U102" s="78" t="str">
        <f t="shared" si="15"/>
        <v/>
      </c>
      <c r="V102" s="24"/>
      <c r="W102" s="24"/>
      <c r="X102" s="24"/>
      <c r="Y102" s="24"/>
      <c r="Z102" s="98" t="str">
        <f t="shared" si="16"/>
        <v/>
      </c>
      <c r="AA102" s="40" t="str">
        <f t="shared" si="22"/>
        <v/>
      </c>
      <c r="AB102" s="87"/>
      <c r="AC102" s="24"/>
      <c r="AD102" s="24"/>
      <c r="AE102" s="79" t="str">
        <f t="shared" si="17"/>
        <v/>
      </c>
      <c r="AF102" s="24"/>
      <c r="AG102" s="24"/>
      <c r="AH102" s="24"/>
      <c r="AI102" s="24"/>
      <c r="AJ102" s="99" t="str">
        <f t="shared" si="18"/>
        <v/>
      </c>
      <c r="AK102" s="31" t="str">
        <f t="shared" si="23"/>
        <v/>
      </c>
      <c r="AN102" s="139" t="str">
        <f>IF($K102="","",VLOOKUP($K102,'ORF Accuracy Value LookUp'!$G$4:$H$104,2,TRUE))</f>
        <v/>
      </c>
      <c r="AO102" s="94" t="str">
        <f t="shared" si="19"/>
        <v/>
      </c>
      <c r="AP102" s="47" t="str">
        <f>IF($U102="","",VLOOKUP($U102,'ORF Accuracy Value LookUp'!$G$4:$H$104,2,TRUE))</f>
        <v/>
      </c>
      <c r="AQ102" s="94" t="str">
        <f t="shared" si="20"/>
        <v/>
      </c>
      <c r="AR102" s="46" t="str">
        <f>IF($AE102="","",VLOOKUP($AE102,'ORF Accuracy Value LookUp'!$G$4:$H$104,2,TRUE))</f>
        <v/>
      </c>
      <c r="AS102" s="140" t="str">
        <f t="shared" si="21"/>
        <v/>
      </c>
    </row>
    <row r="103" spans="1:45">
      <c r="A103" s="10"/>
      <c r="B103" s="12"/>
      <c r="C103" s="13"/>
      <c r="D103" s="14"/>
      <c r="E103" s="10"/>
      <c r="F103" s="11"/>
      <c r="G103" s="15"/>
      <c r="H103" s="87"/>
      <c r="I103" s="24"/>
      <c r="J103" s="24"/>
      <c r="K103" s="114" t="str">
        <f t="shared" si="12"/>
        <v/>
      </c>
      <c r="L103" s="24"/>
      <c r="M103" s="24"/>
      <c r="N103" s="24"/>
      <c r="O103" s="24"/>
      <c r="P103" s="97" t="str">
        <f t="shared" si="13"/>
        <v/>
      </c>
      <c r="Q103" s="113" t="str">
        <f t="shared" si="14"/>
        <v/>
      </c>
      <c r="R103" s="87"/>
      <c r="S103" s="24"/>
      <c r="T103" s="24"/>
      <c r="U103" s="78" t="str">
        <f t="shared" si="15"/>
        <v/>
      </c>
      <c r="V103" s="24"/>
      <c r="W103" s="24"/>
      <c r="X103" s="24"/>
      <c r="Y103" s="24"/>
      <c r="Z103" s="98" t="str">
        <f t="shared" si="16"/>
        <v/>
      </c>
      <c r="AA103" s="40" t="str">
        <f t="shared" si="22"/>
        <v/>
      </c>
      <c r="AB103" s="87"/>
      <c r="AC103" s="24"/>
      <c r="AD103" s="24"/>
      <c r="AE103" s="79" t="str">
        <f t="shared" si="17"/>
        <v/>
      </c>
      <c r="AF103" s="24"/>
      <c r="AG103" s="24"/>
      <c r="AH103" s="24"/>
      <c r="AI103" s="24"/>
      <c r="AJ103" s="99" t="str">
        <f t="shared" si="18"/>
        <v/>
      </c>
      <c r="AK103" s="31" t="str">
        <f t="shared" si="23"/>
        <v/>
      </c>
      <c r="AN103" s="139" t="str">
        <f>IF($K103="","",VLOOKUP($K103,'ORF Accuracy Value LookUp'!$G$4:$H$104,2,TRUE))</f>
        <v/>
      </c>
      <c r="AO103" s="94" t="str">
        <f t="shared" si="19"/>
        <v/>
      </c>
      <c r="AP103" s="47" t="str">
        <f>IF($U103="","",VLOOKUP($U103,'ORF Accuracy Value LookUp'!$G$4:$H$104,2,TRUE))</f>
        <v/>
      </c>
      <c r="AQ103" s="94" t="str">
        <f t="shared" si="20"/>
        <v/>
      </c>
      <c r="AR103" s="46" t="str">
        <f>IF($AE103="","",VLOOKUP($AE103,'ORF Accuracy Value LookUp'!$G$4:$H$104,2,TRUE))</f>
        <v/>
      </c>
      <c r="AS103" s="140" t="str">
        <f t="shared" si="21"/>
        <v/>
      </c>
    </row>
    <row r="104" spans="1:45">
      <c r="A104" s="10"/>
      <c r="B104" s="12"/>
      <c r="C104" s="13"/>
      <c r="D104" s="14"/>
      <c r="E104" s="10"/>
      <c r="F104" s="11"/>
      <c r="G104" s="15"/>
      <c r="H104" s="87"/>
      <c r="I104" s="24"/>
      <c r="J104" s="24"/>
      <c r="K104" s="114" t="str">
        <f t="shared" si="12"/>
        <v/>
      </c>
      <c r="L104" s="24"/>
      <c r="M104" s="24"/>
      <c r="N104" s="24"/>
      <c r="O104" s="24"/>
      <c r="P104" s="97" t="str">
        <f t="shared" si="13"/>
        <v/>
      </c>
      <c r="Q104" s="113" t="str">
        <f t="shared" si="14"/>
        <v/>
      </c>
      <c r="R104" s="87"/>
      <c r="S104" s="24"/>
      <c r="T104" s="24"/>
      <c r="U104" s="78" t="str">
        <f t="shared" si="15"/>
        <v/>
      </c>
      <c r="V104" s="24"/>
      <c r="W104" s="24"/>
      <c r="X104" s="24"/>
      <c r="Y104" s="24"/>
      <c r="Z104" s="98" t="str">
        <f t="shared" si="16"/>
        <v/>
      </c>
      <c r="AA104" s="40" t="str">
        <f t="shared" si="22"/>
        <v/>
      </c>
      <c r="AB104" s="87"/>
      <c r="AC104" s="24"/>
      <c r="AD104" s="24"/>
      <c r="AE104" s="79" t="str">
        <f t="shared" si="17"/>
        <v/>
      </c>
      <c r="AF104" s="24"/>
      <c r="AG104" s="24"/>
      <c r="AH104" s="24"/>
      <c r="AI104" s="24"/>
      <c r="AJ104" s="99" t="str">
        <f t="shared" si="18"/>
        <v/>
      </c>
      <c r="AK104" s="31" t="str">
        <f t="shared" si="23"/>
        <v/>
      </c>
      <c r="AN104" s="139" t="str">
        <f>IF($K104="","",VLOOKUP($K104,'ORF Accuracy Value LookUp'!$G$4:$H$104,2,TRUE))</f>
        <v/>
      </c>
      <c r="AO104" s="94" t="str">
        <f t="shared" si="19"/>
        <v/>
      </c>
      <c r="AP104" s="47" t="str">
        <f>IF($U104="","",VLOOKUP($U104,'ORF Accuracy Value LookUp'!$G$4:$H$104,2,TRUE))</f>
        <v/>
      </c>
      <c r="AQ104" s="94" t="str">
        <f t="shared" si="20"/>
        <v/>
      </c>
      <c r="AR104" s="46" t="str">
        <f>IF($AE104="","",VLOOKUP($AE104,'ORF Accuracy Value LookUp'!$G$4:$H$104,2,TRUE))</f>
        <v/>
      </c>
      <c r="AS104" s="140" t="str">
        <f t="shared" si="21"/>
        <v/>
      </c>
    </row>
    <row r="105" spans="1:45">
      <c r="A105" s="10"/>
      <c r="B105" s="12"/>
      <c r="C105" s="13"/>
      <c r="D105" s="14"/>
      <c r="E105" s="10"/>
      <c r="F105" s="11"/>
      <c r="G105" s="15"/>
      <c r="H105" s="87"/>
      <c r="I105" s="24"/>
      <c r="J105" s="24"/>
      <c r="K105" s="114" t="str">
        <f t="shared" si="12"/>
        <v/>
      </c>
      <c r="L105" s="24"/>
      <c r="M105" s="24"/>
      <c r="N105" s="24"/>
      <c r="O105" s="24"/>
      <c r="P105" s="97" t="str">
        <f t="shared" si="13"/>
        <v/>
      </c>
      <c r="Q105" s="113" t="str">
        <f t="shared" si="14"/>
        <v/>
      </c>
      <c r="R105" s="87"/>
      <c r="S105" s="24"/>
      <c r="T105" s="24"/>
      <c r="U105" s="78" t="str">
        <f t="shared" si="15"/>
        <v/>
      </c>
      <c r="V105" s="24"/>
      <c r="W105" s="24"/>
      <c r="X105" s="24"/>
      <c r="Y105" s="24"/>
      <c r="Z105" s="98" t="str">
        <f t="shared" si="16"/>
        <v/>
      </c>
      <c r="AA105" s="40" t="str">
        <f t="shared" si="22"/>
        <v/>
      </c>
      <c r="AB105" s="87"/>
      <c r="AC105" s="24"/>
      <c r="AD105" s="24"/>
      <c r="AE105" s="79" t="str">
        <f t="shared" si="17"/>
        <v/>
      </c>
      <c r="AF105" s="24"/>
      <c r="AG105" s="24"/>
      <c r="AH105" s="24"/>
      <c r="AI105" s="24"/>
      <c r="AJ105" s="99" t="str">
        <f t="shared" si="18"/>
        <v/>
      </c>
      <c r="AK105" s="31" t="str">
        <f t="shared" si="23"/>
        <v/>
      </c>
      <c r="AN105" s="139" t="str">
        <f>IF($K105="","",VLOOKUP($K105,'ORF Accuracy Value LookUp'!$G$4:$H$104,2,TRUE))</f>
        <v/>
      </c>
      <c r="AO105" s="94" t="str">
        <f t="shared" si="19"/>
        <v/>
      </c>
      <c r="AP105" s="47" t="str">
        <f>IF($U105="","",VLOOKUP($U105,'ORF Accuracy Value LookUp'!$G$4:$H$104,2,TRUE))</f>
        <v/>
      </c>
      <c r="AQ105" s="94" t="str">
        <f t="shared" si="20"/>
        <v/>
      </c>
      <c r="AR105" s="46" t="str">
        <f>IF($AE105="","",VLOOKUP($AE105,'ORF Accuracy Value LookUp'!$G$4:$H$104,2,TRUE))</f>
        <v/>
      </c>
      <c r="AS105" s="140" t="str">
        <f t="shared" si="21"/>
        <v/>
      </c>
    </row>
    <row r="106" spans="1:45">
      <c r="A106" s="10"/>
      <c r="B106" s="12"/>
      <c r="C106" s="13"/>
      <c r="D106" s="14"/>
      <c r="E106" s="10"/>
      <c r="F106" s="11"/>
      <c r="G106" s="15"/>
      <c r="H106" s="87"/>
      <c r="I106" s="24"/>
      <c r="J106" s="24"/>
      <c r="K106" s="114" t="str">
        <f t="shared" si="12"/>
        <v/>
      </c>
      <c r="L106" s="24"/>
      <c r="M106" s="24"/>
      <c r="N106" s="24"/>
      <c r="O106" s="24"/>
      <c r="P106" s="97" t="str">
        <f t="shared" si="13"/>
        <v/>
      </c>
      <c r="Q106" s="113" t="str">
        <f t="shared" si="14"/>
        <v/>
      </c>
      <c r="R106" s="87"/>
      <c r="S106" s="24"/>
      <c r="T106" s="24"/>
      <c r="U106" s="78" t="str">
        <f t="shared" si="15"/>
        <v/>
      </c>
      <c r="V106" s="24"/>
      <c r="W106" s="24"/>
      <c r="X106" s="24"/>
      <c r="Y106" s="24"/>
      <c r="Z106" s="98" t="str">
        <f t="shared" si="16"/>
        <v/>
      </c>
      <c r="AA106" s="40" t="str">
        <f t="shared" si="22"/>
        <v/>
      </c>
      <c r="AB106" s="87"/>
      <c r="AC106" s="24"/>
      <c r="AD106" s="24"/>
      <c r="AE106" s="79" t="str">
        <f t="shared" si="17"/>
        <v/>
      </c>
      <c r="AF106" s="24"/>
      <c r="AG106" s="24"/>
      <c r="AH106" s="24"/>
      <c r="AI106" s="24"/>
      <c r="AJ106" s="99" t="str">
        <f t="shared" si="18"/>
        <v/>
      </c>
      <c r="AK106" s="31" t="str">
        <f t="shared" si="23"/>
        <v/>
      </c>
      <c r="AN106" s="139" t="str">
        <f>IF($K106="","",VLOOKUP($K106,'ORF Accuracy Value LookUp'!$G$4:$H$104,2,TRUE))</f>
        <v/>
      </c>
      <c r="AO106" s="94" t="str">
        <f t="shared" si="19"/>
        <v/>
      </c>
      <c r="AP106" s="47" t="str">
        <f>IF($U106="","",VLOOKUP($U106,'ORF Accuracy Value LookUp'!$G$4:$H$104,2,TRUE))</f>
        <v/>
      </c>
      <c r="AQ106" s="94" t="str">
        <f t="shared" si="20"/>
        <v/>
      </c>
      <c r="AR106" s="46" t="str">
        <f>IF($AE106="","",VLOOKUP($AE106,'ORF Accuracy Value LookUp'!$G$4:$H$104,2,TRUE))</f>
        <v/>
      </c>
      <c r="AS106" s="140" t="str">
        <f t="shared" si="21"/>
        <v/>
      </c>
    </row>
    <row r="107" spans="1:45">
      <c r="A107" s="10"/>
      <c r="B107" s="12"/>
      <c r="C107" s="13"/>
      <c r="D107" s="14"/>
      <c r="E107" s="10"/>
      <c r="F107" s="11"/>
      <c r="G107" s="15"/>
      <c r="H107" s="87"/>
      <c r="I107" s="24"/>
      <c r="J107" s="24"/>
      <c r="K107" s="114" t="str">
        <f t="shared" si="12"/>
        <v/>
      </c>
      <c r="L107" s="24"/>
      <c r="M107" s="24"/>
      <c r="N107" s="24"/>
      <c r="O107" s="24"/>
      <c r="P107" s="97" t="str">
        <f t="shared" si="13"/>
        <v/>
      </c>
      <c r="Q107" s="113" t="str">
        <f t="shared" si="14"/>
        <v/>
      </c>
      <c r="R107" s="87"/>
      <c r="S107" s="24"/>
      <c r="T107" s="24"/>
      <c r="U107" s="78" t="str">
        <f t="shared" si="15"/>
        <v/>
      </c>
      <c r="V107" s="24"/>
      <c r="W107" s="24"/>
      <c r="X107" s="24"/>
      <c r="Y107" s="24"/>
      <c r="Z107" s="98" t="str">
        <f t="shared" si="16"/>
        <v/>
      </c>
      <c r="AA107" s="40" t="str">
        <f t="shared" si="22"/>
        <v/>
      </c>
      <c r="AB107" s="87"/>
      <c r="AC107" s="24"/>
      <c r="AD107" s="24"/>
      <c r="AE107" s="79" t="str">
        <f t="shared" si="17"/>
        <v/>
      </c>
      <c r="AF107" s="24"/>
      <c r="AG107" s="24"/>
      <c r="AH107" s="24"/>
      <c r="AI107" s="24"/>
      <c r="AJ107" s="99" t="str">
        <f t="shared" si="18"/>
        <v/>
      </c>
      <c r="AK107" s="31" t="str">
        <f t="shared" si="23"/>
        <v/>
      </c>
      <c r="AN107" s="139" t="str">
        <f>IF($K107="","",VLOOKUP($K107,'ORF Accuracy Value LookUp'!$G$4:$H$104,2,TRUE))</f>
        <v/>
      </c>
      <c r="AO107" s="94" t="str">
        <f t="shared" si="19"/>
        <v/>
      </c>
      <c r="AP107" s="47" t="str">
        <f>IF($U107="","",VLOOKUP($U107,'ORF Accuracy Value LookUp'!$G$4:$H$104,2,TRUE))</f>
        <v/>
      </c>
      <c r="AQ107" s="94" t="str">
        <f t="shared" si="20"/>
        <v/>
      </c>
      <c r="AR107" s="46" t="str">
        <f>IF($AE107="","",VLOOKUP($AE107,'ORF Accuracy Value LookUp'!$G$4:$H$104,2,TRUE))</f>
        <v/>
      </c>
      <c r="AS107" s="140" t="str">
        <f t="shared" si="21"/>
        <v/>
      </c>
    </row>
    <row r="108" spans="1:45">
      <c r="A108" s="10"/>
      <c r="B108" s="12"/>
      <c r="C108" s="13"/>
      <c r="D108" s="14"/>
      <c r="E108" s="10"/>
      <c r="F108" s="11"/>
      <c r="G108" s="15"/>
      <c r="H108" s="87"/>
      <c r="I108" s="24"/>
      <c r="J108" s="24"/>
      <c r="K108" s="114" t="str">
        <f t="shared" si="12"/>
        <v/>
      </c>
      <c r="L108" s="24"/>
      <c r="M108" s="24"/>
      <c r="N108" s="24"/>
      <c r="O108" s="24"/>
      <c r="P108" s="97" t="str">
        <f t="shared" si="13"/>
        <v/>
      </c>
      <c r="Q108" s="113" t="str">
        <f t="shared" si="14"/>
        <v/>
      </c>
      <c r="R108" s="87"/>
      <c r="S108" s="24"/>
      <c r="T108" s="24"/>
      <c r="U108" s="78" t="str">
        <f t="shared" si="15"/>
        <v/>
      </c>
      <c r="V108" s="24"/>
      <c r="W108" s="24"/>
      <c r="X108" s="24"/>
      <c r="Y108" s="24"/>
      <c r="Z108" s="98" t="str">
        <f t="shared" si="16"/>
        <v/>
      </c>
      <c r="AA108" s="40" t="str">
        <f t="shared" si="22"/>
        <v/>
      </c>
      <c r="AB108" s="87"/>
      <c r="AC108" s="24"/>
      <c r="AD108" s="24"/>
      <c r="AE108" s="79" t="str">
        <f t="shared" si="17"/>
        <v/>
      </c>
      <c r="AF108" s="24"/>
      <c r="AG108" s="24"/>
      <c r="AH108" s="24"/>
      <c r="AI108" s="24"/>
      <c r="AJ108" s="99" t="str">
        <f t="shared" si="18"/>
        <v/>
      </c>
      <c r="AK108" s="31" t="str">
        <f t="shared" si="23"/>
        <v/>
      </c>
      <c r="AN108" s="139" t="str">
        <f>IF($K108="","",VLOOKUP($K108,'ORF Accuracy Value LookUp'!$G$4:$H$104,2,TRUE))</f>
        <v/>
      </c>
      <c r="AO108" s="94" t="str">
        <f t="shared" si="19"/>
        <v/>
      </c>
      <c r="AP108" s="47" t="str">
        <f>IF($U108="","",VLOOKUP($U108,'ORF Accuracy Value LookUp'!$G$4:$H$104,2,TRUE))</f>
        <v/>
      </c>
      <c r="AQ108" s="94" t="str">
        <f t="shared" si="20"/>
        <v/>
      </c>
      <c r="AR108" s="46" t="str">
        <f>IF($AE108="","",VLOOKUP($AE108,'ORF Accuracy Value LookUp'!$G$4:$H$104,2,TRUE))</f>
        <v/>
      </c>
      <c r="AS108" s="140" t="str">
        <f t="shared" si="21"/>
        <v/>
      </c>
    </row>
    <row r="109" spans="1:45">
      <c r="A109" s="10"/>
      <c r="B109" s="12"/>
      <c r="C109" s="13"/>
      <c r="D109" s="14"/>
      <c r="E109" s="10"/>
      <c r="F109" s="11"/>
      <c r="G109" s="15"/>
      <c r="H109" s="87"/>
      <c r="I109" s="24"/>
      <c r="J109" s="24"/>
      <c r="K109" s="114" t="str">
        <f t="shared" si="12"/>
        <v/>
      </c>
      <c r="L109" s="24"/>
      <c r="M109" s="24"/>
      <c r="N109" s="24"/>
      <c r="O109" s="24"/>
      <c r="P109" s="97" t="str">
        <f t="shared" si="13"/>
        <v/>
      </c>
      <c r="Q109" s="113" t="str">
        <f t="shared" si="14"/>
        <v/>
      </c>
      <c r="R109" s="87"/>
      <c r="S109" s="24"/>
      <c r="T109" s="24"/>
      <c r="U109" s="78" t="str">
        <f t="shared" si="15"/>
        <v/>
      </c>
      <c r="V109" s="24"/>
      <c r="W109" s="24"/>
      <c r="X109" s="24"/>
      <c r="Y109" s="24"/>
      <c r="Z109" s="98" t="str">
        <f t="shared" si="16"/>
        <v/>
      </c>
      <c r="AA109" s="40" t="str">
        <f t="shared" si="22"/>
        <v/>
      </c>
      <c r="AB109" s="87"/>
      <c r="AC109" s="24"/>
      <c r="AD109" s="24"/>
      <c r="AE109" s="79" t="str">
        <f t="shared" si="17"/>
        <v/>
      </c>
      <c r="AF109" s="24"/>
      <c r="AG109" s="24"/>
      <c r="AH109" s="24"/>
      <c r="AI109" s="24"/>
      <c r="AJ109" s="99" t="str">
        <f t="shared" si="18"/>
        <v/>
      </c>
      <c r="AK109" s="31" t="str">
        <f t="shared" si="23"/>
        <v/>
      </c>
      <c r="AN109" s="139" t="str">
        <f>IF($K109="","",VLOOKUP($K109,'ORF Accuracy Value LookUp'!$G$4:$H$104,2,TRUE))</f>
        <v/>
      </c>
      <c r="AO109" s="94" t="str">
        <f t="shared" si="19"/>
        <v/>
      </c>
      <c r="AP109" s="47" t="str">
        <f>IF($U109="","",VLOOKUP($U109,'ORF Accuracy Value LookUp'!$G$4:$H$104,2,TRUE))</f>
        <v/>
      </c>
      <c r="AQ109" s="94" t="str">
        <f t="shared" si="20"/>
        <v/>
      </c>
      <c r="AR109" s="46" t="str">
        <f>IF($AE109="","",VLOOKUP($AE109,'ORF Accuracy Value LookUp'!$G$4:$H$104,2,TRUE))</f>
        <v/>
      </c>
      <c r="AS109" s="140" t="str">
        <f t="shared" si="21"/>
        <v/>
      </c>
    </row>
    <row r="110" spans="1:45">
      <c r="A110" s="10"/>
      <c r="B110" s="12"/>
      <c r="C110" s="13"/>
      <c r="D110" s="14"/>
      <c r="E110" s="10"/>
      <c r="F110" s="11"/>
      <c r="G110" s="15"/>
      <c r="H110" s="87"/>
      <c r="I110" s="24"/>
      <c r="J110" s="24"/>
      <c r="K110" s="114" t="str">
        <f t="shared" si="12"/>
        <v/>
      </c>
      <c r="L110" s="24"/>
      <c r="M110" s="24"/>
      <c r="N110" s="24"/>
      <c r="O110" s="24"/>
      <c r="P110" s="97" t="str">
        <f t="shared" si="13"/>
        <v/>
      </c>
      <c r="Q110" s="113" t="str">
        <f t="shared" si="14"/>
        <v/>
      </c>
      <c r="R110" s="87"/>
      <c r="S110" s="24"/>
      <c r="T110" s="24"/>
      <c r="U110" s="78" t="str">
        <f t="shared" si="15"/>
        <v/>
      </c>
      <c r="V110" s="24"/>
      <c r="W110" s="24"/>
      <c r="X110" s="24"/>
      <c r="Y110" s="24"/>
      <c r="Z110" s="98" t="str">
        <f t="shared" si="16"/>
        <v/>
      </c>
      <c r="AA110" s="40" t="str">
        <f t="shared" si="22"/>
        <v/>
      </c>
      <c r="AB110" s="87"/>
      <c r="AC110" s="24"/>
      <c r="AD110" s="24"/>
      <c r="AE110" s="79" t="str">
        <f t="shared" si="17"/>
        <v/>
      </c>
      <c r="AF110" s="24"/>
      <c r="AG110" s="24"/>
      <c r="AH110" s="24"/>
      <c r="AI110" s="24"/>
      <c r="AJ110" s="99" t="str">
        <f t="shared" si="18"/>
        <v/>
      </c>
      <c r="AK110" s="31" t="str">
        <f t="shared" si="23"/>
        <v/>
      </c>
      <c r="AN110" s="139" t="str">
        <f>IF($K110="","",VLOOKUP($K110,'ORF Accuracy Value LookUp'!$G$4:$H$104,2,TRUE))</f>
        <v/>
      </c>
      <c r="AO110" s="94" t="str">
        <f t="shared" si="19"/>
        <v/>
      </c>
      <c r="AP110" s="47" t="str">
        <f>IF($U110="","",VLOOKUP($U110,'ORF Accuracy Value LookUp'!$G$4:$H$104,2,TRUE))</f>
        <v/>
      </c>
      <c r="AQ110" s="94" t="str">
        <f t="shared" si="20"/>
        <v/>
      </c>
      <c r="AR110" s="46" t="str">
        <f>IF($AE110="","",VLOOKUP($AE110,'ORF Accuracy Value LookUp'!$G$4:$H$104,2,TRUE))</f>
        <v/>
      </c>
      <c r="AS110" s="140" t="str">
        <f t="shared" si="21"/>
        <v/>
      </c>
    </row>
    <row r="111" spans="1:45">
      <c r="A111" s="10"/>
      <c r="B111" s="12"/>
      <c r="C111" s="13"/>
      <c r="D111" s="14"/>
      <c r="E111" s="10"/>
      <c r="F111" s="11"/>
      <c r="G111" s="15"/>
      <c r="H111" s="87"/>
      <c r="I111" s="24"/>
      <c r="J111" s="24"/>
      <c r="K111" s="114" t="str">
        <f t="shared" si="12"/>
        <v/>
      </c>
      <c r="L111" s="24"/>
      <c r="M111" s="24"/>
      <c r="N111" s="24"/>
      <c r="O111" s="24"/>
      <c r="P111" s="97" t="str">
        <f t="shared" si="13"/>
        <v/>
      </c>
      <c r="Q111" s="113" t="str">
        <f t="shared" si="14"/>
        <v/>
      </c>
      <c r="R111" s="87"/>
      <c r="S111" s="24"/>
      <c r="T111" s="24"/>
      <c r="U111" s="78" t="str">
        <f t="shared" si="15"/>
        <v/>
      </c>
      <c r="V111" s="24"/>
      <c r="W111" s="24"/>
      <c r="X111" s="24"/>
      <c r="Y111" s="24"/>
      <c r="Z111" s="98" t="str">
        <f t="shared" si="16"/>
        <v/>
      </c>
      <c r="AA111" s="40" t="str">
        <f t="shared" si="22"/>
        <v/>
      </c>
      <c r="AB111" s="87"/>
      <c r="AC111" s="24"/>
      <c r="AD111" s="24"/>
      <c r="AE111" s="79" t="str">
        <f t="shared" si="17"/>
        <v/>
      </c>
      <c r="AF111" s="24"/>
      <c r="AG111" s="24"/>
      <c r="AH111" s="24"/>
      <c r="AI111" s="24"/>
      <c r="AJ111" s="99" t="str">
        <f t="shared" si="18"/>
        <v/>
      </c>
      <c r="AK111" s="31" t="str">
        <f t="shared" si="23"/>
        <v/>
      </c>
      <c r="AN111" s="139" t="str">
        <f>IF($K111="","",VLOOKUP($K111,'ORF Accuracy Value LookUp'!$G$4:$H$104,2,TRUE))</f>
        <v/>
      </c>
      <c r="AO111" s="94" t="str">
        <f t="shared" si="19"/>
        <v/>
      </c>
      <c r="AP111" s="47" t="str">
        <f>IF($U111="","",VLOOKUP($U111,'ORF Accuracy Value LookUp'!$G$4:$H$104,2,TRUE))</f>
        <v/>
      </c>
      <c r="AQ111" s="94" t="str">
        <f t="shared" si="20"/>
        <v/>
      </c>
      <c r="AR111" s="46" t="str">
        <f>IF($AE111="","",VLOOKUP($AE111,'ORF Accuracy Value LookUp'!$G$4:$H$104,2,TRUE))</f>
        <v/>
      </c>
      <c r="AS111" s="140" t="str">
        <f t="shared" si="21"/>
        <v/>
      </c>
    </row>
    <row r="112" spans="1:45">
      <c r="A112" s="10"/>
      <c r="B112" s="12"/>
      <c r="C112" s="13"/>
      <c r="D112" s="14"/>
      <c r="E112" s="10"/>
      <c r="F112" s="11"/>
      <c r="G112" s="15"/>
      <c r="H112" s="87"/>
      <c r="I112" s="24"/>
      <c r="J112" s="24"/>
      <c r="K112" s="114" t="str">
        <f t="shared" si="12"/>
        <v/>
      </c>
      <c r="L112" s="24"/>
      <c r="M112" s="24"/>
      <c r="N112" s="24"/>
      <c r="O112" s="24"/>
      <c r="P112" s="97" t="str">
        <f t="shared" si="13"/>
        <v/>
      </c>
      <c r="Q112" s="113" t="str">
        <f t="shared" si="14"/>
        <v/>
      </c>
      <c r="R112" s="87"/>
      <c r="S112" s="24"/>
      <c r="T112" s="24"/>
      <c r="U112" s="78" t="str">
        <f t="shared" si="15"/>
        <v/>
      </c>
      <c r="V112" s="24"/>
      <c r="W112" s="24"/>
      <c r="X112" s="24"/>
      <c r="Y112" s="24"/>
      <c r="Z112" s="98" t="str">
        <f t="shared" si="16"/>
        <v/>
      </c>
      <c r="AA112" s="40" t="str">
        <f t="shared" si="22"/>
        <v/>
      </c>
      <c r="AB112" s="87"/>
      <c r="AC112" s="24"/>
      <c r="AD112" s="24"/>
      <c r="AE112" s="79" t="str">
        <f t="shared" si="17"/>
        <v/>
      </c>
      <c r="AF112" s="24"/>
      <c r="AG112" s="24"/>
      <c r="AH112" s="24"/>
      <c r="AI112" s="24"/>
      <c r="AJ112" s="99" t="str">
        <f t="shared" si="18"/>
        <v/>
      </c>
      <c r="AK112" s="31" t="str">
        <f t="shared" si="23"/>
        <v/>
      </c>
      <c r="AN112" s="139" t="str">
        <f>IF($K112="","",VLOOKUP($K112,'ORF Accuracy Value LookUp'!$G$4:$H$104,2,TRUE))</f>
        <v/>
      </c>
      <c r="AO112" s="94" t="str">
        <f t="shared" si="19"/>
        <v/>
      </c>
      <c r="AP112" s="47" t="str">
        <f>IF($U112="","",VLOOKUP($U112,'ORF Accuracy Value LookUp'!$G$4:$H$104,2,TRUE))</f>
        <v/>
      </c>
      <c r="AQ112" s="94" t="str">
        <f t="shared" si="20"/>
        <v/>
      </c>
      <c r="AR112" s="46" t="str">
        <f>IF($AE112="","",VLOOKUP($AE112,'ORF Accuracy Value LookUp'!$G$4:$H$104,2,TRUE))</f>
        <v/>
      </c>
      <c r="AS112" s="140" t="str">
        <f t="shared" si="21"/>
        <v/>
      </c>
    </row>
    <row r="113" spans="1:45">
      <c r="A113" s="10"/>
      <c r="B113" s="12"/>
      <c r="C113" s="13"/>
      <c r="D113" s="14"/>
      <c r="E113" s="10"/>
      <c r="F113" s="11"/>
      <c r="G113" s="15"/>
      <c r="H113" s="87"/>
      <c r="I113" s="24"/>
      <c r="J113" s="24"/>
      <c r="K113" s="114" t="str">
        <f t="shared" si="12"/>
        <v/>
      </c>
      <c r="L113" s="24"/>
      <c r="M113" s="24"/>
      <c r="N113" s="24"/>
      <c r="O113" s="24"/>
      <c r="P113" s="97" t="str">
        <f t="shared" si="13"/>
        <v/>
      </c>
      <c r="Q113" s="113" t="str">
        <f t="shared" si="14"/>
        <v/>
      </c>
      <c r="R113" s="87"/>
      <c r="S113" s="24"/>
      <c r="T113" s="24"/>
      <c r="U113" s="78" t="str">
        <f t="shared" si="15"/>
        <v/>
      </c>
      <c r="V113" s="24"/>
      <c r="W113" s="24"/>
      <c r="X113" s="24"/>
      <c r="Y113" s="24"/>
      <c r="Z113" s="98" t="str">
        <f t="shared" si="16"/>
        <v/>
      </c>
      <c r="AA113" s="40" t="str">
        <f t="shared" si="22"/>
        <v/>
      </c>
      <c r="AB113" s="87"/>
      <c r="AC113" s="24"/>
      <c r="AD113" s="24"/>
      <c r="AE113" s="79" t="str">
        <f t="shared" si="17"/>
        <v/>
      </c>
      <c r="AF113" s="24"/>
      <c r="AG113" s="24"/>
      <c r="AH113" s="24"/>
      <c r="AI113" s="24"/>
      <c r="AJ113" s="99" t="str">
        <f t="shared" si="18"/>
        <v/>
      </c>
      <c r="AK113" s="31" t="str">
        <f t="shared" si="23"/>
        <v/>
      </c>
      <c r="AN113" s="139" t="str">
        <f>IF($K113="","",VLOOKUP($K113,'ORF Accuracy Value LookUp'!$G$4:$H$104,2,TRUE))</f>
        <v/>
      </c>
      <c r="AO113" s="94" t="str">
        <f t="shared" si="19"/>
        <v/>
      </c>
      <c r="AP113" s="47" t="str">
        <f>IF($U113="","",VLOOKUP($U113,'ORF Accuracy Value LookUp'!$G$4:$H$104,2,TRUE))</f>
        <v/>
      </c>
      <c r="AQ113" s="94" t="str">
        <f t="shared" si="20"/>
        <v/>
      </c>
      <c r="AR113" s="46" t="str">
        <f>IF($AE113="","",VLOOKUP($AE113,'ORF Accuracy Value LookUp'!$G$4:$H$104,2,TRUE))</f>
        <v/>
      </c>
      <c r="AS113" s="140" t="str">
        <f t="shared" si="21"/>
        <v/>
      </c>
    </row>
    <row r="114" spans="1:45">
      <c r="A114" s="10"/>
      <c r="B114" s="12"/>
      <c r="C114" s="13"/>
      <c r="D114" s="14"/>
      <c r="E114" s="10"/>
      <c r="F114" s="11"/>
      <c r="G114" s="15"/>
      <c r="H114" s="87"/>
      <c r="I114" s="24"/>
      <c r="J114" s="24"/>
      <c r="K114" s="114" t="str">
        <f t="shared" si="12"/>
        <v/>
      </c>
      <c r="L114" s="24"/>
      <c r="M114" s="24"/>
      <c r="N114" s="24"/>
      <c r="O114" s="24"/>
      <c r="P114" s="97" t="str">
        <f t="shared" si="13"/>
        <v/>
      </c>
      <c r="Q114" s="113" t="str">
        <f t="shared" si="14"/>
        <v/>
      </c>
      <c r="R114" s="87"/>
      <c r="S114" s="24"/>
      <c r="T114" s="24"/>
      <c r="U114" s="78" t="str">
        <f t="shared" si="15"/>
        <v/>
      </c>
      <c r="V114" s="24"/>
      <c r="W114" s="24"/>
      <c r="X114" s="24"/>
      <c r="Y114" s="24"/>
      <c r="Z114" s="98" t="str">
        <f t="shared" si="16"/>
        <v/>
      </c>
      <c r="AA114" s="40" t="str">
        <f t="shared" si="22"/>
        <v/>
      </c>
      <c r="AB114" s="87"/>
      <c r="AC114" s="24"/>
      <c r="AD114" s="24"/>
      <c r="AE114" s="79" t="str">
        <f t="shared" si="17"/>
        <v/>
      </c>
      <c r="AF114" s="24"/>
      <c r="AG114" s="24"/>
      <c r="AH114" s="24"/>
      <c r="AI114" s="24"/>
      <c r="AJ114" s="99" t="str">
        <f t="shared" si="18"/>
        <v/>
      </c>
      <c r="AK114" s="31" t="str">
        <f t="shared" si="23"/>
        <v/>
      </c>
      <c r="AN114" s="139" t="str">
        <f>IF($K114="","",VLOOKUP($K114,'ORF Accuracy Value LookUp'!$G$4:$H$104,2,TRUE))</f>
        <v/>
      </c>
      <c r="AO114" s="94" t="str">
        <f t="shared" si="19"/>
        <v/>
      </c>
      <c r="AP114" s="47" t="str">
        <f>IF($U114="","",VLOOKUP($U114,'ORF Accuracy Value LookUp'!$G$4:$H$104,2,TRUE))</f>
        <v/>
      </c>
      <c r="AQ114" s="94" t="str">
        <f t="shared" si="20"/>
        <v/>
      </c>
      <c r="AR114" s="46" t="str">
        <f>IF($AE114="","",VLOOKUP($AE114,'ORF Accuracy Value LookUp'!$G$4:$H$104,2,TRUE))</f>
        <v/>
      </c>
      <c r="AS114" s="140" t="str">
        <f t="shared" si="21"/>
        <v/>
      </c>
    </row>
    <row r="115" spans="1:45">
      <c r="A115" s="10"/>
      <c r="B115" s="12"/>
      <c r="C115" s="13"/>
      <c r="D115" s="14"/>
      <c r="E115" s="10"/>
      <c r="F115" s="11"/>
      <c r="G115" s="15"/>
      <c r="H115" s="87"/>
      <c r="I115" s="24"/>
      <c r="J115" s="24"/>
      <c r="K115" s="114" t="str">
        <f t="shared" si="12"/>
        <v/>
      </c>
      <c r="L115" s="24"/>
      <c r="M115" s="24"/>
      <c r="N115" s="24"/>
      <c r="O115" s="24"/>
      <c r="P115" s="97" t="str">
        <f t="shared" si="13"/>
        <v/>
      </c>
      <c r="Q115" s="113" t="str">
        <f t="shared" si="14"/>
        <v/>
      </c>
      <c r="R115" s="87"/>
      <c r="S115" s="24"/>
      <c r="T115" s="24"/>
      <c r="U115" s="78" t="str">
        <f t="shared" si="15"/>
        <v/>
      </c>
      <c r="V115" s="24"/>
      <c r="W115" s="24"/>
      <c r="X115" s="24"/>
      <c r="Y115" s="24"/>
      <c r="Z115" s="98" t="str">
        <f t="shared" si="16"/>
        <v/>
      </c>
      <c r="AA115" s="40" t="str">
        <f t="shared" si="22"/>
        <v/>
      </c>
      <c r="AB115" s="87"/>
      <c r="AC115" s="24"/>
      <c r="AD115" s="24"/>
      <c r="AE115" s="79" t="str">
        <f t="shared" si="17"/>
        <v/>
      </c>
      <c r="AF115" s="24"/>
      <c r="AG115" s="24"/>
      <c r="AH115" s="24"/>
      <c r="AI115" s="24"/>
      <c r="AJ115" s="99" t="str">
        <f t="shared" si="18"/>
        <v/>
      </c>
      <c r="AK115" s="31" t="str">
        <f t="shared" si="23"/>
        <v/>
      </c>
      <c r="AN115" s="139" t="str">
        <f>IF($K115="","",VLOOKUP($K115,'ORF Accuracy Value LookUp'!$G$4:$H$104,2,TRUE))</f>
        <v/>
      </c>
      <c r="AO115" s="94" t="str">
        <f t="shared" si="19"/>
        <v/>
      </c>
      <c r="AP115" s="47" t="str">
        <f>IF($U115="","",VLOOKUP($U115,'ORF Accuracy Value LookUp'!$G$4:$H$104,2,TRUE))</f>
        <v/>
      </c>
      <c r="AQ115" s="94" t="str">
        <f t="shared" si="20"/>
        <v/>
      </c>
      <c r="AR115" s="46" t="str">
        <f>IF($AE115="","",VLOOKUP($AE115,'ORF Accuracy Value LookUp'!$G$4:$H$104,2,TRUE))</f>
        <v/>
      </c>
      <c r="AS115" s="140" t="str">
        <f t="shared" si="21"/>
        <v/>
      </c>
    </row>
    <row r="116" spans="1:45">
      <c r="A116" s="10"/>
      <c r="B116" s="12"/>
      <c r="C116" s="13"/>
      <c r="D116" s="14"/>
      <c r="E116" s="10"/>
      <c r="F116" s="11"/>
      <c r="G116" s="15"/>
      <c r="H116" s="87"/>
      <c r="I116" s="24"/>
      <c r="J116" s="24"/>
      <c r="K116" s="114" t="str">
        <f t="shared" si="12"/>
        <v/>
      </c>
      <c r="L116" s="24"/>
      <c r="M116" s="24"/>
      <c r="N116" s="24"/>
      <c r="O116" s="24"/>
      <c r="P116" s="97" t="str">
        <f t="shared" si="13"/>
        <v/>
      </c>
      <c r="Q116" s="113" t="str">
        <f t="shared" si="14"/>
        <v/>
      </c>
      <c r="R116" s="87"/>
      <c r="S116" s="24"/>
      <c r="T116" s="24"/>
      <c r="U116" s="78" t="str">
        <f t="shared" si="15"/>
        <v/>
      </c>
      <c r="V116" s="24"/>
      <c r="W116" s="24"/>
      <c r="X116" s="24"/>
      <c r="Y116" s="24"/>
      <c r="Z116" s="98" t="str">
        <f t="shared" si="16"/>
        <v/>
      </c>
      <c r="AA116" s="40" t="str">
        <f t="shared" si="22"/>
        <v/>
      </c>
      <c r="AB116" s="87"/>
      <c r="AC116" s="24"/>
      <c r="AD116" s="24"/>
      <c r="AE116" s="79" t="str">
        <f t="shared" si="17"/>
        <v/>
      </c>
      <c r="AF116" s="24"/>
      <c r="AG116" s="24"/>
      <c r="AH116" s="24"/>
      <c r="AI116" s="24"/>
      <c r="AJ116" s="99" t="str">
        <f t="shared" si="18"/>
        <v/>
      </c>
      <c r="AK116" s="31" t="str">
        <f t="shared" si="23"/>
        <v/>
      </c>
      <c r="AN116" s="139" t="str">
        <f>IF($K116="","",VLOOKUP($K116,'ORF Accuracy Value LookUp'!$G$4:$H$104,2,TRUE))</f>
        <v/>
      </c>
      <c r="AO116" s="94" t="str">
        <f t="shared" si="19"/>
        <v/>
      </c>
      <c r="AP116" s="47" t="str">
        <f>IF($U116="","",VLOOKUP($U116,'ORF Accuracy Value LookUp'!$G$4:$H$104,2,TRUE))</f>
        <v/>
      </c>
      <c r="AQ116" s="94" t="str">
        <f t="shared" si="20"/>
        <v/>
      </c>
      <c r="AR116" s="46" t="str">
        <f>IF($AE116="","",VLOOKUP($AE116,'ORF Accuracy Value LookUp'!$G$4:$H$104,2,TRUE))</f>
        <v/>
      </c>
      <c r="AS116" s="140" t="str">
        <f t="shared" si="21"/>
        <v/>
      </c>
    </row>
    <row r="117" spans="1:45">
      <c r="A117" s="10"/>
      <c r="B117" s="12"/>
      <c r="C117" s="13"/>
      <c r="D117" s="14"/>
      <c r="E117" s="10"/>
      <c r="F117" s="11"/>
      <c r="G117" s="15"/>
      <c r="H117" s="87"/>
      <c r="I117" s="24"/>
      <c r="J117" s="24"/>
      <c r="K117" s="114" t="str">
        <f t="shared" si="12"/>
        <v/>
      </c>
      <c r="L117" s="24"/>
      <c r="M117" s="24"/>
      <c r="N117" s="24"/>
      <c r="O117" s="24"/>
      <c r="P117" s="97" t="str">
        <f t="shared" si="13"/>
        <v/>
      </c>
      <c r="Q117" s="113" t="str">
        <f t="shared" si="14"/>
        <v/>
      </c>
      <c r="R117" s="87"/>
      <c r="S117" s="24"/>
      <c r="T117" s="24"/>
      <c r="U117" s="78" t="str">
        <f t="shared" si="15"/>
        <v/>
      </c>
      <c r="V117" s="24"/>
      <c r="W117" s="24"/>
      <c r="X117" s="24"/>
      <c r="Y117" s="24"/>
      <c r="Z117" s="98" t="str">
        <f t="shared" si="16"/>
        <v/>
      </c>
      <c r="AA117" s="40" t="str">
        <f t="shared" si="22"/>
        <v/>
      </c>
      <c r="AB117" s="87"/>
      <c r="AC117" s="24"/>
      <c r="AD117" s="24"/>
      <c r="AE117" s="79" t="str">
        <f t="shared" si="17"/>
        <v/>
      </c>
      <c r="AF117" s="24"/>
      <c r="AG117" s="24"/>
      <c r="AH117" s="24"/>
      <c r="AI117" s="24"/>
      <c r="AJ117" s="99" t="str">
        <f t="shared" si="18"/>
        <v/>
      </c>
      <c r="AK117" s="31" t="str">
        <f t="shared" si="23"/>
        <v/>
      </c>
      <c r="AN117" s="139" t="str">
        <f>IF($K117="","",VLOOKUP($K117,'ORF Accuracy Value LookUp'!$G$4:$H$104,2,TRUE))</f>
        <v/>
      </c>
      <c r="AO117" s="94" t="str">
        <f t="shared" si="19"/>
        <v/>
      </c>
      <c r="AP117" s="47" t="str">
        <f>IF($U117="","",VLOOKUP($U117,'ORF Accuracy Value LookUp'!$G$4:$H$104,2,TRUE))</f>
        <v/>
      </c>
      <c r="AQ117" s="94" t="str">
        <f t="shared" si="20"/>
        <v/>
      </c>
      <c r="AR117" s="46" t="str">
        <f>IF($AE117="","",VLOOKUP($AE117,'ORF Accuracy Value LookUp'!$G$4:$H$104,2,TRUE))</f>
        <v/>
      </c>
      <c r="AS117" s="140" t="str">
        <f t="shared" si="21"/>
        <v/>
      </c>
    </row>
    <row r="118" spans="1:45">
      <c r="A118" s="10"/>
      <c r="B118" s="12"/>
      <c r="C118" s="13"/>
      <c r="D118" s="14"/>
      <c r="E118" s="10"/>
      <c r="F118" s="11"/>
      <c r="G118" s="15"/>
      <c r="H118" s="87"/>
      <c r="I118" s="24"/>
      <c r="J118" s="24"/>
      <c r="K118" s="114" t="str">
        <f t="shared" si="12"/>
        <v/>
      </c>
      <c r="L118" s="24"/>
      <c r="M118" s="24"/>
      <c r="N118" s="24"/>
      <c r="O118" s="24"/>
      <c r="P118" s="97" t="str">
        <f t="shared" si="13"/>
        <v/>
      </c>
      <c r="Q118" s="113" t="str">
        <f t="shared" si="14"/>
        <v/>
      </c>
      <c r="R118" s="87"/>
      <c r="S118" s="24"/>
      <c r="T118" s="24"/>
      <c r="U118" s="78" t="str">
        <f t="shared" si="15"/>
        <v/>
      </c>
      <c r="V118" s="24"/>
      <c r="W118" s="24"/>
      <c r="X118" s="24"/>
      <c r="Y118" s="24"/>
      <c r="Z118" s="98" t="str">
        <f t="shared" si="16"/>
        <v/>
      </c>
      <c r="AA118" s="40" t="str">
        <f t="shared" si="22"/>
        <v/>
      </c>
      <c r="AB118" s="87"/>
      <c r="AC118" s="24"/>
      <c r="AD118" s="24"/>
      <c r="AE118" s="79" t="str">
        <f t="shared" si="17"/>
        <v/>
      </c>
      <c r="AF118" s="24"/>
      <c r="AG118" s="24"/>
      <c r="AH118" s="24"/>
      <c r="AI118" s="24"/>
      <c r="AJ118" s="99" t="str">
        <f t="shared" si="18"/>
        <v/>
      </c>
      <c r="AK118" s="31" t="str">
        <f t="shared" si="23"/>
        <v/>
      </c>
      <c r="AN118" s="139" t="str">
        <f>IF($K118="","",VLOOKUP($K118,'ORF Accuracy Value LookUp'!$G$4:$H$104,2,TRUE))</f>
        <v/>
      </c>
      <c r="AO118" s="94" t="str">
        <f t="shared" si="19"/>
        <v/>
      </c>
      <c r="AP118" s="47" t="str">
        <f>IF($U118="","",VLOOKUP($U118,'ORF Accuracy Value LookUp'!$G$4:$H$104,2,TRUE))</f>
        <v/>
      </c>
      <c r="AQ118" s="94" t="str">
        <f t="shared" si="20"/>
        <v/>
      </c>
      <c r="AR118" s="46" t="str">
        <f>IF($AE118="","",VLOOKUP($AE118,'ORF Accuracy Value LookUp'!$G$4:$H$104,2,TRUE))</f>
        <v/>
      </c>
      <c r="AS118" s="140" t="str">
        <f t="shared" si="21"/>
        <v/>
      </c>
    </row>
    <row r="119" spans="1:45">
      <c r="A119" s="10"/>
      <c r="B119" s="12"/>
      <c r="C119" s="13"/>
      <c r="D119" s="14"/>
      <c r="E119" s="10"/>
      <c r="F119" s="11"/>
      <c r="G119" s="15"/>
      <c r="H119" s="87"/>
      <c r="I119" s="24"/>
      <c r="J119" s="24"/>
      <c r="K119" s="114" t="str">
        <f t="shared" si="12"/>
        <v/>
      </c>
      <c r="L119" s="24"/>
      <c r="M119" s="24"/>
      <c r="N119" s="24"/>
      <c r="O119" s="24"/>
      <c r="P119" s="97" t="str">
        <f t="shared" si="13"/>
        <v/>
      </c>
      <c r="Q119" s="113" t="str">
        <f t="shared" si="14"/>
        <v/>
      </c>
      <c r="R119" s="87"/>
      <c r="S119" s="24"/>
      <c r="T119" s="24"/>
      <c r="U119" s="78" t="str">
        <f t="shared" si="15"/>
        <v/>
      </c>
      <c r="V119" s="24"/>
      <c r="W119" s="24"/>
      <c r="X119" s="24"/>
      <c r="Y119" s="24"/>
      <c r="Z119" s="98" t="str">
        <f t="shared" si="16"/>
        <v/>
      </c>
      <c r="AA119" s="40" t="str">
        <f t="shared" si="22"/>
        <v/>
      </c>
      <c r="AB119" s="87"/>
      <c r="AC119" s="24"/>
      <c r="AD119" s="24"/>
      <c r="AE119" s="79" t="str">
        <f t="shared" si="17"/>
        <v/>
      </c>
      <c r="AF119" s="24"/>
      <c r="AG119" s="24"/>
      <c r="AH119" s="24"/>
      <c r="AI119" s="24"/>
      <c r="AJ119" s="99" t="str">
        <f t="shared" si="18"/>
        <v/>
      </c>
      <c r="AK119" s="31" t="str">
        <f t="shared" si="23"/>
        <v/>
      </c>
      <c r="AN119" s="139" t="str">
        <f>IF($K119="","",VLOOKUP($K119,'ORF Accuracy Value LookUp'!$G$4:$H$104,2,TRUE))</f>
        <v/>
      </c>
      <c r="AO119" s="94" t="str">
        <f t="shared" si="19"/>
        <v/>
      </c>
      <c r="AP119" s="47" t="str">
        <f>IF($U119="","",VLOOKUP($U119,'ORF Accuracy Value LookUp'!$G$4:$H$104,2,TRUE))</f>
        <v/>
      </c>
      <c r="AQ119" s="94" t="str">
        <f t="shared" si="20"/>
        <v/>
      </c>
      <c r="AR119" s="46" t="str">
        <f>IF($AE119="","",VLOOKUP($AE119,'ORF Accuracy Value LookUp'!$G$4:$H$104,2,TRUE))</f>
        <v/>
      </c>
      <c r="AS119" s="140" t="str">
        <f t="shared" si="21"/>
        <v/>
      </c>
    </row>
    <row r="120" spans="1:45">
      <c r="A120" s="10"/>
      <c r="B120" s="12"/>
      <c r="C120" s="13"/>
      <c r="D120" s="14"/>
      <c r="E120" s="10"/>
      <c r="F120" s="11"/>
      <c r="G120" s="15"/>
      <c r="H120" s="87"/>
      <c r="I120" s="24"/>
      <c r="J120" s="24"/>
      <c r="K120" s="114" t="str">
        <f t="shared" si="12"/>
        <v/>
      </c>
      <c r="L120" s="24"/>
      <c r="M120" s="24"/>
      <c r="N120" s="24"/>
      <c r="O120" s="24"/>
      <c r="P120" s="97" t="str">
        <f t="shared" si="13"/>
        <v/>
      </c>
      <c r="Q120" s="113" t="str">
        <f t="shared" si="14"/>
        <v/>
      </c>
      <c r="R120" s="87"/>
      <c r="S120" s="24"/>
      <c r="T120" s="24"/>
      <c r="U120" s="78" t="str">
        <f t="shared" si="15"/>
        <v/>
      </c>
      <c r="V120" s="24"/>
      <c r="W120" s="24"/>
      <c r="X120" s="24"/>
      <c r="Y120" s="24"/>
      <c r="Z120" s="98" t="str">
        <f t="shared" si="16"/>
        <v/>
      </c>
      <c r="AA120" s="40" t="str">
        <f t="shared" si="22"/>
        <v/>
      </c>
      <c r="AB120" s="87"/>
      <c r="AC120" s="24"/>
      <c r="AD120" s="24"/>
      <c r="AE120" s="79" t="str">
        <f t="shared" si="17"/>
        <v/>
      </c>
      <c r="AF120" s="24"/>
      <c r="AG120" s="24"/>
      <c r="AH120" s="24"/>
      <c r="AI120" s="24"/>
      <c r="AJ120" s="99" t="str">
        <f t="shared" si="18"/>
        <v/>
      </c>
      <c r="AK120" s="31" t="str">
        <f t="shared" si="23"/>
        <v/>
      </c>
      <c r="AN120" s="139" t="str">
        <f>IF($K120="","",VLOOKUP($K120,'ORF Accuracy Value LookUp'!$G$4:$H$104,2,TRUE))</f>
        <v/>
      </c>
      <c r="AO120" s="94" t="str">
        <f t="shared" si="19"/>
        <v/>
      </c>
      <c r="AP120" s="47" t="str">
        <f>IF($U120="","",VLOOKUP($U120,'ORF Accuracy Value LookUp'!$G$4:$H$104,2,TRUE))</f>
        <v/>
      </c>
      <c r="AQ120" s="94" t="str">
        <f t="shared" si="20"/>
        <v/>
      </c>
      <c r="AR120" s="46" t="str">
        <f>IF($AE120="","",VLOOKUP($AE120,'ORF Accuracy Value LookUp'!$G$4:$H$104,2,TRUE))</f>
        <v/>
      </c>
      <c r="AS120" s="140" t="str">
        <f t="shared" si="21"/>
        <v/>
      </c>
    </row>
    <row r="121" spans="1:45">
      <c r="A121" s="10"/>
      <c r="B121" s="12"/>
      <c r="C121" s="13"/>
      <c r="D121" s="14"/>
      <c r="E121" s="10"/>
      <c r="F121" s="11"/>
      <c r="G121" s="15"/>
      <c r="H121" s="87"/>
      <c r="I121" s="24"/>
      <c r="J121" s="24"/>
      <c r="K121" s="114" t="str">
        <f t="shared" si="12"/>
        <v/>
      </c>
      <c r="L121" s="24"/>
      <c r="M121" s="24"/>
      <c r="N121" s="24"/>
      <c r="O121" s="24"/>
      <c r="P121" s="97" t="str">
        <f t="shared" si="13"/>
        <v/>
      </c>
      <c r="Q121" s="113" t="str">
        <f t="shared" si="14"/>
        <v/>
      </c>
      <c r="R121" s="87"/>
      <c r="S121" s="24"/>
      <c r="T121" s="24"/>
      <c r="U121" s="78" t="str">
        <f t="shared" si="15"/>
        <v/>
      </c>
      <c r="V121" s="24"/>
      <c r="W121" s="24"/>
      <c r="X121" s="24"/>
      <c r="Y121" s="24"/>
      <c r="Z121" s="98" t="str">
        <f t="shared" si="16"/>
        <v/>
      </c>
      <c r="AA121" s="40" t="str">
        <f t="shared" si="22"/>
        <v/>
      </c>
      <c r="AB121" s="87"/>
      <c r="AC121" s="24"/>
      <c r="AD121" s="24"/>
      <c r="AE121" s="79" t="str">
        <f t="shared" si="17"/>
        <v/>
      </c>
      <c r="AF121" s="24"/>
      <c r="AG121" s="24"/>
      <c r="AH121" s="24"/>
      <c r="AI121" s="24"/>
      <c r="AJ121" s="99" t="str">
        <f t="shared" si="18"/>
        <v/>
      </c>
      <c r="AK121" s="31" t="str">
        <f t="shared" si="23"/>
        <v/>
      </c>
      <c r="AN121" s="139" t="str">
        <f>IF($K121="","",VLOOKUP($K121,'ORF Accuracy Value LookUp'!$G$4:$H$104,2,TRUE))</f>
        <v/>
      </c>
      <c r="AO121" s="94" t="str">
        <f t="shared" si="19"/>
        <v/>
      </c>
      <c r="AP121" s="47" t="str">
        <f>IF($U121="","",VLOOKUP($U121,'ORF Accuracy Value LookUp'!$G$4:$H$104,2,TRUE))</f>
        <v/>
      </c>
      <c r="AQ121" s="94" t="str">
        <f t="shared" si="20"/>
        <v/>
      </c>
      <c r="AR121" s="46" t="str">
        <f>IF($AE121="","",VLOOKUP($AE121,'ORF Accuracy Value LookUp'!$G$4:$H$104,2,TRUE))</f>
        <v/>
      </c>
      <c r="AS121" s="140" t="str">
        <f t="shared" si="21"/>
        <v/>
      </c>
    </row>
    <row r="122" spans="1:45">
      <c r="A122" s="10"/>
      <c r="B122" s="12"/>
      <c r="C122" s="13"/>
      <c r="D122" s="14"/>
      <c r="E122" s="10"/>
      <c r="F122" s="11"/>
      <c r="G122" s="15"/>
      <c r="H122" s="87"/>
      <c r="I122" s="24"/>
      <c r="J122" s="24"/>
      <c r="K122" s="114" t="str">
        <f t="shared" si="12"/>
        <v/>
      </c>
      <c r="L122" s="24"/>
      <c r="M122" s="24"/>
      <c r="N122" s="24"/>
      <c r="O122" s="24"/>
      <c r="P122" s="97" t="str">
        <f t="shared" si="13"/>
        <v/>
      </c>
      <c r="Q122" s="113" t="str">
        <f t="shared" si="14"/>
        <v/>
      </c>
      <c r="R122" s="87"/>
      <c r="S122" s="24"/>
      <c r="T122" s="24"/>
      <c r="U122" s="78" t="str">
        <f t="shared" si="15"/>
        <v/>
      </c>
      <c r="V122" s="24"/>
      <c r="W122" s="24"/>
      <c r="X122" s="24"/>
      <c r="Y122" s="24"/>
      <c r="Z122" s="98" t="str">
        <f t="shared" si="16"/>
        <v/>
      </c>
      <c r="AA122" s="40" t="str">
        <f t="shared" si="22"/>
        <v/>
      </c>
      <c r="AB122" s="87"/>
      <c r="AC122" s="24"/>
      <c r="AD122" s="24"/>
      <c r="AE122" s="79" t="str">
        <f t="shared" si="17"/>
        <v/>
      </c>
      <c r="AF122" s="24"/>
      <c r="AG122" s="24"/>
      <c r="AH122" s="24"/>
      <c r="AI122" s="24"/>
      <c r="AJ122" s="99" t="str">
        <f t="shared" si="18"/>
        <v/>
      </c>
      <c r="AK122" s="31" t="str">
        <f t="shared" si="23"/>
        <v/>
      </c>
      <c r="AN122" s="139" t="str">
        <f>IF($K122="","",VLOOKUP($K122,'ORF Accuracy Value LookUp'!$G$4:$H$104,2,TRUE))</f>
        <v/>
      </c>
      <c r="AO122" s="94" t="str">
        <f t="shared" si="19"/>
        <v/>
      </c>
      <c r="AP122" s="47" t="str">
        <f>IF($U122="","",VLOOKUP($U122,'ORF Accuracy Value LookUp'!$G$4:$H$104,2,TRUE))</f>
        <v/>
      </c>
      <c r="AQ122" s="94" t="str">
        <f t="shared" si="20"/>
        <v/>
      </c>
      <c r="AR122" s="46" t="str">
        <f>IF($AE122="","",VLOOKUP($AE122,'ORF Accuracy Value LookUp'!$G$4:$H$104,2,TRUE))</f>
        <v/>
      </c>
      <c r="AS122" s="140" t="str">
        <f t="shared" si="21"/>
        <v/>
      </c>
    </row>
    <row r="123" spans="1:45">
      <c r="A123" s="10"/>
      <c r="B123" s="12"/>
      <c r="C123" s="13"/>
      <c r="D123" s="14"/>
      <c r="E123" s="10"/>
      <c r="F123" s="11"/>
      <c r="G123" s="15"/>
      <c r="H123" s="87"/>
      <c r="I123" s="24"/>
      <c r="J123" s="24"/>
      <c r="K123" s="114" t="str">
        <f t="shared" si="12"/>
        <v/>
      </c>
      <c r="L123" s="24"/>
      <c r="M123" s="24"/>
      <c r="N123" s="24"/>
      <c r="O123" s="24"/>
      <c r="P123" s="97" t="str">
        <f t="shared" si="13"/>
        <v/>
      </c>
      <c r="Q123" s="113" t="str">
        <f t="shared" si="14"/>
        <v/>
      </c>
      <c r="R123" s="87"/>
      <c r="S123" s="24"/>
      <c r="T123" s="24"/>
      <c r="U123" s="78" t="str">
        <f t="shared" si="15"/>
        <v/>
      </c>
      <c r="V123" s="24"/>
      <c r="W123" s="24"/>
      <c r="X123" s="24"/>
      <c r="Y123" s="24"/>
      <c r="Z123" s="98" t="str">
        <f t="shared" si="16"/>
        <v/>
      </c>
      <c r="AA123" s="40" t="str">
        <f t="shared" si="22"/>
        <v/>
      </c>
      <c r="AB123" s="87"/>
      <c r="AC123" s="24"/>
      <c r="AD123" s="24"/>
      <c r="AE123" s="79" t="str">
        <f t="shared" si="17"/>
        <v/>
      </c>
      <c r="AF123" s="24"/>
      <c r="AG123" s="24"/>
      <c r="AH123" s="24"/>
      <c r="AI123" s="24"/>
      <c r="AJ123" s="99" t="str">
        <f t="shared" si="18"/>
        <v/>
      </c>
      <c r="AK123" s="31" t="str">
        <f t="shared" si="23"/>
        <v/>
      </c>
      <c r="AN123" s="139" t="str">
        <f>IF($K123="","",VLOOKUP($K123,'ORF Accuracy Value LookUp'!$G$4:$H$104,2,TRUE))</f>
        <v/>
      </c>
      <c r="AO123" s="94" t="str">
        <f t="shared" si="19"/>
        <v/>
      </c>
      <c r="AP123" s="47" t="str">
        <f>IF($U123="","",VLOOKUP($U123,'ORF Accuracy Value LookUp'!$G$4:$H$104,2,TRUE))</f>
        <v/>
      </c>
      <c r="AQ123" s="94" t="str">
        <f t="shared" si="20"/>
        <v/>
      </c>
      <c r="AR123" s="46" t="str">
        <f>IF($AE123="","",VLOOKUP($AE123,'ORF Accuracy Value LookUp'!$G$4:$H$104,2,TRUE))</f>
        <v/>
      </c>
      <c r="AS123" s="140" t="str">
        <f t="shared" si="21"/>
        <v/>
      </c>
    </row>
    <row r="124" spans="1:45">
      <c r="A124" s="10"/>
      <c r="B124" s="12"/>
      <c r="C124" s="13"/>
      <c r="D124" s="14"/>
      <c r="E124" s="10"/>
      <c r="F124" s="11"/>
      <c r="G124" s="15"/>
      <c r="H124" s="87"/>
      <c r="I124" s="24"/>
      <c r="J124" s="24"/>
      <c r="K124" s="114" t="str">
        <f t="shared" si="12"/>
        <v/>
      </c>
      <c r="L124" s="24"/>
      <c r="M124" s="24"/>
      <c r="N124" s="24"/>
      <c r="O124" s="24"/>
      <c r="P124" s="97" t="str">
        <f t="shared" si="13"/>
        <v/>
      </c>
      <c r="Q124" s="113" t="str">
        <f t="shared" si="14"/>
        <v/>
      </c>
      <c r="R124" s="87"/>
      <c r="S124" s="24"/>
      <c r="T124" s="24"/>
      <c r="U124" s="78" t="str">
        <f t="shared" si="15"/>
        <v/>
      </c>
      <c r="V124" s="24"/>
      <c r="W124" s="24"/>
      <c r="X124" s="24"/>
      <c r="Y124" s="24"/>
      <c r="Z124" s="98" t="str">
        <f t="shared" si="16"/>
        <v/>
      </c>
      <c r="AA124" s="40" t="str">
        <f t="shared" si="22"/>
        <v/>
      </c>
      <c r="AB124" s="87"/>
      <c r="AC124" s="24"/>
      <c r="AD124" s="24"/>
      <c r="AE124" s="79" t="str">
        <f t="shared" si="17"/>
        <v/>
      </c>
      <c r="AF124" s="24"/>
      <c r="AG124" s="24"/>
      <c r="AH124" s="24"/>
      <c r="AI124" s="24"/>
      <c r="AJ124" s="99" t="str">
        <f t="shared" si="18"/>
        <v/>
      </c>
      <c r="AK124" s="31" t="str">
        <f t="shared" si="23"/>
        <v/>
      </c>
      <c r="AN124" s="139" t="str">
        <f>IF($K124="","",VLOOKUP($K124,'ORF Accuracy Value LookUp'!$G$4:$H$104,2,TRUE))</f>
        <v/>
      </c>
      <c r="AO124" s="94" t="str">
        <f t="shared" si="19"/>
        <v/>
      </c>
      <c r="AP124" s="47" t="str">
        <f>IF($U124="","",VLOOKUP($U124,'ORF Accuracy Value LookUp'!$G$4:$H$104,2,TRUE))</f>
        <v/>
      </c>
      <c r="AQ124" s="94" t="str">
        <f t="shared" si="20"/>
        <v/>
      </c>
      <c r="AR124" s="46" t="str">
        <f>IF($AE124="","",VLOOKUP($AE124,'ORF Accuracy Value LookUp'!$G$4:$H$104,2,TRUE))</f>
        <v/>
      </c>
      <c r="AS124" s="140" t="str">
        <f t="shared" si="21"/>
        <v/>
      </c>
    </row>
    <row r="125" spans="1:45">
      <c r="A125" s="10"/>
      <c r="B125" s="12"/>
      <c r="C125" s="13"/>
      <c r="D125" s="14"/>
      <c r="E125" s="10"/>
      <c r="F125" s="11"/>
      <c r="G125" s="15"/>
      <c r="H125" s="87"/>
      <c r="I125" s="24"/>
      <c r="J125" s="24"/>
      <c r="K125" s="114" t="str">
        <f t="shared" si="12"/>
        <v/>
      </c>
      <c r="L125" s="24"/>
      <c r="M125" s="24"/>
      <c r="N125" s="24"/>
      <c r="O125" s="24"/>
      <c r="P125" s="97" t="str">
        <f t="shared" si="13"/>
        <v/>
      </c>
      <c r="Q125" s="113" t="str">
        <f t="shared" si="14"/>
        <v/>
      </c>
      <c r="R125" s="87"/>
      <c r="S125" s="24"/>
      <c r="T125" s="24"/>
      <c r="U125" s="78" t="str">
        <f t="shared" si="15"/>
        <v/>
      </c>
      <c r="V125" s="24"/>
      <c r="W125" s="24"/>
      <c r="X125" s="24"/>
      <c r="Y125" s="24"/>
      <c r="Z125" s="98" t="str">
        <f t="shared" si="16"/>
        <v/>
      </c>
      <c r="AA125" s="40" t="str">
        <f t="shared" si="22"/>
        <v/>
      </c>
      <c r="AB125" s="87"/>
      <c r="AC125" s="24"/>
      <c r="AD125" s="24"/>
      <c r="AE125" s="79" t="str">
        <f t="shared" si="17"/>
        <v/>
      </c>
      <c r="AF125" s="24"/>
      <c r="AG125" s="24"/>
      <c r="AH125" s="24"/>
      <c r="AI125" s="24"/>
      <c r="AJ125" s="99" t="str">
        <f t="shared" si="18"/>
        <v/>
      </c>
      <c r="AK125" s="31" t="str">
        <f t="shared" si="23"/>
        <v/>
      </c>
      <c r="AN125" s="139" t="str">
        <f>IF($K125="","",VLOOKUP($K125,'ORF Accuracy Value LookUp'!$G$4:$H$104,2,TRUE))</f>
        <v/>
      </c>
      <c r="AO125" s="94" t="str">
        <f t="shared" si="19"/>
        <v/>
      </c>
      <c r="AP125" s="47" t="str">
        <f>IF($U125="","",VLOOKUP($U125,'ORF Accuracy Value LookUp'!$G$4:$H$104,2,TRUE))</f>
        <v/>
      </c>
      <c r="AQ125" s="94" t="str">
        <f t="shared" si="20"/>
        <v/>
      </c>
      <c r="AR125" s="46" t="str">
        <f>IF($AE125="","",VLOOKUP($AE125,'ORF Accuracy Value LookUp'!$G$4:$H$104,2,TRUE))</f>
        <v/>
      </c>
      <c r="AS125" s="140" t="str">
        <f t="shared" si="21"/>
        <v/>
      </c>
    </row>
    <row r="126" spans="1:45">
      <c r="A126" s="10"/>
      <c r="B126" s="12"/>
      <c r="C126" s="13"/>
      <c r="D126" s="14"/>
      <c r="E126" s="10"/>
      <c r="F126" s="11"/>
      <c r="G126" s="15"/>
      <c r="H126" s="87"/>
      <c r="I126" s="24"/>
      <c r="J126" s="24"/>
      <c r="K126" s="114" t="str">
        <f t="shared" si="12"/>
        <v/>
      </c>
      <c r="L126" s="24"/>
      <c r="M126" s="24"/>
      <c r="N126" s="24"/>
      <c r="O126" s="24"/>
      <c r="P126" s="97" t="str">
        <f t="shared" si="13"/>
        <v/>
      </c>
      <c r="Q126" s="113" t="str">
        <f t="shared" si="14"/>
        <v/>
      </c>
      <c r="R126" s="87"/>
      <c r="S126" s="24"/>
      <c r="T126" s="24"/>
      <c r="U126" s="78" t="str">
        <f t="shared" si="15"/>
        <v/>
      </c>
      <c r="V126" s="24"/>
      <c r="W126" s="24"/>
      <c r="X126" s="24"/>
      <c r="Y126" s="24"/>
      <c r="Z126" s="98" t="str">
        <f t="shared" si="16"/>
        <v/>
      </c>
      <c r="AA126" s="40" t="str">
        <f t="shared" si="22"/>
        <v/>
      </c>
      <c r="AB126" s="87"/>
      <c r="AC126" s="24"/>
      <c r="AD126" s="24"/>
      <c r="AE126" s="79" t="str">
        <f t="shared" si="17"/>
        <v/>
      </c>
      <c r="AF126" s="24"/>
      <c r="AG126" s="24"/>
      <c r="AH126" s="24"/>
      <c r="AI126" s="24"/>
      <c r="AJ126" s="99" t="str">
        <f t="shared" si="18"/>
        <v/>
      </c>
      <c r="AK126" s="31" t="str">
        <f t="shared" si="23"/>
        <v/>
      </c>
      <c r="AN126" s="139" t="str">
        <f>IF($K126="","",VLOOKUP($K126,'ORF Accuracy Value LookUp'!$G$4:$H$104,2,TRUE))</f>
        <v/>
      </c>
      <c r="AO126" s="94" t="str">
        <f t="shared" si="19"/>
        <v/>
      </c>
      <c r="AP126" s="47" t="str">
        <f>IF($U126="","",VLOOKUP($U126,'ORF Accuracy Value LookUp'!$G$4:$H$104,2,TRUE))</f>
        <v/>
      </c>
      <c r="AQ126" s="94" t="str">
        <f t="shared" si="20"/>
        <v/>
      </c>
      <c r="AR126" s="46" t="str">
        <f>IF($AE126="","",VLOOKUP($AE126,'ORF Accuracy Value LookUp'!$G$4:$H$104,2,TRUE))</f>
        <v/>
      </c>
      <c r="AS126" s="140" t="str">
        <f t="shared" si="21"/>
        <v/>
      </c>
    </row>
    <row r="127" spans="1:45">
      <c r="A127" s="10"/>
      <c r="B127" s="12"/>
      <c r="C127" s="13"/>
      <c r="D127" s="14"/>
      <c r="E127" s="10"/>
      <c r="F127" s="11"/>
      <c r="G127" s="15"/>
      <c r="H127" s="87"/>
      <c r="I127" s="24"/>
      <c r="J127" s="24"/>
      <c r="K127" s="114" t="str">
        <f t="shared" si="12"/>
        <v/>
      </c>
      <c r="L127" s="24"/>
      <c r="M127" s="24"/>
      <c r="N127" s="24"/>
      <c r="O127" s="24"/>
      <c r="P127" s="97" t="str">
        <f t="shared" si="13"/>
        <v/>
      </c>
      <c r="Q127" s="113" t="str">
        <f t="shared" si="14"/>
        <v/>
      </c>
      <c r="R127" s="87"/>
      <c r="S127" s="24"/>
      <c r="T127" s="24"/>
      <c r="U127" s="78" t="str">
        <f t="shared" si="15"/>
        <v/>
      </c>
      <c r="V127" s="24"/>
      <c r="W127" s="24"/>
      <c r="X127" s="24"/>
      <c r="Y127" s="24"/>
      <c r="Z127" s="98" t="str">
        <f t="shared" si="16"/>
        <v/>
      </c>
      <c r="AA127" s="40" t="str">
        <f t="shared" si="22"/>
        <v/>
      </c>
      <c r="AB127" s="87"/>
      <c r="AC127" s="24"/>
      <c r="AD127" s="24"/>
      <c r="AE127" s="79" t="str">
        <f t="shared" si="17"/>
        <v/>
      </c>
      <c r="AF127" s="24"/>
      <c r="AG127" s="24"/>
      <c r="AH127" s="24"/>
      <c r="AI127" s="24"/>
      <c r="AJ127" s="99" t="str">
        <f t="shared" si="18"/>
        <v/>
      </c>
      <c r="AK127" s="31" t="str">
        <f t="shared" si="23"/>
        <v/>
      </c>
      <c r="AN127" s="139" t="str">
        <f>IF($K127="","",VLOOKUP($K127,'ORF Accuracy Value LookUp'!$G$4:$H$104,2,TRUE))</f>
        <v/>
      </c>
      <c r="AO127" s="94" t="str">
        <f t="shared" si="19"/>
        <v/>
      </c>
      <c r="AP127" s="47" t="str">
        <f>IF($U127="","",VLOOKUP($U127,'ORF Accuracy Value LookUp'!$G$4:$H$104,2,TRUE))</f>
        <v/>
      </c>
      <c r="AQ127" s="94" t="str">
        <f t="shared" si="20"/>
        <v/>
      </c>
      <c r="AR127" s="46" t="str">
        <f>IF($AE127="","",VLOOKUP($AE127,'ORF Accuracy Value LookUp'!$G$4:$H$104,2,TRUE))</f>
        <v/>
      </c>
      <c r="AS127" s="140" t="str">
        <f t="shared" si="21"/>
        <v/>
      </c>
    </row>
    <row r="128" spans="1:45">
      <c r="A128" s="10"/>
      <c r="B128" s="12"/>
      <c r="C128" s="13"/>
      <c r="D128" s="14"/>
      <c r="E128" s="10"/>
      <c r="F128" s="11"/>
      <c r="G128" s="15"/>
      <c r="H128" s="87"/>
      <c r="I128" s="24"/>
      <c r="J128" s="24"/>
      <c r="K128" s="114" t="str">
        <f t="shared" si="12"/>
        <v/>
      </c>
      <c r="L128" s="24"/>
      <c r="M128" s="24"/>
      <c r="N128" s="24"/>
      <c r="O128" s="24"/>
      <c r="P128" s="97" t="str">
        <f t="shared" si="13"/>
        <v/>
      </c>
      <c r="Q128" s="113" t="str">
        <f t="shared" si="14"/>
        <v/>
      </c>
      <c r="R128" s="87"/>
      <c r="S128" s="24"/>
      <c r="T128" s="24"/>
      <c r="U128" s="78" t="str">
        <f t="shared" si="15"/>
        <v/>
      </c>
      <c r="V128" s="24"/>
      <c r="W128" s="24"/>
      <c r="X128" s="24"/>
      <c r="Y128" s="24"/>
      <c r="Z128" s="98" t="str">
        <f t="shared" si="16"/>
        <v/>
      </c>
      <c r="AA128" s="40" t="str">
        <f t="shared" si="22"/>
        <v/>
      </c>
      <c r="AB128" s="87"/>
      <c r="AC128" s="24"/>
      <c r="AD128" s="24"/>
      <c r="AE128" s="79" t="str">
        <f t="shared" si="17"/>
        <v/>
      </c>
      <c r="AF128" s="24"/>
      <c r="AG128" s="24"/>
      <c r="AH128" s="24"/>
      <c r="AI128" s="24"/>
      <c r="AJ128" s="99" t="str">
        <f t="shared" si="18"/>
        <v/>
      </c>
      <c r="AK128" s="31" t="str">
        <f t="shared" si="23"/>
        <v/>
      </c>
      <c r="AN128" s="139" t="str">
        <f>IF($K128="","",VLOOKUP($K128,'ORF Accuracy Value LookUp'!$G$4:$H$104,2,TRUE))</f>
        <v/>
      </c>
      <c r="AO128" s="94" t="str">
        <f t="shared" si="19"/>
        <v/>
      </c>
      <c r="AP128" s="47" t="str">
        <f>IF($U128="","",VLOOKUP($U128,'ORF Accuracy Value LookUp'!$G$4:$H$104,2,TRUE))</f>
        <v/>
      </c>
      <c r="AQ128" s="94" t="str">
        <f t="shared" si="20"/>
        <v/>
      </c>
      <c r="AR128" s="46" t="str">
        <f>IF($AE128="","",VLOOKUP($AE128,'ORF Accuracy Value LookUp'!$G$4:$H$104,2,TRUE))</f>
        <v/>
      </c>
      <c r="AS128" s="140" t="str">
        <f t="shared" si="21"/>
        <v/>
      </c>
    </row>
    <row r="129" spans="1:45">
      <c r="A129" s="10"/>
      <c r="B129" s="12"/>
      <c r="C129" s="13"/>
      <c r="D129" s="14"/>
      <c r="E129" s="10"/>
      <c r="F129" s="11"/>
      <c r="G129" s="15"/>
      <c r="H129" s="87"/>
      <c r="I129" s="24"/>
      <c r="J129" s="24"/>
      <c r="K129" s="114" t="str">
        <f t="shared" si="12"/>
        <v/>
      </c>
      <c r="L129" s="24"/>
      <c r="M129" s="24"/>
      <c r="N129" s="24"/>
      <c r="O129" s="24"/>
      <c r="P129" s="97" t="str">
        <f t="shared" si="13"/>
        <v/>
      </c>
      <c r="Q129" s="113" t="str">
        <f t="shared" si="14"/>
        <v/>
      </c>
      <c r="R129" s="87"/>
      <c r="S129" s="24"/>
      <c r="T129" s="24"/>
      <c r="U129" s="78" t="str">
        <f t="shared" si="15"/>
        <v/>
      </c>
      <c r="V129" s="24"/>
      <c r="W129" s="24"/>
      <c r="X129" s="24"/>
      <c r="Y129" s="24"/>
      <c r="Z129" s="98" t="str">
        <f t="shared" si="16"/>
        <v/>
      </c>
      <c r="AA129" s="40" t="str">
        <f t="shared" si="22"/>
        <v/>
      </c>
      <c r="AB129" s="87"/>
      <c r="AC129" s="24"/>
      <c r="AD129" s="24"/>
      <c r="AE129" s="79" t="str">
        <f t="shared" si="17"/>
        <v/>
      </c>
      <c r="AF129" s="24"/>
      <c r="AG129" s="24"/>
      <c r="AH129" s="24"/>
      <c r="AI129" s="24"/>
      <c r="AJ129" s="99" t="str">
        <f t="shared" si="18"/>
        <v/>
      </c>
      <c r="AK129" s="31" t="str">
        <f t="shared" si="23"/>
        <v/>
      </c>
      <c r="AN129" s="139" t="str">
        <f>IF($K129="","",VLOOKUP($K129,'ORF Accuracy Value LookUp'!$G$4:$H$104,2,TRUE))</f>
        <v/>
      </c>
      <c r="AO129" s="94" t="str">
        <f t="shared" si="19"/>
        <v/>
      </c>
      <c r="AP129" s="47" t="str">
        <f>IF($U129="","",VLOOKUP($U129,'ORF Accuracy Value LookUp'!$G$4:$H$104,2,TRUE))</f>
        <v/>
      </c>
      <c r="AQ129" s="94" t="str">
        <f t="shared" si="20"/>
        <v/>
      </c>
      <c r="AR129" s="46" t="str">
        <f>IF($AE129="","",VLOOKUP($AE129,'ORF Accuracy Value LookUp'!$G$4:$H$104,2,TRUE))</f>
        <v/>
      </c>
      <c r="AS129" s="140" t="str">
        <f t="shared" si="21"/>
        <v/>
      </c>
    </row>
    <row r="130" spans="1:45">
      <c r="A130" s="10"/>
      <c r="B130" s="12"/>
      <c r="C130" s="13"/>
      <c r="D130" s="14"/>
      <c r="E130" s="10"/>
      <c r="F130" s="11"/>
      <c r="G130" s="15"/>
      <c r="H130" s="87"/>
      <c r="I130" s="24"/>
      <c r="J130" s="24"/>
      <c r="K130" s="114" t="str">
        <f t="shared" si="12"/>
        <v/>
      </c>
      <c r="L130" s="24"/>
      <c r="M130" s="24"/>
      <c r="N130" s="24"/>
      <c r="O130" s="24"/>
      <c r="P130" s="97" t="str">
        <f t="shared" si="13"/>
        <v/>
      </c>
      <c r="Q130" s="113" t="str">
        <f t="shared" si="14"/>
        <v/>
      </c>
      <c r="R130" s="87"/>
      <c r="S130" s="24"/>
      <c r="T130" s="24"/>
      <c r="U130" s="78" t="str">
        <f t="shared" si="15"/>
        <v/>
      </c>
      <c r="V130" s="24"/>
      <c r="W130" s="24"/>
      <c r="X130" s="24"/>
      <c r="Y130" s="24"/>
      <c r="Z130" s="98" t="str">
        <f t="shared" si="16"/>
        <v/>
      </c>
      <c r="AA130" s="40" t="str">
        <f t="shared" si="22"/>
        <v/>
      </c>
      <c r="AB130" s="87"/>
      <c r="AC130" s="24"/>
      <c r="AD130" s="24"/>
      <c r="AE130" s="79" t="str">
        <f t="shared" si="17"/>
        <v/>
      </c>
      <c r="AF130" s="24"/>
      <c r="AG130" s="24"/>
      <c r="AH130" s="24"/>
      <c r="AI130" s="24"/>
      <c r="AJ130" s="99" t="str">
        <f t="shared" si="18"/>
        <v/>
      </c>
      <c r="AK130" s="31" t="str">
        <f t="shared" si="23"/>
        <v/>
      </c>
      <c r="AN130" s="139" t="str">
        <f>IF($K130="","",VLOOKUP($K130,'ORF Accuracy Value LookUp'!$G$4:$H$104,2,TRUE))</f>
        <v/>
      </c>
      <c r="AO130" s="94" t="str">
        <f t="shared" si="19"/>
        <v/>
      </c>
      <c r="AP130" s="47" t="str">
        <f>IF($U130="","",VLOOKUP($U130,'ORF Accuracy Value LookUp'!$G$4:$H$104,2,TRUE))</f>
        <v/>
      </c>
      <c r="AQ130" s="94" t="str">
        <f t="shared" si="20"/>
        <v/>
      </c>
      <c r="AR130" s="46" t="str">
        <f>IF($AE130="","",VLOOKUP($AE130,'ORF Accuracy Value LookUp'!$G$4:$H$104,2,TRUE))</f>
        <v/>
      </c>
      <c r="AS130" s="140" t="str">
        <f t="shared" si="21"/>
        <v/>
      </c>
    </row>
    <row r="131" spans="1:45">
      <c r="A131" s="10"/>
      <c r="B131" s="12"/>
      <c r="C131" s="13"/>
      <c r="D131" s="14"/>
      <c r="E131" s="10"/>
      <c r="F131" s="11"/>
      <c r="G131" s="15"/>
      <c r="H131" s="87"/>
      <c r="I131" s="24"/>
      <c r="J131" s="24"/>
      <c r="K131" s="114" t="str">
        <f t="shared" si="12"/>
        <v/>
      </c>
      <c r="L131" s="24"/>
      <c r="M131" s="24"/>
      <c r="N131" s="24"/>
      <c r="O131" s="24"/>
      <c r="P131" s="97" t="str">
        <f t="shared" si="13"/>
        <v/>
      </c>
      <c r="Q131" s="113" t="str">
        <f t="shared" si="14"/>
        <v/>
      </c>
      <c r="R131" s="87"/>
      <c r="S131" s="24"/>
      <c r="T131" s="24"/>
      <c r="U131" s="78" t="str">
        <f t="shared" si="15"/>
        <v/>
      </c>
      <c r="V131" s="24"/>
      <c r="W131" s="24"/>
      <c r="X131" s="24"/>
      <c r="Y131" s="24"/>
      <c r="Z131" s="98" t="str">
        <f t="shared" si="16"/>
        <v/>
      </c>
      <c r="AA131" s="40" t="str">
        <f t="shared" si="22"/>
        <v/>
      </c>
      <c r="AB131" s="87"/>
      <c r="AC131" s="24"/>
      <c r="AD131" s="24"/>
      <c r="AE131" s="79" t="str">
        <f t="shared" si="17"/>
        <v/>
      </c>
      <c r="AF131" s="24"/>
      <c r="AG131" s="24"/>
      <c r="AH131" s="24"/>
      <c r="AI131" s="24"/>
      <c r="AJ131" s="99" t="str">
        <f t="shared" si="18"/>
        <v/>
      </c>
      <c r="AK131" s="31" t="str">
        <f t="shared" si="23"/>
        <v/>
      </c>
      <c r="AN131" s="139" t="str">
        <f>IF($K131="","",VLOOKUP($K131,'ORF Accuracy Value LookUp'!$G$4:$H$104,2,TRUE))</f>
        <v/>
      </c>
      <c r="AO131" s="94" t="str">
        <f t="shared" si="19"/>
        <v/>
      </c>
      <c r="AP131" s="47" t="str">
        <f>IF($U131="","",VLOOKUP($U131,'ORF Accuracy Value LookUp'!$G$4:$H$104,2,TRUE))</f>
        <v/>
      </c>
      <c r="AQ131" s="94" t="str">
        <f t="shared" si="20"/>
        <v/>
      </c>
      <c r="AR131" s="46" t="str">
        <f>IF($AE131="","",VLOOKUP($AE131,'ORF Accuracy Value LookUp'!$G$4:$H$104,2,TRUE))</f>
        <v/>
      </c>
      <c r="AS131" s="140" t="str">
        <f t="shared" si="21"/>
        <v/>
      </c>
    </row>
    <row r="132" spans="1:45">
      <c r="A132" s="10"/>
      <c r="B132" s="12"/>
      <c r="C132" s="13"/>
      <c r="D132" s="14"/>
      <c r="E132" s="10"/>
      <c r="F132" s="11"/>
      <c r="G132" s="15"/>
      <c r="H132" s="87"/>
      <c r="I132" s="24"/>
      <c r="J132" s="24"/>
      <c r="K132" s="114" t="str">
        <f t="shared" si="12"/>
        <v/>
      </c>
      <c r="L132" s="24"/>
      <c r="M132" s="24"/>
      <c r="N132" s="24"/>
      <c r="O132" s="24"/>
      <c r="P132" s="97" t="str">
        <f t="shared" si="13"/>
        <v/>
      </c>
      <c r="Q132" s="113" t="str">
        <f t="shared" si="14"/>
        <v/>
      </c>
      <c r="R132" s="87"/>
      <c r="S132" s="24"/>
      <c r="T132" s="24"/>
      <c r="U132" s="78" t="str">
        <f t="shared" si="15"/>
        <v/>
      </c>
      <c r="V132" s="24"/>
      <c r="W132" s="24"/>
      <c r="X132" s="24"/>
      <c r="Y132" s="24"/>
      <c r="Z132" s="98" t="str">
        <f t="shared" si="16"/>
        <v/>
      </c>
      <c r="AA132" s="40" t="str">
        <f t="shared" si="22"/>
        <v/>
      </c>
      <c r="AB132" s="87"/>
      <c r="AC132" s="24"/>
      <c r="AD132" s="24"/>
      <c r="AE132" s="79" t="str">
        <f t="shared" si="17"/>
        <v/>
      </c>
      <c r="AF132" s="24"/>
      <c r="AG132" s="24"/>
      <c r="AH132" s="24"/>
      <c r="AI132" s="24"/>
      <c r="AJ132" s="99" t="str">
        <f t="shared" si="18"/>
        <v/>
      </c>
      <c r="AK132" s="31" t="str">
        <f t="shared" si="23"/>
        <v/>
      </c>
      <c r="AN132" s="139" t="str">
        <f>IF($K132="","",VLOOKUP($K132,'ORF Accuracy Value LookUp'!$G$4:$H$104,2,TRUE))</f>
        <v/>
      </c>
      <c r="AO132" s="94" t="str">
        <f t="shared" si="19"/>
        <v/>
      </c>
      <c r="AP132" s="47" t="str">
        <f>IF($U132="","",VLOOKUP($U132,'ORF Accuracy Value LookUp'!$G$4:$H$104,2,TRUE))</f>
        <v/>
      </c>
      <c r="AQ132" s="94" t="str">
        <f t="shared" si="20"/>
        <v/>
      </c>
      <c r="AR132" s="46" t="str">
        <f>IF($AE132="","",VLOOKUP($AE132,'ORF Accuracy Value LookUp'!$G$4:$H$104,2,TRUE))</f>
        <v/>
      </c>
      <c r="AS132" s="140" t="str">
        <f t="shared" si="21"/>
        <v/>
      </c>
    </row>
    <row r="133" spans="1:45">
      <c r="A133" s="10"/>
      <c r="B133" s="12"/>
      <c r="C133" s="13"/>
      <c r="D133" s="14"/>
      <c r="E133" s="10"/>
      <c r="F133" s="11"/>
      <c r="G133" s="15"/>
      <c r="H133" s="87"/>
      <c r="I133" s="24"/>
      <c r="J133" s="24"/>
      <c r="K133" s="114" t="str">
        <f t="shared" si="12"/>
        <v/>
      </c>
      <c r="L133" s="24"/>
      <c r="M133" s="24"/>
      <c r="N133" s="24"/>
      <c r="O133" s="24"/>
      <c r="P133" s="97" t="str">
        <f t="shared" si="13"/>
        <v/>
      </c>
      <c r="Q133" s="113" t="str">
        <f t="shared" si="14"/>
        <v/>
      </c>
      <c r="R133" s="87"/>
      <c r="S133" s="24"/>
      <c r="T133" s="24"/>
      <c r="U133" s="78" t="str">
        <f t="shared" si="15"/>
        <v/>
      </c>
      <c r="V133" s="24"/>
      <c r="W133" s="24"/>
      <c r="X133" s="24"/>
      <c r="Y133" s="24"/>
      <c r="Z133" s="98" t="str">
        <f t="shared" si="16"/>
        <v/>
      </c>
      <c r="AA133" s="40" t="str">
        <f t="shared" si="22"/>
        <v/>
      </c>
      <c r="AB133" s="87"/>
      <c r="AC133" s="24"/>
      <c r="AD133" s="24"/>
      <c r="AE133" s="79" t="str">
        <f t="shared" si="17"/>
        <v/>
      </c>
      <c r="AF133" s="24"/>
      <c r="AG133" s="24"/>
      <c r="AH133" s="24"/>
      <c r="AI133" s="24"/>
      <c r="AJ133" s="99" t="str">
        <f t="shared" si="18"/>
        <v/>
      </c>
      <c r="AK133" s="31" t="str">
        <f t="shared" si="23"/>
        <v/>
      </c>
      <c r="AN133" s="139" t="str">
        <f>IF($K133="","",VLOOKUP($K133,'ORF Accuracy Value LookUp'!$G$4:$H$104,2,TRUE))</f>
        <v/>
      </c>
      <c r="AO133" s="94" t="str">
        <f t="shared" si="19"/>
        <v/>
      </c>
      <c r="AP133" s="47" t="str">
        <f>IF($U133="","",VLOOKUP($U133,'ORF Accuracy Value LookUp'!$G$4:$H$104,2,TRUE))</f>
        <v/>
      </c>
      <c r="AQ133" s="94" t="str">
        <f t="shared" si="20"/>
        <v/>
      </c>
      <c r="AR133" s="46" t="str">
        <f>IF($AE133="","",VLOOKUP($AE133,'ORF Accuracy Value LookUp'!$G$4:$H$104,2,TRUE))</f>
        <v/>
      </c>
      <c r="AS133" s="140" t="str">
        <f t="shared" si="21"/>
        <v/>
      </c>
    </row>
    <row r="134" spans="1:45">
      <c r="A134" s="10"/>
      <c r="B134" s="12"/>
      <c r="C134" s="13"/>
      <c r="D134" s="14"/>
      <c r="E134" s="10"/>
      <c r="F134" s="11"/>
      <c r="G134" s="15"/>
      <c r="H134" s="87"/>
      <c r="I134" s="24"/>
      <c r="J134" s="24"/>
      <c r="K134" s="114" t="str">
        <f t="shared" si="12"/>
        <v/>
      </c>
      <c r="L134" s="24"/>
      <c r="M134" s="24"/>
      <c r="N134" s="24"/>
      <c r="O134" s="24"/>
      <c r="P134" s="97" t="str">
        <f t="shared" si="13"/>
        <v/>
      </c>
      <c r="Q134" s="113" t="str">
        <f t="shared" si="14"/>
        <v/>
      </c>
      <c r="R134" s="87"/>
      <c r="S134" s="24"/>
      <c r="T134" s="24"/>
      <c r="U134" s="78" t="str">
        <f t="shared" si="15"/>
        <v/>
      </c>
      <c r="V134" s="24"/>
      <c r="W134" s="24"/>
      <c r="X134" s="24"/>
      <c r="Y134" s="24"/>
      <c r="Z134" s="98" t="str">
        <f t="shared" si="16"/>
        <v/>
      </c>
      <c r="AA134" s="40" t="str">
        <f t="shared" si="22"/>
        <v/>
      </c>
      <c r="AB134" s="87"/>
      <c r="AC134" s="24"/>
      <c r="AD134" s="24"/>
      <c r="AE134" s="79" t="str">
        <f t="shared" si="17"/>
        <v/>
      </c>
      <c r="AF134" s="24"/>
      <c r="AG134" s="24"/>
      <c r="AH134" s="24"/>
      <c r="AI134" s="24"/>
      <c r="AJ134" s="99" t="str">
        <f t="shared" si="18"/>
        <v/>
      </c>
      <c r="AK134" s="31" t="str">
        <f t="shared" si="23"/>
        <v/>
      </c>
      <c r="AN134" s="139" t="str">
        <f>IF($K134="","",VLOOKUP($K134,'ORF Accuracy Value LookUp'!$G$4:$H$104,2,TRUE))</f>
        <v/>
      </c>
      <c r="AO134" s="94" t="str">
        <f t="shared" si="19"/>
        <v/>
      </c>
      <c r="AP134" s="47" t="str">
        <f>IF($U134="","",VLOOKUP($U134,'ORF Accuracy Value LookUp'!$G$4:$H$104,2,TRUE))</f>
        <v/>
      </c>
      <c r="AQ134" s="94" t="str">
        <f t="shared" si="20"/>
        <v/>
      </c>
      <c r="AR134" s="46" t="str">
        <f>IF($AE134="","",VLOOKUP($AE134,'ORF Accuracy Value LookUp'!$G$4:$H$104,2,TRUE))</f>
        <v/>
      </c>
      <c r="AS134" s="140" t="str">
        <f t="shared" si="21"/>
        <v/>
      </c>
    </row>
    <row r="135" spans="1:45">
      <c r="A135" s="10"/>
      <c r="B135" s="12"/>
      <c r="C135" s="13"/>
      <c r="D135" s="14"/>
      <c r="E135" s="10"/>
      <c r="F135" s="11"/>
      <c r="G135" s="15"/>
      <c r="H135" s="87"/>
      <c r="I135" s="24"/>
      <c r="J135" s="24"/>
      <c r="K135" s="114" t="str">
        <f t="shared" si="12"/>
        <v/>
      </c>
      <c r="L135" s="24"/>
      <c r="M135" s="24"/>
      <c r="N135" s="24"/>
      <c r="O135" s="24"/>
      <c r="P135" s="97" t="str">
        <f t="shared" si="13"/>
        <v/>
      </c>
      <c r="Q135" s="113" t="str">
        <f t="shared" si="14"/>
        <v/>
      </c>
      <c r="R135" s="87"/>
      <c r="S135" s="24"/>
      <c r="T135" s="24"/>
      <c r="U135" s="78" t="str">
        <f t="shared" si="15"/>
        <v/>
      </c>
      <c r="V135" s="24"/>
      <c r="W135" s="24"/>
      <c r="X135" s="24"/>
      <c r="Y135" s="24"/>
      <c r="Z135" s="98" t="str">
        <f t="shared" si="16"/>
        <v/>
      </c>
      <c r="AA135" s="40" t="str">
        <f t="shared" si="22"/>
        <v/>
      </c>
      <c r="AB135" s="87"/>
      <c r="AC135" s="24"/>
      <c r="AD135" s="24"/>
      <c r="AE135" s="79" t="str">
        <f t="shared" si="17"/>
        <v/>
      </c>
      <c r="AF135" s="24"/>
      <c r="AG135" s="24"/>
      <c r="AH135" s="24"/>
      <c r="AI135" s="24"/>
      <c r="AJ135" s="99" t="str">
        <f t="shared" si="18"/>
        <v/>
      </c>
      <c r="AK135" s="31" t="str">
        <f t="shared" si="23"/>
        <v/>
      </c>
      <c r="AN135" s="139" t="str">
        <f>IF($K135="","",VLOOKUP($K135,'ORF Accuracy Value LookUp'!$G$4:$H$104,2,TRUE))</f>
        <v/>
      </c>
      <c r="AO135" s="94" t="str">
        <f t="shared" si="19"/>
        <v/>
      </c>
      <c r="AP135" s="47" t="str">
        <f>IF($U135="","",VLOOKUP($U135,'ORF Accuracy Value LookUp'!$G$4:$H$104,2,TRUE))</f>
        <v/>
      </c>
      <c r="AQ135" s="94" t="str">
        <f t="shared" si="20"/>
        <v/>
      </c>
      <c r="AR135" s="46" t="str">
        <f>IF($AE135="","",VLOOKUP($AE135,'ORF Accuracy Value LookUp'!$G$4:$H$104,2,TRUE))</f>
        <v/>
      </c>
      <c r="AS135" s="140" t="str">
        <f t="shared" si="21"/>
        <v/>
      </c>
    </row>
    <row r="136" spans="1:45">
      <c r="A136" s="10"/>
      <c r="B136" s="9"/>
      <c r="C136" s="9"/>
      <c r="D136" s="9"/>
      <c r="E136" s="10"/>
      <c r="F136" s="11"/>
      <c r="G136" s="15"/>
      <c r="H136" s="88"/>
      <c r="I136" s="24"/>
      <c r="J136" s="24"/>
      <c r="K136" s="114" t="str">
        <f t="shared" ref="K136:K199" si="24">IF($I136="","",SUM($I136/($I136+$J136)))</f>
        <v/>
      </c>
      <c r="L136" s="24"/>
      <c r="M136" s="24"/>
      <c r="N136" s="24"/>
      <c r="O136" s="24"/>
      <c r="P136" s="97" t="str">
        <f t="shared" ref="P136:P199" si="25">IF($AO136&gt;0,$AO136,0)</f>
        <v/>
      </c>
      <c r="Q136" s="113" t="str">
        <f t="shared" ref="Q136:Q199" si="26">IF($B136="","",SUM($I136+$AN136+($L136*2)+($P136*2)))</f>
        <v/>
      </c>
      <c r="R136" s="88"/>
      <c r="S136" s="24"/>
      <c r="T136" s="24"/>
      <c r="U136" s="78" t="str">
        <f t="shared" ref="U136:U199" si="27">IF($S136="","",SUM($S136/($S136+$T136)))</f>
        <v/>
      </c>
      <c r="V136" s="24"/>
      <c r="W136" s="24"/>
      <c r="X136" s="24"/>
      <c r="Y136" s="24"/>
      <c r="Z136" s="98" t="str">
        <f t="shared" ref="Z136:Z199" si="28">IF($AQ136&gt;0,$AQ136,0)</f>
        <v/>
      </c>
      <c r="AA136" s="40" t="str">
        <f t="shared" si="22"/>
        <v/>
      </c>
      <c r="AB136" s="88"/>
      <c r="AC136" s="24"/>
      <c r="AD136" s="24"/>
      <c r="AE136" s="79" t="str">
        <f t="shared" ref="AE136:AE199" si="29">IF($AC136="","",SUM($AC136/($AC136+$AD136)))</f>
        <v/>
      </c>
      <c r="AF136" s="24"/>
      <c r="AG136" s="24"/>
      <c r="AH136" s="24"/>
      <c r="AI136" s="24"/>
      <c r="AJ136" s="99" t="str">
        <f t="shared" ref="AJ136:AJ199" si="30">IF($AS136&gt;0,$AS136,0)</f>
        <v/>
      </c>
      <c r="AK136" s="31" t="str">
        <f t="shared" si="23"/>
        <v/>
      </c>
      <c r="AN136" s="139" t="str">
        <f>IF($K136="","",VLOOKUP($K136,'ORF Accuracy Value LookUp'!$G$4:$H$104,2,TRUE))</f>
        <v/>
      </c>
      <c r="AO136" s="94" t="str">
        <f t="shared" ref="AO136:AO199" si="31">IF($N136="","",($N136-($O136/2)))</f>
        <v/>
      </c>
      <c r="AP136" s="47" t="str">
        <f>IF($U136="","",VLOOKUP($U136,'ORF Accuracy Value LookUp'!$G$4:$H$104,2,TRUE))</f>
        <v/>
      </c>
      <c r="AQ136" s="94" t="str">
        <f t="shared" ref="AQ136:AQ199" si="32">IF($X136="","",$X136-($Y136/2))</f>
        <v/>
      </c>
      <c r="AR136" s="46" t="str">
        <f>IF($AE136="","",VLOOKUP($AE136,'ORF Accuracy Value LookUp'!$G$4:$H$104,2,TRUE))</f>
        <v/>
      </c>
      <c r="AS136" s="140" t="str">
        <f t="shared" ref="AS136:AS199" si="33">IF($AH136="","",$AH136-($AI136/2))</f>
        <v/>
      </c>
    </row>
    <row r="137" spans="1:45">
      <c r="A137" s="10"/>
      <c r="B137" s="9"/>
      <c r="C137" s="9"/>
      <c r="D137" s="9"/>
      <c r="E137" s="10"/>
      <c r="F137" s="11"/>
      <c r="G137" s="15"/>
      <c r="H137" s="88"/>
      <c r="I137" s="24"/>
      <c r="J137" s="24"/>
      <c r="K137" s="114" t="str">
        <f t="shared" si="24"/>
        <v/>
      </c>
      <c r="L137" s="24"/>
      <c r="M137" s="24"/>
      <c r="N137" s="24"/>
      <c r="O137" s="24"/>
      <c r="P137" s="97" t="str">
        <f t="shared" si="25"/>
        <v/>
      </c>
      <c r="Q137" s="113" t="str">
        <f t="shared" si="26"/>
        <v/>
      </c>
      <c r="R137" s="88"/>
      <c r="S137" s="24"/>
      <c r="T137" s="24"/>
      <c r="U137" s="78" t="str">
        <f t="shared" si="27"/>
        <v/>
      </c>
      <c r="V137" s="24"/>
      <c r="W137" s="24"/>
      <c r="X137" s="24"/>
      <c r="Y137" s="24"/>
      <c r="Z137" s="98" t="str">
        <f t="shared" si="28"/>
        <v/>
      </c>
      <c r="AA137" s="40" t="str">
        <f t="shared" ref="AA137:AA200" si="34">IF($R137="","",SUM($S137+$AP137+($V137*2)+($Z137*4)))</f>
        <v/>
      </c>
      <c r="AB137" s="88"/>
      <c r="AC137" s="24"/>
      <c r="AD137" s="24"/>
      <c r="AE137" s="79" t="str">
        <f t="shared" si="29"/>
        <v/>
      </c>
      <c r="AF137" s="24"/>
      <c r="AG137" s="24"/>
      <c r="AH137" s="24"/>
      <c r="AI137" s="24"/>
      <c r="AJ137" s="99" t="str">
        <f t="shared" si="30"/>
        <v/>
      </c>
      <c r="AK137" s="31" t="str">
        <f t="shared" ref="AK137:AK200" si="35">IF($AB137="","",SUM($AC137+$AR137+($AF137*2)+($AJ137*4)))</f>
        <v/>
      </c>
      <c r="AN137" s="139" t="str">
        <f>IF($K137="","",VLOOKUP($K137,'ORF Accuracy Value LookUp'!$G$4:$H$104,2,TRUE))</f>
        <v/>
      </c>
      <c r="AO137" s="94" t="str">
        <f t="shared" si="31"/>
        <v/>
      </c>
      <c r="AP137" s="47" t="str">
        <f>IF($U137="","",VLOOKUP($U137,'ORF Accuracy Value LookUp'!$G$4:$H$104,2,TRUE))</f>
        <v/>
      </c>
      <c r="AQ137" s="94" t="str">
        <f t="shared" si="32"/>
        <v/>
      </c>
      <c r="AR137" s="46" t="str">
        <f>IF($AE137="","",VLOOKUP($AE137,'ORF Accuracy Value LookUp'!$G$4:$H$104,2,TRUE))</f>
        <v/>
      </c>
      <c r="AS137" s="140" t="str">
        <f t="shared" si="33"/>
        <v/>
      </c>
    </row>
    <row r="138" spans="1:45">
      <c r="A138" s="10"/>
      <c r="B138" s="9"/>
      <c r="C138" s="9"/>
      <c r="D138" s="9"/>
      <c r="E138" s="10"/>
      <c r="F138" s="11"/>
      <c r="G138" s="15"/>
      <c r="H138" s="88"/>
      <c r="I138" s="24"/>
      <c r="J138" s="24"/>
      <c r="K138" s="114" t="str">
        <f t="shared" si="24"/>
        <v/>
      </c>
      <c r="L138" s="24"/>
      <c r="M138" s="24"/>
      <c r="N138" s="24"/>
      <c r="O138" s="24"/>
      <c r="P138" s="97" t="str">
        <f t="shared" si="25"/>
        <v/>
      </c>
      <c r="Q138" s="113" t="str">
        <f t="shared" si="26"/>
        <v/>
      </c>
      <c r="R138" s="88"/>
      <c r="S138" s="24"/>
      <c r="T138" s="24"/>
      <c r="U138" s="78" t="str">
        <f t="shared" si="27"/>
        <v/>
      </c>
      <c r="V138" s="24"/>
      <c r="W138" s="24"/>
      <c r="X138" s="24"/>
      <c r="Y138" s="24"/>
      <c r="Z138" s="98" t="str">
        <f t="shared" si="28"/>
        <v/>
      </c>
      <c r="AA138" s="40" t="str">
        <f t="shared" si="34"/>
        <v/>
      </c>
      <c r="AB138" s="88"/>
      <c r="AC138" s="24"/>
      <c r="AD138" s="24"/>
      <c r="AE138" s="79" t="str">
        <f t="shared" si="29"/>
        <v/>
      </c>
      <c r="AF138" s="24"/>
      <c r="AG138" s="24"/>
      <c r="AH138" s="24"/>
      <c r="AI138" s="24"/>
      <c r="AJ138" s="99" t="str">
        <f t="shared" si="30"/>
        <v/>
      </c>
      <c r="AK138" s="31" t="str">
        <f t="shared" si="35"/>
        <v/>
      </c>
      <c r="AN138" s="139" t="str">
        <f>IF($K138="","",VLOOKUP($K138,'ORF Accuracy Value LookUp'!$G$4:$H$104,2,TRUE))</f>
        <v/>
      </c>
      <c r="AO138" s="94" t="str">
        <f t="shared" si="31"/>
        <v/>
      </c>
      <c r="AP138" s="47" t="str">
        <f>IF($U138="","",VLOOKUP($U138,'ORF Accuracy Value LookUp'!$G$4:$H$104,2,TRUE))</f>
        <v/>
      </c>
      <c r="AQ138" s="94" t="str">
        <f t="shared" si="32"/>
        <v/>
      </c>
      <c r="AR138" s="46" t="str">
        <f>IF($AE138="","",VLOOKUP($AE138,'ORF Accuracy Value LookUp'!$G$4:$H$104,2,TRUE))</f>
        <v/>
      </c>
      <c r="AS138" s="140" t="str">
        <f t="shared" si="33"/>
        <v/>
      </c>
    </row>
    <row r="139" spans="1:45">
      <c r="A139" s="10"/>
      <c r="B139" s="9"/>
      <c r="C139" s="9"/>
      <c r="D139" s="9"/>
      <c r="E139" s="10"/>
      <c r="F139" s="11"/>
      <c r="G139" s="15"/>
      <c r="H139" s="88"/>
      <c r="I139" s="24"/>
      <c r="J139" s="24"/>
      <c r="K139" s="114" t="str">
        <f t="shared" si="24"/>
        <v/>
      </c>
      <c r="L139" s="24"/>
      <c r="M139" s="24"/>
      <c r="N139" s="24"/>
      <c r="O139" s="24"/>
      <c r="P139" s="97" t="str">
        <f t="shared" si="25"/>
        <v/>
      </c>
      <c r="Q139" s="113" t="str">
        <f t="shared" si="26"/>
        <v/>
      </c>
      <c r="R139" s="88"/>
      <c r="S139" s="24"/>
      <c r="T139" s="24"/>
      <c r="U139" s="78" t="str">
        <f t="shared" si="27"/>
        <v/>
      </c>
      <c r="V139" s="24"/>
      <c r="W139" s="24"/>
      <c r="X139" s="24"/>
      <c r="Y139" s="24"/>
      <c r="Z139" s="98" t="str">
        <f t="shared" si="28"/>
        <v/>
      </c>
      <c r="AA139" s="40" t="str">
        <f t="shared" si="34"/>
        <v/>
      </c>
      <c r="AB139" s="88"/>
      <c r="AC139" s="24"/>
      <c r="AD139" s="24"/>
      <c r="AE139" s="79" t="str">
        <f t="shared" si="29"/>
        <v/>
      </c>
      <c r="AF139" s="24"/>
      <c r="AG139" s="24"/>
      <c r="AH139" s="24"/>
      <c r="AI139" s="24"/>
      <c r="AJ139" s="99" t="str">
        <f t="shared" si="30"/>
        <v/>
      </c>
      <c r="AK139" s="31" t="str">
        <f t="shared" si="35"/>
        <v/>
      </c>
      <c r="AN139" s="139" t="str">
        <f>IF($K139="","",VLOOKUP($K139,'ORF Accuracy Value LookUp'!$G$4:$H$104,2,TRUE))</f>
        <v/>
      </c>
      <c r="AO139" s="94" t="str">
        <f t="shared" si="31"/>
        <v/>
      </c>
      <c r="AP139" s="47" t="str">
        <f>IF($U139="","",VLOOKUP($U139,'ORF Accuracy Value LookUp'!$G$4:$H$104,2,TRUE))</f>
        <v/>
      </c>
      <c r="AQ139" s="94" t="str">
        <f t="shared" si="32"/>
        <v/>
      </c>
      <c r="AR139" s="46" t="str">
        <f>IF($AE139="","",VLOOKUP($AE139,'ORF Accuracy Value LookUp'!$G$4:$H$104,2,TRUE))</f>
        <v/>
      </c>
      <c r="AS139" s="140" t="str">
        <f t="shared" si="33"/>
        <v/>
      </c>
    </row>
    <row r="140" spans="1:45">
      <c r="A140" s="10"/>
      <c r="B140" s="9"/>
      <c r="C140" s="9"/>
      <c r="D140" s="9"/>
      <c r="E140" s="10"/>
      <c r="F140" s="11"/>
      <c r="G140" s="15"/>
      <c r="H140" s="88"/>
      <c r="I140" s="24"/>
      <c r="J140" s="24"/>
      <c r="K140" s="114" t="str">
        <f t="shared" si="24"/>
        <v/>
      </c>
      <c r="L140" s="24"/>
      <c r="M140" s="24"/>
      <c r="N140" s="24"/>
      <c r="O140" s="24"/>
      <c r="P140" s="97" t="str">
        <f t="shared" si="25"/>
        <v/>
      </c>
      <c r="Q140" s="113" t="str">
        <f t="shared" si="26"/>
        <v/>
      </c>
      <c r="R140" s="88"/>
      <c r="S140" s="24"/>
      <c r="T140" s="24"/>
      <c r="U140" s="78" t="str">
        <f t="shared" si="27"/>
        <v/>
      </c>
      <c r="V140" s="24"/>
      <c r="W140" s="24"/>
      <c r="X140" s="24"/>
      <c r="Y140" s="24"/>
      <c r="Z140" s="98" t="str">
        <f t="shared" si="28"/>
        <v/>
      </c>
      <c r="AA140" s="40" t="str">
        <f t="shared" si="34"/>
        <v/>
      </c>
      <c r="AB140" s="88"/>
      <c r="AC140" s="24"/>
      <c r="AD140" s="24"/>
      <c r="AE140" s="79" t="str">
        <f t="shared" si="29"/>
        <v/>
      </c>
      <c r="AF140" s="24"/>
      <c r="AG140" s="24"/>
      <c r="AH140" s="24"/>
      <c r="AI140" s="24"/>
      <c r="AJ140" s="99" t="str">
        <f t="shared" si="30"/>
        <v/>
      </c>
      <c r="AK140" s="31" t="str">
        <f t="shared" si="35"/>
        <v/>
      </c>
      <c r="AN140" s="139" t="str">
        <f>IF($K140="","",VLOOKUP($K140,'ORF Accuracy Value LookUp'!$G$4:$H$104,2,TRUE))</f>
        <v/>
      </c>
      <c r="AO140" s="94" t="str">
        <f t="shared" si="31"/>
        <v/>
      </c>
      <c r="AP140" s="47" t="str">
        <f>IF($U140="","",VLOOKUP($U140,'ORF Accuracy Value LookUp'!$G$4:$H$104,2,TRUE))</f>
        <v/>
      </c>
      <c r="AQ140" s="94" t="str">
        <f t="shared" si="32"/>
        <v/>
      </c>
      <c r="AR140" s="46" t="str">
        <f>IF($AE140="","",VLOOKUP($AE140,'ORF Accuracy Value LookUp'!$G$4:$H$104,2,TRUE))</f>
        <v/>
      </c>
      <c r="AS140" s="140" t="str">
        <f t="shared" si="33"/>
        <v/>
      </c>
    </row>
    <row r="141" spans="1:45">
      <c r="A141" s="10"/>
      <c r="B141" s="9"/>
      <c r="C141" s="9"/>
      <c r="D141" s="9"/>
      <c r="E141" s="10"/>
      <c r="F141" s="11"/>
      <c r="G141" s="15"/>
      <c r="H141" s="88"/>
      <c r="I141" s="24"/>
      <c r="J141" s="24"/>
      <c r="K141" s="114" t="str">
        <f t="shared" si="24"/>
        <v/>
      </c>
      <c r="L141" s="24"/>
      <c r="M141" s="24"/>
      <c r="N141" s="24"/>
      <c r="O141" s="24"/>
      <c r="P141" s="97" t="str">
        <f t="shared" si="25"/>
        <v/>
      </c>
      <c r="Q141" s="113" t="str">
        <f t="shared" si="26"/>
        <v/>
      </c>
      <c r="R141" s="88"/>
      <c r="S141" s="24"/>
      <c r="T141" s="24"/>
      <c r="U141" s="78" t="str">
        <f t="shared" si="27"/>
        <v/>
      </c>
      <c r="V141" s="24"/>
      <c r="W141" s="24"/>
      <c r="X141" s="24"/>
      <c r="Y141" s="24"/>
      <c r="Z141" s="98" t="str">
        <f t="shared" si="28"/>
        <v/>
      </c>
      <c r="AA141" s="40" t="str">
        <f t="shared" si="34"/>
        <v/>
      </c>
      <c r="AB141" s="88"/>
      <c r="AC141" s="24"/>
      <c r="AD141" s="24"/>
      <c r="AE141" s="79" t="str">
        <f t="shared" si="29"/>
        <v/>
      </c>
      <c r="AF141" s="24"/>
      <c r="AG141" s="24"/>
      <c r="AH141" s="24"/>
      <c r="AI141" s="24"/>
      <c r="AJ141" s="99" t="str">
        <f t="shared" si="30"/>
        <v/>
      </c>
      <c r="AK141" s="31" t="str">
        <f t="shared" si="35"/>
        <v/>
      </c>
      <c r="AN141" s="139" t="str">
        <f>IF($K141="","",VLOOKUP($K141,'ORF Accuracy Value LookUp'!$G$4:$H$104,2,TRUE))</f>
        <v/>
      </c>
      <c r="AO141" s="94" t="str">
        <f t="shared" si="31"/>
        <v/>
      </c>
      <c r="AP141" s="47" t="str">
        <f>IF($U141="","",VLOOKUP($U141,'ORF Accuracy Value LookUp'!$G$4:$H$104,2,TRUE))</f>
        <v/>
      </c>
      <c r="AQ141" s="94" t="str">
        <f t="shared" si="32"/>
        <v/>
      </c>
      <c r="AR141" s="46" t="str">
        <f>IF($AE141="","",VLOOKUP($AE141,'ORF Accuracy Value LookUp'!$G$4:$H$104,2,TRUE))</f>
        <v/>
      </c>
      <c r="AS141" s="140" t="str">
        <f t="shared" si="33"/>
        <v/>
      </c>
    </row>
    <row r="142" spans="1:45">
      <c r="A142" s="10"/>
      <c r="B142" s="9"/>
      <c r="C142" s="9"/>
      <c r="D142" s="9"/>
      <c r="E142" s="10"/>
      <c r="F142" s="11"/>
      <c r="G142" s="15"/>
      <c r="H142" s="88"/>
      <c r="I142" s="24"/>
      <c r="J142" s="24"/>
      <c r="K142" s="114" t="str">
        <f t="shared" si="24"/>
        <v/>
      </c>
      <c r="L142" s="24"/>
      <c r="M142" s="24"/>
      <c r="N142" s="24"/>
      <c r="O142" s="24"/>
      <c r="P142" s="97" t="str">
        <f t="shared" si="25"/>
        <v/>
      </c>
      <c r="Q142" s="113" t="str">
        <f t="shared" si="26"/>
        <v/>
      </c>
      <c r="R142" s="88"/>
      <c r="S142" s="24"/>
      <c r="T142" s="24"/>
      <c r="U142" s="78" t="str">
        <f t="shared" si="27"/>
        <v/>
      </c>
      <c r="V142" s="24"/>
      <c r="W142" s="24"/>
      <c r="X142" s="24"/>
      <c r="Y142" s="24"/>
      <c r="Z142" s="98" t="str">
        <f t="shared" si="28"/>
        <v/>
      </c>
      <c r="AA142" s="40" t="str">
        <f t="shared" si="34"/>
        <v/>
      </c>
      <c r="AB142" s="88"/>
      <c r="AC142" s="24"/>
      <c r="AD142" s="24"/>
      <c r="AE142" s="79" t="str">
        <f t="shared" si="29"/>
        <v/>
      </c>
      <c r="AF142" s="24"/>
      <c r="AG142" s="24"/>
      <c r="AH142" s="24"/>
      <c r="AI142" s="24"/>
      <c r="AJ142" s="99" t="str">
        <f t="shared" si="30"/>
        <v/>
      </c>
      <c r="AK142" s="31" t="str">
        <f t="shared" si="35"/>
        <v/>
      </c>
      <c r="AN142" s="139" t="str">
        <f>IF($K142="","",VLOOKUP($K142,'ORF Accuracy Value LookUp'!$G$4:$H$104,2,TRUE))</f>
        <v/>
      </c>
      <c r="AO142" s="94" t="str">
        <f t="shared" si="31"/>
        <v/>
      </c>
      <c r="AP142" s="47" t="str">
        <f>IF($U142="","",VLOOKUP($U142,'ORF Accuracy Value LookUp'!$G$4:$H$104,2,TRUE))</f>
        <v/>
      </c>
      <c r="AQ142" s="94" t="str">
        <f t="shared" si="32"/>
        <v/>
      </c>
      <c r="AR142" s="46" t="str">
        <f>IF($AE142="","",VLOOKUP($AE142,'ORF Accuracy Value LookUp'!$G$4:$H$104,2,TRUE))</f>
        <v/>
      </c>
      <c r="AS142" s="140" t="str">
        <f t="shared" si="33"/>
        <v/>
      </c>
    </row>
    <row r="143" spans="1:45">
      <c r="A143" s="10"/>
      <c r="B143" s="9"/>
      <c r="C143" s="9"/>
      <c r="D143" s="9"/>
      <c r="E143" s="10"/>
      <c r="F143" s="11"/>
      <c r="G143" s="15"/>
      <c r="H143" s="88"/>
      <c r="I143" s="24"/>
      <c r="J143" s="24"/>
      <c r="K143" s="114" t="str">
        <f t="shared" si="24"/>
        <v/>
      </c>
      <c r="L143" s="24"/>
      <c r="M143" s="24"/>
      <c r="N143" s="24"/>
      <c r="O143" s="24"/>
      <c r="P143" s="97" t="str">
        <f t="shared" si="25"/>
        <v/>
      </c>
      <c r="Q143" s="113" t="str">
        <f t="shared" si="26"/>
        <v/>
      </c>
      <c r="R143" s="88"/>
      <c r="S143" s="24"/>
      <c r="T143" s="24"/>
      <c r="U143" s="78" t="str">
        <f t="shared" si="27"/>
        <v/>
      </c>
      <c r="V143" s="24"/>
      <c r="W143" s="24"/>
      <c r="X143" s="24"/>
      <c r="Y143" s="24"/>
      <c r="Z143" s="98" t="str">
        <f t="shared" si="28"/>
        <v/>
      </c>
      <c r="AA143" s="40" t="str">
        <f t="shared" si="34"/>
        <v/>
      </c>
      <c r="AB143" s="88"/>
      <c r="AC143" s="24"/>
      <c r="AD143" s="24"/>
      <c r="AE143" s="79" t="str">
        <f t="shared" si="29"/>
        <v/>
      </c>
      <c r="AF143" s="24"/>
      <c r="AG143" s="24"/>
      <c r="AH143" s="24"/>
      <c r="AI143" s="24"/>
      <c r="AJ143" s="99" t="str">
        <f t="shared" si="30"/>
        <v/>
      </c>
      <c r="AK143" s="31" t="str">
        <f t="shared" si="35"/>
        <v/>
      </c>
      <c r="AN143" s="139" t="str">
        <f>IF($K143="","",VLOOKUP($K143,'ORF Accuracy Value LookUp'!$G$4:$H$104,2,TRUE))</f>
        <v/>
      </c>
      <c r="AO143" s="94" t="str">
        <f t="shared" si="31"/>
        <v/>
      </c>
      <c r="AP143" s="47" t="str">
        <f>IF($U143="","",VLOOKUP($U143,'ORF Accuracy Value LookUp'!$G$4:$H$104,2,TRUE))</f>
        <v/>
      </c>
      <c r="AQ143" s="94" t="str">
        <f t="shared" si="32"/>
        <v/>
      </c>
      <c r="AR143" s="46" t="str">
        <f>IF($AE143="","",VLOOKUP($AE143,'ORF Accuracy Value LookUp'!$G$4:$H$104,2,TRUE))</f>
        <v/>
      </c>
      <c r="AS143" s="140" t="str">
        <f t="shared" si="33"/>
        <v/>
      </c>
    </row>
    <row r="144" spans="1:45">
      <c r="A144" s="10"/>
      <c r="B144" s="9"/>
      <c r="C144" s="9"/>
      <c r="D144" s="9"/>
      <c r="E144" s="10"/>
      <c r="F144" s="11"/>
      <c r="G144" s="15"/>
      <c r="H144" s="88"/>
      <c r="I144" s="24"/>
      <c r="J144" s="24"/>
      <c r="K144" s="114" t="str">
        <f t="shared" si="24"/>
        <v/>
      </c>
      <c r="L144" s="24"/>
      <c r="M144" s="24"/>
      <c r="N144" s="24"/>
      <c r="O144" s="24"/>
      <c r="P144" s="97" t="str">
        <f t="shared" si="25"/>
        <v/>
      </c>
      <c r="Q144" s="113" t="str">
        <f t="shared" si="26"/>
        <v/>
      </c>
      <c r="R144" s="88"/>
      <c r="S144" s="24"/>
      <c r="T144" s="24"/>
      <c r="U144" s="78" t="str">
        <f t="shared" si="27"/>
        <v/>
      </c>
      <c r="V144" s="24"/>
      <c r="W144" s="24"/>
      <c r="X144" s="24"/>
      <c r="Y144" s="24"/>
      <c r="Z144" s="98" t="str">
        <f t="shared" si="28"/>
        <v/>
      </c>
      <c r="AA144" s="40" t="str">
        <f t="shared" si="34"/>
        <v/>
      </c>
      <c r="AB144" s="88"/>
      <c r="AC144" s="24"/>
      <c r="AD144" s="24"/>
      <c r="AE144" s="79" t="str">
        <f t="shared" si="29"/>
        <v/>
      </c>
      <c r="AF144" s="24"/>
      <c r="AG144" s="24"/>
      <c r="AH144" s="24"/>
      <c r="AI144" s="24"/>
      <c r="AJ144" s="99" t="str">
        <f t="shared" si="30"/>
        <v/>
      </c>
      <c r="AK144" s="31" t="str">
        <f t="shared" si="35"/>
        <v/>
      </c>
      <c r="AN144" s="139" t="str">
        <f>IF($K144="","",VLOOKUP($K144,'ORF Accuracy Value LookUp'!$G$4:$H$104,2,TRUE))</f>
        <v/>
      </c>
      <c r="AO144" s="94" t="str">
        <f t="shared" si="31"/>
        <v/>
      </c>
      <c r="AP144" s="47" t="str">
        <f>IF($U144="","",VLOOKUP($U144,'ORF Accuracy Value LookUp'!$G$4:$H$104,2,TRUE))</f>
        <v/>
      </c>
      <c r="AQ144" s="94" t="str">
        <f t="shared" si="32"/>
        <v/>
      </c>
      <c r="AR144" s="46" t="str">
        <f>IF($AE144="","",VLOOKUP($AE144,'ORF Accuracy Value LookUp'!$G$4:$H$104,2,TRUE))</f>
        <v/>
      </c>
      <c r="AS144" s="140" t="str">
        <f t="shared" si="33"/>
        <v/>
      </c>
    </row>
    <row r="145" spans="1:45">
      <c r="A145" s="10"/>
      <c r="B145" s="9"/>
      <c r="C145" s="9"/>
      <c r="D145" s="9"/>
      <c r="E145" s="10"/>
      <c r="F145" s="11"/>
      <c r="G145" s="15"/>
      <c r="H145" s="88"/>
      <c r="I145" s="24"/>
      <c r="J145" s="24"/>
      <c r="K145" s="114" t="str">
        <f t="shared" si="24"/>
        <v/>
      </c>
      <c r="L145" s="24"/>
      <c r="M145" s="24"/>
      <c r="N145" s="24"/>
      <c r="O145" s="24"/>
      <c r="P145" s="97" t="str">
        <f t="shared" si="25"/>
        <v/>
      </c>
      <c r="Q145" s="113" t="str">
        <f t="shared" si="26"/>
        <v/>
      </c>
      <c r="R145" s="88"/>
      <c r="S145" s="24"/>
      <c r="T145" s="24"/>
      <c r="U145" s="78" t="str">
        <f t="shared" si="27"/>
        <v/>
      </c>
      <c r="V145" s="24"/>
      <c r="W145" s="24"/>
      <c r="X145" s="24"/>
      <c r="Y145" s="24"/>
      <c r="Z145" s="98" t="str">
        <f t="shared" si="28"/>
        <v/>
      </c>
      <c r="AA145" s="40" t="str">
        <f t="shared" si="34"/>
        <v/>
      </c>
      <c r="AB145" s="88"/>
      <c r="AC145" s="24"/>
      <c r="AD145" s="24"/>
      <c r="AE145" s="79" t="str">
        <f t="shared" si="29"/>
        <v/>
      </c>
      <c r="AF145" s="24"/>
      <c r="AG145" s="24"/>
      <c r="AH145" s="24"/>
      <c r="AI145" s="24"/>
      <c r="AJ145" s="99" t="str">
        <f t="shared" si="30"/>
        <v/>
      </c>
      <c r="AK145" s="31" t="str">
        <f t="shared" si="35"/>
        <v/>
      </c>
      <c r="AN145" s="139" t="str">
        <f>IF($K145="","",VLOOKUP($K145,'ORF Accuracy Value LookUp'!$G$4:$H$104,2,TRUE))</f>
        <v/>
      </c>
      <c r="AO145" s="94" t="str">
        <f t="shared" si="31"/>
        <v/>
      </c>
      <c r="AP145" s="47" t="str">
        <f>IF($U145="","",VLOOKUP($U145,'ORF Accuracy Value LookUp'!$G$4:$H$104,2,TRUE))</f>
        <v/>
      </c>
      <c r="AQ145" s="94" t="str">
        <f t="shared" si="32"/>
        <v/>
      </c>
      <c r="AR145" s="46" t="str">
        <f>IF($AE145="","",VLOOKUP($AE145,'ORF Accuracy Value LookUp'!$G$4:$H$104,2,TRUE))</f>
        <v/>
      </c>
      <c r="AS145" s="140" t="str">
        <f t="shared" si="33"/>
        <v/>
      </c>
    </row>
    <row r="146" spans="1:45">
      <c r="A146" s="10"/>
      <c r="B146" s="9"/>
      <c r="C146" s="9"/>
      <c r="D146" s="9"/>
      <c r="E146" s="10"/>
      <c r="F146" s="11"/>
      <c r="G146" s="15"/>
      <c r="H146" s="88"/>
      <c r="I146" s="24"/>
      <c r="J146" s="24"/>
      <c r="K146" s="114" t="str">
        <f t="shared" si="24"/>
        <v/>
      </c>
      <c r="L146" s="24"/>
      <c r="M146" s="24"/>
      <c r="N146" s="24"/>
      <c r="O146" s="24"/>
      <c r="P146" s="97" t="str">
        <f t="shared" si="25"/>
        <v/>
      </c>
      <c r="Q146" s="113" t="str">
        <f t="shared" si="26"/>
        <v/>
      </c>
      <c r="R146" s="88"/>
      <c r="S146" s="24"/>
      <c r="T146" s="24"/>
      <c r="U146" s="78" t="str">
        <f t="shared" si="27"/>
        <v/>
      </c>
      <c r="V146" s="24"/>
      <c r="W146" s="24"/>
      <c r="X146" s="24"/>
      <c r="Y146" s="24"/>
      <c r="Z146" s="98" t="str">
        <f t="shared" si="28"/>
        <v/>
      </c>
      <c r="AA146" s="40" t="str">
        <f t="shared" si="34"/>
        <v/>
      </c>
      <c r="AB146" s="88"/>
      <c r="AC146" s="24"/>
      <c r="AD146" s="24"/>
      <c r="AE146" s="79" t="str">
        <f t="shared" si="29"/>
        <v/>
      </c>
      <c r="AF146" s="24"/>
      <c r="AG146" s="24"/>
      <c r="AH146" s="24"/>
      <c r="AI146" s="24"/>
      <c r="AJ146" s="99" t="str">
        <f t="shared" si="30"/>
        <v/>
      </c>
      <c r="AK146" s="31" t="str">
        <f t="shared" si="35"/>
        <v/>
      </c>
      <c r="AN146" s="139" t="str">
        <f>IF($K146="","",VLOOKUP($K146,'ORF Accuracy Value LookUp'!$G$4:$H$104,2,TRUE))</f>
        <v/>
      </c>
      <c r="AO146" s="94" t="str">
        <f t="shared" si="31"/>
        <v/>
      </c>
      <c r="AP146" s="47" t="str">
        <f>IF($U146="","",VLOOKUP($U146,'ORF Accuracy Value LookUp'!$G$4:$H$104,2,TRUE))</f>
        <v/>
      </c>
      <c r="AQ146" s="94" t="str">
        <f t="shared" si="32"/>
        <v/>
      </c>
      <c r="AR146" s="46" t="str">
        <f>IF($AE146="","",VLOOKUP($AE146,'ORF Accuracy Value LookUp'!$G$4:$H$104,2,TRUE))</f>
        <v/>
      </c>
      <c r="AS146" s="140" t="str">
        <f t="shared" si="33"/>
        <v/>
      </c>
    </row>
    <row r="147" spans="1:45">
      <c r="A147" s="10"/>
      <c r="B147" s="9"/>
      <c r="C147" s="9"/>
      <c r="D147" s="9"/>
      <c r="E147" s="10"/>
      <c r="F147" s="11"/>
      <c r="G147" s="15"/>
      <c r="H147" s="88"/>
      <c r="I147" s="24"/>
      <c r="J147" s="24"/>
      <c r="K147" s="114" t="str">
        <f t="shared" si="24"/>
        <v/>
      </c>
      <c r="L147" s="24"/>
      <c r="M147" s="24"/>
      <c r="N147" s="24"/>
      <c r="O147" s="24"/>
      <c r="P147" s="97" t="str">
        <f t="shared" si="25"/>
        <v/>
      </c>
      <c r="Q147" s="113" t="str">
        <f t="shared" si="26"/>
        <v/>
      </c>
      <c r="R147" s="88"/>
      <c r="S147" s="24"/>
      <c r="T147" s="24"/>
      <c r="U147" s="78" t="str">
        <f t="shared" si="27"/>
        <v/>
      </c>
      <c r="V147" s="24"/>
      <c r="W147" s="24"/>
      <c r="X147" s="24"/>
      <c r="Y147" s="24"/>
      <c r="Z147" s="98" t="str">
        <f t="shared" si="28"/>
        <v/>
      </c>
      <c r="AA147" s="40" t="str">
        <f t="shared" si="34"/>
        <v/>
      </c>
      <c r="AB147" s="88"/>
      <c r="AC147" s="24"/>
      <c r="AD147" s="24"/>
      <c r="AE147" s="79" t="str">
        <f t="shared" si="29"/>
        <v/>
      </c>
      <c r="AF147" s="24"/>
      <c r="AG147" s="24"/>
      <c r="AH147" s="24"/>
      <c r="AI147" s="24"/>
      <c r="AJ147" s="99" t="str">
        <f t="shared" si="30"/>
        <v/>
      </c>
      <c r="AK147" s="31" t="str">
        <f t="shared" si="35"/>
        <v/>
      </c>
      <c r="AN147" s="139" t="str">
        <f>IF($K147="","",VLOOKUP($K147,'ORF Accuracy Value LookUp'!$G$4:$H$104,2,TRUE))</f>
        <v/>
      </c>
      <c r="AO147" s="94" t="str">
        <f t="shared" si="31"/>
        <v/>
      </c>
      <c r="AP147" s="47" t="str">
        <f>IF($U147="","",VLOOKUP($U147,'ORF Accuracy Value LookUp'!$G$4:$H$104,2,TRUE))</f>
        <v/>
      </c>
      <c r="AQ147" s="94" t="str">
        <f t="shared" si="32"/>
        <v/>
      </c>
      <c r="AR147" s="46" t="str">
        <f>IF($AE147="","",VLOOKUP($AE147,'ORF Accuracy Value LookUp'!$G$4:$H$104,2,TRUE))</f>
        <v/>
      </c>
      <c r="AS147" s="140" t="str">
        <f t="shared" si="33"/>
        <v/>
      </c>
    </row>
    <row r="148" spans="1:45">
      <c r="A148" s="10"/>
      <c r="B148" s="9"/>
      <c r="C148" s="9"/>
      <c r="D148" s="9"/>
      <c r="E148" s="10"/>
      <c r="F148" s="11"/>
      <c r="G148" s="15"/>
      <c r="H148" s="88"/>
      <c r="I148" s="24"/>
      <c r="J148" s="24"/>
      <c r="K148" s="114" t="str">
        <f t="shared" si="24"/>
        <v/>
      </c>
      <c r="L148" s="24"/>
      <c r="M148" s="24"/>
      <c r="N148" s="24"/>
      <c r="O148" s="24"/>
      <c r="P148" s="97" t="str">
        <f t="shared" si="25"/>
        <v/>
      </c>
      <c r="Q148" s="113" t="str">
        <f t="shared" si="26"/>
        <v/>
      </c>
      <c r="R148" s="88"/>
      <c r="S148" s="24"/>
      <c r="T148" s="24"/>
      <c r="U148" s="78" t="str">
        <f t="shared" si="27"/>
        <v/>
      </c>
      <c r="V148" s="24"/>
      <c r="W148" s="24"/>
      <c r="X148" s="24"/>
      <c r="Y148" s="24"/>
      <c r="Z148" s="98" t="str">
        <f t="shared" si="28"/>
        <v/>
      </c>
      <c r="AA148" s="40" t="str">
        <f t="shared" si="34"/>
        <v/>
      </c>
      <c r="AB148" s="88"/>
      <c r="AC148" s="24"/>
      <c r="AD148" s="24"/>
      <c r="AE148" s="79" t="str">
        <f t="shared" si="29"/>
        <v/>
      </c>
      <c r="AF148" s="24"/>
      <c r="AG148" s="24"/>
      <c r="AH148" s="24"/>
      <c r="AI148" s="24"/>
      <c r="AJ148" s="99" t="str">
        <f t="shared" si="30"/>
        <v/>
      </c>
      <c r="AK148" s="31" t="str">
        <f t="shared" si="35"/>
        <v/>
      </c>
      <c r="AN148" s="139" t="str">
        <f>IF($K148="","",VLOOKUP($K148,'ORF Accuracy Value LookUp'!$G$4:$H$104,2,TRUE))</f>
        <v/>
      </c>
      <c r="AO148" s="94" t="str">
        <f t="shared" si="31"/>
        <v/>
      </c>
      <c r="AP148" s="47" t="str">
        <f>IF($U148="","",VLOOKUP($U148,'ORF Accuracy Value LookUp'!$G$4:$H$104,2,TRUE))</f>
        <v/>
      </c>
      <c r="AQ148" s="94" t="str">
        <f t="shared" si="32"/>
        <v/>
      </c>
      <c r="AR148" s="46" t="str">
        <f>IF($AE148="","",VLOOKUP($AE148,'ORF Accuracy Value LookUp'!$G$4:$H$104,2,TRUE))</f>
        <v/>
      </c>
      <c r="AS148" s="140" t="str">
        <f t="shared" si="33"/>
        <v/>
      </c>
    </row>
    <row r="149" spans="1:45">
      <c r="A149" s="10"/>
      <c r="B149" s="9"/>
      <c r="C149" s="9"/>
      <c r="D149" s="9"/>
      <c r="E149" s="10"/>
      <c r="F149" s="11"/>
      <c r="G149" s="15"/>
      <c r="H149" s="88"/>
      <c r="I149" s="24"/>
      <c r="J149" s="24"/>
      <c r="K149" s="114" t="str">
        <f t="shared" si="24"/>
        <v/>
      </c>
      <c r="L149" s="24"/>
      <c r="M149" s="24"/>
      <c r="N149" s="24"/>
      <c r="O149" s="24"/>
      <c r="P149" s="97" t="str">
        <f t="shared" si="25"/>
        <v/>
      </c>
      <c r="Q149" s="113" t="str">
        <f t="shared" si="26"/>
        <v/>
      </c>
      <c r="R149" s="88"/>
      <c r="S149" s="24"/>
      <c r="T149" s="24"/>
      <c r="U149" s="78" t="str">
        <f t="shared" si="27"/>
        <v/>
      </c>
      <c r="V149" s="24"/>
      <c r="W149" s="24"/>
      <c r="X149" s="24"/>
      <c r="Y149" s="24"/>
      <c r="Z149" s="98" t="str">
        <f t="shared" si="28"/>
        <v/>
      </c>
      <c r="AA149" s="40" t="str">
        <f t="shared" si="34"/>
        <v/>
      </c>
      <c r="AB149" s="88"/>
      <c r="AC149" s="24"/>
      <c r="AD149" s="24"/>
      <c r="AE149" s="79" t="str">
        <f t="shared" si="29"/>
        <v/>
      </c>
      <c r="AF149" s="24"/>
      <c r="AG149" s="24"/>
      <c r="AH149" s="24"/>
      <c r="AI149" s="24"/>
      <c r="AJ149" s="99" t="str">
        <f t="shared" si="30"/>
        <v/>
      </c>
      <c r="AK149" s="31" t="str">
        <f t="shared" si="35"/>
        <v/>
      </c>
      <c r="AN149" s="139" t="str">
        <f>IF($K149="","",VLOOKUP($K149,'ORF Accuracy Value LookUp'!$G$4:$H$104,2,TRUE))</f>
        <v/>
      </c>
      <c r="AO149" s="94" t="str">
        <f t="shared" si="31"/>
        <v/>
      </c>
      <c r="AP149" s="47" t="str">
        <f>IF($U149="","",VLOOKUP($U149,'ORF Accuracy Value LookUp'!$G$4:$H$104,2,TRUE))</f>
        <v/>
      </c>
      <c r="AQ149" s="94" t="str">
        <f t="shared" si="32"/>
        <v/>
      </c>
      <c r="AR149" s="46" t="str">
        <f>IF($AE149="","",VLOOKUP($AE149,'ORF Accuracy Value LookUp'!$G$4:$H$104,2,TRUE))</f>
        <v/>
      </c>
      <c r="AS149" s="140" t="str">
        <f t="shared" si="33"/>
        <v/>
      </c>
    </row>
    <row r="150" spans="1:45">
      <c r="A150" s="10"/>
      <c r="B150" s="9"/>
      <c r="C150" s="9"/>
      <c r="D150" s="9"/>
      <c r="E150" s="10"/>
      <c r="F150" s="11"/>
      <c r="G150" s="15"/>
      <c r="H150" s="88"/>
      <c r="I150" s="24"/>
      <c r="J150" s="24"/>
      <c r="K150" s="114" t="str">
        <f t="shared" si="24"/>
        <v/>
      </c>
      <c r="L150" s="24"/>
      <c r="M150" s="24"/>
      <c r="N150" s="24"/>
      <c r="O150" s="24"/>
      <c r="P150" s="97" t="str">
        <f t="shared" si="25"/>
        <v/>
      </c>
      <c r="Q150" s="113" t="str">
        <f t="shared" si="26"/>
        <v/>
      </c>
      <c r="R150" s="88"/>
      <c r="S150" s="24"/>
      <c r="T150" s="24"/>
      <c r="U150" s="78" t="str">
        <f t="shared" si="27"/>
        <v/>
      </c>
      <c r="V150" s="24"/>
      <c r="W150" s="24"/>
      <c r="X150" s="24"/>
      <c r="Y150" s="24"/>
      <c r="Z150" s="98" t="str">
        <f t="shared" si="28"/>
        <v/>
      </c>
      <c r="AA150" s="40" t="str">
        <f t="shared" si="34"/>
        <v/>
      </c>
      <c r="AB150" s="88"/>
      <c r="AC150" s="24"/>
      <c r="AD150" s="24"/>
      <c r="AE150" s="79" t="str">
        <f t="shared" si="29"/>
        <v/>
      </c>
      <c r="AF150" s="24"/>
      <c r="AG150" s="24"/>
      <c r="AH150" s="24"/>
      <c r="AI150" s="24"/>
      <c r="AJ150" s="99" t="str">
        <f t="shared" si="30"/>
        <v/>
      </c>
      <c r="AK150" s="31" t="str">
        <f t="shared" si="35"/>
        <v/>
      </c>
      <c r="AN150" s="139" t="str">
        <f>IF($K150="","",VLOOKUP($K150,'ORF Accuracy Value LookUp'!$G$4:$H$104,2,TRUE))</f>
        <v/>
      </c>
      <c r="AO150" s="94" t="str">
        <f t="shared" si="31"/>
        <v/>
      </c>
      <c r="AP150" s="47" t="str">
        <f>IF($U150="","",VLOOKUP($U150,'ORF Accuracy Value LookUp'!$G$4:$H$104,2,TRUE))</f>
        <v/>
      </c>
      <c r="AQ150" s="94" t="str">
        <f t="shared" si="32"/>
        <v/>
      </c>
      <c r="AR150" s="46" t="str">
        <f>IF($AE150="","",VLOOKUP($AE150,'ORF Accuracy Value LookUp'!$G$4:$H$104,2,TRUE))</f>
        <v/>
      </c>
      <c r="AS150" s="140" t="str">
        <f t="shared" si="33"/>
        <v/>
      </c>
    </row>
    <row r="151" spans="1:45">
      <c r="A151" s="10"/>
      <c r="B151" s="9"/>
      <c r="C151" s="9"/>
      <c r="D151" s="9"/>
      <c r="E151" s="10"/>
      <c r="F151" s="11"/>
      <c r="G151" s="15"/>
      <c r="H151" s="88"/>
      <c r="I151" s="24"/>
      <c r="J151" s="24"/>
      <c r="K151" s="114" t="str">
        <f t="shared" si="24"/>
        <v/>
      </c>
      <c r="L151" s="24"/>
      <c r="M151" s="24"/>
      <c r="N151" s="24"/>
      <c r="O151" s="24"/>
      <c r="P151" s="97" t="str">
        <f t="shared" si="25"/>
        <v/>
      </c>
      <c r="Q151" s="113" t="str">
        <f t="shared" si="26"/>
        <v/>
      </c>
      <c r="R151" s="88"/>
      <c r="S151" s="24"/>
      <c r="T151" s="24"/>
      <c r="U151" s="78" t="str">
        <f t="shared" si="27"/>
        <v/>
      </c>
      <c r="V151" s="24"/>
      <c r="W151" s="24"/>
      <c r="X151" s="24"/>
      <c r="Y151" s="24"/>
      <c r="Z151" s="98" t="str">
        <f t="shared" si="28"/>
        <v/>
      </c>
      <c r="AA151" s="40" t="str">
        <f t="shared" si="34"/>
        <v/>
      </c>
      <c r="AB151" s="88"/>
      <c r="AC151" s="24"/>
      <c r="AD151" s="24"/>
      <c r="AE151" s="79" t="str">
        <f t="shared" si="29"/>
        <v/>
      </c>
      <c r="AF151" s="24"/>
      <c r="AG151" s="24"/>
      <c r="AH151" s="24"/>
      <c r="AI151" s="24"/>
      <c r="AJ151" s="99" t="str">
        <f t="shared" si="30"/>
        <v/>
      </c>
      <c r="AK151" s="31" t="str">
        <f t="shared" si="35"/>
        <v/>
      </c>
      <c r="AN151" s="139" t="str">
        <f>IF($K151="","",VLOOKUP($K151,'ORF Accuracy Value LookUp'!$G$4:$H$104,2,TRUE))</f>
        <v/>
      </c>
      <c r="AO151" s="94" t="str">
        <f t="shared" si="31"/>
        <v/>
      </c>
      <c r="AP151" s="47" t="str">
        <f>IF($U151="","",VLOOKUP($U151,'ORF Accuracy Value LookUp'!$G$4:$H$104,2,TRUE))</f>
        <v/>
      </c>
      <c r="AQ151" s="94" t="str">
        <f t="shared" si="32"/>
        <v/>
      </c>
      <c r="AR151" s="46" t="str">
        <f>IF($AE151="","",VLOOKUP($AE151,'ORF Accuracy Value LookUp'!$G$4:$H$104,2,TRUE))</f>
        <v/>
      </c>
      <c r="AS151" s="140" t="str">
        <f t="shared" si="33"/>
        <v/>
      </c>
    </row>
    <row r="152" spans="1:45">
      <c r="A152" s="10"/>
      <c r="B152" s="9"/>
      <c r="C152" s="9"/>
      <c r="D152" s="9"/>
      <c r="E152" s="10"/>
      <c r="F152" s="11"/>
      <c r="G152" s="15"/>
      <c r="H152" s="88"/>
      <c r="I152" s="24"/>
      <c r="J152" s="24"/>
      <c r="K152" s="114" t="str">
        <f t="shared" si="24"/>
        <v/>
      </c>
      <c r="L152" s="24"/>
      <c r="M152" s="24"/>
      <c r="N152" s="24"/>
      <c r="O152" s="24"/>
      <c r="P152" s="97" t="str">
        <f t="shared" si="25"/>
        <v/>
      </c>
      <c r="Q152" s="113" t="str">
        <f t="shared" si="26"/>
        <v/>
      </c>
      <c r="R152" s="88"/>
      <c r="S152" s="24"/>
      <c r="T152" s="24"/>
      <c r="U152" s="78" t="str">
        <f t="shared" si="27"/>
        <v/>
      </c>
      <c r="V152" s="24"/>
      <c r="W152" s="24"/>
      <c r="X152" s="24"/>
      <c r="Y152" s="24"/>
      <c r="Z152" s="98" t="str">
        <f t="shared" si="28"/>
        <v/>
      </c>
      <c r="AA152" s="40" t="str">
        <f t="shared" si="34"/>
        <v/>
      </c>
      <c r="AB152" s="88"/>
      <c r="AC152" s="24"/>
      <c r="AD152" s="24"/>
      <c r="AE152" s="79" t="str">
        <f t="shared" si="29"/>
        <v/>
      </c>
      <c r="AF152" s="24"/>
      <c r="AG152" s="24"/>
      <c r="AH152" s="24"/>
      <c r="AI152" s="24"/>
      <c r="AJ152" s="99" t="str">
        <f t="shared" si="30"/>
        <v/>
      </c>
      <c r="AK152" s="31" t="str">
        <f t="shared" si="35"/>
        <v/>
      </c>
      <c r="AN152" s="139" t="str">
        <f>IF($K152="","",VLOOKUP($K152,'ORF Accuracy Value LookUp'!$G$4:$H$104,2,TRUE))</f>
        <v/>
      </c>
      <c r="AO152" s="94" t="str">
        <f t="shared" si="31"/>
        <v/>
      </c>
      <c r="AP152" s="47" t="str">
        <f>IF($U152="","",VLOOKUP($U152,'ORF Accuracy Value LookUp'!$G$4:$H$104,2,TRUE))</f>
        <v/>
      </c>
      <c r="AQ152" s="94" t="str">
        <f t="shared" si="32"/>
        <v/>
      </c>
      <c r="AR152" s="46" t="str">
        <f>IF($AE152="","",VLOOKUP($AE152,'ORF Accuracy Value LookUp'!$G$4:$H$104,2,TRUE))</f>
        <v/>
      </c>
      <c r="AS152" s="140" t="str">
        <f t="shared" si="33"/>
        <v/>
      </c>
    </row>
    <row r="153" spans="1:45">
      <c r="A153" s="10"/>
      <c r="B153" s="9"/>
      <c r="C153" s="9"/>
      <c r="D153" s="9"/>
      <c r="E153" s="10"/>
      <c r="F153" s="11"/>
      <c r="G153" s="15"/>
      <c r="H153" s="88"/>
      <c r="I153" s="24"/>
      <c r="J153" s="24"/>
      <c r="K153" s="114" t="str">
        <f t="shared" si="24"/>
        <v/>
      </c>
      <c r="L153" s="24"/>
      <c r="M153" s="24"/>
      <c r="N153" s="24"/>
      <c r="O153" s="24"/>
      <c r="P153" s="97" t="str">
        <f t="shared" si="25"/>
        <v/>
      </c>
      <c r="Q153" s="113" t="str">
        <f t="shared" si="26"/>
        <v/>
      </c>
      <c r="R153" s="88"/>
      <c r="S153" s="24"/>
      <c r="T153" s="24"/>
      <c r="U153" s="78" t="str">
        <f t="shared" si="27"/>
        <v/>
      </c>
      <c r="V153" s="24"/>
      <c r="W153" s="24"/>
      <c r="X153" s="24"/>
      <c r="Y153" s="24"/>
      <c r="Z153" s="98" t="str">
        <f t="shared" si="28"/>
        <v/>
      </c>
      <c r="AA153" s="40" t="str">
        <f t="shared" si="34"/>
        <v/>
      </c>
      <c r="AB153" s="88"/>
      <c r="AC153" s="24"/>
      <c r="AD153" s="24"/>
      <c r="AE153" s="79" t="str">
        <f t="shared" si="29"/>
        <v/>
      </c>
      <c r="AF153" s="24"/>
      <c r="AG153" s="24"/>
      <c r="AH153" s="24"/>
      <c r="AI153" s="24"/>
      <c r="AJ153" s="99" t="str">
        <f t="shared" si="30"/>
        <v/>
      </c>
      <c r="AK153" s="31" t="str">
        <f t="shared" si="35"/>
        <v/>
      </c>
      <c r="AN153" s="139" t="str">
        <f>IF($K153="","",VLOOKUP($K153,'ORF Accuracy Value LookUp'!$G$4:$H$104,2,TRUE))</f>
        <v/>
      </c>
      <c r="AO153" s="94" t="str">
        <f t="shared" si="31"/>
        <v/>
      </c>
      <c r="AP153" s="47" t="str">
        <f>IF($U153="","",VLOOKUP($U153,'ORF Accuracy Value LookUp'!$G$4:$H$104,2,TRUE))</f>
        <v/>
      </c>
      <c r="AQ153" s="94" t="str">
        <f t="shared" si="32"/>
        <v/>
      </c>
      <c r="AR153" s="46" t="str">
        <f>IF($AE153="","",VLOOKUP($AE153,'ORF Accuracy Value LookUp'!$G$4:$H$104,2,TRUE))</f>
        <v/>
      </c>
      <c r="AS153" s="140" t="str">
        <f t="shared" si="33"/>
        <v/>
      </c>
    </row>
    <row r="154" spans="1:45">
      <c r="A154" s="10"/>
      <c r="B154" s="9"/>
      <c r="C154" s="9"/>
      <c r="D154" s="9"/>
      <c r="E154" s="10"/>
      <c r="F154" s="11"/>
      <c r="G154" s="15"/>
      <c r="H154" s="88"/>
      <c r="I154" s="24"/>
      <c r="J154" s="24"/>
      <c r="K154" s="114" t="str">
        <f t="shared" si="24"/>
        <v/>
      </c>
      <c r="L154" s="24"/>
      <c r="M154" s="24"/>
      <c r="N154" s="24"/>
      <c r="O154" s="24"/>
      <c r="P154" s="97" t="str">
        <f t="shared" si="25"/>
        <v/>
      </c>
      <c r="Q154" s="113" t="str">
        <f t="shared" si="26"/>
        <v/>
      </c>
      <c r="R154" s="88"/>
      <c r="S154" s="24"/>
      <c r="T154" s="24"/>
      <c r="U154" s="78" t="str">
        <f t="shared" si="27"/>
        <v/>
      </c>
      <c r="V154" s="24"/>
      <c r="W154" s="24"/>
      <c r="X154" s="24"/>
      <c r="Y154" s="24"/>
      <c r="Z154" s="98" t="str">
        <f t="shared" si="28"/>
        <v/>
      </c>
      <c r="AA154" s="40" t="str">
        <f t="shared" si="34"/>
        <v/>
      </c>
      <c r="AB154" s="88"/>
      <c r="AC154" s="24"/>
      <c r="AD154" s="24"/>
      <c r="AE154" s="79" t="str">
        <f t="shared" si="29"/>
        <v/>
      </c>
      <c r="AF154" s="24"/>
      <c r="AG154" s="24"/>
      <c r="AH154" s="24"/>
      <c r="AI154" s="24"/>
      <c r="AJ154" s="99" t="str">
        <f t="shared" si="30"/>
        <v/>
      </c>
      <c r="AK154" s="31" t="str">
        <f t="shared" si="35"/>
        <v/>
      </c>
      <c r="AN154" s="139" t="str">
        <f>IF($K154="","",VLOOKUP($K154,'ORF Accuracy Value LookUp'!$G$4:$H$104,2,TRUE))</f>
        <v/>
      </c>
      <c r="AO154" s="94" t="str">
        <f t="shared" si="31"/>
        <v/>
      </c>
      <c r="AP154" s="47" t="str">
        <f>IF($U154="","",VLOOKUP($U154,'ORF Accuracy Value LookUp'!$G$4:$H$104,2,TRUE))</f>
        <v/>
      </c>
      <c r="AQ154" s="94" t="str">
        <f t="shared" si="32"/>
        <v/>
      </c>
      <c r="AR154" s="46" t="str">
        <f>IF($AE154="","",VLOOKUP($AE154,'ORF Accuracy Value LookUp'!$G$4:$H$104,2,TRUE))</f>
        <v/>
      </c>
      <c r="AS154" s="140" t="str">
        <f t="shared" si="33"/>
        <v/>
      </c>
    </row>
    <row r="155" spans="1:45">
      <c r="A155" s="10"/>
      <c r="B155" s="9"/>
      <c r="C155" s="9"/>
      <c r="D155" s="9"/>
      <c r="E155" s="10"/>
      <c r="F155" s="11"/>
      <c r="G155" s="15"/>
      <c r="H155" s="88"/>
      <c r="I155" s="24"/>
      <c r="J155" s="24"/>
      <c r="K155" s="114" t="str">
        <f t="shared" si="24"/>
        <v/>
      </c>
      <c r="L155" s="24"/>
      <c r="M155" s="24"/>
      <c r="N155" s="24"/>
      <c r="O155" s="24"/>
      <c r="P155" s="97" t="str">
        <f t="shared" si="25"/>
        <v/>
      </c>
      <c r="Q155" s="113" t="str">
        <f t="shared" si="26"/>
        <v/>
      </c>
      <c r="R155" s="88"/>
      <c r="S155" s="24"/>
      <c r="T155" s="24"/>
      <c r="U155" s="78" t="str">
        <f t="shared" si="27"/>
        <v/>
      </c>
      <c r="V155" s="24"/>
      <c r="W155" s="24"/>
      <c r="X155" s="24"/>
      <c r="Y155" s="24"/>
      <c r="Z155" s="98" t="str">
        <f t="shared" si="28"/>
        <v/>
      </c>
      <c r="AA155" s="40" t="str">
        <f t="shared" si="34"/>
        <v/>
      </c>
      <c r="AB155" s="88"/>
      <c r="AC155" s="24"/>
      <c r="AD155" s="24"/>
      <c r="AE155" s="79" t="str">
        <f t="shared" si="29"/>
        <v/>
      </c>
      <c r="AF155" s="24"/>
      <c r="AG155" s="24"/>
      <c r="AH155" s="24"/>
      <c r="AI155" s="24"/>
      <c r="AJ155" s="99" t="str">
        <f t="shared" si="30"/>
        <v/>
      </c>
      <c r="AK155" s="31" t="str">
        <f t="shared" si="35"/>
        <v/>
      </c>
      <c r="AN155" s="139" t="str">
        <f>IF($K155="","",VLOOKUP($K155,'ORF Accuracy Value LookUp'!$G$4:$H$104,2,TRUE))</f>
        <v/>
      </c>
      <c r="AO155" s="94" t="str">
        <f t="shared" si="31"/>
        <v/>
      </c>
      <c r="AP155" s="47" t="str">
        <f>IF($U155="","",VLOOKUP($U155,'ORF Accuracy Value LookUp'!$G$4:$H$104,2,TRUE))</f>
        <v/>
      </c>
      <c r="AQ155" s="94" t="str">
        <f t="shared" si="32"/>
        <v/>
      </c>
      <c r="AR155" s="46" t="str">
        <f>IF($AE155="","",VLOOKUP($AE155,'ORF Accuracy Value LookUp'!$G$4:$H$104,2,TRUE))</f>
        <v/>
      </c>
      <c r="AS155" s="140" t="str">
        <f t="shared" si="33"/>
        <v/>
      </c>
    </row>
    <row r="156" spans="1:45">
      <c r="A156" s="10"/>
      <c r="B156" s="9"/>
      <c r="C156" s="9"/>
      <c r="D156" s="9"/>
      <c r="E156" s="10"/>
      <c r="F156" s="11"/>
      <c r="G156" s="15"/>
      <c r="H156" s="88"/>
      <c r="I156" s="24"/>
      <c r="J156" s="24"/>
      <c r="K156" s="114" t="str">
        <f t="shared" si="24"/>
        <v/>
      </c>
      <c r="L156" s="24"/>
      <c r="M156" s="24"/>
      <c r="N156" s="24"/>
      <c r="O156" s="24"/>
      <c r="P156" s="97" t="str">
        <f t="shared" si="25"/>
        <v/>
      </c>
      <c r="Q156" s="113" t="str">
        <f t="shared" si="26"/>
        <v/>
      </c>
      <c r="R156" s="88"/>
      <c r="S156" s="24"/>
      <c r="T156" s="24"/>
      <c r="U156" s="78" t="str">
        <f t="shared" si="27"/>
        <v/>
      </c>
      <c r="V156" s="24"/>
      <c r="W156" s="24"/>
      <c r="X156" s="24"/>
      <c r="Y156" s="24"/>
      <c r="Z156" s="98" t="str">
        <f t="shared" si="28"/>
        <v/>
      </c>
      <c r="AA156" s="40" t="str">
        <f t="shared" si="34"/>
        <v/>
      </c>
      <c r="AB156" s="88"/>
      <c r="AC156" s="24"/>
      <c r="AD156" s="24"/>
      <c r="AE156" s="79" t="str">
        <f t="shared" si="29"/>
        <v/>
      </c>
      <c r="AF156" s="24"/>
      <c r="AG156" s="24"/>
      <c r="AH156" s="24"/>
      <c r="AI156" s="24"/>
      <c r="AJ156" s="99" t="str">
        <f t="shared" si="30"/>
        <v/>
      </c>
      <c r="AK156" s="31" t="str">
        <f t="shared" si="35"/>
        <v/>
      </c>
      <c r="AN156" s="139" t="str">
        <f>IF($K156="","",VLOOKUP($K156,'ORF Accuracy Value LookUp'!$G$4:$H$104,2,TRUE))</f>
        <v/>
      </c>
      <c r="AO156" s="94" t="str">
        <f t="shared" si="31"/>
        <v/>
      </c>
      <c r="AP156" s="47" t="str">
        <f>IF($U156="","",VLOOKUP($U156,'ORF Accuracy Value LookUp'!$G$4:$H$104,2,TRUE))</f>
        <v/>
      </c>
      <c r="AQ156" s="94" t="str">
        <f t="shared" si="32"/>
        <v/>
      </c>
      <c r="AR156" s="46" t="str">
        <f>IF($AE156="","",VLOOKUP($AE156,'ORF Accuracy Value LookUp'!$G$4:$H$104,2,TRUE))</f>
        <v/>
      </c>
      <c r="AS156" s="140" t="str">
        <f t="shared" si="33"/>
        <v/>
      </c>
    </row>
    <row r="157" spans="1:45">
      <c r="A157" s="10"/>
      <c r="B157" s="9"/>
      <c r="C157" s="9"/>
      <c r="D157" s="9"/>
      <c r="E157" s="10"/>
      <c r="F157" s="11"/>
      <c r="G157" s="15"/>
      <c r="H157" s="88"/>
      <c r="I157" s="24"/>
      <c r="J157" s="24"/>
      <c r="K157" s="114" t="str">
        <f t="shared" si="24"/>
        <v/>
      </c>
      <c r="L157" s="24"/>
      <c r="M157" s="24"/>
      <c r="N157" s="24"/>
      <c r="O157" s="24"/>
      <c r="P157" s="97" t="str">
        <f t="shared" si="25"/>
        <v/>
      </c>
      <c r="Q157" s="113" t="str">
        <f t="shared" si="26"/>
        <v/>
      </c>
      <c r="R157" s="88"/>
      <c r="S157" s="24"/>
      <c r="T157" s="24"/>
      <c r="U157" s="78" t="str">
        <f t="shared" si="27"/>
        <v/>
      </c>
      <c r="V157" s="24"/>
      <c r="W157" s="24"/>
      <c r="X157" s="24"/>
      <c r="Y157" s="24"/>
      <c r="Z157" s="98" t="str">
        <f t="shared" si="28"/>
        <v/>
      </c>
      <c r="AA157" s="40" t="str">
        <f t="shared" si="34"/>
        <v/>
      </c>
      <c r="AB157" s="88"/>
      <c r="AC157" s="24"/>
      <c r="AD157" s="24"/>
      <c r="AE157" s="79" t="str">
        <f t="shared" si="29"/>
        <v/>
      </c>
      <c r="AF157" s="24"/>
      <c r="AG157" s="24"/>
      <c r="AH157" s="24"/>
      <c r="AI157" s="24"/>
      <c r="AJ157" s="99" t="str">
        <f t="shared" si="30"/>
        <v/>
      </c>
      <c r="AK157" s="31" t="str">
        <f t="shared" si="35"/>
        <v/>
      </c>
      <c r="AN157" s="139" t="str">
        <f>IF($K157="","",VLOOKUP($K157,'ORF Accuracy Value LookUp'!$G$4:$H$104,2,TRUE))</f>
        <v/>
      </c>
      <c r="AO157" s="94" t="str">
        <f t="shared" si="31"/>
        <v/>
      </c>
      <c r="AP157" s="47" t="str">
        <f>IF($U157="","",VLOOKUP($U157,'ORF Accuracy Value LookUp'!$G$4:$H$104,2,TRUE))</f>
        <v/>
      </c>
      <c r="AQ157" s="94" t="str">
        <f t="shared" si="32"/>
        <v/>
      </c>
      <c r="AR157" s="46" t="str">
        <f>IF($AE157="","",VLOOKUP($AE157,'ORF Accuracy Value LookUp'!$G$4:$H$104,2,TRUE))</f>
        <v/>
      </c>
      <c r="AS157" s="140" t="str">
        <f t="shared" si="33"/>
        <v/>
      </c>
    </row>
    <row r="158" spans="1:45">
      <c r="A158" s="10"/>
      <c r="B158" s="9"/>
      <c r="C158" s="9"/>
      <c r="D158" s="9"/>
      <c r="E158" s="10"/>
      <c r="F158" s="11"/>
      <c r="G158" s="15"/>
      <c r="H158" s="88"/>
      <c r="I158" s="24"/>
      <c r="J158" s="24"/>
      <c r="K158" s="114" t="str">
        <f t="shared" si="24"/>
        <v/>
      </c>
      <c r="L158" s="24"/>
      <c r="M158" s="24"/>
      <c r="N158" s="24"/>
      <c r="O158" s="24"/>
      <c r="P158" s="97" t="str">
        <f t="shared" si="25"/>
        <v/>
      </c>
      <c r="Q158" s="113" t="str">
        <f t="shared" si="26"/>
        <v/>
      </c>
      <c r="R158" s="88"/>
      <c r="S158" s="24"/>
      <c r="T158" s="24"/>
      <c r="U158" s="78" t="str">
        <f t="shared" si="27"/>
        <v/>
      </c>
      <c r="V158" s="24"/>
      <c r="W158" s="24"/>
      <c r="X158" s="24"/>
      <c r="Y158" s="24"/>
      <c r="Z158" s="98" t="str">
        <f t="shared" si="28"/>
        <v/>
      </c>
      <c r="AA158" s="40" t="str">
        <f t="shared" si="34"/>
        <v/>
      </c>
      <c r="AB158" s="88"/>
      <c r="AC158" s="24"/>
      <c r="AD158" s="24"/>
      <c r="AE158" s="79" t="str">
        <f t="shared" si="29"/>
        <v/>
      </c>
      <c r="AF158" s="24"/>
      <c r="AG158" s="24"/>
      <c r="AH158" s="24"/>
      <c r="AI158" s="24"/>
      <c r="AJ158" s="99" t="str">
        <f t="shared" si="30"/>
        <v/>
      </c>
      <c r="AK158" s="31" t="str">
        <f t="shared" si="35"/>
        <v/>
      </c>
      <c r="AN158" s="139" t="str">
        <f>IF($K158="","",VLOOKUP($K158,'ORF Accuracy Value LookUp'!$G$4:$H$104,2,TRUE))</f>
        <v/>
      </c>
      <c r="AO158" s="94" t="str">
        <f t="shared" si="31"/>
        <v/>
      </c>
      <c r="AP158" s="47" t="str">
        <f>IF($U158="","",VLOOKUP($U158,'ORF Accuracy Value LookUp'!$G$4:$H$104,2,TRUE))</f>
        <v/>
      </c>
      <c r="AQ158" s="94" t="str">
        <f t="shared" si="32"/>
        <v/>
      </c>
      <c r="AR158" s="46" t="str">
        <f>IF($AE158="","",VLOOKUP($AE158,'ORF Accuracy Value LookUp'!$G$4:$H$104,2,TRUE))</f>
        <v/>
      </c>
      <c r="AS158" s="140" t="str">
        <f t="shared" si="33"/>
        <v/>
      </c>
    </row>
    <row r="159" spans="1:45">
      <c r="A159" s="10"/>
      <c r="B159" s="9"/>
      <c r="C159" s="9"/>
      <c r="D159" s="9"/>
      <c r="E159" s="10"/>
      <c r="F159" s="11"/>
      <c r="G159" s="15"/>
      <c r="H159" s="88"/>
      <c r="I159" s="24"/>
      <c r="J159" s="24"/>
      <c r="K159" s="114" t="str">
        <f t="shared" si="24"/>
        <v/>
      </c>
      <c r="L159" s="24"/>
      <c r="M159" s="24"/>
      <c r="N159" s="24"/>
      <c r="O159" s="24"/>
      <c r="P159" s="97" t="str">
        <f t="shared" si="25"/>
        <v/>
      </c>
      <c r="Q159" s="113" t="str">
        <f t="shared" si="26"/>
        <v/>
      </c>
      <c r="R159" s="88"/>
      <c r="S159" s="24"/>
      <c r="T159" s="24"/>
      <c r="U159" s="78" t="str">
        <f t="shared" si="27"/>
        <v/>
      </c>
      <c r="V159" s="24"/>
      <c r="W159" s="24"/>
      <c r="X159" s="24"/>
      <c r="Y159" s="24"/>
      <c r="Z159" s="98" t="str">
        <f t="shared" si="28"/>
        <v/>
      </c>
      <c r="AA159" s="40" t="str">
        <f t="shared" si="34"/>
        <v/>
      </c>
      <c r="AB159" s="88"/>
      <c r="AC159" s="24"/>
      <c r="AD159" s="24"/>
      <c r="AE159" s="79" t="str">
        <f t="shared" si="29"/>
        <v/>
      </c>
      <c r="AF159" s="24"/>
      <c r="AG159" s="24"/>
      <c r="AH159" s="24"/>
      <c r="AI159" s="24"/>
      <c r="AJ159" s="99" t="str">
        <f t="shared" si="30"/>
        <v/>
      </c>
      <c r="AK159" s="31" t="str">
        <f t="shared" si="35"/>
        <v/>
      </c>
      <c r="AN159" s="139" t="str">
        <f>IF($K159="","",VLOOKUP($K159,'ORF Accuracy Value LookUp'!$G$4:$H$104,2,TRUE))</f>
        <v/>
      </c>
      <c r="AO159" s="94" t="str">
        <f t="shared" si="31"/>
        <v/>
      </c>
      <c r="AP159" s="47" t="str">
        <f>IF($U159="","",VLOOKUP($U159,'ORF Accuracy Value LookUp'!$G$4:$H$104,2,TRUE))</f>
        <v/>
      </c>
      <c r="AQ159" s="94" t="str">
        <f t="shared" si="32"/>
        <v/>
      </c>
      <c r="AR159" s="46" t="str">
        <f>IF($AE159="","",VLOOKUP($AE159,'ORF Accuracy Value LookUp'!$G$4:$H$104,2,TRUE))</f>
        <v/>
      </c>
      <c r="AS159" s="140" t="str">
        <f t="shared" si="33"/>
        <v/>
      </c>
    </row>
    <row r="160" spans="1:45">
      <c r="A160" s="10"/>
      <c r="B160" s="9"/>
      <c r="C160" s="9"/>
      <c r="D160" s="9"/>
      <c r="E160" s="10"/>
      <c r="F160" s="11"/>
      <c r="G160" s="15"/>
      <c r="H160" s="88"/>
      <c r="I160" s="24"/>
      <c r="J160" s="24"/>
      <c r="K160" s="114" t="str">
        <f t="shared" si="24"/>
        <v/>
      </c>
      <c r="L160" s="24"/>
      <c r="M160" s="24"/>
      <c r="N160" s="24"/>
      <c r="O160" s="24"/>
      <c r="P160" s="97" t="str">
        <f t="shared" si="25"/>
        <v/>
      </c>
      <c r="Q160" s="113" t="str">
        <f t="shared" si="26"/>
        <v/>
      </c>
      <c r="R160" s="88"/>
      <c r="S160" s="24"/>
      <c r="T160" s="24"/>
      <c r="U160" s="78" t="str">
        <f t="shared" si="27"/>
        <v/>
      </c>
      <c r="V160" s="24"/>
      <c r="W160" s="24"/>
      <c r="X160" s="24"/>
      <c r="Y160" s="24"/>
      <c r="Z160" s="98" t="str">
        <f t="shared" si="28"/>
        <v/>
      </c>
      <c r="AA160" s="40" t="str">
        <f t="shared" si="34"/>
        <v/>
      </c>
      <c r="AB160" s="88"/>
      <c r="AC160" s="24"/>
      <c r="AD160" s="24"/>
      <c r="AE160" s="79" t="str">
        <f t="shared" si="29"/>
        <v/>
      </c>
      <c r="AF160" s="24"/>
      <c r="AG160" s="24"/>
      <c r="AH160" s="24"/>
      <c r="AI160" s="24"/>
      <c r="AJ160" s="99" t="str">
        <f t="shared" si="30"/>
        <v/>
      </c>
      <c r="AK160" s="31" t="str">
        <f t="shared" si="35"/>
        <v/>
      </c>
      <c r="AN160" s="139" t="str">
        <f>IF($K160="","",VLOOKUP($K160,'ORF Accuracy Value LookUp'!$G$4:$H$104,2,TRUE))</f>
        <v/>
      </c>
      <c r="AO160" s="94" t="str">
        <f t="shared" si="31"/>
        <v/>
      </c>
      <c r="AP160" s="47" t="str">
        <f>IF($U160="","",VLOOKUP($U160,'ORF Accuracy Value LookUp'!$G$4:$H$104,2,TRUE))</f>
        <v/>
      </c>
      <c r="AQ160" s="94" t="str">
        <f t="shared" si="32"/>
        <v/>
      </c>
      <c r="AR160" s="46" t="str">
        <f>IF($AE160="","",VLOOKUP($AE160,'ORF Accuracy Value LookUp'!$G$4:$H$104,2,TRUE))</f>
        <v/>
      </c>
      <c r="AS160" s="140" t="str">
        <f t="shared" si="33"/>
        <v/>
      </c>
    </row>
    <row r="161" spans="1:45">
      <c r="A161" s="10"/>
      <c r="B161" s="9"/>
      <c r="C161" s="9"/>
      <c r="D161" s="9"/>
      <c r="E161" s="10"/>
      <c r="F161" s="11"/>
      <c r="G161" s="15"/>
      <c r="H161" s="88"/>
      <c r="I161" s="24"/>
      <c r="J161" s="24"/>
      <c r="K161" s="114" t="str">
        <f t="shared" si="24"/>
        <v/>
      </c>
      <c r="L161" s="24"/>
      <c r="M161" s="24"/>
      <c r="N161" s="24"/>
      <c r="O161" s="24"/>
      <c r="P161" s="97" t="str">
        <f t="shared" si="25"/>
        <v/>
      </c>
      <c r="Q161" s="113" t="str">
        <f t="shared" si="26"/>
        <v/>
      </c>
      <c r="R161" s="88"/>
      <c r="S161" s="24"/>
      <c r="T161" s="24"/>
      <c r="U161" s="78" t="str">
        <f t="shared" si="27"/>
        <v/>
      </c>
      <c r="V161" s="24"/>
      <c r="W161" s="24"/>
      <c r="X161" s="24"/>
      <c r="Y161" s="24"/>
      <c r="Z161" s="98" t="str">
        <f t="shared" si="28"/>
        <v/>
      </c>
      <c r="AA161" s="40" t="str">
        <f t="shared" si="34"/>
        <v/>
      </c>
      <c r="AB161" s="88"/>
      <c r="AC161" s="24"/>
      <c r="AD161" s="24"/>
      <c r="AE161" s="79" t="str">
        <f t="shared" si="29"/>
        <v/>
      </c>
      <c r="AF161" s="24"/>
      <c r="AG161" s="24"/>
      <c r="AH161" s="24"/>
      <c r="AI161" s="24"/>
      <c r="AJ161" s="99" t="str">
        <f t="shared" si="30"/>
        <v/>
      </c>
      <c r="AK161" s="31" t="str">
        <f t="shared" si="35"/>
        <v/>
      </c>
      <c r="AN161" s="139" t="str">
        <f>IF($K161="","",VLOOKUP($K161,'ORF Accuracy Value LookUp'!$G$4:$H$104,2,TRUE))</f>
        <v/>
      </c>
      <c r="AO161" s="94" t="str">
        <f t="shared" si="31"/>
        <v/>
      </c>
      <c r="AP161" s="47" t="str">
        <f>IF($U161="","",VLOOKUP($U161,'ORF Accuracy Value LookUp'!$G$4:$H$104,2,TRUE))</f>
        <v/>
      </c>
      <c r="AQ161" s="94" t="str">
        <f t="shared" si="32"/>
        <v/>
      </c>
      <c r="AR161" s="46" t="str">
        <f>IF($AE161="","",VLOOKUP($AE161,'ORF Accuracy Value LookUp'!$G$4:$H$104,2,TRUE))</f>
        <v/>
      </c>
      <c r="AS161" s="140" t="str">
        <f t="shared" si="33"/>
        <v/>
      </c>
    </row>
    <row r="162" spans="1:45">
      <c r="A162" s="10"/>
      <c r="B162" s="9"/>
      <c r="C162" s="9"/>
      <c r="D162" s="9"/>
      <c r="E162" s="10"/>
      <c r="F162" s="11"/>
      <c r="G162" s="15"/>
      <c r="H162" s="88"/>
      <c r="I162" s="24"/>
      <c r="J162" s="24"/>
      <c r="K162" s="114" t="str">
        <f t="shared" si="24"/>
        <v/>
      </c>
      <c r="L162" s="24"/>
      <c r="M162" s="24"/>
      <c r="N162" s="24"/>
      <c r="O162" s="24"/>
      <c r="P162" s="97" t="str">
        <f t="shared" si="25"/>
        <v/>
      </c>
      <c r="Q162" s="113" t="str">
        <f t="shared" si="26"/>
        <v/>
      </c>
      <c r="R162" s="88"/>
      <c r="S162" s="24"/>
      <c r="T162" s="24"/>
      <c r="U162" s="78" t="str">
        <f t="shared" si="27"/>
        <v/>
      </c>
      <c r="V162" s="24"/>
      <c r="W162" s="24"/>
      <c r="X162" s="24"/>
      <c r="Y162" s="24"/>
      <c r="Z162" s="98" t="str">
        <f t="shared" si="28"/>
        <v/>
      </c>
      <c r="AA162" s="40" t="str">
        <f t="shared" si="34"/>
        <v/>
      </c>
      <c r="AB162" s="88"/>
      <c r="AC162" s="24"/>
      <c r="AD162" s="24"/>
      <c r="AE162" s="79" t="str">
        <f t="shared" si="29"/>
        <v/>
      </c>
      <c r="AF162" s="24"/>
      <c r="AG162" s="24"/>
      <c r="AH162" s="24"/>
      <c r="AI162" s="24"/>
      <c r="AJ162" s="99" t="str">
        <f t="shared" si="30"/>
        <v/>
      </c>
      <c r="AK162" s="31" t="str">
        <f t="shared" si="35"/>
        <v/>
      </c>
      <c r="AN162" s="139" t="str">
        <f>IF($K162="","",VLOOKUP($K162,'ORF Accuracy Value LookUp'!$G$4:$H$104,2,TRUE))</f>
        <v/>
      </c>
      <c r="AO162" s="94" t="str">
        <f t="shared" si="31"/>
        <v/>
      </c>
      <c r="AP162" s="47" t="str">
        <f>IF($U162="","",VLOOKUP($U162,'ORF Accuracy Value LookUp'!$G$4:$H$104,2,TRUE))</f>
        <v/>
      </c>
      <c r="AQ162" s="94" t="str">
        <f t="shared" si="32"/>
        <v/>
      </c>
      <c r="AR162" s="46" t="str">
        <f>IF($AE162="","",VLOOKUP($AE162,'ORF Accuracy Value LookUp'!$G$4:$H$104,2,TRUE))</f>
        <v/>
      </c>
      <c r="AS162" s="140" t="str">
        <f t="shared" si="33"/>
        <v/>
      </c>
    </row>
    <row r="163" spans="1:45">
      <c r="A163" s="10"/>
      <c r="B163" s="9"/>
      <c r="C163" s="9"/>
      <c r="D163" s="9"/>
      <c r="E163" s="10"/>
      <c r="F163" s="11"/>
      <c r="G163" s="15"/>
      <c r="H163" s="88"/>
      <c r="I163" s="24"/>
      <c r="J163" s="24"/>
      <c r="K163" s="114" t="str">
        <f t="shared" si="24"/>
        <v/>
      </c>
      <c r="L163" s="24"/>
      <c r="M163" s="24"/>
      <c r="N163" s="24"/>
      <c r="O163" s="24"/>
      <c r="P163" s="97" t="str">
        <f t="shared" si="25"/>
        <v/>
      </c>
      <c r="Q163" s="113" t="str">
        <f t="shared" si="26"/>
        <v/>
      </c>
      <c r="R163" s="88"/>
      <c r="S163" s="24"/>
      <c r="T163" s="24"/>
      <c r="U163" s="78" t="str">
        <f t="shared" si="27"/>
        <v/>
      </c>
      <c r="V163" s="24"/>
      <c r="W163" s="24"/>
      <c r="X163" s="24"/>
      <c r="Y163" s="24"/>
      <c r="Z163" s="98" t="str">
        <f t="shared" si="28"/>
        <v/>
      </c>
      <c r="AA163" s="40" t="str">
        <f t="shared" si="34"/>
        <v/>
      </c>
      <c r="AB163" s="88"/>
      <c r="AC163" s="24"/>
      <c r="AD163" s="24"/>
      <c r="AE163" s="79" t="str">
        <f t="shared" si="29"/>
        <v/>
      </c>
      <c r="AF163" s="24"/>
      <c r="AG163" s="24"/>
      <c r="AH163" s="24"/>
      <c r="AI163" s="24"/>
      <c r="AJ163" s="99" t="str">
        <f t="shared" si="30"/>
        <v/>
      </c>
      <c r="AK163" s="31" t="str">
        <f t="shared" si="35"/>
        <v/>
      </c>
      <c r="AN163" s="139" t="str">
        <f>IF($K163="","",VLOOKUP($K163,'ORF Accuracy Value LookUp'!$G$4:$H$104,2,TRUE))</f>
        <v/>
      </c>
      <c r="AO163" s="94" t="str">
        <f t="shared" si="31"/>
        <v/>
      </c>
      <c r="AP163" s="47" t="str">
        <f>IF($U163="","",VLOOKUP($U163,'ORF Accuracy Value LookUp'!$G$4:$H$104,2,TRUE))</f>
        <v/>
      </c>
      <c r="AQ163" s="94" t="str">
        <f t="shared" si="32"/>
        <v/>
      </c>
      <c r="AR163" s="46" t="str">
        <f>IF($AE163="","",VLOOKUP($AE163,'ORF Accuracy Value LookUp'!$G$4:$H$104,2,TRUE))</f>
        <v/>
      </c>
      <c r="AS163" s="140" t="str">
        <f t="shared" si="33"/>
        <v/>
      </c>
    </row>
    <row r="164" spans="1:45">
      <c r="A164" s="10"/>
      <c r="B164" s="9"/>
      <c r="C164" s="9"/>
      <c r="D164" s="9"/>
      <c r="E164" s="10"/>
      <c r="F164" s="11"/>
      <c r="G164" s="15"/>
      <c r="H164" s="88"/>
      <c r="I164" s="24"/>
      <c r="J164" s="24"/>
      <c r="K164" s="114" t="str">
        <f t="shared" si="24"/>
        <v/>
      </c>
      <c r="L164" s="24"/>
      <c r="M164" s="24"/>
      <c r="N164" s="24"/>
      <c r="O164" s="24"/>
      <c r="P164" s="97" t="str">
        <f t="shared" si="25"/>
        <v/>
      </c>
      <c r="Q164" s="113" t="str">
        <f t="shared" si="26"/>
        <v/>
      </c>
      <c r="R164" s="88"/>
      <c r="S164" s="24"/>
      <c r="T164" s="24"/>
      <c r="U164" s="78" t="str">
        <f t="shared" si="27"/>
        <v/>
      </c>
      <c r="V164" s="24"/>
      <c r="W164" s="24"/>
      <c r="X164" s="24"/>
      <c r="Y164" s="24"/>
      <c r="Z164" s="98" t="str">
        <f t="shared" si="28"/>
        <v/>
      </c>
      <c r="AA164" s="40" t="str">
        <f t="shared" si="34"/>
        <v/>
      </c>
      <c r="AB164" s="88"/>
      <c r="AC164" s="24"/>
      <c r="AD164" s="24"/>
      <c r="AE164" s="79" t="str">
        <f t="shared" si="29"/>
        <v/>
      </c>
      <c r="AF164" s="24"/>
      <c r="AG164" s="24"/>
      <c r="AH164" s="24"/>
      <c r="AI164" s="24"/>
      <c r="AJ164" s="99" t="str">
        <f t="shared" si="30"/>
        <v/>
      </c>
      <c r="AK164" s="31" t="str">
        <f t="shared" si="35"/>
        <v/>
      </c>
      <c r="AN164" s="139" t="str">
        <f>IF($K164="","",VLOOKUP($K164,'ORF Accuracy Value LookUp'!$G$4:$H$104,2,TRUE))</f>
        <v/>
      </c>
      <c r="AO164" s="94" t="str">
        <f t="shared" si="31"/>
        <v/>
      </c>
      <c r="AP164" s="47" t="str">
        <f>IF($U164="","",VLOOKUP($U164,'ORF Accuracy Value LookUp'!$G$4:$H$104,2,TRUE))</f>
        <v/>
      </c>
      <c r="AQ164" s="94" t="str">
        <f t="shared" si="32"/>
        <v/>
      </c>
      <c r="AR164" s="46" t="str">
        <f>IF($AE164="","",VLOOKUP($AE164,'ORF Accuracy Value LookUp'!$G$4:$H$104,2,TRUE))</f>
        <v/>
      </c>
      <c r="AS164" s="140" t="str">
        <f t="shared" si="33"/>
        <v/>
      </c>
    </row>
    <row r="165" spans="1:45">
      <c r="A165" s="10"/>
      <c r="B165" s="9"/>
      <c r="C165" s="9"/>
      <c r="D165" s="9"/>
      <c r="E165" s="10"/>
      <c r="F165" s="11"/>
      <c r="G165" s="15"/>
      <c r="H165" s="88"/>
      <c r="I165" s="24"/>
      <c r="J165" s="24"/>
      <c r="K165" s="114" t="str">
        <f t="shared" si="24"/>
        <v/>
      </c>
      <c r="L165" s="24"/>
      <c r="M165" s="24"/>
      <c r="N165" s="24"/>
      <c r="O165" s="24"/>
      <c r="P165" s="97" t="str">
        <f t="shared" si="25"/>
        <v/>
      </c>
      <c r="Q165" s="113" t="str">
        <f t="shared" si="26"/>
        <v/>
      </c>
      <c r="R165" s="88"/>
      <c r="S165" s="24"/>
      <c r="T165" s="24"/>
      <c r="U165" s="78" t="str">
        <f t="shared" si="27"/>
        <v/>
      </c>
      <c r="V165" s="24"/>
      <c r="W165" s="24"/>
      <c r="X165" s="24"/>
      <c r="Y165" s="24"/>
      <c r="Z165" s="98" t="str">
        <f t="shared" si="28"/>
        <v/>
      </c>
      <c r="AA165" s="40" t="str">
        <f t="shared" si="34"/>
        <v/>
      </c>
      <c r="AB165" s="88"/>
      <c r="AC165" s="24"/>
      <c r="AD165" s="24"/>
      <c r="AE165" s="79" t="str">
        <f t="shared" si="29"/>
        <v/>
      </c>
      <c r="AF165" s="24"/>
      <c r="AG165" s="24"/>
      <c r="AH165" s="24"/>
      <c r="AI165" s="24"/>
      <c r="AJ165" s="99" t="str">
        <f t="shared" si="30"/>
        <v/>
      </c>
      <c r="AK165" s="31" t="str">
        <f t="shared" si="35"/>
        <v/>
      </c>
      <c r="AN165" s="139" t="str">
        <f>IF($K165="","",VLOOKUP($K165,'ORF Accuracy Value LookUp'!$G$4:$H$104,2,TRUE))</f>
        <v/>
      </c>
      <c r="AO165" s="94" t="str">
        <f t="shared" si="31"/>
        <v/>
      </c>
      <c r="AP165" s="47" t="str">
        <f>IF($U165="","",VLOOKUP($U165,'ORF Accuracy Value LookUp'!$G$4:$H$104,2,TRUE))</f>
        <v/>
      </c>
      <c r="AQ165" s="94" t="str">
        <f t="shared" si="32"/>
        <v/>
      </c>
      <c r="AR165" s="46" t="str">
        <f>IF($AE165="","",VLOOKUP($AE165,'ORF Accuracy Value LookUp'!$G$4:$H$104,2,TRUE))</f>
        <v/>
      </c>
      <c r="AS165" s="140" t="str">
        <f t="shared" si="33"/>
        <v/>
      </c>
    </row>
    <row r="166" spans="1:45">
      <c r="A166" s="10"/>
      <c r="B166" s="9"/>
      <c r="C166" s="9"/>
      <c r="D166" s="9"/>
      <c r="E166" s="10"/>
      <c r="F166" s="11"/>
      <c r="G166" s="15"/>
      <c r="H166" s="88"/>
      <c r="I166" s="24"/>
      <c r="J166" s="24"/>
      <c r="K166" s="114" t="str">
        <f t="shared" si="24"/>
        <v/>
      </c>
      <c r="L166" s="24"/>
      <c r="M166" s="24"/>
      <c r="N166" s="24"/>
      <c r="O166" s="24"/>
      <c r="P166" s="97" t="str">
        <f t="shared" si="25"/>
        <v/>
      </c>
      <c r="Q166" s="113" t="str">
        <f t="shared" si="26"/>
        <v/>
      </c>
      <c r="R166" s="88"/>
      <c r="S166" s="24"/>
      <c r="T166" s="24"/>
      <c r="U166" s="78" t="str">
        <f t="shared" si="27"/>
        <v/>
      </c>
      <c r="V166" s="24"/>
      <c r="W166" s="24"/>
      <c r="X166" s="24"/>
      <c r="Y166" s="24"/>
      <c r="Z166" s="98" t="str">
        <f t="shared" si="28"/>
        <v/>
      </c>
      <c r="AA166" s="40" t="str">
        <f t="shared" si="34"/>
        <v/>
      </c>
      <c r="AB166" s="88"/>
      <c r="AC166" s="24"/>
      <c r="AD166" s="24"/>
      <c r="AE166" s="79" t="str">
        <f t="shared" si="29"/>
        <v/>
      </c>
      <c r="AF166" s="24"/>
      <c r="AG166" s="24"/>
      <c r="AH166" s="24"/>
      <c r="AI166" s="24"/>
      <c r="AJ166" s="99" t="str">
        <f t="shared" si="30"/>
        <v/>
      </c>
      <c r="AK166" s="31" t="str">
        <f t="shared" si="35"/>
        <v/>
      </c>
      <c r="AN166" s="139" t="str">
        <f>IF($K166="","",VLOOKUP($K166,'ORF Accuracy Value LookUp'!$G$4:$H$104,2,TRUE))</f>
        <v/>
      </c>
      <c r="AO166" s="94" t="str">
        <f t="shared" si="31"/>
        <v/>
      </c>
      <c r="AP166" s="47" t="str">
        <f>IF($U166="","",VLOOKUP($U166,'ORF Accuracy Value LookUp'!$G$4:$H$104,2,TRUE))</f>
        <v/>
      </c>
      <c r="AQ166" s="94" t="str">
        <f t="shared" si="32"/>
        <v/>
      </c>
      <c r="AR166" s="46" t="str">
        <f>IF($AE166="","",VLOOKUP($AE166,'ORF Accuracy Value LookUp'!$G$4:$H$104,2,TRUE))</f>
        <v/>
      </c>
      <c r="AS166" s="140" t="str">
        <f t="shared" si="33"/>
        <v/>
      </c>
    </row>
    <row r="167" spans="1:45">
      <c r="A167" s="10"/>
      <c r="B167" s="9"/>
      <c r="C167" s="9"/>
      <c r="D167" s="9"/>
      <c r="E167" s="10"/>
      <c r="F167" s="11"/>
      <c r="G167" s="15"/>
      <c r="H167" s="88"/>
      <c r="I167" s="24"/>
      <c r="J167" s="24"/>
      <c r="K167" s="114" t="str">
        <f t="shared" si="24"/>
        <v/>
      </c>
      <c r="L167" s="24"/>
      <c r="M167" s="24"/>
      <c r="N167" s="24"/>
      <c r="O167" s="24"/>
      <c r="P167" s="97" t="str">
        <f t="shared" si="25"/>
        <v/>
      </c>
      <c r="Q167" s="113" t="str">
        <f t="shared" si="26"/>
        <v/>
      </c>
      <c r="R167" s="88"/>
      <c r="S167" s="24"/>
      <c r="T167" s="24"/>
      <c r="U167" s="78" t="str">
        <f t="shared" si="27"/>
        <v/>
      </c>
      <c r="V167" s="24"/>
      <c r="W167" s="24"/>
      <c r="X167" s="24"/>
      <c r="Y167" s="24"/>
      <c r="Z167" s="98" t="str">
        <f t="shared" si="28"/>
        <v/>
      </c>
      <c r="AA167" s="40" t="str">
        <f t="shared" si="34"/>
        <v/>
      </c>
      <c r="AB167" s="88"/>
      <c r="AC167" s="24"/>
      <c r="AD167" s="24"/>
      <c r="AE167" s="79" t="str">
        <f t="shared" si="29"/>
        <v/>
      </c>
      <c r="AF167" s="24"/>
      <c r="AG167" s="24"/>
      <c r="AH167" s="24"/>
      <c r="AI167" s="24"/>
      <c r="AJ167" s="99" t="str">
        <f t="shared" si="30"/>
        <v/>
      </c>
      <c r="AK167" s="31" t="str">
        <f t="shared" si="35"/>
        <v/>
      </c>
      <c r="AN167" s="139" t="str">
        <f>IF($K167="","",VLOOKUP($K167,'ORF Accuracy Value LookUp'!$G$4:$H$104,2,TRUE))</f>
        <v/>
      </c>
      <c r="AO167" s="94" t="str">
        <f t="shared" si="31"/>
        <v/>
      </c>
      <c r="AP167" s="47" t="str">
        <f>IF($U167="","",VLOOKUP($U167,'ORF Accuracy Value LookUp'!$G$4:$H$104,2,TRUE))</f>
        <v/>
      </c>
      <c r="AQ167" s="94" t="str">
        <f t="shared" si="32"/>
        <v/>
      </c>
      <c r="AR167" s="46" t="str">
        <f>IF($AE167="","",VLOOKUP($AE167,'ORF Accuracy Value LookUp'!$G$4:$H$104,2,TRUE))</f>
        <v/>
      </c>
      <c r="AS167" s="140" t="str">
        <f t="shared" si="33"/>
        <v/>
      </c>
    </row>
    <row r="168" spans="1:45">
      <c r="A168" s="10"/>
      <c r="B168" s="9"/>
      <c r="C168" s="9"/>
      <c r="D168" s="9"/>
      <c r="E168" s="10"/>
      <c r="F168" s="11"/>
      <c r="G168" s="15"/>
      <c r="H168" s="88"/>
      <c r="I168" s="24"/>
      <c r="J168" s="24"/>
      <c r="K168" s="114" t="str">
        <f t="shared" si="24"/>
        <v/>
      </c>
      <c r="L168" s="24"/>
      <c r="M168" s="24"/>
      <c r="N168" s="24"/>
      <c r="O168" s="24"/>
      <c r="P168" s="97" t="str">
        <f t="shared" si="25"/>
        <v/>
      </c>
      <c r="Q168" s="113" t="str">
        <f t="shared" si="26"/>
        <v/>
      </c>
      <c r="R168" s="88"/>
      <c r="S168" s="24"/>
      <c r="T168" s="24"/>
      <c r="U168" s="78" t="str">
        <f t="shared" si="27"/>
        <v/>
      </c>
      <c r="V168" s="24"/>
      <c r="W168" s="24"/>
      <c r="X168" s="24"/>
      <c r="Y168" s="24"/>
      <c r="Z168" s="98" t="str">
        <f t="shared" si="28"/>
        <v/>
      </c>
      <c r="AA168" s="40" t="str">
        <f t="shared" si="34"/>
        <v/>
      </c>
      <c r="AB168" s="88"/>
      <c r="AC168" s="24"/>
      <c r="AD168" s="24"/>
      <c r="AE168" s="79" t="str">
        <f t="shared" si="29"/>
        <v/>
      </c>
      <c r="AF168" s="24"/>
      <c r="AG168" s="24"/>
      <c r="AH168" s="24"/>
      <c r="AI168" s="24"/>
      <c r="AJ168" s="99" t="str">
        <f t="shared" si="30"/>
        <v/>
      </c>
      <c r="AK168" s="31" t="str">
        <f t="shared" si="35"/>
        <v/>
      </c>
      <c r="AN168" s="139" t="str">
        <f>IF($K168="","",VLOOKUP($K168,'ORF Accuracy Value LookUp'!$G$4:$H$104,2,TRUE))</f>
        <v/>
      </c>
      <c r="AO168" s="94" t="str">
        <f t="shared" si="31"/>
        <v/>
      </c>
      <c r="AP168" s="47" t="str">
        <f>IF($U168="","",VLOOKUP($U168,'ORF Accuracy Value LookUp'!$G$4:$H$104,2,TRUE))</f>
        <v/>
      </c>
      <c r="AQ168" s="94" t="str">
        <f t="shared" si="32"/>
        <v/>
      </c>
      <c r="AR168" s="46" t="str">
        <f>IF($AE168="","",VLOOKUP($AE168,'ORF Accuracy Value LookUp'!$G$4:$H$104,2,TRUE))</f>
        <v/>
      </c>
      <c r="AS168" s="140" t="str">
        <f t="shared" si="33"/>
        <v/>
      </c>
    </row>
    <row r="169" spans="1:45">
      <c r="A169" s="10"/>
      <c r="B169" s="9"/>
      <c r="C169" s="9"/>
      <c r="D169" s="9"/>
      <c r="E169" s="10"/>
      <c r="F169" s="11"/>
      <c r="G169" s="15"/>
      <c r="H169" s="88"/>
      <c r="I169" s="24"/>
      <c r="J169" s="24"/>
      <c r="K169" s="114" t="str">
        <f t="shared" si="24"/>
        <v/>
      </c>
      <c r="L169" s="24"/>
      <c r="M169" s="24"/>
      <c r="N169" s="24"/>
      <c r="O169" s="24"/>
      <c r="P169" s="97" t="str">
        <f t="shared" si="25"/>
        <v/>
      </c>
      <c r="Q169" s="113" t="str">
        <f t="shared" si="26"/>
        <v/>
      </c>
      <c r="R169" s="88"/>
      <c r="S169" s="24"/>
      <c r="T169" s="24"/>
      <c r="U169" s="78" t="str">
        <f t="shared" si="27"/>
        <v/>
      </c>
      <c r="V169" s="24"/>
      <c r="W169" s="24"/>
      <c r="X169" s="24"/>
      <c r="Y169" s="24"/>
      <c r="Z169" s="98" t="str">
        <f t="shared" si="28"/>
        <v/>
      </c>
      <c r="AA169" s="40" t="str">
        <f t="shared" si="34"/>
        <v/>
      </c>
      <c r="AB169" s="88"/>
      <c r="AC169" s="24"/>
      <c r="AD169" s="24"/>
      <c r="AE169" s="79" t="str">
        <f t="shared" si="29"/>
        <v/>
      </c>
      <c r="AF169" s="24"/>
      <c r="AG169" s="24"/>
      <c r="AH169" s="24"/>
      <c r="AI169" s="24"/>
      <c r="AJ169" s="99" t="str">
        <f t="shared" si="30"/>
        <v/>
      </c>
      <c r="AK169" s="31" t="str">
        <f t="shared" si="35"/>
        <v/>
      </c>
      <c r="AN169" s="139" t="str">
        <f>IF($K169="","",VLOOKUP($K169,'ORF Accuracy Value LookUp'!$G$4:$H$104,2,TRUE))</f>
        <v/>
      </c>
      <c r="AO169" s="94" t="str">
        <f t="shared" si="31"/>
        <v/>
      </c>
      <c r="AP169" s="47" t="str">
        <f>IF($U169="","",VLOOKUP($U169,'ORF Accuracy Value LookUp'!$G$4:$H$104,2,TRUE))</f>
        <v/>
      </c>
      <c r="AQ169" s="94" t="str">
        <f t="shared" si="32"/>
        <v/>
      </c>
      <c r="AR169" s="46" t="str">
        <f>IF($AE169="","",VLOOKUP($AE169,'ORF Accuracy Value LookUp'!$G$4:$H$104,2,TRUE))</f>
        <v/>
      </c>
      <c r="AS169" s="140" t="str">
        <f t="shared" si="33"/>
        <v/>
      </c>
    </row>
    <row r="170" spans="1:45">
      <c r="A170" s="10"/>
      <c r="B170" s="9"/>
      <c r="C170" s="9"/>
      <c r="D170" s="9"/>
      <c r="E170" s="10"/>
      <c r="F170" s="11"/>
      <c r="G170" s="15"/>
      <c r="H170" s="88"/>
      <c r="I170" s="24"/>
      <c r="J170" s="24"/>
      <c r="K170" s="114" t="str">
        <f t="shared" si="24"/>
        <v/>
      </c>
      <c r="L170" s="24"/>
      <c r="M170" s="24"/>
      <c r="N170" s="24"/>
      <c r="O170" s="24"/>
      <c r="P170" s="97" t="str">
        <f t="shared" si="25"/>
        <v/>
      </c>
      <c r="Q170" s="113" t="str">
        <f t="shared" si="26"/>
        <v/>
      </c>
      <c r="R170" s="88"/>
      <c r="S170" s="24"/>
      <c r="T170" s="24"/>
      <c r="U170" s="78" t="str">
        <f t="shared" si="27"/>
        <v/>
      </c>
      <c r="V170" s="24"/>
      <c r="W170" s="24"/>
      <c r="X170" s="24"/>
      <c r="Y170" s="24"/>
      <c r="Z170" s="98" t="str">
        <f t="shared" si="28"/>
        <v/>
      </c>
      <c r="AA170" s="40" t="str">
        <f t="shared" si="34"/>
        <v/>
      </c>
      <c r="AB170" s="88"/>
      <c r="AC170" s="24"/>
      <c r="AD170" s="24"/>
      <c r="AE170" s="79" t="str">
        <f t="shared" si="29"/>
        <v/>
      </c>
      <c r="AF170" s="24"/>
      <c r="AG170" s="24"/>
      <c r="AH170" s="24"/>
      <c r="AI170" s="24"/>
      <c r="AJ170" s="99" t="str">
        <f t="shared" si="30"/>
        <v/>
      </c>
      <c r="AK170" s="31" t="str">
        <f t="shared" si="35"/>
        <v/>
      </c>
      <c r="AN170" s="139" t="str">
        <f>IF($K170="","",VLOOKUP($K170,'ORF Accuracy Value LookUp'!$G$4:$H$104,2,TRUE))</f>
        <v/>
      </c>
      <c r="AO170" s="94" t="str">
        <f t="shared" si="31"/>
        <v/>
      </c>
      <c r="AP170" s="47" t="str">
        <f>IF($U170="","",VLOOKUP($U170,'ORF Accuracy Value LookUp'!$G$4:$H$104,2,TRUE))</f>
        <v/>
      </c>
      <c r="AQ170" s="94" t="str">
        <f t="shared" si="32"/>
        <v/>
      </c>
      <c r="AR170" s="46" t="str">
        <f>IF($AE170="","",VLOOKUP($AE170,'ORF Accuracy Value LookUp'!$G$4:$H$104,2,TRUE))</f>
        <v/>
      </c>
      <c r="AS170" s="140" t="str">
        <f t="shared" si="33"/>
        <v/>
      </c>
    </row>
    <row r="171" spans="1:45">
      <c r="A171" s="10"/>
      <c r="B171" s="9"/>
      <c r="C171" s="9"/>
      <c r="D171" s="9"/>
      <c r="E171" s="10"/>
      <c r="F171" s="11"/>
      <c r="G171" s="15"/>
      <c r="H171" s="88"/>
      <c r="I171" s="24"/>
      <c r="J171" s="24"/>
      <c r="K171" s="114" t="str">
        <f t="shared" si="24"/>
        <v/>
      </c>
      <c r="L171" s="24"/>
      <c r="M171" s="24"/>
      <c r="N171" s="24"/>
      <c r="O171" s="24"/>
      <c r="P171" s="97" t="str">
        <f t="shared" si="25"/>
        <v/>
      </c>
      <c r="Q171" s="113" t="str">
        <f t="shared" si="26"/>
        <v/>
      </c>
      <c r="R171" s="88"/>
      <c r="S171" s="24"/>
      <c r="T171" s="24"/>
      <c r="U171" s="78" t="str">
        <f t="shared" si="27"/>
        <v/>
      </c>
      <c r="V171" s="24"/>
      <c r="W171" s="24"/>
      <c r="X171" s="24"/>
      <c r="Y171" s="24"/>
      <c r="Z171" s="98" t="str">
        <f t="shared" si="28"/>
        <v/>
      </c>
      <c r="AA171" s="40" t="str">
        <f t="shared" si="34"/>
        <v/>
      </c>
      <c r="AB171" s="88"/>
      <c r="AC171" s="24"/>
      <c r="AD171" s="24"/>
      <c r="AE171" s="79" t="str">
        <f t="shared" si="29"/>
        <v/>
      </c>
      <c r="AF171" s="24"/>
      <c r="AG171" s="24"/>
      <c r="AH171" s="24"/>
      <c r="AI171" s="24"/>
      <c r="AJ171" s="99" t="str">
        <f t="shared" si="30"/>
        <v/>
      </c>
      <c r="AK171" s="31" t="str">
        <f t="shared" si="35"/>
        <v/>
      </c>
      <c r="AN171" s="139" t="str">
        <f>IF($K171="","",VLOOKUP($K171,'ORF Accuracy Value LookUp'!$G$4:$H$104,2,TRUE))</f>
        <v/>
      </c>
      <c r="AO171" s="94" t="str">
        <f t="shared" si="31"/>
        <v/>
      </c>
      <c r="AP171" s="47" t="str">
        <f>IF($U171="","",VLOOKUP($U171,'ORF Accuracy Value LookUp'!$G$4:$H$104,2,TRUE))</f>
        <v/>
      </c>
      <c r="AQ171" s="94" t="str">
        <f t="shared" si="32"/>
        <v/>
      </c>
      <c r="AR171" s="46" t="str">
        <f>IF($AE171="","",VLOOKUP($AE171,'ORF Accuracy Value LookUp'!$G$4:$H$104,2,TRUE))</f>
        <v/>
      </c>
      <c r="AS171" s="140" t="str">
        <f t="shared" si="33"/>
        <v/>
      </c>
    </row>
    <row r="172" spans="1:45">
      <c r="A172" s="10"/>
      <c r="B172" s="9"/>
      <c r="C172" s="9"/>
      <c r="D172" s="9"/>
      <c r="E172" s="10"/>
      <c r="F172" s="11"/>
      <c r="G172" s="15"/>
      <c r="H172" s="88"/>
      <c r="I172" s="24"/>
      <c r="J172" s="24"/>
      <c r="K172" s="114" t="str">
        <f t="shared" si="24"/>
        <v/>
      </c>
      <c r="L172" s="24"/>
      <c r="M172" s="24"/>
      <c r="N172" s="24"/>
      <c r="O172" s="24"/>
      <c r="P172" s="97" t="str">
        <f t="shared" si="25"/>
        <v/>
      </c>
      <c r="Q172" s="113" t="str">
        <f t="shared" si="26"/>
        <v/>
      </c>
      <c r="R172" s="88"/>
      <c r="S172" s="24"/>
      <c r="T172" s="24"/>
      <c r="U172" s="78" t="str">
        <f t="shared" si="27"/>
        <v/>
      </c>
      <c r="V172" s="24"/>
      <c r="W172" s="24"/>
      <c r="X172" s="24"/>
      <c r="Y172" s="24"/>
      <c r="Z172" s="98" t="str">
        <f t="shared" si="28"/>
        <v/>
      </c>
      <c r="AA172" s="40" t="str">
        <f t="shared" si="34"/>
        <v/>
      </c>
      <c r="AB172" s="88"/>
      <c r="AC172" s="24"/>
      <c r="AD172" s="24"/>
      <c r="AE172" s="79" t="str">
        <f t="shared" si="29"/>
        <v/>
      </c>
      <c r="AF172" s="24"/>
      <c r="AG172" s="24"/>
      <c r="AH172" s="24"/>
      <c r="AI172" s="24"/>
      <c r="AJ172" s="99" t="str">
        <f t="shared" si="30"/>
        <v/>
      </c>
      <c r="AK172" s="31" t="str">
        <f t="shared" si="35"/>
        <v/>
      </c>
      <c r="AN172" s="139" t="str">
        <f>IF($K172="","",VLOOKUP($K172,'ORF Accuracy Value LookUp'!$G$4:$H$104,2,TRUE))</f>
        <v/>
      </c>
      <c r="AO172" s="94" t="str">
        <f t="shared" si="31"/>
        <v/>
      </c>
      <c r="AP172" s="47" t="str">
        <f>IF($U172="","",VLOOKUP($U172,'ORF Accuracy Value LookUp'!$G$4:$H$104,2,TRUE))</f>
        <v/>
      </c>
      <c r="AQ172" s="94" t="str">
        <f t="shared" si="32"/>
        <v/>
      </c>
      <c r="AR172" s="46" t="str">
        <f>IF($AE172="","",VLOOKUP($AE172,'ORF Accuracy Value LookUp'!$G$4:$H$104,2,TRUE))</f>
        <v/>
      </c>
      <c r="AS172" s="140" t="str">
        <f t="shared" si="33"/>
        <v/>
      </c>
    </row>
    <row r="173" spans="1:45">
      <c r="A173" s="10"/>
      <c r="B173" s="9"/>
      <c r="C173" s="9"/>
      <c r="D173" s="9"/>
      <c r="E173" s="10"/>
      <c r="F173" s="11"/>
      <c r="G173" s="15"/>
      <c r="H173" s="88"/>
      <c r="I173" s="24"/>
      <c r="J173" s="24"/>
      <c r="K173" s="114" t="str">
        <f t="shared" si="24"/>
        <v/>
      </c>
      <c r="L173" s="24"/>
      <c r="M173" s="24"/>
      <c r="N173" s="24"/>
      <c r="O173" s="24"/>
      <c r="P173" s="97" t="str">
        <f t="shared" si="25"/>
        <v/>
      </c>
      <c r="Q173" s="113" t="str">
        <f t="shared" si="26"/>
        <v/>
      </c>
      <c r="R173" s="88"/>
      <c r="S173" s="24"/>
      <c r="T173" s="24"/>
      <c r="U173" s="78" t="str">
        <f t="shared" si="27"/>
        <v/>
      </c>
      <c r="V173" s="24"/>
      <c r="W173" s="24"/>
      <c r="X173" s="24"/>
      <c r="Y173" s="24"/>
      <c r="Z173" s="98" t="str">
        <f t="shared" si="28"/>
        <v/>
      </c>
      <c r="AA173" s="40" t="str">
        <f t="shared" si="34"/>
        <v/>
      </c>
      <c r="AB173" s="88"/>
      <c r="AC173" s="24"/>
      <c r="AD173" s="24"/>
      <c r="AE173" s="79" t="str">
        <f t="shared" si="29"/>
        <v/>
      </c>
      <c r="AF173" s="24"/>
      <c r="AG173" s="24"/>
      <c r="AH173" s="24"/>
      <c r="AI173" s="24"/>
      <c r="AJ173" s="99" t="str">
        <f t="shared" si="30"/>
        <v/>
      </c>
      <c r="AK173" s="31" t="str">
        <f t="shared" si="35"/>
        <v/>
      </c>
      <c r="AN173" s="139" t="str">
        <f>IF($K173="","",VLOOKUP($K173,'ORF Accuracy Value LookUp'!$G$4:$H$104,2,TRUE))</f>
        <v/>
      </c>
      <c r="AO173" s="94" t="str">
        <f t="shared" si="31"/>
        <v/>
      </c>
      <c r="AP173" s="47" t="str">
        <f>IF($U173="","",VLOOKUP($U173,'ORF Accuracy Value LookUp'!$G$4:$H$104,2,TRUE))</f>
        <v/>
      </c>
      <c r="AQ173" s="94" t="str">
        <f t="shared" si="32"/>
        <v/>
      </c>
      <c r="AR173" s="46" t="str">
        <f>IF($AE173="","",VLOOKUP($AE173,'ORF Accuracy Value LookUp'!$G$4:$H$104,2,TRUE))</f>
        <v/>
      </c>
      <c r="AS173" s="140" t="str">
        <f t="shared" si="33"/>
        <v/>
      </c>
    </row>
    <row r="174" spans="1:45">
      <c r="A174" s="10"/>
      <c r="B174" s="9"/>
      <c r="C174" s="9"/>
      <c r="D174" s="9"/>
      <c r="E174" s="10"/>
      <c r="F174" s="11"/>
      <c r="G174" s="15"/>
      <c r="H174" s="88"/>
      <c r="I174" s="24"/>
      <c r="J174" s="24"/>
      <c r="K174" s="114" t="str">
        <f t="shared" si="24"/>
        <v/>
      </c>
      <c r="L174" s="24"/>
      <c r="M174" s="24"/>
      <c r="N174" s="24"/>
      <c r="O174" s="24"/>
      <c r="P174" s="97" t="str">
        <f t="shared" si="25"/>
        <v/>
      </c>
      <c r="Q174" s="113" t="str">
        <f t="shared" si="26"/>
        <v/>
      </c>
      <c r="R174" s="88"/>
      <c r="S174" s="24"/>
      <c r="T174" s="24"/>
      <c r="U174" s="78" t="str">
        <f t="shared" si="27"/>
        <v/>
      </c>
      <c r="V174" s="24"/>
      <c r="W174" s="24"/>
      <c r="X174" s="24"/>
      <c r="Y174" s="24"/>
      <c r="Z174" s="98" t="str">
        <f t="shared" si="28"/>
        <v/>
      </c>
      <c r="AA174" s="40" t="str">
        <f t="shared" si="34"/>
        <v/>
      </c>
      <c r="AB174" s="88"/>
      <c r="AC174" s="24"/>
      <c r="AD174" s="24"/>
      <c r="AE174" s="79" t="str">
        <f t="shared" si="29"/>
        <v/>
      </c>
      <c r="AF174" s="24"/>
      <c r="AG174" s="24"/>
      <c r="AH174" s="24"/>
      <c r="AI174" s="24"/>
      <c r="AJ174" s="99" t="str">
        <f t="shared" si="30"/>
        <v/>
      </c>
      <c r="AK174" s="31" t="str">
        <f t="shared" si="35"/>
        <v/>
      </c>
      <c r="AN174" s="139" t="str">
        <f>IF($K174="","",VLOOKUP($K174,'ORF Accuracy Value LookUp'!$G$4:$H$104,2,TRUE))</f>
        <v/>
      </c>
      <c r="AO174" s="94" t="str">
        <f t="shared" si="31"/>
        <v/>
      </c>
      <c r="AP174" s="47" t="str">
        <f>IF($U174="","",VLOOKUP($U174,'ORF Accuracy Value LookUp'!$G$4:$H$104,2,TRUE))</f>
        <v/>
      </c>
      <c r="AQ174" s="94" t="str">
        <f t="shared" si="32"/>
        <v/>
      </c>
      <c r="AR174" s="46" t="str">
        <f>IF($AE174="","",VLOOKUP($AE174,'ORF Accuracy Value LookUp'!$G$4:$H$104,2,TRUE))</f>
        <v/>
      </c>
      <c r="AS174" s="140" t="str">
        <f t="shared" si="33"/>
        <v/>
      </c>
    </row>
    <row r="175" spans="1:45">
      <c r="A175" s="10"/>
      <c r="B175" s="9"/>
      <c r="C175" s="9"/>
      <c r="D175" s="9"/>
      <c r="E175" s="10"/>
      <c r="F175" s="11"/>
      <c r="G175" s="15"/>
      <c r="H175" s="88"/>
      <c r="I175" s="24"/>
      <c r="J175" s="24"/>
      <c r="K175" s="114" t="str">
        <f t="shared" si="24"/>
        <v/>
      </c>
      <c r="L175" s="24"/>
      <c r="M175" s="24"/>
      <c r="N175" s="24"/>
      <c r="O175" s="24"/>
      <c r="P175" s="97" t="str">
        <f t="shared" si="25"/>
        <v/>
      </c>
      <c r="Q175" s="113" t="str">
        <f t="shared" si="26"/>
        <v/>
      </c>
      <c r="R175" s="88"/>
      <c r="S175" s="24"/>
      <c r="T175" s="24"/>
      <c r="U175" s="78" t="str">
        <f t="shared" si="27"/>
        <v/>
      </c>
      <c r="V175" s="24"/>
      <c r="W175" s="24"/>
      <c r="X175" s="24"/>
      <c r="Y175" s="24"/>
      <c r="Z175" s="98" t="str">
        <f t="shared" si="28"/>
        <v/>
      </c>
      <c r="AA175" s="40" t="str">
        <f t="shared" si="34"/>
        <v/>
      </c>
      <c r="AB175" s="88"/>
      <c r="AC175" s="24"/>
      <c r="AD175" s="24"/>
      <c r="AE175" s="79" t="str">
        <f t="shared" si="29"/>
        <v/>
      </c>
      <c r="AF175" s="24"/>
      <c r="AG175" s="24"/>
      <c r="AH175" s="24"/>
      <c r="AI175" s="24"/>
      <c r="AJ175" s="99" t="str">
        <f t="shared" si="30"/>
        <v/>
      </c>
      <c r="AK175" s="31" t="str">
        <f t="shared" si="35"/>
        <v/>
      </c>
      <c r="AN175" s="139" t="str">
        <f>IF($K175="","",VLOOKUP($K175,'ORF Accuracy Value LookUp'!$G$4:$H$104,2,TRUE))</f>
        <v/>
      </c>
      <c r="AO175" s="94" t="str">
        <f t="shared" si="31"/>
        <v/>
      </c>
      <c r="AP175" s="47" t="str">
        <f>IF($U175="","",VLOOKUP($U175,'ORF Accuracy Value LookUp'!$G$4:$H$104,2,TRUE))</f>
        <v/>
      </c>
      <c r="AQ175" s="94" t="str">
        <f t="shared" si="32"/>
        <v/>
      </c>
      <c r="AR175" s="46" t="str">
        <f>IF($AE175="","",VLOOKUP($AE175,'ORF Accuracy Value LookUp'!$G$4:$H$104,2,TRUE))</f>
        <v/>
      </c>
      <c r="AS175" s="140" t="str">
        <f t="shared" si="33"/>
        <v/>
      </c>
    </row>
    <row r="176" spans="1:45">
      <c r="A176" s="10"/>
      <c r="B176" s="9"/>
      <c r="C176" s="9"/>
      <c r="D176" s="9"/>
      <c r="E176" s="10"/>
      <c r="F176" s="11"/>
      <c r="G176" s="15"/>
      <c r="H176" s="88"/>
      <c r="I176" s="24"/>
      <c r="J176" s="24"/>
      <c r="K176" s="114" t="str">
        <f t="shared" si="24"/>
        <v/>
      </c>
      <c r="L176" s="24"/>
      <c r="M176" s="24"/>
      <c r="N176" s="24"/>
      <c r="O176" s="24"/>
      <c r="P176" s="97" t="str">
        <f t="shared" si="25"/>
        <v/>
      </c>
      <c r="Q176" s="113" t="str">
        <f t="shared" si="26"/>
        <v/>
      </c>
      <c r="R176" s="88"/>
      <c r="S176" s="24"/>
      <c r="T176" s="24"/>
      <c r="U176" s="78" t="str">
        <f t="shared" si="27"/>
        <v/>
      </c>
      <c r="V176" s="24"/>
      <c r="W176" s="24"/>
      <c r="X176" s="24"/>
      <c r="Y176" s="24"/>
      <c r="Z176" s="98" t="str">
        <f t="shared" si="28"/>
        <v/>
      </c>
      <c r="AA176" s="40" t="str">
        <f t="shared" si="34"/>
        <v/>
      </c>
      <c r="AB176" s="88"/>
      <c r="AC176" s="24"/>
      <c r="AD176" s="24"/>
      <c r="AE176" s="79" t="str">
        <f t="shared" si="29"/>
        <v/>
      </c>
      <c r="AF176" s="24"/>
      <c r="AG176" s="24"/>
      <c r="AH176" s="24"/>
      <c r="AI176" s="24"/>
      <c r="AJ176" s="99" t="str">
        <f t="shared" si="30"/>
        <v/>
      </c>
      <c r="AK176" s="31" t="str">
        <f t="shared" si="35"/>
        <v/>
      </c>
      <c r="AN176" s="139" t="str">
        <f>IF($K176="","",VLOOKUP($K176,'ORF Accuracy Value LookUp'!$G$4:$H$104,2,TRUE))</f>
        <v/>
      </c>
      <c r="AO176" s="94" t="str">
        <f t="shared" si="31"/>
        <v/>
      </c>
      <c r="AP176" s="47" t="str">
        <f>IF($U176="","",VLOOKUP($U176,'ORF Accuracy Value LookUp'!$G$4:$H$104,2,TRUE))</f>
        <v/>
      </c>
      <c r="AQ176" s="94" t="str">
        <f t="shared" si="32"/>
        <v/>
      </c>
      <c r="AR176" s="46" t="str">
        <f>IF($AE176="","",VLOOKUP($AE176,'ORF Accuracy Value LookUp'!$G$4:$H$104,2,TRUE))</f>
        <v/>
      </c>
      <c r="AS176" s="140" t="str">
        <f t="shared" si="33"/>
        <v/>
      </c>
    </row>
    <row r="177" spans="1:45">
      <c r="A177" s="10"/>
      <c r="B177" s="9"/>
      <c r="C177" s="9"/>
      <c r="D177" s="9"/>
      <c r="E177" s="10"/>
      <c r="F177" s="11"/>
      <c r="G177" s="15"/>
      <c r="H177" s="88"/>
      <c r="I177" s="24"/>
      <c r="J177" s="24"/>
      <c r="K177" s="114" t="str">
        <f t="shared" si="24"/>
        <v/>
      </c>
      <c r="L177" s="24"/>
      <c r="M177" s="24"/>
      <c r="N177" s="24"/>
      <c r="O177" s="24"/>
      <c r="P177" s="97" t="str">
        <f t="shared" si="25"/>
        <v/>
      </c>
      <c r="Q177" s="113" t="str">
        <f t="shared" si="26"/>
        <v/>
      </c>
      <c r="R177" s="88"/>
      <c r="S177" s="24"/>
      <c r="T177" s="24"/>
      <c r="U177" s="78" t="str">
        <f t="shared" si="27"/>
        <v/>
      </c>
      <c r="V177" s="24"/>
      <c r="W177" s="24"/>
      <c r="X177" s="24"/>
      <c r="Y177" s="24"/>
      <c r="Z177" s="98" t="str">
        <f t="shared" si="28"/>
        <v/>
      </c>
      <c r="AA177" s="40" t="str">
        <f t="shared" si="34"/>
        <v/>
      </c>
      <c r="AB177" s="88"/>
      <c r="AC177" s="24"/>
      <c r="AD177" s="24"/>
      <c r="AE177" s="79" t="str">
        <f t="shared" si="29"/>
        <v/>
      </c>
      <c r="AF177" s="24"/>
      <c r="AG177" s="24"/>
      <c r="AH177" s="24"/>
      <c r="AI177" s="24"/>
      <c r="AJ177" s="99" t="str">
        <f t="shared" si="30"/>
        <v/>
      </c>
      <c r="AK177" s="31" t="str">
        <f t="shared" si="35"/>
        <v/>
      </c>
      <c r="AN177" s="139" t="str">
        <f>IF($K177="","",VLOOKUP($K177,'ORF Accuracy Value LookUp'!$G$4:$H$104,2,TRUE))</f>
        <v/>
      </c>
      <c r="AO177" s="94" t="str">
        <f t="shared" si="31"/>
        <v/>
      </c>
      <c r="AP177" s="47" t="str">
        <f>IF($U177="","",VLOOKUP($U177,'ORF Accuracy Value LookUp'!$G$4:$H$104,2,TRUE))</f>
        <v/>
      </c>
      <c r="AQ177" s="94" t="str">
        <f t="shared" si="32"/>
        <v/>
      </c>
      <c r="AR177" s="46" t="str">
        <f>IF($AE177="","",VLOOKUP($AE177,'ORF Accuracy Value LookUp'!$G$4:$H$104,2,TRUE))</f>
        <v/>
      </c>
      <c r="AS177" s="140" t="str">
        <f t="shared" si="33"/>
        <v/>
      </c>
    </row>
    <row r="178" spans="1:45">
      <c r="A178" s="10"/>
      <c r="B178" s="9"/>
      <c r="C178" s="9"/>
      <c r="D178" s="9"/>
      <c r="E178" s="10"/>
      <c r="F178" s="11"/>
      <c r="G178" s="15"/>
      <c r="H178" s="88"/>
      <c r="I178" s="24"/>
      <c r="J178" s="24"/>
      <c r="K178" s="114" t="str">
        <f t="shared" si="24"/>
        <v/>
      </c>
      <c r="L178" s="24"/>
      <c r="M178" s="24"/>
      <c r="N178" s="24"/>
      <c r="O178" s="24"/>
      <c r="P178" s="97" t="str">
        <f t="shared" si="25"/>
        <v/>
      </c>
      <c r="Q178" s="113" t="str">
        <f t="shared" si="26"/>
        <v/>
      </c>
      <c r="R178" s="88"/>
      <c r="S178" s="24"/>
      <c r="T178" s="24"/>
      <c r="U178" s="78" t="str">
        <f t="shared" si="27"/>
        <v/>
      </c>
      <c r="V178" s="24"/>
      <c r="W178" s="24"/>
      <c r="X178" s="24"/>
      <c r="Y178" s="24"/>
      <c r="Z178" s="98" t="str">
        <f t="shared" si="28"/>
        <v/>
      </c>
      <c r="AA178" s="40" t="str">
        <f t="shared" si="34"/>
        <v/>
      </c>
      <c r="AB178" s="88"/>
      <c r="AC178" s="24"/>
      <c r="AD178" s="24"/>
      <c r="AE178" s="79" t="str">
        <f t="shared" si="29"/>
        <v/>
      </c>
      <c r="AF178" s="24"/>
      <c r="AG178" s="24"/>
      <c r="AH178" s="24"/>
      <c r="AI178" s="24"/>
      <c r="AJ178" s="99" t="str">
        <f t="shared" si="30"/>
        <v/>
      </c>
      <c r="AK178" s="31" t="str">
        <f t="shared" si="35"/>
        <v/>
      </c>
      <c r="AN178" s="139" t="str">
        <f>IF($K178="","",VLOOKUP($K178,'ORF Accuracy Value LookUp'!$G$4:$H$104,2,TRUE))</f>
        <v/>
      </c>
      <c r="AO178" s="94" t="str">
        <f t="shared" si="31"/>
        <v/>
      </c>
      <c r="AP178" s="47" t="str">
        <f>IF($U178="","",VLOOKUP($U178,'ORF Accuracy Value LookUp'!$G$4:$H$104,2,TRUE))</f>
        <v/>
      </c>
      <c r="AQ178" s="94" t="str">
        <f t="shared" si="32"/>
        <v/>
      </c>
      <c r="AR178" s="46" t="str">
        <f>IF($AE178="","",VLOOKUP($AE178,'ORF Accuracy Value LookUp'!$G$4:$H$104,2,TRUE))</f>
        <v/>
      </c>
      <c r="AS178" s="140" t="str">
        <f t="shared" si="33"/>
        <v/>
      </c>
    </row>
    <row r="179" spans="1:45">
      <c r="A179" s="10"/>
      <c r="B179" s="9"/>
      <c r="C179" s="9"/>
      <c r="D179" s="9"/>
      <c r="E179" s="10"/>
      <c r="F179" s="11"/>
      <c r="G179" s="15"/>
      <c r="H179" s="88"/>
      <c r="I179" s="24"/>
      <c r="J179" s="24"/>
      <c r="K179" s="114" t="str">
        <f t="shared" si="24"/>
        <v/>
      </c>
      <c r="L179" s="24"/>
      <c r="M179" s="24"/>
      <c r="N179" s="24"/>
      <c r="O179" s="24"/>
      <c r="P179" s="97" t="str">
        <f t="shared" si="25"/>
        <v/>
      </c>
      <c r="Q179" s="113" t="str">
        <f t="shared" si="26"/>
        <v/>
      </c>
      <c r="R179" s="88"/>
      <c r="S179" s="24"/>
      <c r="T179" s="24"/>
      <c r="U179" s="78" t="str">
        <f t="shared" si="27"/>
        <v/>
      </c>
      <c r="V179" s="24"/>
      <c r="W179" s="24"/>
      <c r="X179" s="24"/>
      <c r="Y179" s="24"/>
      <c r="Z179" s="98" t="str">
        <f t="shared" si="28"/>
        <v/>
      </c>
      <c r="AA179" s="40" t="str">
        <f t="shared" si="34"/>
        <v/>
      </c>
      <c r="AB179" s="88"/>
      <c r="AC179" s="24"/>
      <c r="AD179" s="24"/>
      <c r="AE179" s="79" t="str">
        <f t="shared" si="29"/>
        <v/>
      </c>
      <c r="AF179" s="24"/>
      <c r="AG179" s="24"/>
      <c r="AH179" s="24"/>
      <c r="AI179" s="24"/>
      <c r="AJ179" s="99" t="str">
        <f t="shared" si="30"/>
        <v/>
      </c>
      <c r="AK179" s="31" t="str">
        <f t="shared" si="35"/>
        <v/>
      </c>
      <c r="AN179" s="139" t="str">
        <f>IF($K179="","",VLOOKUP($K179,'ORF Accuracy Value LookUp'!$G$4:$H$104,2,TRUE))</f>
        <v/>
      </c>
      <c r="AO179" s="94" t="str">
        <f t="shared" si="31"/>
        <v/>
      </c>
      <c r="AP179" s="47" t="str">
        <f>IF($U179="","",VLOOKUP($U179,'ORF Accuracy Value LookUp'!$G$4:$H$104,2,TRUE))</f>
        <v/>
      </c>
      <c r="AQ179" s="94" t="str">
        <f t="shared" si="32"/>
        <v/>
      </c>
      <c r="AR179" s="46" t="str">
        <f>IF($AE179="","",VLOOKUP($AE179,'ORF Accuracy Value LookUp'!$G$4:$H$104,2,TRUE))</f>
        <v/>
      </c>
      <c r="AS179" s="140" t="str">
        <f t="shared" si="33"/>
        <v/>
      </c>
    </row>
    <row r="180" spans="1:45">
      <c r="A180" s="10"/>
      <c r="B180" s="9"/>
      <c r="C180" s="9"/>
      <c r="D180" s="9"/>
      <c r="E180" s="10"/>
      <c r="F180" s="11"/>
      <c r="G180" s="15"/>
      <c r="H180" s="88"/>
      <c r="I180" s="24"/>
      <c r="J180" s="24"/>
      <c r="K180" s="114" t="str">
        <f t="shared" si="24"/>
        <v/>
      </c>
      <c r="L180" s="24"/>
      <c r="M180" s="24"/>
      <c r="N180" s="24"/>
      <c r="O180" s="24"/>
      <c r="P180" s="97" t="str">
        <f t="shared" si="25"/>
        <v/>
      </c>
      <c r="Q180" s="113" t="str">
        <f t="shared" si="26"/>
        <v/>
      </c>
      <c r="R180" s="88"/>
      <c r="S180" s="24"/>
      <c r="T180" s="24"/>
      <c r="U180" s="78" t="str">
        <f t="shared" si="27"/>
        <v/>
      </c>
      <c r="V180" s="24"/>
      <c r="W180" s="24"/>
      <c r="X180" s="24"/>
      <c r="Y180" s="24"/>
      <c r="Z180" s="98" t="str">
        <f t="shared" si="28"/>
        <v/>
      </c>
      <c r="AA180" s="40" t="str">
        <f t="shared" si="34"/>
        <v/>
      </c>
      <c r="AB180" s="88"/>
      <c r="AC180" s="24"/>
      <c r="AD180" s="24"/>
      <c r="AE180" s="79" t="str">
        <f t="shared" si="29"/>
        <v/>
      </c>
      <c r="AF180" s="24"/>
      <c r="AG180" s="24"/>
      <c r="AH180" s="24"/>
      <c r="AI180" s="24"/>
      <c r="AJ180" s="99" t="str">
        <f t="shared" si="30"/>
        <v/>
      </c>
      <c r="AK180" s="31" t="str">
        <f t="shared" si="35"/>
        <v/>
      </c>
      <c r="AN180" s="139" t="str">
        <f>IF($K180="","",VLOOKUP($K180,'ORF Accuracy Value LookUp'!$G$4:$H$104,2,TRUE))</f>
        <v/>
      </c>
      <c r="AO180" s="94" t="str">
        <f t="shared" si="31"/>
        <v/>
      </c>
      <c r="AP180" s="47" t="str">
        <f>IF($U180="","",VLOOKUP($U180,'ORF Accuracy Value LookUp'!$G$4:$H$104,2,TRUE))</f>
        <v/>
      </c>
      <c r="AQ180" s="94" t="str">
        <f t="shared" si="32"/>
        <v/>
      </c>
      <c r="AR180" s="46" t="str">
        <f>IF($AE180="","",VLOOKUP($AE180,'ORF Accuracy Value LookUp'!$G$4:$H$104,2,TRUE))</f>
        <v/>
      </c>
      <c r="AS180" s="140" t="str">
        <f t="shared" si="33"/>
        <v/>
      </c>
    </row>
    <row r="181" spans="1:45">
      <c r="A181" s="10"/>
      <c r="B181" s="9"/>
      <c r="C181" s="9"/>
      <c r="D181" s="9"/>
      <c r="E181" s="10"/>
      <c r="F181" s="11"/>
      <c r="G181" s="15"/>
      <c r="H181" s="88"/>
      <c r="I181" s="24"/>
      <c r="J181" s="24"/>
      <c r="K181" s="114" t="str">
        <f t="shared" si="24"/>
        <v/>
      </c>
      <c r="L181" s="24"/>
      <c r="M181" s="24"/>
      <c r="N181" s="24"/>
      <c r="O181" s="24"/>
      <c r="P181" s="97" t="str">
        <f t="shared" si="25"/>
        <v/>
      </c>
      <c r="Q181" s="113" t="str">
        <f t="shared" si="26"/>
        <v/>
      </c>
      <c r="R181" s="88"/>
      <c r="S181" s="24"/>
      <c r="T181" s="24"/>
      <c r="U181" s="78" t="str">
        <f t="shared" si="27"/>
        <v/>
      </c>
      <c r="V181" s="24"/>
      <c r="W181" s="24"/>
      <c r="X181" s="24"/>
      <c r="Y181" s="24"/>
      <c r="Z181" s="98" t="str">
        <f t="shared" si="28"/>
        <v/>
      </c>
      <c r="AA181" s="40" t="str">
        <f t="shared" si="34"/>
        <v/>
      </c>
      <c r="AB181" s="88"/>
      <c r="AC181" s="24"/>
      <c r="AD181" s="24"/>
      <c r="AE181" s="79" t="str">
        <f t="shared" si="29"/>
        <v/>
      </c>
      <c r="AF181" s="24"/>
      <c r="AG181" s="24"/>
      <c r="AH181" s="24"/>
      <c r="AI181" s="24"/>
      <c r="AJ181" s="99" t="str">
        <f t="shared" si="30"/>
        <v/>
      </c>
      <c r="AK181" s="31" t="str">
        <f t="shared" si="35"/>
        <v/>
      </c>
      <c r="AN181" s="139" t="str">
        <f>IF($K181="","",VLOOKUP($K181,'ORF Accuracy Value LookUp'!$G$4:$H$104,2,TRUE))</f>
        <v/>
      </c>
      <c r="AO181" s="94" t="str">
        <f t="shared" si="31"/>
        <v/>
      </c>
      <c r="AP181" s="47" t="str">
        <f>IF($U181="","",VLOOKUP($U181,'ORF Accuracy Value LookUp'!$G$4:$H$104,2,TRUE))</f>
        <v/>
      </c>
      <c r="AQ181" s="94" t="str">
        <f t="shared" si="32"/>
        <v/>
      </c>
      <c r="AR181" s="46" t="str">
        <f>IF($AE181="","",VLOOKUP($AE181,'ORF Accuracy Value LookUp'!$G$4:$H$104,2,TRUE))</f>
        <v/>
      </c>
      <c r="AS181" s="140" t="str">
        <f t="shared" si="33"/>
        <v/>
      </c>
    </row>
    <row r="182" spans="1:45">
      <c r="A182" s="10"/>
      <c r="B182" s="9"/>
      <c r="C182" s="9"/>
      <c r="D182" s="9"/>
      <c r="E182" s="10"/>
      <c r="F182" s="11"/>
      <c r="G182" s="15"/>
      <c r="H182" s="88"/>
      <c r="I182" s="24"/>
      <c r="J182" s="24"/>
      <c r="K182" s="114" t="str">
        <f t="shared" si="24"/>
        <v/>
      </c>
      <c r="L182" s="24"/>
      <c r="M182" s="24"/>
      <c r="N182" s="24"/>
      <c r="O182" s="24"/>
      <c r="P182" s="97" t="str">
        <f t="shared" si="25"/>
        <v/>
      </c>
      <c r="Q182" s="113" t="str">
        <f t="shared" si="26"/>
        <v/>
      </c>
      <c r="R182" s="88"/>
      <c r="S182" s="24"/>
      <c r="T182" s="24"/>
      <c r="U182" s="78" t="str">
        <f t="shared" si="27"/>
        <v/>
      </c>
      <c r="V182" s="24"/>
      <c r="W182" s="24"/>
      <c r="X182" s="24"/>
      <c r="Y182" s="24"/>
      <c r="Z182" s="98" t="str">
        <f t="shared" si="28"/>
        <v/>
      </c>
      <c r="AA182" s="40" t="str">
        <f t="shared" si="34"/>
        <v/>
      </c>
      <c r="AB182" s="88"/>
      <c r="AC182" s="24"/>
      <c r="AD182" s="24"/>
      <c r="AE182" s="79" t="str">
        <f t="shared" si="29"/>
        <v/>
      </c>
      <c r="AF182" s="24"/>
      <c r="AG182" s="24"/>
      <c r="AH182" s="24"/>
      <c r="AI182" s="24"/>
      <c r="AJ182" s="99" t="str">
        <f t="shared" si="30"/>
        <v/>
      </c>
      <c r="AK182" s="31" t="str">
        <f t="shared" si="35"/>
        <v/>
      </c>
      <c r="AN182" s="139" t="str">
        <f>IF($K182="","",VLOOKUP($K182,'ORF Accuracy Value LookUp'!$G$4:$H$104,2,TRUE))</f>
        <v/>
      </c>
      <c r="AO182" s="94" t="str">
        <f t="shared" si="31"/>
        <v/>
      </c>
      <c r="AP182" s="47" t="str">
        <f>IF($U182="","",VLOOKUP($U182,'ORF Accuracy Value LookUp'!$G$4:$H$104,2,TRUE))</f>
        <v/>
      </c>
      <c r="AQ182" s="94" t="str">
        <f t="shared" si="32"/>
        <v/>
      </c>
      <c r="AR182" s="46" t="str">
        <f>IF($AE182="","",VLOOKUP($AE182,'ORF Accuracy Value LookUp'!$G$4:$H$104,2,TRUE))</f>
        <v/>
      </c>
      <c r="AS182" s="140" t="str">
        <f t="shared" si="33"/>
        <v/>
      </c>
    </row>
    <row r="183" spans="1:45">
      <c r="A183" s="10"/>
      <c r="B183" s="9"/>
      <c r="C183" s="9"/>
      <c r="D183" s="9"/>
      <c r="E183" s="10"/>
      <c r="F183" s="11"/>
      <c r="G183" s="15"/>
      <c r="H183" s="88"/>
      <c r="I183" s="24"/>
      <c r="J183" s="24"/>
      <c r="K183" s="114" t="str">
        <f t="shared" si="24"/>
        <v/>
      </c>
      <c r="L183" s="24"/>
      <c r="M183" s="24"/>
      <c r="N183" s="24"/>
      <c r="O183" s="24"/>
      <c r="P183" s="97" t="str">
        <f t="shared" si="25"/>
        <v/>
      </c>
      <c r="Q183" s="113" t="str">
        <f t="shared" si="26"/>
        <v/>
      </c>
      <c r="R183" s="88"/>
      <c r="S183" s="24"/>
      <c r="T183" s="24"/>
      <c r="U183" s="78" t="str">
        <f t="shared" si="27"/>
        <v/>
      </c>
      <c r="V183" s="24"/>
      <c r="W183" s="24"/>
      <c r="X183" s="24"/>
      <c r="Y183" s="24"/>
      <c r="Z183" s="98" t="str">
        <f t="shared" si="28"/>
        <v/>
      </c>
      <c r="AA183" s="40" t="str">
        <f t="shared" si="34"/>
        <v/>
      </c>
      <c r="AB183" s="88"/>
      <c r="AC183" s="24"/>
      <c r="AD183" s="24"/>
      <c r="AE183" s="79" t="str">
        <f t="shared" si="29"/>
        <v/>
      </c>
      <c r="AF183" s="24"/>
      <c r="AG183" s="24"/>
      <c r="AH183" s="24"/>
      <c r="AI183" s="24"/>
      <c r="AJ183" s="99" t="str">
        <f t="shared" si="30"/>
        <v/>
      </c>
      <c r="AK183" s="31" t="str">
        <f t="shared" si="35"/>
        <v/>
      </c>
      <c r="AN183" s="139" t="str">
        <f>IF($K183="","",VLOOKUP($K183,'ORF Accuracy Value LookUp'!$G$4:$H$104,2,TRUE))</f>
        <v/>
      </c>
      <c r="AO183" s="94" t="str">
        <f t="shared" si="31"/>
        <v/>
      </c>
      <c r="AP183" s="47" t="str">
        <f>IF($U183="","",VLOOKUP($U183,'ORF Accuracy Value LookUp'!$G$4:$H$104,2,TRUE))</f>
        <v/>
      </c>
      <c r="AQ183" s="94" t="str">
        <f t="shared" si="32"/>
        <v/>
      </c>
      <c r="AR183" s="46" t="str">
        <f>IF($AE183="","",VLOOKUP($AE183,'ORF Accuracy Value LookUp'!$G$4:$H$104,2,TRUE))</f>
        <v/>
      </c>
      <c r="AS183" s="140" t="str">
        <f t="shared" si="33"/>
        <v/>
      </c>
    </row>
    <row r="184" spans="1:45">
      <c r="A184" s="10"/>
      <c r="B184" s="9"/>
      <c r="C184" s="9"/>
      <c r="D184" s="9"/>
      <c r="E184" s="10"/>
      <c r="F184" s="11"/>
      <c r="G184" s="15"/>
      <c r="H184" s="88"/>
      <c r="I184" s="24"/>
      <c r="J184" s="24"/>
      <c r="K184" s="114" t="str">
        <f t="shared" si="24"/>
        <v/>
      </c>
      <c r="L184" s="24"/>
      <c r="M184" s="24"/>
      <c r="N184" s="24"/>
      <c r="O184" s="24"/>
      <c r="P184" s="97" t="str">
        <f t="shared" si="25"/>
        <v/>
      </c>
      <c r="Q184" s="113" t="str">
        <f t="shared" si="26"/>
        <v/>
      </c>
      <c r="R184" s="88"/>
      <c r="S184" s="24"/>
      <c r="T184" s="24"/>
      <c r="U184" s="78" t="str">
        <f t="shared" si="27"/>
        <v/>
      </c>
      <c r="V184" s="24"/>
      <c r="W184" s="24"/>
      <c r="X184" s="24"/>
      <c r="Y184" s="24"/>
      <c r="Z184" s="98" t="str">
        <f t="shared" si="28"/>
        <v/>
      </c>
      <c r="AA184" s="40" t="str">
        <f t="shared" si="34"/>
        <v/>
      </c>
      <c r="AB184" s="88"/>
      <c r="AC184" s="24"/>
      <c r="AD184" s="24"/>
      <c r="AE184" s="79" t="str">
        <f t="shared" si="29"/>
        <v/>
      </c>
      <c r="AF184" s="24"/>
      <c r="AG184" s="24"/>
      <c r="AH184" s="24"/>
      <c r="AI184" s="24"/>
      <c r="AJ184" s="99" t="str">
        <f t="shared" si="30"/>
        <v/>
      </c>
      <c r="AK184" s="31" t="str">
        <f t="shared" si="35"/>
        <v/>
      </c>
      <c r="AN184" s="139" t="str">
        <f>IF($K184="","",VLOOKUP($K184,'ORF Accuracy Value LookUp'!$G$4:$H$104,2,TRUE))</f>
        <v/>
      </c>
      <c r="AO184" s="94" t="str">
        <f t="shared" si="31"/>
        <v/>
      </c>
      <c r="AP184" s="47" t="str">
        <f>IF($U184="","",VLOOKUP($U184,'ORF Accuracy Value LookUp'!$G$4:$H$104,2,TRUE))</f>
        <v/>
      </c>
      <c r="AQ184" s="94" t="str">
        <f t="shared" si="32"/>
        <v/>
      </c>
      <c r="AR184" s="46" t="str">
        <f>IF($AE184="","",VLOOKUP($AE184,'ORF Accuracy Value LookUp'!$G$4:$H$104,2,TRUE))</f>
        <v/>
      </c>
      <c r="AS184" s="140" t="str">
        <f t="shared" si="33"/>
        <v/>
      </c>
    </row>
    <row r="185" spans="1:45">
      <c r="A185" s="10"/>
      <c r="B185" s="9"/>
      <c r="C185" s="9"/>
      <c r="D185" s="9"/>
      <c r="E185" s="10"/>
      <c r="F185" s="11"/>
      <c r="G185" s="15"/>
      <c r="H185" s="88"/>
      <c r="I185" s="24"/>
      <c r="J185" s="24"/>
      <c r="K185" s="114" t="str">
        <f t="shared" si="24"/>
        <v/>
      </c>
      <c r="L185" s="24"/>
      <c r="M185" s="24"/>
      <c r="N185" s="24"/>
      <c r="O185" s="24"/>
      <c r="P185" s="97" t="str">
        <f t="shared" si="25"/>
        <v/>
      </c>
      <c r="Q185" s="113" t="str">
        <f t="shared" si="26"/>
        <v/>
      </c>
      <c r="R185" s="88"/>
      <c r="S185" s="24"/>
      <c r="T185" s="24"/>
      <c r="U185" s="78" t="str">
        <f t="shared" si="27"/>
        <v/>
      </c>
      <c r="V185" s="24"/>
      <c r="W185" s="24"/>
      <c r="X185" s="24"/>
      <c r="Y185" s="24"/>
      <c r="Z185" s="98" t="str">
        <f t="shared" si="28"/>
        <v/>
      </c>
      <c r="AA185" s="40" t="str">
        <f t="shared" si="34"/>
        <v/>
      </c>
      <c r="AB185" s="88"/>
      <c r="AC185" s="24"/>
      <c r="AD185" s="24"/>
      <c r="AE185" s="79" t="str">
        <f t="shared" si="29"/>
        <v/>
      </c>
      <c r="AF185" s="24"/>
      <c r="AG185" s="24"/>
      <c r="AH185" s="24"/>
      <c r="AI185" s="24"/>
      <c r="AJ185" s="99" t="str">
        <f t="shared" si="30"/>
        <v/>
      </c>
      <c r="AK185" s="31" t="str">
        <f t="shared" si="35"/>
        <v/>
      </c>
      <c r="AN185" s="139" t="str">
        <f>IF($K185="","",VLOOKUP($K185,'ORF Accuracy Value LookUp'!$G$4:$H$104,2,TRUE))</f>
        <v/>
      </c>
      <c r="AO185" s="94" t="str">
        <f t="shared" si="31"/>
        <v/>
      </c>
      <c r="AP185" s="47" t="str">
        <f>IF($U185="","",VLOOKUP($U185,'ORF Accuracy Value LookUp'!$G$4:$H$104,2,TRUE))</f>
        <v/>
      </c>
      <c r="AQ185" s="94" t="str">
        <f t="shared" si="32"/>
        <v/>
      </c>
      <c r="AR185" s="46" t="str">
        <f>IF($AE185="","",VLOOKUP($AE185,'ORF Accuracy Value LookUp'!$G$4:$H$104,2,TRUE))</f>
        <v/>
      </c>
      <c r="AS185" s="140" t="str">
        <f t="shared" si="33"/>
        <v/>
      </c>
    </row>
    <row r="186" spans="1:45">
      <c r="A186" s="10"/>
      <c r="B186" s="9"/>
      <c r="C186" s="9"/>
      <c r="D186" s="9"/>
      <c r="E186" s="10"/>
      <c r="F186" s="11"/>
      <c r="G186" s="15"/>
      <c r="H186" s="88"/>
      <c r="I186" s="24"/>
      <c r="J186" s="24"/>
      <c r="K186" s="114" t="str">
        <f t="shared" si="24"/>
        <v/>
      </c>
      <c r="L186" s="24"/>
      <c r="M186" s="24"/>
      <c r="N186" s="24"/>
      <c r="O186" s="24"/>
      <c r="P186" s="97" t="str">
        <f t="shared" si="25"/>
        <v/>
      </c>
      <c r="Q186" s="113" t="str">
        <f t="shared" si="26"/>
        <v/>
      </c>
      <c r="R186" s="88"/>
      <c r="S186" s="24"/>
      <c r="T186" s="24"/>
      <c r="U186" s="78" t="str">
        <f t="shared" si="27"/>
        <v/>
      </c>
      <c r="V186" s="24"/>
      <c r="W186" s="24"/>
      <c r="X186" s="24"/>
      <c r="Y186" s="24"/>
      <c r="Z186" s="98" t="str">
        <f t="shared" si="28"/>
        <v/>
      </c>
      <c r="AA186" s="40" t="str">
        <f t="shared" si="34"/>
        <v/>
      </c>
      <c r="AB186" s="88"/>
      <c r="AC186" s="24"/>
      <c r="AD186" s="24"/>
      <c r="AE186" s="79" t="str">
        <f t="shared" si="29"/>
        <v/>
      </c>
      <c r="AF186" s="24"/>
      <c r="AG186" s="24"/>
      <c r="AH186" s="24"/>
      <c r="AI186" s="24"/>
      <c r="AJ186" s="99" t="str">
        <f t="shared" si="30"/>
        <v/>
      </c>
      <c r="AK186" s="31" t="str">
        <f t="shared" si="35"/>
        <v/>
      </c>
      <c r="AN186" s="139" t="str">
        <f>IF($K186="","",VLOOKUP($K186,'ORF Accuracy Value LookUp'!$G$4:$H$104,2,TRUE))</f>
        <v/>
      </c>
      <c r="AO186" s="94" t="str">
        <f t="shared" si="31"/>
        <v/>
      </c>
      <c r="AP186" s="47" t="str">
        <f>IF($U186="","",VLOOKUP($U186,'ORF Accuracy Value LookUp'!$G$4:$H$104,2,TRUE))</f>
        <v/>
      </c>
      <c r="AQ186" s="94" t="str">
        <f t="shared" si="32"/>
        <v/>
      </c>
      <c r="AR186" s="46" t="str">
        <f>IF($AE186="","",VLOOKUP($AE186,'ORF Accuracy Value LookUp'!$G$4:$H$104,2,TRUE))</f>
        <v/>
      </c>
      <c r="AS186" s="140" t="str">
        <f t="shared" si="33"/>
        <v/>
      </c>
    </row>
    <row r="187" spans="1:45">
      <c r="A187" s="10"/>
      <c r="B187" s="9"/>
      <c r="C187" s="9"/>
      <c r="D187" s="9"/>
      <c r="E187" s="10"/>
      <c r="F187" s="11"/>
      <c r="G187" s="15"/>
      <c r="H187" s="88"/>
      <c r="I187" s="24"/>
      <c r="J187" s="24"/>
      <c r="K187" s="114" t="str">
        <f t="shared" si="24"/>
        <v/>
      </c>
      <c r="L187" s="24"/>
      <c r="M187" s="24"/>
      <c r="N187" s="24"/>
      <c r="O187" s="24"/>
      <c r="P187" s="97" t="str">
        <f t="shared" si="25"/>
        <v/>
      </c>
      <c r="Q187" s="113" t="str">
        <f t="shared" si="26"/>
        <v/>
      </c>
      <c r="R187" s="88"/>
      <c r="S187" s="24"/>
      <c r="T187" s="24"/>
      <c r="U187" s="78" t="str">
        <f t="shared" si="27"/>
        <v/>
      </c>
      <c r="V187" s="24"/>
      <c r="W187" s="24"/>
      <c r="X187" s="24"/>
      <c r="Y187" s="24"/>
      <c r="Z187" s="98" t="str">
        <f t="shared" si="28"/>
        <v/>
      </c>
      <c r="AA187" s="40" t="str">
        <f t="shared" si="34"/>
        <v/>
      </c>
      <c r="AB187" s="88"/>
      <c r="AC187" s="24"/>
      <c r="AD187" s="24"/>
      <c r="AE187" s="79" t="str">
        <f t="shared" si="29"/>
        <v/>
      </c>
      <c r="AF187" s="24"/>
      <c r="AG187" s="24"/>
      <c r="AH187" s="24"/>
      <c r="AI187" s="24"/>
      <c r="AJ187" s="99" t="str">
        <f t="shared" si="30"/>
        <v/>
      </c>
      <c r="AK187" s="31" t="str">
        <f t="shared" si="35"/>
        <v/>
      </c>
      <c r="AN187" s="139" t="str">
        <f>IF($K187="","",VLOOKUP($K187,'ORF Accuracy Value LookUp'!$G$4:$H$104,2,TRUE))</f>
        <v/>
      </c>
      <c r="AO187" s="94" t="str">
        <f t="shared" si="31"/>
        <v/>
      </c>
      <c r="AP187" s="47" t="str">
        <f>IF($U187="","",VLOOKUP($U187,'ORF Accuracy Value LookUp'!$G$4:$H$104,2,TRUE))</f>
        <v/>
      </c>
      <c r="AQ187" s="94" t="str">
        <f t="shared" si="32"/>
        <v/>
      </c>
      <c r="AR187" s="46" t="str">
        <f>IF($AE187="","",VLOOKUP($AE187,'ORF Accuracy Value LookUp'!$G$4:$H$104,2,TRUE))</f>
        <v/>
      </c>
      <c r="AS187" s="140" t="str">
        <f t="shared" si="33"/>
        <v/>
      </c>
    </row>
    <row r="188" spans="1:45">
      <c r="A188" s="10"/>
      <c r="B188" s="9"/>
      <c r="C188" s="9"/>
      <c r="D188" s="9"/>
      <c r="E188" s="10"/>
      <c r="F188" s="11"/>
      <c r="G188" s="15"/>
      <c r="H188" s="88"/>
      <c r="I188" s="24"/>
      <c r="J188" s="24"/>
      <c r="K188" s="114" t="str">
        <f t="shared" si="24"/>
        <v/>
      </c>
      <c r="L188" s="24"/>
      <c r="M188" s="24"/>
      <c r="N188" s="24"/>
      <c r="O188" s="24"/>
      <c r="P188" s="97" t="str">
        <f t="shared" si="25"/>
        <v/>
      </c>
      <c r="Q188" s="113" t="str">
        <f t="shared" si="26"/>
        <v/>
      </c>
      <c r="R188" s="88"/>
      <c r="S188" s="24"/>
      <c r="T188" s="24"/>
      <c r="U188" s="78" t="str">
        <f t="shared" si="27"/>
        <v/>
      </c>
      <c r="V188" s="24"/>
      <c r="W188" s="24"/>
      <c r="X188" s="24"/>
      <c r="Y188" s="24"/>
      <c r="Z188" s="98" t="str">
        <f t="shared" si="28"/>
        <v/>
      </c>
      <c r="AA188" s="40" t="str">
        <f t="shared" si="34"/>
        <v/>
      </c>
      <c r="AB188" s="88"/>
      <c r="AC188" s="24"/>
      <c r="AD188" s="24"/>
      <c r="AE188" s="79" t="str">
        <f t="shared" si="29"/>
        <v/>
      </c>
      <c r="AF188" s="24"/>
      <c r="AG188" s="24"/>
      <c r="AH188" s="24"/>
      <c r="AI188" s="24"/>
      <c r="AJ188" s="99" t="str">
        <f t="shared" si="30"/>
        <v/>
      </c>
      <c r="AK188" s="31" t="str">
        <f t="shared" si="35"/>
        <v/>
      </c>
      <c r="AN188" s="139" t="str">
        <f>IF($K188="","",VLOOKUP($K188,'ORF Accuracy Value LookUp'!$G$4:$H$104,2,TRUE))</f>
        <v/>
      </c>
      <c r="AO188" s="94" t="str">
        <f t="shared" si="31"/>
        <v/>
      </c>
      <c r="AP188" s="47" t="str">
        <f>IF($U188="","",VLOOKUP($U188,'ORF Accuracy Value LookUp'!$G$4:$H$104,2,TRUE))</f>
        <v/>
      </c>
      <c r="AQ188" s="94" t="str">
        <f t="shared" si="32"/>
        <v/>
      </c>
      <c r="AR188" s="46" t="str">
        <f>IF($AE188="","",VLOOKUP($AE188,'ORF Accuracy Value LookUp'!$G$4:$H$104,2,TRUE))</f>
        <v/>
      </c>
      <c r="AS188" s="140" t="str">
        <f t="shared" si="33"/>
        <v/>
      </c>
    </row>
    <row r="189" spans="1:45">
      <c r="A189" s="10"/>
      <c r="B189" s="9"/>
      <c r="C189" s="9"/>
      <c r="D189" s="9"/>
      <c r="E189" s="10"/>
      <c r="F189" s="11"/>
      <c r="G189" s="15"/>
      <c r="H189" s="88"/>
      <c r="I189" s="24"/>
      <c r="J189" s="24"/>
      <c r="K189" s="114" t="str">
        <f t="shared" si="24"/>
        <v/>
      </c>
      <c r="L189" s="24"/>
      <c r="M189" s="24"/>
      <c r="N189" s="24"/>
      <c r="O189" s="24"/>
      <c r="P189" s="97" t="str">
        <f t="shared" si="25"/>
        <v/>
      </c>
      <c r="Q189" s="113" t="str">
        <f t="shared" si="26"/>
        <v/>
      </c>
      <c r="R189" s="88"/>
      <c r="S189" s="24"/>
      <c r="T189" s="24"/>
      <c r="U189" s="78" t="str">
        <f t="shared" si="27"/>
        <v/>
      </c>
      <c r="V189" s="24"/>
      <c r="W189" s="24"/>
      <c r="X189" s="24"/>
      <c r="Y189" s="24"/>
      <c r="Z189" s="98" t="str">
        <f t="shared" si="28"/>
        <v/>
      </c>
      <c r="AA189" s="40" t="str">
        <f t="shared" si="34"/>
        <v/>
      </c>
      <c r="AB189" s="88"/>
      <c r="AC189" s="24"/>
      <c r="AD189" s="24"/>
      <c r="AE189" s="79" t="str">
        <f t="shared" si="29"/>
        <v/>
      </c>
      <c r="AF189" s="24"/>
      <c r="AG189" s="24"/>
      <c r="AH189" s="24"/>
      <c r="AI189" s="24"/>
      <c r="AJ189" s="99" t="str">
        <f t="shared" si="30"/>
        <v/>
      </c>
      <c r="AK189" s="31" t="str">
        <f t="shared" si="35"/>
        <v/>
      </c>
      <c r="AN189" s="139" t="str">
        <f>IF($K189="","",VLOOKUP($K189,'ORF Accuracy Value LookUp'!$G$4:$H$104,2,TRUE))</f>
        <v/>
      </c>
      <c r="AO189" s="94" t="str">
        <f t="shared" si="31"/>
        <v/>
      </c>
      <c r="AP189" s="47" t="str">
        <f>IF($U189="","",VLOOKUP($U189,'ORF Accuracy Value LookUp'!$G$4:$H$104,2,TRUE))</f>
        <v/>
      </c>
      <c r="AQ189" s="94" t="str">
        <f t="shared" si="32"/>
        <v/>
      </c>
      <c r="AR189" s="46" t="str">
        <f>IF($AE189="","",VLOOKUP($AE189,'ORF Accuracy Value LookUp'!$G$4:$H$104,2,TRUE))</f>
        <v/>
      </c>
      <c r="AS189" s="140" t="str">
        <f t="shared" si="33"/>
        <v/>
      </c>
    </row>
    <row r="190" spans="1:45">
      <c r="A190" s="10"/>
      <c r="B190" s="9"/>
      <c r="C190" s="9"/>
      <c r="D190" s="9"/>
      <c r="E190" s="10"/>
      <c r="F190" s="11"/>
      <c r="G190" s="15"/>
      <c r="H190" s="88"/>
      <c r="I190" s="24"/>
      <c r="J190" s="24"/>
      <c r="K190" s="114" t="str">
        <f t="shared" si="24"/>
        <v/>
      </c>
      <c r="L190" s="24"/>
      <c r="M190" s="24"/>
      <c r="N190" s="24"/>
      <c r="O190" s="24"/>
      <c r="P190" s="97" t="str">
        <f t="shared" si="25"/>
        <v/>
      </c>
      <c r="Q190" s="113" t="str">
        <f t="shared" si="26"/>
        <v/>
      </c>
      <c r="R190" s="88"/>
      <c r="S190" s="24"/>
      <c r="T190" s="24"/>
      <c r="U190" s="78" t="str">
        <f t="shared" si="27"/>
        <v/>
      </c>
      <c r="V190" s="24"/>
      <c r="W190" s="24"/>
      <c r="X190" s="24"/>
      <c r="Y190" s="24"/>
      <c r="Z190" s="98" t="str">
        <f t="shared" si="28"/>
        <v/>
      </c>
      <c r="AA190" s="40" t="str">
        <f t="shared" si="34"/>
        <v/>
      </c>
      <c r="AB190" s="88"/>
      <c r="AC190" s="24"/>
      <c r="AD190" s="24"/>
      <c r="AE190" s="79" t="str">
        <f t="shared" si="29"/>
        <v/>
      </c>
      <c r="AF190" s="24"/>
      <c r="AG190" s="24"/>
      <c r="AH190" s="24"/>
      <c r="AI190" s="24"/>
      <c r="AJ190" s="99" t="str">
        <f t="shared" si="30"/>
        <v/>
      </c>
      <c r="AK190" s="31" t="str">
        <f t="shared" si="35"/>
        <v/>
      </c>
      <c r="AN190" s="139" t="str">
        <f>IF($K190="","",VLOOKUP($K190,'ORF Accuracy Value LookUp'!$G$4:$H$104,2,TRUE))</f>
        <v/>
      </c>
      <c r="AO190" s="94" t="str">
        <f t="shared" si="31"/>
        <v/>
      </c>
      <c r="AP190" s="47" t="str">
        <f>IF($U190="","",VLOOKUP($U190,'ORF Accuracy Value LookUp'!$G$4:$H$104,2,TRUE))</f>
        <v/>
      </c>
      <c r="AQ190" s="94" t="str">
        <f t="shared" si="32"/>
        <v/>
      </c>
      <c r="AR190" s="46" t="str">
        <f>IF($AE190="","",VLOOKUP($AE190,'ORF Accuracy Value LookUp'!$G$4:$H$104,2,TRUE))</f>
        <v/>
      </c>
      <c r="AS190" s="140" t="str">
        <f t="shared" si="33"/>
        <v/>
      </c>
    </row>
    <row r="191" spans="1:45">
      <c r="A191" s="10"/>
      <c r="B191" s="9"/>
      <c r="C191" s="9"/>
      <c r="D191" s="9"/>
      <c r="E191" s="10"/>
      <c r="F191" s="11"/>
      <c r="G191" s="15"/>
      <c r="H191" s="88"/>
      <c r="I191" s="24"/>
      <c r="J191" s="24"/>
      <c r="K191" s="114" t="str">
        <f t="shared" si="24"/>
        <v/>
      </c>
      <c r="L191" s="24"/>
      <c r="M191" s="24"/>
      <c r="N191" s="24"/>
      <c r="O191" s="24"/>
      <c r="P191" s="97" t="str">
        <f t="shared" si="25"/>
        <v/>
      </c>
      <c r="Q191" s="113" t="str">
        <f t="shared" si="26"/>
        <v/>
      </c>
      <c r="R191" s="88"/>
      <c r="S191" s="24"/>
      <c r="T191" s="24"/>
      <c r="U191" s="78" t="str">
        <f t="shared" si="27"/>
        <v/>
      </c>
      <c r="V191" s="24"/>
      <c r="W191" s="24"/>
      <c r="X191" s="24"/>
      <c r="Y191" s="24"/>
      <c r="Z191" s="98" t="str">
        <f t="shared" si="28"/>
        <v/>
      </c>
      <c r="AA191" s="40" t="str">
        <f t="shared" si="34"/>
        <v/>
      </c>
      <c r="AB191" s="88"/>
      <c r="AC191" s="24"/>
      <c r="AD191" s="24"/>
      <c r="AE191" s="79" t="str">
        <f t="shared" si="29"/>
        <v/>
      </c>
      <c r="AF191" s="24"/>
      <c r="AG191" s="24"/>
      <c r="AH191" s="24"/>
      <c r="AI191" s="24"/>
      <c r="AJ191" s="99" t="str">
        <f t="shared" si="30"/>
        <v/>
      </c>
      <c r="AK191" s="31" t="str">
        <f t="shared" si="35"/>
        <v/>
      </c>
      <c r="AN191" s="139" t="str">
        <f>IF($K191="","",VLOOKUP($K191,'ORF Accuracy Value LookUp'!$G$4:$H$104,2,TRUE))</f>
        <v/>
      </c>
      <c r="AO191" s="94" t="str">
        <f t="shared" si="31"/>
        <v/>
      </c>
      <c r="AP191" s="47" t="str">
        <f>IF($U191="","",VLOOKUP($U191,'ORF Accuracy Value LookUp'!$G$4:$H$104,2,TRUE))</f>
        <v/>
      </c>
      <c r="AQ191" s="94" t="str">
        <f t="shared" si="32"/>
        <v/>
      </c>
      <c r="AR191" s="46" t="str">
        <f>IF($AE191="","",VLOOKUP($AE191,'ORF Accuracy Value LookUp'!$G$4:$H$104,2,TRUE))</f>
        <v/>
      </c>
      <c r="AS191" s="140" t="str">
        <f t="shared" si="33"/>
        <v/>
      </c>
    </row>
    <row r="192" spans="1:45">
      <c r="A192" s="10"/>
      <c r="B192" s="9"/>
      <c r="C192" s="9"/>
      <c r="D192" s="9"/>
      <c r="E192" s="10"/>
      <c r="F192" s="11"/>
      <c r="G192" s="15"/>
      <c r="H192" s="88"/>
      <c r="I192" s="24"/>
      <c r="J192" s="24"/>
      <c r="K192" s="114" t="str">
        <f t="shared" si="24"/>
        <v/>
      </c>
      <c r="L192" s="24"/>
      <c r="M192" s="24"/>
      <c r="N192" s="24"/>
      <c r="O192" s="24"/>
      <c r="P192" s="97" t="str">
        <f t="shared" si="25"/>
        <v/>
      </c>
      <c r="Q192" s="113" t="str">
        <f t="shared" si="26"/>
        <v/>
      </c>
      <c r="R192" s="88"/>
      <c r="S192" s="24"/>
      <c r="T192" s="24"/>
      <c r="U192" s="78" t="str">
        <f t="shared" si="27"/>
        <v/>
      </c>
      <c r="V192" s="24"/>
      <c r="W192" s="24"/>
      <c r="X192" s="24"/>
      <c r="Y192" s="24"/>
      <c r="Z192" s="98" t="str">
        <f t="shared" si="28"/>
        <v/>
      </c>
      <c r="AA192" s="40" t="str">
        <f t="shared" si="34"/>
        <v/>
      </c>
      <c r="AB192" s="88"/>
      <c r="AC192" s="24"/>
      <c r="AD192" s="24"/>
      <c r="AE192" s="79" t="str">
        <f t="shared" si="29"/>
        <v/>
      </c>
      <c r="AF192" s="24"/>
      <c r="AG192" s="24"/>
      <c r="AH192" s="24"/>
      <c r="AI192" s="24"/>
      <c r="AJ192" s="99" t="str">
        <f t="shared" si="30"/>
        <v/>
      </c>
      <c r="AK192" s="31" t="str">
        <f t="shared" si="35"/>
        <v/>
      </c>
      <c r="AN192" s="139" t="str">
        <f>IF($K192="","",VLOOKUP($K192,'ORF Accuracy Value LookUp'!$G$4:$H$104,2,TRUE))</f>
        <v/>
      </c>
      <c r="AO192" s="94" t="str">
        <f t="shared" si="31"/>
        <v/>
      </c>
      <c r="AP192" s="47" t="str">
        <f>IF($U192="","",VLOOKUP($U192,'ORF Accuracy Value LookUp'!$G$4:$H$104,2,TRUE))</f>
        <v/>
      </c>
      <c r="AQ192" s="94" t="str">
        <f t="shared" si="32"/>
        <v/>
      </c>
      <c r="AR192" s="46" t="str">
        <f>IF($AE192="","",VLOOKUP($AE192,'ORF Accuracy Value LookUp'!$G$4:$H$104,2,TRUE))</f>
        <v/>
      </c>
      <c r="AS192" s="140" t="str">
        <f t="shared" si="33"/>
        <v/>
      </c>
    </row>
    <row r="193" spans="1:45">
      <c r="A193" s="10"/>
      <c r="B193" s="9"/>
      <c r="C193" s="9"/>
      <c r="D193" s="9"/>
      <c r="E193" s="10"/>
      <c r="F193" s="11"/>
      <c r="G193" s="15"/>
      <c r="H193" s="88"/>
      <c r="I193" s="24"/>
      <c r="J193" s="24"/>
      <c r="K193" s="114" t="str">
        <f t="shared" si="24"/>
        <v/>
      </c>
      <c r="L193" s="24"/>
      <c r="M193" s="24"/>
      <c r="N193" s="24"/>
      <c r="O193" s="24"/>
      <c r="P193" s="97" t="str">
        <f t="shared" si="25"/>
        <v/>
      </c>
      <c r="Q193" s="113" t="str">
        <f t="shared" si="26"/>
        <v/>
      </c>
      <c r="R193" s="88"/>
      <c r="S193" s="24"/>
      <c r="T193" s="24"/>
      <c r="U193" s="78" t="str">
        <f t="shared" si="27"/>
        <v/>
      </c>
      <c r="V193" s="24"/>
      <c r="W193" s="24"/>
      <c r="X193" s="24"/>
      <c r="Y193" s="24"/>
      <c r="Z193" s="98" t="str">
        <f t="shared" si="28"/>
        <v/>
      </c>
      <c r="AA193" s="40" t="str">
        <f t="shared" si="34"/>
        <v/>
      </c>
      <c r="AB193" s="88"/>
      <c r="AC193" s="24"/>
      <c r="AD193" s="24"/>
      <c r="AE193" s="79" t="str">
        <f t="shared" si="29"/>
        <v/>
      </c>
      <c r="AF193" s="24"/>
      <c r="AG193" s="24"/>
      <c r="AH193" s="24"/>
      <c r="AI193" s="24"/>
      <c r="AJ193" s="99" t="str">
        <f t="shared" si="30"/>
        <v/>
      </c>
      <c r="AK193" s="31" t="str">
        <f t="shared" si="35"/>
        <v/>
      </c>
      <c r="AN193" s="139" t="str">
        <f>IF($K193="","",VLOOKUP($K193,'ORF Accuracy Value LookUp'!$G$4:$H$104,2,TRUE))</f>
        <v/>
      </c>
      <c r="AO193" s="94" t="str">
        <f t="shared" si="31"/>
        <v/>
      </c>
      <c r="AP193" s="47" t="str">
        <f>IF($U193="","",VLOOKUP($U193,'ORF Accuracy Value LookUp'!$G$4:$H$104,2,TRUE))</f>
        <v/>
      </c>
      <c r="AQ193" s="94" t="str">
        <f t="shared" si="32"/>
        <v/>
      </c>
      <c r="AR193" s="46" t="str">
        <f>IF($AE193="","",VLOOKUP($AE193,'ORF Accuracy Value LookUp'!$G$4:$H$104,2,TRUE))</f>
        <v/>
      </c>
      <c r="AS193" s="140" t="str">
        <f t="shared" si="33"/>
        <v/>
      </c>
    </row>
    <row r="194" spans="1:45">
      <c r="A194" s="10"/>
      <c r="B194" s="9"/>
      <c r="C194" s="9"/>
      <c r="D194" s="9"/>
      <c r="E194" s="10"/>
      <c r="F194" s="11"/>
      <c r="G194" s="15"/>
      <c r="H194" s="88"/>
      <c r="I194" s="24"/>
      <c r="J194" s="24"/>
      <c r="K194" s="114" t="str">
        <f t="shared" si="24"/>
        <v/>
      </c>
      <c r="L194" s="24"/>
      <c r="M194" s="24"/>
      <c r="N194" s="24"/>
      <c r="O194" s="24"/>
      <c r="P194" s="97" t="str">
        <f t="shared" si="25"/>
        <v/>
      </c>
      <c r="Q194" s="113" t="str">
        <f t="shared" si="26"/>
        <v/>
      </c>
      <c r="R194" s="88"/>
      <c r="S194" s="24"/>
      <c r="T194" s="24"/>
      <c r="U194" s="78" t="str">
        <f t="shared" si="27"/>
        <v/>
      </c>
      <c r="V194" s="24"/>
      <c r="W194" s="24"/>
      <c r="X194" s="24"/>
      <c r="Y194" s="24"/>
      <c r="Z194" s="98" t="str">
        <f t="shared" si="28"/>
        <v/>
      </c>
      <c r="AA194" s="40" t="str">
        <f t="shared" si="34"/>
        <v/>
      </c>
      <c r="AB194" s="88"/>
      <c r="AC194" s="24"/>
      <c r="AD194" s="24"/>
      <c r="AE194" s="79" t="str">
        <f t="shared" si="29"/>
        <v/>
      </c>
      <c r="AF194" s="24"/>
      <c r="AG194" s="24"/>
      <c r="AH194" s="24"/>
      <c r="AI194" s="24"/>
      <c r="AJ194" s="99" t="str">
        <f t="shared" si="30"/>
        <v/>
      </c>
      <c r="AK194" s="31" t="str">
        <f t="shared" si="35"/>
        <v/>
      </c>
      <c r="AN194" s="139" t="str">
        <f>IF($K194="","",VLOOKUP($K194,'ORF Accuracy Value LookUp'!$G$4:$H$104,2,TRUE))</f>
        <v/>
      </c>
      <c r="AO194" s="94" t="str">
        <f t="shared" si="31"/>
        <v/>
      </c>
      <c r="AP194" s="47" t="str">
        <f>IF($U194="","",VLOOKUP($U194,'ORF Accuracy Value LookUp'!$G$4:$H$104,2,TRUE))</f>
        <v/>
      </c>
      <c r="AQ194" s="94" t="str">
        <f t="shared" si="32"/>
        <v/>
      </c>
      <c r="AR194" s="46" t="str">
        <f>IF($AE194="","",VLOOKUP($AE194,'ORF Accuracy Value LookUp'!$G$4:$H$104,2,TRUE))</f>
        <v/>
      </c>
      <c r="AS194" s="140" t="str">
        <f t="shared" si="33"/>
        <v/>
      </c>
    </row>
    <row r="195" spans="1:45">
      <c r="A195" s="10"/>
      <c r="B195" s="9"/>
      <c r="C195" s="9"/>
      <c r="D195" s="9"/>
      <c r="E195" s="10"/>
      <c r="F195" s="11"/>
      <c r="G195" s="15"/>
      <c r="H195" s="88"/>
      <c r="I195" s="24"/>
      <c r="J195" s="24"/>
      <c r="K195" s="114" t="str">
        <f t="shared" si="24"/>
        <v/>
      </c>
      <c r="L195" s="24"/>
      <c r="M195" s="24"/>
      <c r="N195" s="24"/>
      <c r="O195" s="24"/>
      <c r="P195" s="97" t="str">
        <f t="shared" si="25"/>
        <v/>
      </c>
      <c r="Q195" s="113" t="str">
        <f t="shared" si="26"/>
        <v/>
      </c>
      <c r="R195" s="88"/>
      <c r="S195" s="24"/>
      <c r="T195" s="24"/>
      <c r="U195" s="78" t="str">
        <f t="shared" si="27"/>
        <v/>
      </c>
      <c r="V195" s="24"/>
      <c r="W195" s="24"/>
      <c r="X195" s="24"/>
      <c r="Y195" s="24"/>
      <c r="Z195" s="98" t="str">
        <f t="shared" si="28"/>
        <v/>
      </c>
      <c r="AA195" s="40" t="str">
        <f t="shared" si="34"/>
        <v/>
      </c>
      <c r="AB195" s="88"/>
      <c r="AC195" s="24"/>
      <c r="AD195" s="24"/>
      <c r="AE195" s="79" t="str">
        <f t="shared" si="29"/>
        <v/>
      </c>
      <c r="AF195" s="24"/>
      <c r="AG195" s="24"/>
      <c r="AH195" s="24"/>
      <c r="AI195" s="24"/>
      <c r="AJ195" s="99" t="str">
        <f t="shared" si="30"/>
        <v/>
      </c>
      <c r="AK195" s="31" t="str">
        <f t="shared" si="35"/>
        <v/>
      </c>
      <c r="AN195" s="139" t="str">
        <f>IF($K195="","",VLOOKUP($K195,'ORF Accuracy Value LookUp'!$G$4:$H$104,2,TRUE))</f>
        <v/>
      </c>
      <c r="AO195" s="94" t="str">
        <f t="shared" si="31"/>
        <v/>
      </c>
      <c r="AP195" s="47" t="str">
        <f>IF($U195="","",VLOOKUP($U195,'ORF Accuracy Value LookUp'!$G$4:$H$104,2,TRUE))</f>
        <v/>
      </c>
      <c r="AQ195" s="94" t="str">
        <f t="shared" si="32"/>
        <v/>
      </c>
      <c r="AR195" s="46" t="str">
        <f>IF($AE195="","",VLOOKUP($AE195,'ORF Accuracy Value LookUp'!$G$4:$H$104,2,TRUE))</f>
        <v/>
      </c>
      <c r="AS195" s="140" t="str">
        <f t="shared" si="33"/>
        <v/>
      </c>
    </row>
    <row r="196" spans="1:45">
      <c r="A196" s="10"/>
      <c r="B196" s="9"/>
      <c r="C196" s="9"/>
      <c r="D196" s="9"/>
      <c r="E196" s="10"/>
      <c r="F196" s="11"/>
      <c r="G196" s="15"/>
      <c r="H196" s="88"/>
      <c r="I196" s="24"/>
      <c r="J196" s="24"/>
      <c r="K196" s="114" t="str">
        <f t="shared" si="24"/>
        <v/>
      </c>
      <c r="L196" s="24"/>
      <c r="M196" s="24"/>
      <c r="N196" s="24"/>
      <c r="O196" s="24"/>
      <c r="P196" s="97" t="str">
        <f t="shared" si="25"/>
        <v/>
      </c>
      <c r="Q196" s="113" t="str">
        <f t="shared" si="26"/>
        <v/>
      </c>
      <c r="R196" s="88"/>
      <c r="S196" s="24"/>
      <c r="T196" s="24"/>
      <c r="U196" s="78" t="str">
        <f t="shared" si="27"/>
        <v/>
      </c>
      <c r="V196" s="24"/>
      <c r="W196" s="24"/>
      <c r="X196" s="24"/>
      <c r="Y196" s="24"/>
      <c r="Z196" s="98" t="str">
        <f t="shared" si="28"/>
        <v/>
      </c>
      <c r="AA196" s="40" t="str">
        <f t="shared" si="34"/>
        <v/>
      </c>
      <c r="AB196" s="88"/>
      <c r="AC196" s="24"/>
      <c r="AD196" s="24"/>
      <c r="AE196" s="79" t="str">
        <f t="shared" si="29"/>
        <v/>
      </c>
      <c r="AF196" s="24"/>
      <c r="AG196" s="24"/>
      <c r="AH196" s="24"/>
      <c r="AI196" s="24"/>
      <c r="AJ196" s="99" t="str">
        <f t="shared" si="30"/>
        <v/>
      </c>
      <c r="AK196" s="31" t="str">
        <f t="shared" si="35"/>
        <v/>
      </c>
      <c r="AN196" s="139" t="str">
        <f>IF($K196="","",VLOOKUP($K196,'ORF Accuracy Value LookUp'!$G$4:$H$104,2,TRUE))</f>
        <v/>
      </c>
      <c r="AO196" s="94" t="str">
        <f t="shared" si="31"/>
        <v/>
      </c>
      <c r="AP196" s="47" t="str">
        <f>IF($U196="","",VLOOKUP($U196,'ORF Accuracy Value LookUp'!$G$4:$H$104,2,TRUE))</f>
        <v/>
      </c>
      <c r="AQ196" s="94" t="str">
        <f t="shared" si="32"/>
        <v/>
      </c>
      <c r="AR196" s="46" t="str">
        <f>IF($AE196="","",VLOOKUP($AE196,'ORF Accuracy Value LookUp'!$G$4:$H$104,2,TRUE))</f>
        <v/>
      </c>
      <c r="AS196" s="140" t="str">
        <f t="shared" si="33"/>
        <v/>
      </c>
    </row>
    <row r="197" spans="1:45">
      <c r="A197" s="10"/>
      <c r="B197" s="9"/>
      <c r="C197" s="9"/>
      <c r="D197" s="9"/>
      <c r="E197" s="10"/>
      <c r="F197" s="11"/>
      <c r="G197" s="15"/>
      <c r="H197" s="88"/>
      <c r="I197" s="24"/>
      <c r="J197" s="24"/>
      <c r="K197" s="114" t="str">
        <f t="shared" si="24"/>
        <v/>
      </c>
      <c r="L197" s="24"/>
      <c r="M197" s="24"/>
      <c r="N197" s="24"/>
      <c r="O197" s="24"/>
      <c r="P197" s="97" t="str">
        <f t="shared" si="25"/>
        <v/>
      </c>
      <c r="Q197" s="113" t="str">
        <f t="shared" si="26"/>
        <v/>
      </c>
      <c r="R197" s="88"/>
      <c r="S197" s="24"/>
      <c r="T197" s="24"/>
      <c r="U197" s="78" t="str">
        <f t="shared" si="27"/>
        <v/>
      </c>
      <c r="V197" s="24"/>
      <c r="W197" s="24"/>
      <c r="X197" s="24"/>
      <c r="Y197" s="24"/>
      <c r="Z197" s="98" t="str">
        <f t="shared" si="28"/>
        <v/>
      </c>
      <c r="AA197" s="40" t="str">
        <f t="shared" si="34"/>
        <v/>
      </c>
      <c r="AB197" s="88"/>
      <c r="AC197" s="24"/>
      <c r="AD197" s="24"/>
      <c r="AE197" s="79" t="str">
        <f t="shared" si="29"/>
        <v/>
      </c>
      <c r="AF197" s="24"/>
      <c r="AG197" s="24"/>
      <c r="AH197" s="24"/>
      <c r="AI197" s="24"/>
      <c r="AJ197" s="99" t="str">
        <f t="shared" si="30"/>
        <v/>
      </c>
      <c r="AK197" s="31" t="str">
        <f t="shared" si="35"/>
        <v/>
      </c>
      <c r="AN197" s="139" t="str">
        <f>IF($K197="","",VLOOKUP($K197,'ORF Accuracy Value LookUp'!$G$4:$H$104,2,TRUE))</f>
        <v/>
      </c>
      <c r="AO197" s="94" t="str">
        <f t="shared" si="31"/>
        <v/>
      </c>
      <c r="AP197" s="47" t="str">
        <f>IF($U197="","",VLOOKUP($U197,'ORF Accuracy Value LookUp'!$G$4:$H$104,2,TRUE))</f>
        <v/>
      </c>
      <c r="AQ197" s="94" t="str">
        <f t="shared" si="32"/>
        <v/>
      </c>
      <c r="AR197" s="46" t="str">
        <f>IF($AE197="","",VLOOKUP($AE197,'ORF Accuracy Value LookUp'!$G$4:$H$104,2,TRUE))</f>
        <v/>
      </c>
      <c r="AS197" s="140" t="str">
        <f t="shared" si="33"/>
        <v/>
      </c>
    </row>
    <row r="198" spans="1:45">
      <c r="A198" s="10"/>
      <c r="B198" s="9"/>
      <c r="C198" s="9"/>
      <c r="D198" s="9"/>
      <c r="E198" s="10"/>
      <c r="F198" s="11"/>
      <c r="G198" s="15"/>
      <c r="H198" s="88"/>
      <c r="I198" s="24"/>
      <c r="J198" s="24"/>
      <c r="K198" s="114" t="str">
        <f t="shared" si="24"/>
        <v/>
      </c>
      <c r="L198" s="24"/>
      <c r="M198" s="24"/>
      <c r="N198" s="24"/>
      <c r="O198" s="24"/>
      <c r="P198" s="97" t="str">
        <f t="shared" si="25"/>
        <v/>
      </c>
      <c r="Q198" s="113" t="str">
        <f t="shared" si="26"/>
        <v/>
      </c>
      <c r="R198" s="88"/>
      <c r="S198" s="24"/>
      <c r="T198" s="24"/>
      <c r="U198" s="78" t="str">
        <f t="shared" si="27"/>
        <v/>
      </c>
      <c r="V198" s="24"/>
      <c r="W198" s="24"/>
      <c r="X198" s="24"/>
      <c r="Y198" s="24"/>
      <c r="Z198" s="98" t="str">
        <f t="shared" si="28"/>
        <v/>
      </c>
      <c r="AA198" s="40" t="str">
        <f t="shared" si="34"/>
        <v/>
      </c>
      <c r="AB198" s="88"/>
      <c r="AC198" s="24"/>
      <c r="AD198" s="24"/>
      <c r="AE198" s="79" t="str">
        <f t="shared" si="29"/>
        <v/>
      </c>
      <c r="AF198" s="24"/>
      <c r="AG198" s="24"/>
      <c r="AH198" s="24"/>
      <c r="AI198" s="24"/>
      <c r="AJ198" s="99" t="str">
        <f t="shared" si="30"/>
        <v/>
      </c>
      <c r="AK198" s="31" t="str">
        <f t="shared" si="35"/>
        <v/>
      </c>
      <c r="AN198" s="139" t="str">
        <f>IF($K198="","",VLOOKUP($K198,'ORF Accuracy Value LookUp'!$G$4:$H$104,2,TRUE))</f>
        <v/>
      </c>
      <c r="AO198" s="94" t="str">
        <f t="shared" si="31"/>
        <v/>
      </c>
      <c r="AP198" s="47" t="str">
        <f>IF($U198="","",VLOOKUP($U198,'ORF Accuracy Value LookUp'!$G$4:$H$104,2,TRUE))</f>
        <v/>
      </c>
      <c r="AQ198" s="94" t="str">
        <f t="shared" si="32"/>
        <v/>
      </c>
      <c r="AR198" s="46" t="str">
        <f>IF($AE198="","",VLOOKUP($AE198,'ORF Accuracy Value LookUp'!$G$4:$H$104,2,TRUE))</f>
        <v/>
      </c>
      <c r="AS198" s="140" t="str">
        <f t="shared" si="33"/>
        <v/>
      </c>
    </row>
    <row r="199" spans="1:45">
      <c r="A199" s="10"/>
      <c r="B199" s="9"/>
      <c r="C199" s="9"/>
      <c r="D199" s="9"/>
      <c r="E199" s="10"/>
      <c r="F199" s="11"/>
      <c r="G199" s="15"/>
      <c r="H199" s="88"/>
      <c r="I199" s="24"/>
      <c r="J199" s="24"/>
      <c r="K199" s="114" t="str">
        <f t="shared" si="24"/>
        <v/>
      </c>
      <c r="L199" s="24"/>
      <c r="M199" s="24"/>
      <c r="N199" s="24"/>
      <c r="O199" s="24"/>
      <c r="P199" s="97" t="str">
        <f t="shared" si="25"/>
        <v/>
      </c>
      <c r="Q199" s="113" t="str">
        <f t="shared" si="26"/>
        <v/>
      </c>
      <c r="R199" s="88"/>
      <c r="S199" s="24"/>
      <c r="T199" s="24"/>
      <c r="U199" s="78" t="str">
        <f t="shared" si="27"/>
        <v/>
      </c>
      <c r="V199" s="24"/>
      <c r="W199" s="24"/>
      <c r="X199" s="24"/>
      <c r="Y199" s="24"/>
      <c r="Z199" s="98" t="str">
        <f t="shared" si="28"/>
        <v/>
      </c>
      <c r="AA199" s="40" t="str">
        <f t="shared" si="34"/>
        <v/>
      </c>
      <c r="AB199" s="88"/>
      <c r="AC199" s="24"/>
      <c r="AD199" s="24"/>
      <c r="AE199" s="79" t="str">
        <f t="shared" si="29"/>
        <v/>
      </c>
      <c r="AF199" s="24"/>
      <c r="AG199" s="24"/>
      <c r="AH199" s="24"/>
      <c r="AI199" s="24"/>
      <c r="AJ199" s="99" t="str">
        <f t="shared" si="30"/>
        <v/>
      </c>
      <c r="AK199" s="31" t="str">
        <f t="shared" si="35"/>
        <v/>
      </c>
      <c r="AN199" s="139" t="str">
        <f>IF($K199="","",VLOOKUP($K199,'ORF Accuracy Value LookUp'!$G$4:$H$104,2,TRUE))</f>
        <v/>
      </c>
      <c r="AO199" s="94" t="str">
        <f t="shared" si="31"/>
        <v/>
      </c>
      <c r="AP199" s="47" t="str">
        <f>IF($U199="","",VLOOKUP($U199,'ORF Accuracy Value LookUp'!$G$4:$H$104,2,TRUE))</f>
        <v/>
      </c>
      <c r="AQ199" s="94" t="str">
        <f t="shared" si="32"/>
        <v/>
      </c>
      <c r="AR199" s="46" t="str">
        <f>IF($AE199="","",VLOOKUP($AE199,'ORF Accuracy Value LookUp'!$G$4:$H$104,2,TRUE))</f>
        <v/>
      </c>
      <c r="AS199" s="140" t="str">
        <f t="shared" si="33"/>
        <v/>
      </c>
    </row>
    <row r="200" spans="1:45">
      <c r="A200" s="10"/>
      <c r="B200" s="9"/>
      <c r="C200" s="9"/>
      <c r="D200" s="9"/>
      <c r="E200" s="10"/>
      <c r="F200" s="11"/>
      <c r="G200" s="15"/>
      <c r="H200" s="88"/>
      <c r="I200" s="24"/>
      <c r="J200" s="24"/>
      <c r="K200" s="114" t="str">
        <f t="shared" ref="K200:K263" si="36">IF($I200="","",SUM($I200/($I200+$J200)))</f>
        <v/>
      </c>
      <c r="L200" s="24"/>
      <c r="M200" s="24"/>
      <c r="N200" s="24"/>
      <c r="O200" s="24"/>
      <c r="P200" s="97" t="str">
        <f t="shared" ref="P200:P263" si="37">IF($AO200&gt;0,$AO200,0)</f>
        <v/>
      </c>
      <c r="Q200" s="113" t="str">
        <f t="shared" ref="Q200:Q263" si="38">IF($B200="","",SUM($I200+$AN200+($L200*2)+($P200*2)))</f>
        <v/>
      </c>
      <c r="R200" s="88"/>
      <c r="S200" s="24"/>
      <c r="T200" s="24"/>
      <c r="U200" s="78" t="str">
        <f t="shared" ref="U200:U263" si="39">IF($S200="","",SUM($S200/($S200+$T200)))</f>
        <v/>
      </c>
      <c r="V200" s="24"/>
      <c r="W200" s="24"/>
      <c r="X200" s="24"/>
      <c r="Y200" s="24"/>
      <c r="Z200" s="98" t="str">
        <f t="shared" ref="Z200:Z263" si="40">IF($AQ200&gt;0,$AQ200,0)</f>
        <v/>
      </c>
      <c r="AA200" s="40" t="str">
        <f t="shared" si="34"/>
        <v/>
      </c>
      <c r="AB200" s="88"/>
      <c r="AC200" s="24"/>
      <c r="AD200" s="24"/>
      <c r="AE200" s="79" t="str">
        <f t="shared" ref="AE200:AE263" si="41">IF($AC200="","",SUM($AC200/($AC200+$AD200)))</f>
        <v/>
      </c>
      <c r="AF200" s="24"/>
      <c r="AG200" s="24"/>
      <c r="AH200" s="24"/>
      <c r="AI200" s="24"/>
      <c r="AJ200" s="99" t="str">
        <f t="shared" ref="AJ200:AJ263" si="42">IF($AS200&gt;0,$AS200,0)</f>
        <v/>
      </c>
      <c r="AK200" s="31" t="str">
        <f t="shared" si="35"/>
        <v/>
      </c>
      <c r="AN200" s="139" t="str">
        <f>IF($K200="","",VLOOKUP($K200,'ORF Accuracy Value LookUp'!$G$4:$H$104,2,TRUE))</f>
        <v/>
      </c>
      <c r="AO200" s="94" t="str">
        <f t="shared" ref="AO200:AO263" si="43">IF($N200="","",($N200-($O200/2)))</f>
        <v/>
      </c>
      <c r="AP200" s="47" t="str">
        <f>IF($U200="","",VLOOKUP($U200,'ORF Accuracy Value LookUp'!$G$4:$H$104,2,TRUE))</f>
        <v/>
      </c>
      <c r="AQ200" s="94" t="str">
        <f t="shared" ref="AQ200:AQ263" si="44">IF($X200="","",$X200-($Y200/2))</f>
        <v/>
      </c>
      <c r="AR200" s="46" t="str">
        <f>IF($AE200="","",VLOOKUP($AE200,'ORF Accuracy Value LookUp'!$G$4:$H$104,2,TRUE))</f>
        <v/>
      </c>
      <c r="AS200" s="140" t="str">
        <f t="shared" ref="AS200:AS263" si="45">IF($AH200="","",$AH200-($AI200/2))</f>
        <v/>
      </c>
    </row>
    <row r="201" spans="1:45">
      <c r="A201" s="10"/>
      <c r="B201" s="9"/>
      <c r="C201" s="9"/>
      <c r="D201" s="9"/>
      <c r="E201" s="10"/>
      <c r="F201" s="11"/>
      <c r="G201" s="15"/>
      <c r="H201" s="88"/>
      <c r="I201" s="24"/>
      <c r="J201" s="24"/>
      <c r="K201" s="114" t="str">
        <f t="shared" si="36"/>
        <v/>
      </c>
      <c r="L201" s="24"/>
      <c r="M201" s="24"/>
      <c r="N201" s="24"/>
      <c r="O201" s="24"/>
      <c r="P201" s="97" t="str">
        <f t="shared" si="37"/>
        <v/>
      </c>
      <c r="Q201" s="113" t="str">
        <f t="shared" si="38"/>
        <v/>
      </c>
      <c r="R201" s="88"/>
      <c r="S201" s="24"/>
      <c r="T201" s="24"/>
      <c r="U201" s="78" t="str">
        <f t="shared" si="39"/>
        <v/>
      </c>
      <c r="V201" s="24"/>
      <c r="W201" s="24"/>
      <c r="X201" s="24"/>
      <c r="Y201" s="24"/>
      <c r="Z201" s="98" t="str">
        <f t="shared" si="40"/>
        <v/>
      </c>
      <c r="AA201" s="40" t="str">
        <f t="shared" ref="AA201:AA264" si="46">IF($R201="","",SUM($S201+$AP201+($V201*2)+($Z201*4)))</f>
        <v/>
      </c>
      <c r="AB201" s="88"/>
      <c r="AC201" s="24"/>
      <c r="AD201" s="24"/>
      <c r="AE201" s="79" t="str">
        <f t="shared" si="41"/>
        <v/>
      </c>
      <c r="AF201" s="24"/>
      <c r="AG201" s="24"/>
      <c r="AH201" s="24"/>
      <c r="AI201" s="24"/>
      <c r="AJ201" s="99" t="str">
        <f t="shared" si="42"/>
        <v/>
      </c>
      <c r="AK201" s="31" t="str">
        <f t="shared" ref="AK201:AK264" si="47">IF($AB201="","",SUM($AC201+$AR201+($AF201*2)+($AJ201*4)))</f>
        <v/>
      </c>
      <c r="AN201" s="139" t="str">
        <f>IF($K201="","",VLOOKUP($K201,'ORF Accuracy Value LookUp'!$G$4:$H$104,2,TRUE))</f>
        <v/>
      </c>
      <c r="AO201" s="94" t="str">
        <f t="shared" si="43"/>
        <v/>
      </c>
      <c r="AP201" s="47" t="str">
        <f>IF($U201="","",VLOOKUP($U201,'ORF Accuracy Value LookUp'!$G$4:$H$104,2,TRUE))</f>
        <v/>
      </c>
      <c r="AQ201" s="94" t="str">
        <f t="shared" si="44"/>
        <v/>
      </c>
      <c r="AR201" s="46" t="str">
        <f>IF($AE201="","",VLOOKUP($AE201,'ORF Accuracy Value LookUp'!$G$4:$H$104,2,TRUE))</f>
        <v/>
      </c>
      <c r="AS201" s="140" t="str">
        <f t="shared" si="45"/>
        <v/>
      </c>
    </row>
    <row r="202" spans="1:45">
      <c r="A202" s="10"/>
      <c r="B202" s="9"/>
      <c r="C202" s="9"/>
      <c r="D202" s="9"/>
      <c r="E202" s="10"/>
      <c r="F202" s="11"/>
      <c r="G202" s="15"/>
      <c r="H202" s="88"/>
      <c r="I202" s="24"/>
      <c r="J202" s="24"/>
      <c r="K202" s="114" t="str">
        <f t="shared" si="36"/>
        <v/>
      </c>
      <c r="L202" s="24"/>
      <c r="M202" s="24"/>
      <c r="N202" s="24"/>
      <c r="O202" s="24"/>
      <c r="P202" s="97" t="str">
        <f t="shared" si="37"/>
        <v/>
      </c>
      <c r="Q202" s="113" t="str">
        <f t="shared" si="38"/>
        <v/>
      </c>
      <c r="R202" s="88"/>
      <c r="S202" s="24"/>
      <c r="T202" s="24"/>
      <c r="U202" s="78" t="str">
        <f t="shared" si="39"/>
        <v/>
      </c>
      <c r="V202" s="24"/>
      <c r="W202" s="24"/>
      <c r="X202" s="24"/>
      <c r="Y202" s="24"/>
      <c r="Z202" s="98" t="str">
        <f t="shared" si="40"/>
        <v/>
      </c>
      <c r="AA202" s="40" t="str">
        <f t="shared" si="46"/>
        <v/>
      </c>
      <c r="AB202" s="88"/>
      <c r="AC202" s="24"/>
      <c r="AD202" s="24"/>
      <c r="AE202" s="79" t="str">
        <f t="shared" si="41"/>
        <v/>
      </c>
      <c r="AF202" s="24"/>
      <c r="AG202" s="24"/>
      <c r="AH202" s="24"/>
      <c r="AI202" s="24"/>
      <c r="AJ202" s="99" t="str">
        <f t="shared" si="42"/>
        <v/>
      </c>
      <c r="AK202" s="31" t="str">
        <f t="shared" si="47"/>
        <v/>
      </c>
      <c r="AN202" s="139" t="str">
        <f>IF($K202="","",VLOOKUP($K202,'ORF Accuracy Value LookUp'!$G$4:$H$104,2,TRUE))</f>
        <v/>
      </c>
      <c r="AO202" s="94" t="str">
        <f t="shared" si="43"/>
        <v/>
      </c>
      <c r="AP202" s="47" t="str">
        <f>IF($U202="","",VLOOKUP($U202,'ORF Accuracy Value LookUp'!$G$4:$H$104,2,TRUE))</f>
        <v/>
      </c>
      <c r="AQ202" s="94" t="str">
        <f t="shared" si="44"/>
        <v/>
      </c>
      <c r="AR202" s="46" t="str">
        <f>IF($AE202="","",VLOOKUP($AE202,'ORF Accuracy Value LookUp'!$G$4:$H$104,2,TRUE))</f>
        <v/>
      </c>
      <c r="AS202" s="140" t="str">
        <f t="shared" si="45"/>
        <v/>
      </c>
    </row>
    <row r="203" spans="1:45">
      <c r="A203" s="10"/>
      <c r="B203" s="9"/>
      <c r="C203" s="9"/>
      <c r="D203" s="9"/>
      <c r="E203" s="10"/>
      <c r="F203" s="11"/>
      <c r="G203" s="15"/>
      <c r="H203" s="88"/>
      <c r="I203" s="24"/>
      <c r="J203" s="24"/>
      <c r="K203" s="114" t="str">
        <f t="shared" si="36"/>
        <v/>
      </c>
      <c r="L203" s="24"/>
      <c r="M203" s="24"/>
      <c r="N203" s="24"/>
      <c r="O203" s="24"/>
      <c r="P203" s="97" t="str">
        <f t="shared" si="37"/>
        <v/>
      </c>
      <c r="Q203" s="113" t="str">
        <f t="shared" si="38"/>
        <v/>
      </c>
      <c r="R203" s="88"/>
      <c r="S203" s="24"/>
      <c r="T203" s="24"/>
      <c r="U203" s="78" t="str">
        <f t="shared" si="39"/>
        <v/>
      </c>
      <c r="V203" s="24"/>
      <c r="W203" s="24"/>
      <c r="X203" s="24"/>
      <c r="Y203" s="24"/>
      <c r="Z203" s="98" t="str">
        <f t="shared" si="40"/>
        <v/>
      </c>
      <c r="AA203" s="40" t="str">
        <f t="shared" si="46"/>
        <v/>
      </c>
      <c r="AB203" s="88"/>
      <c r="AC203" s="24"/>
      <c r="AD203" s="24"/>
      <c r="AE203" s="79" t="str">
        <f t="shared" si="41"/>
        <v/>
      </c>
      <c r="AF203" s="24"/>
      <c r="AG203" s="24"/>
      <c r="AH203" s="24"/>
      <c r="AI203" s="24"/>
      <c r="AJ203" s="99" t="str">
        <f t="shared" si="42"/>
        <v/>
      </c>
      <c r="AK203" s="31" t="str">
        <f t="shared" si="47"/>
        <v/>
      </c>
      <c r="AN203" s="139" t="str">
        <f>IF($K203="","",VLOOKUP($K203,'ORF Accuracy Value LookUp'!$G$4:$H$104,2,TRUE))</f>
        <v/>
      </c>
      <c r="AO203" s="94" t="str">
        <f t="shared" si="43"/>
        <v/>
      </c>
      <c r="AP203" s="47" t="str">
        <f>IF($U203="","",VLOOKUP($U203,'ORF Accuracy Value LookUp'!$G$4:$H$104,2,TRUE))</f>
        <v/>
      </c>
      <c r="AQ203" s="94" t="str">
        <f t="shared" si="44"/>
        <v/>
      </c>
      <c r="AR203" s="46" t="str">
        <f>IF($AE203="","",VLOOKUP($AE203,'ORF Accuracy Value LookUp'!$G$4:$H$104,2,TRUE))</f>
        <v/>
      </c>
      <c r="AS203" s="140" t="str">
        <f t="shared" si="45"/>
        <v/>
      </c>
    </row>
    <row r="204" spans="1:45">
      <c r="A204" s="10"/>
      <c r="B204" s="9"/>
      <c r="C204" s="9"/>
      <c r="D204" s="9"/>
      <c r="E204" s="10"/>
      <c r="F204" s="11"/>
      <c r="G204" s="15"/>
      <c r="H204" s="88"/>
      <c r="I204" s="24"/>
      <c r="J204" s="24"/>
      <c r="K204" s="114" t="str">
        <f t="shared" si="36"/>
        <v/>
      </c>
      <c r="L204" s="24"/>
      <c r="M204" s="24"/>
      <c r="N204" s="24"/>
      <c r="O204" s="24"/>
      <c r="P204" s="97" t="str">
        <f t="shared" si="37"/>
        <v/>
      </c>
      <c r="Q204" s="113" t="str">
        <f t="shared" si="38"/>
        <v/>
      </c>
      <c r="R204" s="88"/>
      <c r="S204" s="24"/>
      <c r="T204" s="24"/>
      <c r="U204" s="78" t="str">
        <f t="shared" si="39"/>
        <v/>
      </c>
      <c r="V204" s="24"/>
      <c r="W204" s="24"/>
      <c r="X204" s="24"/>
      <c r="Y204" s="24"/>
      <c r="Z204" s="98" t="str">
        <f t="shared" si="40"/>
        <v/>
      </c>
      <c r="AA204" s="40" t="str">
        <f t="shared" si="46"/>
        <v/>
      </c>
      <c r="AB204" s="88"/>
      <c r="AC204" s="24"/>
      <c r="AD204" s="24"/>
      <c r="AE204" s="79" t="str">
        <f t="shared" si="41"/>
        <v/>
      </c>
      <c r="AF204" s="24"/>
      <c r="AG204" s="24"/>
      <c r="AH204" s="24"/>
      <c r="AI204" s="24"/>
      <c r="AJ204" s="99" t="str">
        <f t="shared" si="42"/>
        <v/>
      </c>
      <c r="AK204" s="31" t="str">
        <f t="shared" si="47"/>
        <v/>
      </c>
      <c r="AN204" s="139" t="str">
        <f>IF($K204="","",VLOOKUP($K204,'ORF Accuracy Value LookUp'!$G$4:$H$104,2,TRUE))</f>
        <v/>
      </c>
      <c r="AO204" s="94" t="str">
        <f t="shared" si="43"/>
        <v/>
      </c>
      <c r="AP204" s="47" t="str">
        <f>IF($U204="","",VLOOKUP($U204,'ORF Accuracy Value LookUp'!$G$4:$H$104,2,TRUE))</f>
        <v/>
      </c>
      <c r="AQ204" s="94" t="str">
        <f t="shared" si="44"/>
        <v/>
      </c>
      <c r="AR204" s="46" t="str">
        <f>IF($AE204="","",VLOOKUP($AE204,'ORF Accuracy Value LookUp'!$G$4:$H$104,2,TRUE))</f>
        <v/>
      </c>
      <c r="AS204" s="140" t="str">
        <f t="shared" si="45"/>
        <v/>
      </c>
    </row>
    <row r="205" spans="1:45">
      <c r="A205" s="10"/>
      <c r="B205" s="9"/>
      <c r="C205" s="9"/>
      <c r="D205" s="9"/>
      <c r="E205" s="10"/>
      <c r="F205" s="11"/>
      <c r="G205" s="15"/>
      <c r="H205" s="88"/>
      <c r="I205" s="24"/>
      <c r="J205" s="24"/>
      <c r="K205" s="114" t="str">
        <f t="shared" si="36"/>
        <v/>
      </c>
      <c r="L205" s="24"/>
      <c r="M205" s="24"/>
      <c r="N205" s="24"/>
      <c r="O205" s="24"/>
      <c r="P205" s="97" t="str">
        <f t="shared" si="37"/>
        <v/>
      </c>
      <c r="Q205" s="113" t="str">
        <f t="shared" si="38"/>
        <v/>
      </c>
      <c r="R205" s="88"/>
      <c r="S205" s="24"/>
      <c r="T205" s="24"/>
      <c r="U205" s="78" t="str">
        <f t="shared" si="39"/>
        <v/>
      </c>
      <c r="V205" s="24"/>
      <c r="W205" s="24"/>
      <c r="X205" s="24"/>
      <c r="Y205" s="24"/>
      <c r="Z205" s="98" t="str">
        <f t="shared" si="40"/>
        <v/>
      </c>
      <c r="AA205" s="40" t="str">
        <f t="shared" si="46"/>
        <v/>
      </c>
      <c r="AB205" s="88"/>
      <c r="AC205" s="24"/>
      <c r="AD205" s="24"/>
      <c r="AE205" s="79" t="str">
        <f t="shared" si="41"/>
        <v/>
      </c>
      <c r="AF205" s="24"/>
      <c r="AG205" s="24"/>
      <c r="AH205" s="24"/>
      <c r="AI205" s="24"/>
      <c r="AJ205" s="99" t="str">
        <f t="shared" si="42"/>
        <v/>
      </c>
      <c r="AK205" s="31" t="str">
        <f t="shared" si="47"/>
        <v/>
      </c>
      <c r="AN205" s="139" t="str">
        <f>IF($K205="","",VLOOKUP($K205,'ORF Accuracy Value LookUp'!$G$4:$H$104,2,TRUE))</f>
        <v/>
      </c>
      <c r="AO205" s="94" t="str">
        <f t="shared" si="43"/>
        <v/>
      </c>
      <c r="AP205" s="47" t="str">
        <f>IF($U205="","",VLOOKUP($U205,'ORF Accuracy Value LookUp'!$G$4:$H$104,2,TRUE))</f>
        <v/>
      </c>
      <c r="AQ205" s="94" t="str">
        <f t="shared" si="44"/>
        <v/>
      </c>
      <c r="AR205" s="46" t="str">
        <f>IF($AE205="","",VLOOKUP($AE205,'ORF Accuracy Value LookUp'!$G$4:$H$104,2,TRUE))</f>
        <v/>
      </c>
      <c r="AS205" s="140" t="str">
        <f t="shared" si="45"/>
        <v/>
      </c>
    </row>
    <row r="206" spans="1:45">
      <c r="A206" s="10"/>
      <c r="B206" s="9"/>
      <c r="C206" s="9"/>
      <c r="D206" s="9"/>
      <c r="E206" s="10"/>
      <c r="F206" s="11"/>
      <c r="G206" s="15"/>
      <c r="H206" s="88"/>
      <c r="I206" s="24"/>
      <c r="J206" s="24"/>
      <c r="K206" s="114" t="str">
        <f t="shared" si="36"/>
        <v/>
      </c>
      <c r="L206" s="24"/>
      <c r="M206" s="24"/>
      <c r="N206" s="24"/>
      <c r="O206" s="24"/>
      <c r="P206" s="97" t="str">
        <f t="shared" si="37"/>
        <v/>
      </c>
      <c r="Q206" s="113" t="str">
        <f t="shared" si="38"/>
        <v/>
      </c>
      <c r="R206" s="88"/>
      <c r="S206" s="24"/>
      <c r="T206" s="24"/>
      <c r="U206" s="78" t="str">
        <f t="shared" si="39"/>
        <v/>
      </c>
      <c r="V206" s="24"/>
      <c r="W206" s="24"/>
      <c r="X206" s="24"/>
      <c r="Y206" s="24"/>
      <c r="Z206" s="98" t="str">
        <f t="shared" si="40"/>
        <v/>
      </c>
      <c r="AA206" s="40" t="str">
        <f t="shared" si="46"/>
        <v/>
      </c>
      <c r="AB206" s="88"/>
      <c r="AC206" s="24"/>
      <c r="AD206" s="24"/>
      <c r="AE206" s="79" t="str">
        <f t="shared" si="41"/>
        <v/>
      </c>
      <c r="AF206" s="24"/>
      <c r="AG206" s="24"/>
      <c r="AH206" s="24"/>
      <c r="AI206" s="24"/>
      <c r="AJ206" s="99" t="str">
        <f t="shared" si="42"/>
        <v/>
      </c>
      <c r="AK206" s="31" t="str">
        <f t="shared" si="47"/>
        <v/>
      </c>
      <c r="AN206" s="139" t="str">
        <f>IF($K206="","",VLOOKUP($K206,'ORF Accuracy Value LookUp'!$G$4:$H$104,2,TRUE))</f>
        <v/>
      </c>
      <c r="AO206" s="94" t="str">
        <f t="shared" si="43"/>
        <v/>
      </c>
      <c r="AP206" s="47" t="str">
        <f>IF($U206="","",VLOOKUP($U206,'ORF Accuracy Value LookUp'!$G$4:$H$104,2,TRUE))</f>
        <v/>
      </c>
      <c r="AQ206" s="94" t="str">
        <f t="shared" si="44"/>
        <v/>
      </c>
      <c r="AR206" s="46" t="str">
        <f>IF($AE206="","",VLOOKUP($AE206,'ORF Accuracy Value LookUp'!$G$4:$H$104,2,TRUE))</f>
        <v/>
      </c>
      <c r="AS206" s="140" t="str">
        <f t="shared" si="45"/>
        <v/>
      </c>
    </row>
    <row r="207" spans="1:45">
      <c r="A207" s="10"/>
      <c r="B207" s="9"/>
      <c r="C207" s="9"/>
      <c r="D207" s="9"/>
      <c r="E207" s="10"/>
      <c r="F207" s="11"/>
      <c r="G207" s="15"/>
      <c r="H207" s="88"/>
      <c r="I207" s="24"/>
      <c r="J207" s="24"/>
      <c r="K207" s="114" t="str">
        <f t="shared" si="36"/>
        <v/>
      </c>
      <c r="L207" s="24"/>
      <c r="M207" s="24"/>
      <c r="N207" s="24"/>
      <c r="O207" s="24"/>
      <c r="P207" s="97" t="str">
        <f t="shared" si="37"/>
        <v/>
      </c>
      <c r="Q207" s="113" t="str">
        <f t="shared" si="38"/>
        <v/>
      </c>
      <c r="R207" s="88"/>
      <c r="S207" s="24"/>
      <c r="T207" s="24"/>
      <c r="U207" s="78" t="str">
        <f t="shared" si="39"/>
        <v/>
      </c>
      <c r="V207" s="24"/>
      <c r="W207" s="24"/>
      <c r="X207" s="24"/>
      <c r="Y207" s="24"/>
      <c r="Z207" s="98" t="str">
        <f t="shared" si="40"/>
        <v/>
      </c>
      <c r="AA207" s="40" t="str">
        <f t="shared" si="46"/>
        <v/>
      </c>
      <c r="AB207" s="88"/>
      <c r="AC207" s="24"/>
      <c r="AD207" s="24"/>
      <c r="AE207" s="79" t="str">
        <f t="shared" si="41"/>
        <v/>
      </c>
      <c r="AF207" s="24"/>
      <c r="AG207" s="24"/>
      <c r="AH207" s="24"/>
      <c r="AI207" s="24"/>
      <c r="AJ207" s="99" t="str">
        <f t="shared" si="42"/>
        <v/>
      </c>
      <c r="AK207" s="31" t="str">
        <f t="shared" si="47"/>
        <v/>
      </c>
      <c r="AN207" s="139" t="str">
        <f>IF($K207="","",VLOOKUP($K207,'ORF Accuracy Value LookUp'!$G$4:$H$104,2,TRUE))</f>
        <v/>
      </c>
      <c r="AO207" s="94" t="str">
        <f t="shared" si="43"/>
        <v/>
      </c>
      <c r="AP207" s="47" t="str">
        <f>IF($U207="","",VLOOKUP($U207,'ORF Accuracy Value LookUp'!$G$4:$H$104,2,TRUE))</f>
        <v/>
      </c>
      <c r="AQ207" s="94" t="str">
        <f t="shared" si="44"/>
        <v/>
      </c>
      <c r="AR207" s="46" t="str">
        <f>IF($AE207="","",VLOOKUP($AE207,'ORF Accuracy Value LookUp'!$G$4:$H$104,2,TRUE))</f>
        <v/>
      </c>
      <c r="AS207" s="140" t="str">
        <f t="shared" si="45"/>
        <v/>
      </c>
    </row>
    <row r="208" spans="1:45">
      <c r="A208" s="10"/>
      <c r="B208" s="9"/>
      <c r="C208" s="9"/>
      <c r="D208" s="9"/>
      <c r="E208" s="10"/>
      <c r="F208" s="11"/>
      <c r="G208" s="15"/>
      <c r="H208" s="88"/>
      <c r="I208" s="24"/>
      <c r="J208" s="24"/>
      <c r="K208" s="114" t="str">
        <f t="shared" si="36"/>
        <v/>
      </c>
      <c r="L208" s="24"/>
      <c r="M208" s="24"/>
      <c r="N208" s="24"/>
      <c r="O208" s="24"/>
      <c r="P208" s="97" t="str">
        <f t="shared" si="37"/>
        <v/>
      </c>
      <c r="Q208" s="113" t="str">
        <f t="shared" si="38"/>
        <v/>
      </c>
      <c r="R208" s="88"/>
      <c r="S208" s="24"/>
      <c r="T208" s="24"/>
      <c r="U208" s="78" t="str">
        <f t="shared" si="39"/>
        <v/>
      </c>
      <c r="V208" s="24"/>
      <c r="W208" s="24"/>
      <c r="X208" s="24"/>
      <c r="Y208" s="24"/>
      <c r="Z208" s="98" t="str">
        <f t="shared" si="40"/>
        <v/>
      </c>
      <c r="AA208" s="40" t="str">
        <f t="shared" si="46"/>
        <v/>
      </c>
      <c r="AB208" s="88"/>
      <c r="AC208" s="24"/>
      <c r="AD208" s="24"/>
      <c r="AE208" s="79" t="str">
        <f t="shared" si="41"/>
        <v/>
      </c>
      <c r="AF208" s="24"/>
      <c r="AG208" s="24"/>
      <c r="AH208" s="24"/>
      <c r="AI208" s="24"/>
      <c r="AJ208" s="99" t="str">
        <f t="shared" si="42"/>
        <v/>
      </c>
      <c r="AK208" s="31" t="str">
        <f t="shared" si="47"/>
        <v/>
      </c>
      <c r="AN208" s="139" t="str">
        <f>IF($K208="","",VLOOKUP($K208,'ORF Accuracy Value LookUp'!$G$4:$H$104,2,TRUE))</f>
        <v/>
      </c>
      <c r="AO208" s="94" t="str">
        <f t="shared" si="43"/>
        <v/>
      </c>
      <c r="AP208" s="47" t="str">
        <f>IF($U208="","",VLOOKUP($U208,'ORF Accuracy Value LookUp'!$G$4:$H$104,2,TRUE))</f>
        <v/>
      </c>
      <c r="AQ208" s="94" t="str">
        <f t="shared" si="44"/>
        <v/>
      </c>
      <c r="AR208" s="46" t="str">
        <f>IF($AE208="","",VLOOKUP($AE208,'ORF Accuracy Value LookUp'!$G$4:$H$104,2,TRUE))</f>
        <v/>
      </c>
      <c r="AS208" s="140" t="str">
        <f t="shared" si="45"/>
        <v/>
      </c>
    </row>
    <row r="209" spans="1:45">
      <c r="A209" s="10"/>
      <c r="B209" s="9"/>
      <c r="C209" s="9"/>
      <c r="D209" s="9"/>
      <c r="E209" s="10"/>
      <c r="F209" s="11"/>
      <c r="G209" s="15"/>
      <c r="H209" s="88"/>
      <c r="I209" s="24"/>
      <c r="J209" s="24"/>
      <c r="K209" s="114" t="str">
        <f t="shared" si="36"/>
        <v/>
      </c>
      <c r="L209" s="24"/>
      <c r="M209" s="24"/>
      <c r="N209" s="24"/>
      <c r="O209" s="24"/>
      <c r="P209" s="97" t="str">
        <f t="shared" si="37"/>
        <v/>
      </c>
      <c r="Q209" s="113" t="str">
        <f t="shared" si="38"/>
        <v/>
      </c>
      <c r="R209" s="88"/>
      <c r="S209" s="24"/>
      <c r="T209" s="24"/>
      <c r="U209" s="78" t="str">
        <f t="shared" si="39"/>
        <v/>
      </c>
      <c r="V209" s="24"/>
      <c r="W209" s="24"/>
      <c r="X209" s="24"/>
      <c r="Y209" s="24"/>
      <c r="Z209" s="98" t="str">
        <f t="shared" si="40"/>
        <v/>
      </c>
      <c r="AA209" s="40" t="str">
        <f t="shared" si="46"/>
        <v/>
      </c>
      <c r="AB209" s="88"/>
      <c r="AC209" s="24"/>
      <c r="AD209" s="24"/>
      <c r="AE209" s="79" t="str">
        <f t="shared" si="41"/>
        <v/>
      </c>
      <c r="AF209" s="24"/>
      <c r="AG209" s="24"/>
      <c r="AH209" s="24"/>
      <c r="AI209" s="24"/>
      <c r="AJ209" s="99" t="str">
        <f t="shared" si="42"/>
        <v/>
      </c>
      <c r="AK209" s="31" t="str">
        <f t="shared" si="47"/>
        <v/>
      </c>
      <c r="AN209" s="139" t="str">
        <f>IF($K209="","",VLOOKUP($K209,'ORF Accuracy Value LookUp'!$G$4:$H$104,2,TRUE))</f>
        <v/>
      </c>
      <c r="AO209" s="94" t="str">
        <f t="shared" si="43"/>
        <v/>
      </c>
      <c r="AP209" s="47" t="str">
        <f>IF($U209="","",VLOOKUP($U209,'ORF Accuracy Value LookUp'!$G$4:$H$104,2,TRUE))</f>
        <v/>
      </c>
      <c r="AQ209" s="94" t="str">
        <f t="shared" si="44"/>
        <v/>
      </c>
      <c r="AR209" s="46" t="str">
        <f>IF($AE209="","",VLOOKUP($AE209,'ORF Accuracy Value LookUp'!$G$4:$H$104,2,TRUE))</f>
        <v/>
      </c>
      <c r="AS209" s="140" t="str">
        <f t="shared" si="45"/>
        <v/>
      </c>
    </row>
    <row r="210" spans="1:45">
      <c r="A210" s="10"/>
      <c r="B210" s="9"/>
      <c r="C210" s="9"/>
      <c r="D210" s="9"/>
      <c r="E210" s="10"/>
      <c r="F210" s="11"/>
      <c r="G210" s="15"/>
      <c r="H210" s="88"/>
      <c r="I210" s="24"/>
      <c r="J210" s="24"/>
      <c r="K210" s="114" t="str">
        <f t="shared" si="36"/>
        <v/>
      </c>
      <c r="L210" s="24"/>
      <c r="M210" s="24"/>
      <c r="N210" s="24"/>
      <c r="O210" s="24"/>
      <c r="P210" s="97" t="str">
        <f t="shared" si="37"/>
        <v/>
      </c>
      <c r="Q210" s="113" t="str">
        <f t="shared" si="38"/>
        <v/>
      </c>
      <c r="R210" s="88"/>
      <c r="S210" s="24"/>
      <c r="T210" s="24"/>
      <c r="U210" s="78" t="str">
        <f t="shared" si="39"/>
        <v/>
      </c>
      <c r="V210" s="24"/>
      <c r="W210" s="24"/>
      <c r="X210" s="24"/>
      <c r="Y210" s="24"/>
      <c r="Z210" s="98" t="str">
        <f t="shared" si="40"/>
        <v/>
      </c>
      <c r="AA210" s="40" t="str">
        <f t="shared" si="46"/>
        <v/>
      </c>
      <c r="AB210" s="88"/>
      <c r="AC210" s="24"/>
      <c r="AD210" s="24"/>
      <c r="AE210" s="79" t="str">
        <f t="shared" si="41"/>
        <v/>
      </c>
      <c r="AF210" s="24"/>
      <c r="AG210" s="24"/>
      <c r="AH210" s="24"/>
      <c r="AI210" s="24"/>
      <c r="AJ210" s="99" t="str">
        <f t="shared" si="42"/>
        <v/>
      </c>
      <c r="AK210" s="31" t="str">
        <f t="shared" si="47"/>
        <v/>
      </c>
      <c r="AN210" s="139" t="str">
        <f>IF($K210="","",VLOOKUP($K210,'ORF Accuracy Value LookUp'!$G$4:$H$104,2,TRUE))</f>
        <v/>
      </c>
      <c r="AO210" s="94" t="str">
        <f t="shared" si="43"/>
        <v/>
      </c>
      <c r="AP210" s="47" t="str">
        <f>IF($U210="","",VLOOKUP($U210,'ORF Accuracy Value LookUp'!$G$4:$H$104,2,TRUE))</f>
        <v/>
      </c>
      <c r="AQ210" s="94" t="str">
        <f t="shared" si="44"/>
        <v/>
      </c>
      <c r="AR210" s="46" t="str">
        <f>IF($AE210="","",VLOOKUP($AE210,'ORF Accuracy Value LookUp'!$G$4:$H$104,2,TRUE))</f>
        <v/>
      </c>
      <c r="AS210" s="140" t="str">
        <f t="shared" si="45"/>
        <v/>
      </c>
    </row>
    <row r="211" spans="1:45">
      <c r="A211" s="10"/>
      <c r="B211" s="9"/>
      <c r="C211" s="9"/>
      <c r="D211" s="9"/>
      <c r="E211" s="10"/>
      <c r="F211" s="11"/>
      <c r="G211" s="15"/>
      <c r="H211" s="88"/>
      <c r="I211" s="24"/>
      <c r="J211" s="24"/>
      <c r="K211" s="114" t="str">
        <f t="shared" si="36"/>
        <v/>
      </c>
      <c r="L211" s="24"/>
      <c r="M211" s="24"/>
      <c r="N211" s="24"/>
      <c r="O211" s="24"/>
      <c r="P211" s="97" t="str">
        <f t="shared" si="37"/>
        <v/>
      </c>
      <c r="Q211" s="113" t="str">
        <f t="shared" si="38"/>
        <v/>
      </c>
      <c r="R211" s="88"/>
      <c r="S211" s="24"/>
      <c r="T211" s="24"/>
      <c r="U211" s="78" t="str">
        <f t="shared" si="39"/>
        <v/>
      </c>
      <c r="V211" s="24"/>
      <c r="W211" s="24"/>
      <c r="X211" s="24"/>
      <c r="Y211" s="24"/>
      <c r="Z211" s="98" t="str">
        <f t="shared" si="40"/>
        <v/>
      </c>
      <c r="AA211" s="40" t="str">
        <f t="shared" si="46"/>
        <v/>
      </c>
      <c r="AB211" s="88"/>
      <c r="AC211" s="24"/>
      <c r="AD211" s="24"/>
      <c r="AE211" s="79" t="str">
        <f t="shared" si="41"/>
        <v/>
      </c>
      <c r="AF211" s="24"/>
      <c r="AG211" s="24"/>
      <c r="AH211" s="24"/>
      <c r="AI211" s="24"/>
      <c r="AJ211" s="99" t="str">
        <f t="shared" si="42"/>
        <v/>
      </c>
      <c r="AK211" s="31" t="str">
        <f t="shared" si="47"/>
        <v/>
      </c>
      <c r="AN211" s="139" t="str">
        <f>IF($K211="","",VLOOKUP($K211,'ORF Accuracy Value LookUp'!$G$4:$H$104,2,TRUE))</f>
        <v/>
      </c>
      <c r="AO211" s="94" t="str">
        <f t="shared" si="43"/>
        <v/>
      </c>
      <c r="AP211" s="47" t="str">
        <f>IF($U211="","",VLOOKUP($U211,'ORF Accuracy Value LookUp'!$G$4:$H$104,2,TRUE))</f>
        <v/>
      </c>
      <c r="AQ211" s="94" t="str">
        <f t="shared" si="44"/>
        <v/>
      </c>
      <c r="AR211" s="46" t="str">
        <f>IF($AE211="","",VLOOKUP($AE211,'ORF Accuracy Value LookUp'!$G$4:$H$104,2,TRUE))</f>
        <v/>
      </c>
      <c r="AS211" s="140" t="str">
        <f t="shared" si="45"/>
        <v/>
      </c>
    </row>
    <row r="212" spans="1:45">
      <c r="A212" s="10"/>
      <c r="B212" s="9"/>
      <c r="C212" s="9"/>
      <c r="D212" s="9"/>
      <c r="E212" s="10"/>
      <c r="F212" s="11"/>
      <c r="G212" s="15"/>
      <c r="H212" s="88"/>
      <c r="I212" s="24"/>
      <c r="J212" s="24"/>
      <c r="K212" s="114" t="str">
        <f t="shared" si="36"/>
        <v/>
      </c>
      <c r="L212" s="24"/>
      <c r="M212" s="24"/>
      <c r="N212" s="24"/>
      <c r="O212" s="24"/>
      <c r="P212" s="97" t="str">
        <f t="shared" si="37"/>
        <v/>
      </c>
      <c r="Q212" s="113" t="str">
        <f t="shared" si="38"/>
        <v/>
      </c>
      <c r="R212" s="88"/>
      <c r="S212" s="24"/>
      <c r="T212" s="24"/>
      <c r="U212" s="78" t="str">
        <f t="shared" si="39"/>
        <v/>
      </c>
      <c r="V212" s="24"/>
      <c r="W212" s="24"/>
      <c r="X212" s="24"/>
      <c r="Y212" s="24"/>
      <c r="Z212" s="98" t="str">
        <f t="shared" si="40"/>
        <v/>
      </c>
      <c r="AA212" s="40" t="str">
        <f t="shared" si="46"/>
        <v/>
      </c>
      <c r="AB212" s="88"/>
      <c r="AC212" s="24"/>
      <c r="AD212" s="24"/>
      <c r="AE212" s="79" t="str">
        <f t="shared" si="41"/>
        <v/>
      </c>
      <c r="AF212" s="24"/>
      <c r="AG212" s="24"/>
      <c r="AH212" s="24"/>
      <c r="AI212" s="24"/>
      <c r="AJ212" s="99" t="str">
        <f t="shared" si="42"/>
        <v/>
      </c>
      <c r="AK212" s="31" t="str">
        <f t="shared" si="47"/>
        <v/>
      </c>
      <c r="AN212" s="139" t="str">
        <f>IF($K212="","",VLOOKUP($K212,'ORF Accuracy Value LookUp'!$G$4:$H$104,2,TRUE))</f>
        <v/>
      </c>
      <c r="AO212" s="94" t="str">
        <f t="shared" si="43"/>
        <v/>
      </c>
      <c r="AP212" s="47" t="str">
        <f>IF($U212="","",VLOOKUP($U212,'ORF Accuracy Value LookUp'!$G$4:$H$104,2,TRUE))</f>
        <v/>
      </c>
      <c r="AQ212" s="94" t="str">
        <f t="shared" si="44"/>
        <v/>
      </c>
      <c r="AR212" s="46" t="str">
        <f>IF($AE212="","",VLOOKUP($AE212,'ORF Accuracy Value LookUp'!$G$4:$H$104,2,TRUE))</f>
        <v/>
      </c>
      <c r="AS212" s="140" t="str">
        <f t="shared" si="45"/>
        <v/>
      </c>
    </row>
    <row r="213" spans="1:45">
      <c r="A213" s="10"/>
      <c r="B213" s="9"/>
      <c r="C213" s="9"/>
      <c r="D213" s="9"/>
      <c r="E213" s="10"/>
      <c r="F213" s="11"/>
      <c r="G213" s="15"/>
      <c r="H213" s="88"/>
      <c r="I213" s="24"/>
      <c r="J213" s="24"/>
      <c r="K213" s="114" t="str">
        <f t="shared" si="36"/>
        <v/>
      </c>
      <c r="L213" s="24"/>
      <c r="M213" s="24"/>
      <c r="N213" s="24"/>
      <c r="O213" s="24"/>
      <c r="P213" s="97" t="str">
        <f t="shared" si="37"/>
        <v/>
      </c>
      <c r="Q213" s="113" t="str">
        <f t="shared" si="38"/>
        <v/>
      </c>
      <c r="R213" s="88"/>
      <c r="S213" s="24"/>
      <c r="T213" s="24"/>
      <c r="U213" s="78" t="str">
        <f t="shared" si="39"/>
        <v/>
      </c>
      <c r="V213" s="24"/>
      <c r="W213" s="24"/>
      <c r="X213" s="24"/>
      <c r="Y213" s="24"/>
      <c r="Z213" s="98" t="str">
        <f t="shared" si="40"/>
        <v/>
      </c>
      <c r="AA213" s="40" t="str">
        <f t="shared" si="46"/>
        <v/>
      </c>
      <c r="AB213" s="88"/>
      <c r="AC213" s="24"/>
      <c r="AD213" s="24"/>
      <c r="AE213" s="79" t="str">
        <f t="shared" si="41"/>
        <v/>
      </c>
      <c r="AF213" s="24"/>
      <c r="AG213" s="24"/>
      <c r="AH213" s="24"/>
      <c r="AI213" s="24"/>
      <c r="AJ213" s="99" t="str">
        <f t="shared" si="42"/>
        <v/>
      </c>
      <c r="AK213" s="31" t="str">
        <f t="shared" si="47"/>
        <v/>
      </c>
      <c r="AN213" s="139" t="str">
        <f>IF($K213="","",VLOOKUP($K213,'ORF Accuracy Value LookUp'!$G$4:$H$104,2,TRUE))</f>
        <v/>
      </c>
      <c r="AO213" s="94" t="str">
        <f t="shared" si="43"/>
        <v/>
      </c>
      <c r="AP213" s="47" t="str">
        <f>IF($U213="","",VLOOKUP($U213,'ORF Accuracy Value LookUp'!$G$4:$H$104,2,TRUE))</f>
        <v/>
      </c>
      <c r="AQ213" s="94" t="str">
        <f t="shared" si="44"/>
        <v/>
      </c>
      <c r="AR213" s="46" t="str">
        <f>IF($AE213="","",VLOOKUP($AE213,'ORF Accuracy Value LookUp'!$G$4:$H$104,2,TRUE))</f>
        <v/>
      </c>
      <c r="AS213" s="140" t="str">
        <f t="shared" si="45"/>
        <v/>
      </c>
    </row>
    <row r="214" spans="1:45">
      <c r="A214" s="10"/>
      <c r="B214" s="9"/>
      <c r="C214" s="9"/>
      <c r="D214" s="9"/>
      <c r="E214" s="10"/>
      <c r="F214" s="11"/>
      <c r="G214" s="15"/>
      <c r="H214" s="88"/>
      <c r="I214" s="24"/>
      <c r="J214" s="24"/>
      <c r="K214" s="114" t="str">
        <f t="shared" si="36"/>
        <v/>
      </c>
      <c r="L214" s="24"/>
      <c r="M214" s="24"/>
      <c r="N214" s="24"/>
      <c r="O214" s="24"/>
      <c r="P214" s="97" t="str">
        <f t="shared" si="37"/>
        <v/>
      </c>
      <c r="Q214" s="113" t="str">
        <f t="shared" si="38"/>
        <v/>
      </c>
      <c r="R214" s="88"/>
      <c r="S214" s="24"/>
      <c r="T214" s="24"/>
      <c r="U214" s="78" t="str">
        <f t="shared" si="39"/>
        <v/>
      </c>
      <c r="V214" s="24"/>
      <c r="W214" s="24"/>
      <c r="X214" s="24"/>
      <c r="Y214" s="24"/>
      <c r="Z214" s="98" t="str">
        <f t="shared" si="40"/>
        <v/>
      </c>
      <c r="AA214" s="40" t="str">
        <f t="shared" si="46"/>
        <v/>
      </c>
      <c r="AB214" s="88"/>
      <c r="AC214" s="24"/>
      <c r="AD214" s="24"/>
      <c r="AE214" s="79" t="str">
        <f t="shared" si="41"/>
        <v/>
      </c>
      <c r="AF214" s="24"/>
      <c r="AG214" s="24"/>
      <c r="AH214" s="24"/>
      <c r="AI214" s="24"/>
      <c r="AJ214" s="99" t="str">
        <f t="shared" si="42"/>
        <v/>
      </c>
      <c r="AK214" s="31" t="str">
        <f t="shared" si="47"/>
        <v/>
      </c>
      <c r="AN214" s="139" t="str">
        <f>IF($K214="","",VLOOKUP($K214,'ORF Accuracy Value LookUp'!$G$4:$H$104,2,TRUE))</f>
        <v/>
      </c>
      <c r="AO214" s="94" t="str">
        <f t="shared" si="43"/>
        <v/>
      </c>
      <c r="AP214" s="47" t="str">
        <f>IF($U214="","",VLOOKUP($U214,'ORF Accuracy Value LookUp'!$G$4:$H$104,2,TRUE))</f>
        <v/>
      </c>
      <c r="AQ214" s="94" t="str">
        <f t="shared" si="44"/>
        <v/>
      </c>
      <c r="AR214" s="46" t="str">
        <f>IF($AE214="","",VLOOKUP($AE214,'ORF Accuracy Value LookUp'!$G$4:$H$104,2,TRUE))</f>
        <v/>
      </c>
      <c r="AS214" s="140" t="str">
        <f t="shared" si="45"/>
        <v/>
      </c>
    </row>
    <row r="215" spans="1:45">
      <c r="A215" s="10"/>
      <c r="B215" s="9"/>
      <c r="C215" s="9"/>
      <c r="D215" s="9"/>
      <c r="E215" s="10"/>
      <c r="F215" s="11"/>
      <c r="G215" s="15"/>
      <c r="H215" s="88"/>
      <c r="I215" s="24"/>
      <c r="J215" s="24"/>
      <c r="K215" s="114" t="str">
        <f t="shared" si="36"/>
        <v/>
      </c>
      <c r="L215" s="24"/>
      <c r="M215" s="24"/>
      <c r="N215" s="24"/>
      <c r="O215" s="24"/>
      <c r="P215" s="97" t="str">
        <f t="shared" si="37"/>
        <v/>
      </c>
      <c r="Q215" s="113" t="str">
        <f t="shared" si="38"/>
        <v/>
      </c>
      <c r="R215" s="88"/>
      <c r="S215" s="24"/>
      <c r="T215" s="24"/>
      <c r="U215" s="78" t="str">
        <f t="shared" si="39"/>
        <v/>
      </c>
      <c r="V215" s="24"/>
      <c r="W215" s="24"/>
      <c r="X215" s="24"/>
      <c r="Y215" s="24"/>
      <c r="Z215" s="98" t="str">
        <f t="shared" si="40"/>
        <v/>
      </c>
      <c r="AA215" s="40" t="str">
        <f t="shared" si="46"/>
        <v/>
      </c>
      <c r="AB215" s="88"/>
      <c r="AC215" s="24"/>
      <c r="AD215" s="24"/>
      <c r="AE215" s="79" t="str">
        <f t="shared" si="41"/>
        <v/>
      </c>
      <c r="AF215" s="24"/>
      <c r="AG215" s="24"/>
      <c r="AH215" s="24"/>
      <c r="AI215" s="24"/>
      <c r="AJ215" s="99" t="str">
        <f t="shared" si="42"/>
        <v/>
      </c>
      <c r="AK215" s="31" t="str">
        <f t="shared" si="47"/>
        <v/>
      </c>
      <c r="AN215" s="139" t="str">
        <f>IF($K215="","",VLOOKUP($K215,'ORF Accuracy Value LookUp'!$G$4:$H$104,2,TRUE))</f>
        <v/>
      </c>
      <c r="AO215" s="94" t="str">
        <f t="shared" si="43"/>
        <v/>
      </c>
      <c r="AP215" s="47" t="str">
        <f>IF($U215="","",VLOOKUP($U215,'ORF Accuracy Value LookUp'!$G$4:$H$104,2,TRUE))</f>
        <v/>
      </c>
      <c r="AQ215" s="94" t="str">
        <f t="shared" si="44"/>
        <v/>
      </c>
      <c r="AR215" s="46" t="str">
        <f>IF($AE215="","",VLOOKUP($AE215,'ORF Accuracy Value LookUp'!$G$4:$H$104,2,TRUE))</f>
        <v/>
      </c>
      <c r="AS215" s="140" t="str">
        <f t="shared" si="45"/>
        <v/>
      </c>
    </row>
    <row r="216" spans="1:45">
      <c r="A216" s="10"/>
      <c r="B216" s="9"/>
      <c r="C216" s="9"/>
      <c r="D216" s="9"/>
      <c r="E216" s="10"/>
      <c r="F216" s="11"/>
      <c r="G216" s="15"/>
      <c r="H216" s="88"/>
      <c r="I216" s="24"/>
      <c r="J216" s="24"/>
      <c r="K216" s="114" t="str">
        <f t="shared" si="36"/>
        <v/>
      </c>
      <c r="L216" s="24"/>
      <c r="M216" s="24"/>
      <c r="N216" s="24"/>
      <c r="O216" s="24"/>
      <c r="P216" s="97" t="str">
        <f t="shared" si="37"/>
        <v/>
      </c>
      <c r="Q216" s="113" t="str">
        <f t="shared" si="38"/>
        <v/>
      </c>
      <c r="R216" s="88"/>
      <c r="S216" s="24"/>
      <c r="T216" s="24"/>
      <c r="U216" s="78" t="str">
        <f t="shared" si="39"/>
        <v/>
      </c>
      <c r="V216" s="24"/>
      <c r="W216" s="24"/>
      <c r="X216" s="24"/>
      <c r="Y216" s="24"/>
      <c r="Z216" s="98" t="str">
        <f t="shared" si="40"/>
        <v/>
      </c>
      <c r="AA216" s="40" t="str">
        <f t="shared" si="46"/>
        <v/>
      </c>
      <c r="AB216" s="88"/>
      <c r="AC216" s="24"/>
      <c r="AD216" s="24"/>
      <c r="AE216" s="79" t="str">
        <f t="shared" si="41"/>
        <v/>
      </c>
      <c r="AF216" s="24"/>
      <c r="AG216" s="24"/>
      <c r="AH216" s="24"/>
      <c r="AI216" s="24"/>
      <c r="AJ216" s="99" t="str">
        <f t="shared" si="42"/>
        <v/>
      </c>
      <c r="AK216" s="31" t="str">
        <f t="shared" si="47"/>
        <v/>
      </c>
      <c r="AN216" s="139" t="str">
        <f>IF($K216="","",VLOOKUP($K216,'ORF Accuracy Value LookUp'!$G$4:$H$104,2,TRUE))</f>
        <v/>
      </c>
      <c r="AO216" s="94" t="str">
        <f t="shared" si="43"/>
        <v/>
      </c>
      <c r="AP216" s="47" t="str">
        <f>IF($U216="","",VLOOKUP($U216,'ORF Accuracy Value LookUp'!$G$4:$H$104,2,TRUE))</f>
        <v/>
      </c>
      <c r="AQ216" s="94" t="str">
        <f t="shared" si="44"/>
        <v/>
      </c>
      <c r="AR216" s="46" t="str">
        <f>IF($AE216="","",VLOOKUP($AE216,'ORF Accuracy Value LookUp'!$G$4:$H$104,2,TRUE))</f>
        <v/>
      </c>
      <c r="AS216" s="140" t="str">
        <f t="shared" si="45"/>
        <v/>
      </c>
    </row>
    <row r="217" spans="1:45">
      <c r="A217" s="10"/>
      <c r="B217" s="9"/>
      <c r="C217" s="9"/>
      <c r="D217" s="9"/>
      <c r="E217" s="10"/>
      <c r="F217" s="11"/>
      <c r="G217" s="15"/>
      <c r="H217" s="88"/>
      <c r="I217" s="24"/>
      <c r="J217" s="24"/>
      <c r="K217" s="114" t="str">
        <f t="shared" si="36"/>
        <v/>
      </c>
      <c r="L217" s="24"/>
      <c r="M217" s="24"/>
      <c r="N217" s="24"/>
      <c r="O217" s="24"/>
      <c r="P217" s="97" t="str">
        <f t="shared" si="37"/>
        <v/>
      </c>
      <c r="Q217" s="113" t="str">
        <f t="shared" si="38"/>
        <v/>
      </c>
      <c r="R217" s="88"/>
      <c r="S217" s="24"/>
      <c r="T217" s="24"/>
      <c r="U217" s="78" t="str">
        <f t="shared" si="39"/>
        <v/>
      </c>
      <c r="V217" s="24"/>
      <c r="W217" s="24"/>
      <c r="X217" s="24"/>
      <c r="Y217" s="24"/>
      <c r="Z217" s="98" t="str">
        <f t="shared" si="40"/>
        <v/>
      </c>
      <c r="AA217" s="40" t="str">
        <f t="shared" si="46"/>
        <v/>
      </c>
      <c r="AB217" s="88"/>
      <c r="AC217" s="24"/>
      <c r="AD217" s="24"/>
      <c r="AE217" s="79" t="str">
        <f t="shared" si="41"/>
        <v/>
      </c>
      <c r="AF217" s="24"/>
      <c r="AG217" s="24"/>
      <c r="AH217" s="24"/>
      <c r="AI217" s="24"/>
      <c r="AJ217" s="99" t="str">
        <f t="shared" si="42"/>
        <v/>
      </c>
      <c r="AK217" s="31" t="str">
        <f t="shared" si="47"/>
        <v/>
      </c>
      <c r="AN217" s="139" t="str">
        <f>IF($K217="","",VLOOKUP($K217,'ORF Accuracy Value LookUp'!$G$4:$H$104,2,TRUE))</f>
        <v/>
      </c>
      <c r="AO217" s="94" t="str">
        <f t="shared" si="43"/>
        <v/>
      </c>
      <c r="AP217" s="47" t="str">
        <f>IF($U217="","",VLOOKUP($U217,'ORF Accuracy Value LookUp'!$G$4:$H$104,2,TRUE))</f>
        <v/>
      </c>
      <c r="AQ217" s="94" t="str">
        <f t="shared" si="44"/>
        <v/>
      </c>
      <c r="AR217" s="46" t="str">
        <f>IF($AE217="","",VLOOKUP($AE217,'ORF Accuracy Value LookUp'!$G$4:$H$104,2,TRUE))</f>
        <v/>
      </c>
      <c r="AS217" s="140" t="str">
        <f t="shared" si="45"/>
        <v/>
      </c>
    </row>
    <row r="218" spans="1:45">
      <c r="A218" s="10"/>
      <c r="B218" s="9"/>
      <c r="C218" s="9"/>
      <c r="D218" s="9"/>
      <c r="E218" s="10"/>
      <c r="F218" s="11"/>
      <c r="G218" s="15"/>
      <c r="H218" s="88"/>
      <c r="I218" s="24"/>
      <c r="J218" s="24"/>
      <c r="K218" s="114" t="str">
        <f t="shared" si="36"/>
        <v/>
      </c>
      <c r="L218" s="24"/>
      <c r="M218" s="24"/>
      <c r="N218" s="24"/>
      <c r="O218" s="24"/>
      <c r="P218" s="97" t="str">
        <f t="shared" si="37"/>
        <v/>
      </c>
      <c r="Q218" s="113" t="str">
        <f t="shared" si="38"/>
        <v/>
      </c>
      <c r="R218" s="88"/>
      <c r="S218" s="24"/>
      <c r="T218" s="24"/>
      <c r="U218" s="78" t="str">
        <f t="shared" si="39"/>
        <v/>
      </c>
      <c r="V218" s="24"/>
      <c r="W218" s="24"/>
      <c r="X218" s="24"/>
      <c r="Y218" s="24"/>
      <c r="Z218" s="98" t="str">
        <f t="shared" si="40"/>
        <v/>
      </c>
      <c r="AA218" s="40" t="str">
        <f t="shared" si="46"/>
        <v/>
      </c>
      <c r="AB218" s="88"/>
      <c r="AC218" s="24"/>
      <c r="AD218" s="24"/>
      <c r="AE218" s="79" t="str">
        <f t="shared" si="41"/>
        <v/>
      </c>
      <c r="AF218" s="24"/>
      <c r="AG218" s="24"/>
      <c r="AH218" s="24"/>
      <c r="AI218" s="24"/>
      <c r="AJ218" s="99" t="str">
        <f t="shared" si="42"/>
        <v/>
      </c>
      <c r="AK218" s="31" t="str">
        <f t="shared" si="47"/>
        <v/>
      </c>
      <c r="AN218" s="139" t="str">
        <f>IF($K218="","",VLOOKUP($K218,'ORF Accuracy Value LookUp'!$G$4:$H$104,2,TRUE))</f>
        <v/>
      </c>
      <c r="AO218" s="94" t="str">
        <f t="shared" si="43"/>
        <v/>
      </c>
      <c r="AP218" s="47" t="str">
        <f>IF($U218="","",VLOOKUP($U218,'ORF Accuracy Value LookUp'!$G$4:$H$104,2,TRUE))</f>
        <v/>
      </c>
      <c r="AQ218" s="94" t="str">
        <f t="shared" si="44"/>
        <v/>
      </c>
      <c r="AR218" s="46" t="str">
        <f>IF($AE218="","",VLOOKUP($AE218,'ORF Accuracy Value LookUp'!$G$4:$H$104,2,TRUE))</f>
        <v/>
      </c>
      <c r="AS218" s="140" t="str">
        <f t="shared" si="45"/>
        <v/>
      </c>
    </row>
    <row r="219" spans="1:45">
      <c r="A219" s="10"/>
      <c r="B219" s="9"/>
      <c r="C219" s="9"/>
      <c r="D219" s="9"/>
      <c r="E219" s="10"/>
      <c r="F219" s="11"/>
      <c r="G219" s="15"/>
      <c r="H219" s="88"/>
      <c r="I219" s="24"/>
      <c r="J219" s="24"/>
      <c r="K219" s="114" t="str">
        <f t="shared" si="36"/>
        <v/>
      </c>
      <c r="L219" s="24"/>
      <c r="M219" s="24"/>
      <c r="N219" s="24"/>
      <c r="O219" s="24"/>
      <c r="P219" s="97" t="str">
        <f t="shared" si="37"/>
        <v/>
      </c>
      <c r="Q219" s="113" t="str">
        <f t="shared" si="38"/>
        <v/>
      </c>
      <c r="R219" s="88"/>
      <c r="S219" s="24"/>
      <c r="T219" s="24"/>
      <c r="U219" s="78" t="str">
        <f t="shared" si="39"/>
        <v/>
      </c>
      <c r="V219" s="24"/>
      <c r="W219" s="24"/>
      <c r="X219" s="24"/>
      <c r="Y219" s="24"/>
      <c r="Z219" s="98" t="str">
        <f t="shared" si="40"/>
        <v/>
      </c>
      <c r="AA219" s="40" t="str">
        <f t="shared" si="46"/>
        <v/>
      </c>
      <c r="AB219" s="88"/>
      <c r="AC219" s="24"/>
      <c r="AD219" s="24"/>
      <c r="AE219" s="79" t="str">
        <f t="shared" si="41"/>
        <v/>
      </c>
      <c r="AF219" s="24"/>
      <c r="AG219" s="24"/>
      <c r="AH219" s="24"/>
      <c r="AI219" s="24"/>
      <c r="AJ219" s="99" t="str">
        <f t="shared" si="42"/>
        <v/>
      </c>
      <c r="AK219" s="31" t="str">
        <f t="shared" si="47"/>
        <v/>
      </c>
      <c r="AN219" s="139" t="str">
        <f>IF($K219="","",VLOOKUP($K219,'ORF Accuracy Value LookUp'!$G$4:$H$104,2,TRUE))</f>
        <v/>
      </c>
      <c r="AO219" s="94" t="str">
        <f t="shared" si="43"/>
        <v/>
      </c>
      <c r="AP219" s="47" t="str">
        <f>IF($U219="","",VLOOKUP($U219,'ORF Accuracy Value LookUp'!$G$4:$H$104,2,TRUE))</f>
        <v/>
      </c>
      <c r="AQ219" s="94" t="str">
        <f t="shared" si="44"/>
        <v/>
      </c>
      <c r="AR219" s="46" t="str">
        <f>IF($AE219="","",VLOOKUP($AE219,'ORF Accuracy Value LookUp'!$G$4:$H$104,2,TRUE))</f>
        <v/>
      </c>
      <c r="AS219" s="140" t="str">
        <f t="shared" si="45"/>
        <v/>
      </c>
    </row>
    <row r="220" spans="1:45">
      <c r="A220" s="10"/>
      <c r="B220" s="9"/>
      <c r="C220" s="9"/>
      <c r="D220" s="9"/>
      <c r="E220" s="10"/>
      <c r="F220" s="11"/>
      <c r="G220" s="15"/>
      <c r="H220" s="88"/>
      <c r="I220" s="24"/>
      <c r="J220" s="24"/>
      <c r="K220" s="114" t="str">
        <f t="shared" si="36"/>
        <v/>
      </c>
      <c r="L220" s="24"/>
      <c r="M220" s="24"/>
      <c r="N220" s="24"/>
      <c r="O220" s="24"/>
      <c r="P220" s="97" t="str">
        <f t="shared" si="37"/>
        <v/>
      </c>
      <c r="Q220" s="113" t="str">
        <f t="shared" si="38"/>
        <v/>
      </c>
      <c r="R220" s="88"/>
      <c r="S220" s="24"/>
      <c r="T220" s="24"/>
      <c r="U220" s="78" t="str">
        <f t="shared" si="39"/>
        <v/>
      </c>
      <c r="V220" s="24"/>
      <c r="W220" s="24"/>
      <c r="X220" s="24"/>
      <c r="Y220" s="24"/>
      <c r="Z220" s="98" t="str">
        <f t="shared" si="40"/>
        <v/>
      </c>
      <c r="AA220" s="40" t="str">
        <f t="shared" si="46"/>
        <v/>
      </c>
      <c r="AB220" s="88"/>
      <c r="AC220" s="24"/>
      <c r="AD220" s="24"/>
      <c r="AE220" s="79" t="str">
        <f t="shared" si="41"/>
        <v/>
      </c>
      <c r="AF220" s="24"/>
      <c r="AG220" s="24"/>
      <c r="AH220" s="24"/>
      <c r="AI220" s="24"/>
      <c r="AJ220" s="99" t="str">
        <f t="shared" si="42"/>
        <v/>
      </c>
      <c r="AK220" s="31" t="str">
        <f t="shared" si="47"/>
        <v/>
      </c>
      <c r="AN220" s="139" t="str">
        <f>IF($K220="","",VLOOKUP($K220,'ORF Accuracy Value LookUp'!$G$4:$H$104,2,TRUE))</f>
        <v/>
      </c>
      <c r="AO220" s="94" t="str">
        <f t="shared" si="43"/>
        <v/>
      </c>
      <c r="AP220" s="47" t="str">
        <f>IF($U220="","",VLOOKUP($U220,'ORF Accuracy Value LookUp'!$G$4:$H$104,2,TRUE))</f>
        <v/>
      </c>
      <c r="AQ220" s="94" t="str">
        <f t="shared" si="44"/>
        <v/>
      </c>
      <c r="AR220" s="46" t="str">
        <f>IF($AE220="","",VLOOKUP($AE220,'ORF Accuracy Value LookUp'!$G$4:$H$104,2,TRUE))</f>
        <v/>
      </c>
      <c r="AS220" s="140" t="str">
        <f t="shared" si="45"/>
        <v/>
      </c>
    </row>
    <row r="221" spans="1:45">
      <c r="A221" s="10"/>
      <c r="B221" s="9"/>
      <c r="C221" s="9"/>
      <c r="D221" s="9"/>
      <c r="E221" s="10"/>
      <c r="F221" s="11"/>
      <c r="G221" s="15"/>
      <c r="H221" s="88"/>
      <c r="I221" s="24"/>
      <c r="J221" s="24"/>
      <c r="K221" s="114" t="str">
        <f t="shared" si="36"/>
        <v/>
      </c>
      <c r="L221" s="24"/>
      <c r="M221" s="24"/>
      <c r="N221" s="24"/>
      <c r="O221" s="24"/>
      <c r="P221" s="97" t="str">
        <f t="shared" si="37"/>
        <v/>
      </c>
      <c r="Q221" s="113" t="str">
        <f t="shared" si="38"/>
        <v/>
      </c>
      <c r="R221" s="88"/>
      <c r="S221" s="24"/>
      <c r="T221" s="24"/>
      <c r="U221" s="78" t="str">
        <f t="shared" si="39"/>
        <v/>
      </c>
      <c r="V221" s="24"/>
      <c r="W221" s="24"/>
      <c r="X221" s="24"/>
      <c r="Y221" s="24"/>
      <c r="Z221" s="98" t="str">
        <f t="shared" si="40"/>
        <v/>
      </c>
      <c r="AA221" s="40" t="str">
        <f t="shared" si="46"/>
        <v/>
      </c>
      <c r="AB221" s="88"/>
      <c r="AC221" s="24"/>
      <c r="AD221" s="24"/>
      <c r="AE221" s="79" t="str">
        <f t="shared" si="41"/>
        <v/>
      </c>
      <c r="AF221" s="24"/>
      <c r="AG221" s="24"/>
      <c r="AH221" s="24"/>
      <c r="AI221" s="24"/>
      <c r="AJ221" s="99" t="str">
        <f t="shared" si="42"/>
        <v/>
      </c>
      <c r="AK221" s="31" t="str">
        <f t="shared" si="47"/>
        <v/>
      </c>
      <c r="AN221" s="139" t="str">
        <f>IF($K221="","",VLOOKUP($K221,'ORF Accuracy Value LookUp'!$G$4:$H$104,2,TRUE))</f>
        <v/>
      </c>
      <c r="AO221" s="94" t="str">
        <f t="shared" si="43"/>
        <v/>
      </c>
      <c r="AP221" s="47" t="str">
        <f>IF($U221="","",VLOOKUP($U221,'ORF Accuracy Value LookUp'!$G$4:$H$104,2,TRUE))</f>
        <v/>
      </c>
      <c r="AQ221" s="94" t="str">
        <f t="shared" si="44"/>
        <v/>
      </c>
      <c r="AR221" s="46" t="str">
        <f>IF($AE221="","",VLOOKUP($AE221,'ORF Accuracy Value LookUp'!$G$4:$H$104,2,TRUE))</f>
        <v/>
      </c>
      <c r="AS221" s="140" t="str">
        <f t="shared" si="45"/>
        <v/>
      </c>
    </row>
    <row r="222" spans="1:45">
      <c r="A222" s="10"/>
      <c r="B222" s="9"/>
      <c r="C222" s="9"/>
      <c r="D222" s="9"/>
      <c r="E222" s="10"/>
      <c r="F222" s="11"/>
      <c r="G222" s="15"/>
      <c r="H222" s="88"/>
      <c r="I222" s="24"/>
      <c r="J222" s="24"/>
      <c r="K222" s="114" t="str">
        <f t="shared" si="36"/>
        <v/>
      </c>
      <c r="L222" s="24"/>
      <c r="M222" s="24"/>
      <c r="N222" s="24"/>
      <c r="O222" s="24"/>
      <c r="P222" s="97" t="str">
        <f t="shared" si="37"/>
        <v/>
      </c>
      <c r="Q222" s="113" t="str">
        <f t="shared" si="38"/>
        <v/>
      </c>
      <c r="R222" s="88"/>
      <c r="S222" s="24"/>
      <c r="T222" s="24"/>
      <c r="U222" s="78" t="str">
        <f t="shared" si="39"/>
        <v/>
      </c>
      <c r="V222" s="24"/>
      <c r="W222" s="24"/>
      <c r="X222" s="24"/>
      <c r="Y222" s="24"/>
      <c r="Z222" s="98" t="str">
        <f t="shared" si="40"/>
        <v/>
      </c>
      <c r="AA222" s="40" t="str">
        <f t="shared" si="46"/>
        <v/>
      </c>
      <c r="AB222" s="88"/>
      <c r="AC222" s="24"/>
      <c r="AD222" s="24"/>
      <c r="AE222" s="79" t="str">
        <f t="shared" si="41"/>
        <v/>
      </c>
      <c r="AF222" s="24"/>
      <c r="AG222" s="24"/>
      <c r="AH222" s="24"/>
      <c r="AI222" s="24"/>
      <c r="AJ222" s="99" t="str">
        <f t="shared" si="42"/>
        <v/>
      </c>
      <c r="AK222" s="31" t="str">
        <f t="shared" si="47"/>
        <v/>
      </c>
      <c r="AN222" s="139" t="str">
        <f>IF($K222="","",VLOOKUP($K222,'ORF Accuracy Value LookUp'!$G$4:$H$104,2,TRUE))</f>
        <v/>
      </c>
      <c r="AO222" s="94" t="str">
        <f t="shared" si="43"/>
        <v/>
      </c>
      <c r="AP222" s="47" t="str">
        <f>IF($U222="","",VLOOKUP($U222,'ORF Accuracy Value LookUp'!$G$4:$H$104,2,TRUE))</f>
        <v/>
      </c>
      <c r="AQ222" s="94" t="str">
        <f t="shared" si="44"/>
        <v/>
      </c>
      <c r="AR222" s="46" t="str">
        <f>IF($AE222="","",VLOOKUP($AE222,'ORF Accuracy Value LookUp'!$G$4:$H$104,2,TRUE))</f>
        <v/>
      </c>
      <c r="AS222" s="140" t="str">
        <f t="shared" si="45"/>
        <v/>
      </c>
    </row>
    <row r="223" spans="1:45">
      <c r="A223" s="10"/>
      <c r="B223" s="9"/>
      <c r="C223" s="9"/>
      <c r="D223" s="9"/>
      <c r="E223" s="10"/>
      <c r="F223" s="11"/>
      <c r="G223" s="15"/>
      <c r="H223" s="88"/>
      <c r="I223" s="24"/>
      <c r="J223" s="24"/>
      <c r="K223" s="114" t="str">
        <f t="shared" si="36"/>
        <v/>
      </c>
      <c r="L223" s="24"/>
      <c r="M223" s="24"/>
      <c r="N223" s="24"/>
      <c r="O223" s="24"/>
      <c r="P223" s="97" t="str">
        <f t="shared" si="37"/>
        <v/>
      </c>
      <c r="Q223" s="113" t="str">
        <f t="shared" si="38"/>
        <v/>
      </c>
      <c r="R223" s="88"/>
      <c r="S223" s="24"/>
      <c r="T223" s="24"/>
      <c r="U223" s="78" t="str">
        <f t="shared" si="39"/>
        <v/>
      </c>
      <c r="V223" s="24"/>
      <c r="W223" s="24"/>
      <c r="X223" s="24"/>
      <c r="Y223" s="24"/>
      <c r="Z223" s="98" t="str">
        <f t="shared" si="40"/>
        <v/>
      </c>
      <c r="AA223" s="40" t="str">
        <f t="shared" si="46"/>
        <v/>
      </c>
      <c r="AB223" s="88"/>
      <c r="AC223" s="24"/>
      <c r="AD223" s="24"/>
      <c r="AE223" s="79" t="str">
        <f t="shared" si="41"/>
        <v/>
      </c>
      <c r="AF223" s="24"/>
      <c r="AG223" s="24"/>
      <c r="AH223" s="24"/>
      <c r="AI223" s="24"/>
      <c r="AJ223" s="99" t="str">
        <f t="shared" si="42"/>
        <v/>
      </c>
      <c r="AK223" s="31" t="str">
        <f t="shared" si="47"/>
        <v/>
      </c>
      <c r="AN223" s="139" t="str">
        <f>IF($K223="","",VLOOKUP($K223,'ORF Accuracy Value LookUp'!$G$4:$H$104,2,TRUE))</f>
        <v/>
      </c>
      <c r="AO223" s="94" t="str">
        <f t="shared" si="43"/>
        <v/>
      </c>
      <c r="AP223" s="47" t="str">
        <f>IF($U223="","",VLOOKUP($U223,'ORF Accuracy Value LookUp'!$G$4:$H$104,2,TRUE))</f>
        <v/>
      </c>
      <c r="AQ223" s="94" t="str">
        <f t="shared" si="44"/>
        <v/>
      </c>
      <c r="AR223" s="46" t="str">
        <f>IF($AE223="","",VLOOKUP($AE223,'ORF Accuracy Value LookUp'!$G$4:$H$104,2,TRUE))</f>
        <v/>
      </c>
      <c r="AS223" s="140" t="str">
        <f t="shared" si="45"/>
        <v/>
      </c>
    </row>
    <row r="224" spans="1:45">
      <c r="A224" s="10"/>
      <c r="B224" s="9"/>
      <c r="C224" s="9"/>
      <c r="D224" s="9"/>
      <c r="E224" s="10"/>
      <c r="F224" s="11"/>
      <c r="G224" s="15"/>
      <c r="H224" s="88"/>
      <c r="I224" s="24"/>
      <c r="J224" s="24"/>
      <c r="K224" s="114" t="str">
        <f t="shared" si="36"/>
        <v/>
      </c>
      <c r="L224" s="24"/>
      <c r="M224" s="24"/>
      <c r="N224" s="24"/>
      <c r="O224" s="24"/>
      <c r="P224" s="97" t="str">
        <f t="shared" si="37"/>
        <v/>
      </c>
      <c r="Q224" s="113" t="str">
        <f t="shared" si="38"/>
        <v/>
      </c>
      <c r="R224" s="88"/>
      <c r="S224" s="24"/>
      <c r="T224" s="24"/>
      <c r="U224" s="78" t="str">
        <f t="shared" si="39"/>
        <v/>
      </c>
      <c r="V224" s="24"/>
      <c r="W224" s="24"/>
      <c r="X224" s="24"/>
      <c r="Y224" s="24"/>
      <c r="Z224" s="98" t="str">
        <f t="shared" si="40"/>
        <v/>
      </c>
      <c r="AA224" s="40" t="str">
        <f t="shared" si="46"/>
        <v/>
      </c>
      <c r="AB224" s="88"/>
      <c r="AC224" s="24"/>
      <c r="AD224" s="24"/>
      <c r="AE224" s="79" t="str">
        <f t="shared" si="41"/>
        <v/>
      </c>
      <c r="AF224" s="24"/>
      <c r="AG224" s="24"/>
      <c r="AH224" s="24"/>
      <c r="AI224" s="24"/>
      <c r="AJ224" s="99" t="str">
        <f t="shared" si="42"/>
        <v/>
      </c>
      <c r="AK224" s="31" t="str">
        <f t="shared" si="47"/>
        <v/>
      </c>
      <c r="AN224" s="139" t="str">
        <f>IF($K224="","",VLOOKUP($K224,'ORF Accuracy Value LookUp'!$G$4:$H$104,2,TRUE))</f>
        <v/>
      </c>
      <c r="AO224" s="94" t="str">
        <f t="shared" si="43"/>
        <v/>
      </c>
      <c r="AP224" s="47" t="str">
        <f>IF($U224="","",VLOOKUP($U224,'ORF Accuracy Value LookUp'!$G$4:$H$104,2,TRUE))</f>
        <v/>
      </c>
      <c r="AQ224" s="94" t="str">
        <f t="shared" si="44"/>
        <v/>
      </c>
      <c r="AR224" s="46" t="str">
        <f>IF($AE224="","",VLOOKUP($AE224,'ORF Accuracy Value LookUp'!$G$4:$H$104,2,TRUE))</f>
        <v/>
      </c>
      <c r="AS224" s="140" t="str">
        <f t="shared" si="45"/>
        <v/>
      </c>
    </row>
    <row r="225" spans="1:45">
      <c r="A225" s="10"/>
      <c r="B225" s="9"/>
      <c r="C225" s="9"/>
      <c r="D225" s="9"/>
      <c r="E225" s="10"/>
      <c r="F225" s="11"/>
      <c r="G225" s="15"/>
      <c r="H225" s="88"/>
      <c r="I225" s="24"/>
      <c r="J225" s="24"/>
      <c r="K225" s="114" t="str">
        <f t="shared" si="36"/>
        <v/>
      </c>
      <c r="L225" s="24"/>
      <c r="M225" s="24"/>
      <c r="N225" s="24"/>
      <c r="O225" s="24"/>
      <c r="P225" s="97" t="str">
        <f t="shared" si="37"/>
        <v/>
      </c>
      <c r="Q225" s="113" t="str">
        <f t="shared" si="38"/>
        <v/>
      </c>
      <c r="R225" s="88"/>
      <c r="S225" s="24"/>
      <c r="T225" s="24"/>
      <c r="U225" s="78" t="str">
        <f t="shared" si="39"/>
        <v/>
      </c>
      <c r="V225" s="24"/>
      <c r="W225" s="24"/>
      <c r="X225" s="24"/>
      <c r="Y225" s="24"/>
      <c r="Z225" s="98" t="str">
        <f t="shared" si="40"/>
        <v/>
      </c>
      <c r="AA225" s="40" t="str">
        <f t="shared" si="46"/>
        <v/>
      </c>
      <c r="AB225" s="88"/>
      <c r="AC225" s="24"/>
      <c r="AD225" s="24"/>
      <c r="AE225" s="79" t="str">
        <f t="shared" si="41"/>
        <v/>
      </c>
      <c r="AF225" s="24"/>
      <c r="AG225" s="24"/>
      <c r="AH225" s="24"/>
      <c r="AI225" s="24"/>
      <c r="AJ225" s="99" t="str">
        <f t="shared" si="42"/>
        <v/>
      </c>
      <c r="AK225" s="31" t="str">
        <f t="shared" si="47"/>
        <v/>
      </c>
      <c r="AN225" s="139" t="str">
        <f>IF($K225="","",VLOOKUP($K225,'ORF Accuracy Value LookUp'!$G$4:$H$104,2,TRUE))</f>
        <v/>
      </c>
      <c r="AO225" s="94" t="str">
        <f t="shared" si="43"/>
        <v/>
      </c>
      <c r="AP225" s="47" t="str">
        <f>IF($U225="","",VLOOKUP($U225,'ORF Accuracy Value LookUp'!$G$4:$H$104,2,TRUE))</f>
        <v/>
      </c>
      <c r="AQ225" s="94" t="str">
        <f t="shared" si="44"/>
        <v/>
      </c>
      <c r="AR225" s="46" t="str">
        <f>IF($AE225="","",VLOOKUP($AE225,'ORF Accuracy Value LookUp'!$G$4:$H$104,2,TRUE))</f>
        <v/>
      </c>
      <c r="AS225" s="140" t="str">
        <f t="shared" si="45"/>
        <v/>
      </c>
    </row>
    <row r="226" spans="1:45">
      <c r="A226" s="10"/>
      <c r="B226" s="9"/>
      <c r="C226" s="9"/>
      <c r="D226" s="9"/>
      <c r="E226" s="10"/>
      <c r="F226" s="11"/>
      <c r="G226" s="15"/>
      <c r="H226" s="88"/>
      <c r="I226" s="24"/>
      <c r="J226" s="24"/>
      <c r="K226" s="114" t="str">
        <f t="shared" si="36"/>
        <v/>
      </c>
      <c r="L226" s="24"/>
      <c r="M226" s="24"/>
      <c r="N226" s="24"/>
      <c r="O226" s="24"/>
      <c r="P226" s="97" t="str">
        <f t="shared" si="37"/>
        <v/>
      </c>
      <c r="Q226" s="113" t="str">
        <f t="shared" si="38"/>
        <v/>
      </c>
      <c r="R226" s="88"/>
      <c r="S226" s="24"/>
      <c r="T226" s="24"/>
      <c r="U226" s="78" t="str">
        <f t="shared" si="39"/>
        <v/>
      </c>
      <c r="V226" s="24"/>
      <c r="W226" s="24"/>
      <c r="X226" s="24"/>
      <c r="Y226" s="24"/>
      <c r="Z226" s="98" t="str">
        <f t="shared" si="40"/>
        <v/>
      </c>
      <c r="AA226" s="40" t="str">
        <f t="shared" si="46"/>
        <v/>
      </c>
      <c r="AB226" s="88"/>
      <c r="AC226" s="24"/>
      <c r="AD226" s="24"/>
      <c r="AE226" s="79" t="str">
        <f t="shared" si="41"/>
        <v/>
      </c>
      <c r="AF226" s="24"/>
      <c r="AG226" s="24"/>
      <c r="AH226" s="24"/>
      <c r="AI226" s="24"/>
      <c r="AJ226" s="99" t="str">
        <f t="shared" si="42"/>
        <v/>
      </c>
      <c r="AK226" s="31" t="str">
        <f t="shared" si="47"/>
        <v/>
      </c>
      <c r="AN226" s="139" t="str">
        <f>IF($K226="","",VLOOKUP($K226,'ORF Accuracy Value LookUp'!$G$4:$H$104,2,TRUE))</f>
        <v/>
      </c>
      <c r="AO226" s="94" t="str">
        <f t="shared" si="43"/>
        <v/>
      </c>
      <c r="AP226" s="47" t="str">
        <f>IF($U226="","",VLOOKUP($U226,'ORF Accuracy Value LookUp'!$G$4:$H$104,2,TRUE))</f>
        <v/>
      </c>
      <c r="AQ226" s="94" t="str">
        <f t="shared" si="44"/>
        <v/>
      </c>
      <c r="AR226" s="46" t="str">
        <f>IF($AE226="","",VLOOKUP($AE226,'ORF Accuracy Value LookUp'!$G$4:$H$104,2,TRUE))</f>
        <v/>
      </c>
      <c r="AS226" s="140" t="str">
        <f t="shared" si="45"/>
        <v/>
      </c>
    </row>
    <row r="227" spans="1:45">
      <c r="A227" s="10"/>
      <c r="B227" s="9"/>
      <c r="C227" s="9"/>
      <c r="D227" s="9"/>
      <c r="E227" s="10"/>
      <c r="F227" s="11"/>
      <c r="G227" s="15"/>
      <c r="H227" s="88"/>
      <c r="I227" s="24"/>
      <c r="J227" s="24"/>
      <c r="K227" s="114" t="str">
        <f t="shared" si="36"/>
        <v/>
      </c>
      <c r="L227" s="24"/>
      <c r="M227" s="24"/>
      <c r="N227" s="24"/>
      <c r="O227" s="24"/>
      <c r="P227" s="97" t="str">
        <f t="shared" si="37"/>
        <v/>
      </c>
      <c r="Q227" s="113" t="str">
        <f t="shared" si="38"/>
        <v/>
      </c>
      <c r="R227" s="88"/>
      <c r="S227" s="24"/>
      <c r="T227" s="24"/>
      <c r="U227" s="78" t="str">
        <f t="shared" si="39"/>
        <v/>
      </c>
      <c r="V227" s="24"/>
      <c r="W227" s="24"/>
      <c r="X227" s="24"/>
      <c r="Y227" s="24"/>
      <c r="Z227" s="98" t="str">
        <f t="shared" si="40"/>
        <v/>
      </c>
      <c r="AA227" s="40" t="str">
        <f t="shared" si="46"/>
        <v/>
      </c>
      <c r="AB227" s="88"/>
      <c r="AC227" s="24"/>
      <c r="AD227" s="24"/>
      <c r="AE227" s="79" t="str">
        <f t="shared" si="41"/>
        <v/>
      </c>
      <c r="AF227" s="24"/>
      <c r="AG227" s="24"/>
      <c r="AH227" s="24"/>
      <c r="AI227" s="24"/>
      <c r="AJ227" s="99" t="str">
        <f t="shared" si="42"/>
        <v/>
      </c>
      <c r="AK227" s="31" t="str">
        <f t="shared" si="47"/>
        <v/>
      </c>
      <c r="AN227" s="139" t="str">
        <f>IF($K227="","",VLOOKUP($K227,'ORF Accuracy Value LookUp'!$G$4:$H$104,2,TRUE))</f>
        <v/>
      </c>
      <c r="AO227" s="94" t="str">
        <f t="shared" si="43"/>
        <v/>
      </c>
      <c r="AP227" s="47" t="str">
        <f>IF($U227="","",VLOOKUP($U227,'ORF Accuracy Value LookUp'!$G$4:$H$104,2,TRUE))</f>
        <v/>
      </c>
      <c r="AQ227" s="94" t="str">
        <f t="shared" si="44"/>
        <v/>
      </c>
      <c r="AR227" s="46" t="str">
        <f>IF($AE227="","",VLOOKUP($AE227,'ORF Accuracy Value LookUp'!$G$4:$H$104,2,TRUE))</f>
        <v/>
      </c>
      <c r="AS227" s="140" t="str">
        <f t="shared" si="45"/>
        <v/>
      </c>
    </row>
    <row r="228" spans="1:45">
      <c r="A228" s="10"/>
      <c r="B228" s="9"/>
      <c r="C228" s="9"/>
      <c r="D228" s="9"/>
      <c r="E228" s="10"/>
      <c r="F228" s="11"/>
      <c r="G228" s="15"/>
      <c r="H228" s="88"/>
      <c r="I228" s="24"/>
      <c r="J228" s="24"/>
      <c r="K228" s="114" t="str">
        <f t="shared" si="36"/>
        <v/>
      </c>
      <c r="L228" s="24"/>
      <c r="M228" s="24"/>
      <c r="N228" s="24"/>
      <c r="O228" s="24"/>
      <c r="P228" s="97" t="str">
        <f t="shared" si="37"/>
        <v/>
      </c>
      <c r="Q228" s="113" t="str">
        <f t="shared" si="38"/>
        <v/>
      </c>
      <c r="R228" s="88"/>
      <c r="S228" s="24"/>
      <c r="T228" s="24"/>
      <c r="U228" s="78" t="str">
        <f t="shared" si="39"/>
        <v/>
      </c>
      <c r="V228" s="24"/>
      <c r="W228" s="24"/>
      <c r="X228" s="24"/>
      <c r="Y228" s="24"/>
      <c r="Z228" s="98" t="str">
        <f t="shared" si="40"/>
        <v/>
      </c>
      <c r="AA228" s="40" t="str">
        <f t="shared" si="46"/>
        <v/>
      </c>
      <c r="AB228" s="88"/>
      <c r="AC228" s="24"/>
      <c r="AD228" s="24"/>
      <c r="AE228" s="79" t="str">
        <f t="shared" si="41"/>
        <v/>
      </c>
      <c r="AF228" s="24"/>
      <c r="AG228" s="24"/>
      <c r="AH228" s="24"/>
      <c r="AI228" s="24"/>
      <c r="AJ228" s="99" t="str">
        <f t="shared" si="42"/>
        <v/>
      </c>
      <c r="AK228" s="31" t="str">
        <f t="shared" si="47"/>
        <v/>
      </c>
      <c r="AN228" s="139" t="str">
        <f>IF($K228="","",VLOOKUP($K228,'ORF Accuracy Value LookUp'!$G$4:$H$104,2,TRUE))</f>
        <v/>
      </c>
      <c r="AO228" s="94" t="str">
        <f t="shared" si="43"/>
        <v/>
      </c>
      <c r="AP228" s="47" t="str">
        <f>IF($U228="","",VLOOKUP($U228,'ORF Accuracy Value LookUp'!$G$4:$H$104,2,TRUE))</f>
        <v/>
      </c>
      <c r="AQ228" s="94" t="str">
        <f t="shared" si="44"/>
        <v/>
      </c>
      <c r="AR228" s="46" t="str">
        <f>IF($AE228="","",VLOOKUP($AE228,'ORF Accuracy Value LookUp'!$G$4:$H$104,2,TRUE))</f>
        <v/>
      </c>
      <c r="AS228" s="140" t="str">
        <f t="shared" si="45"/>
        <v/>
      </c>
    </row>
    <row r="229" spans="1:45">
      <c r="A229" s="10"/>
      <c r="B229" s="9"/>
      <c r="C229" s="9"/>
      <c r="D229" s="9"/>
      <c r="E229" s="10"/>
      <c r="F229" s="11"/>
      <c r="G229" s="15"/>
      <c r="H229" s="88"/>
      <c r="I229" s="24"/>
      <c r="J229" s="24"/>
      <c r="K229" s="114" t="str">
        <f t="shared" si="36"/>
        <v/>
      </c>
      <c r="L229" s="24"/>
      <c r="M229" s="24"/>
      <c r="N229" s="24"/>
      <c r="O229" s="24"/>
      <c r="P229" s="97" t="str">
        <f t="shared" si="37"/>
        <v/>
      </c>
      <c r="Q229" s="113" t="str">
        <f t="shared" si="38"/>
        <v/>
      </c>
      <c r="R229" s="88"/>
      <c r="S229" s="24"/>
      <c r="T229" s="24"/>
      <c r="U229" s="78" t="str">
        <f t="shared" si="39"/>
        <v/>
      </c>
      <c r="V229" s="24"/>
      <c r="W229" s="24"/>
      <c r="X229" s="24"/>
      <c r="Y229" s="24"/>
      <c r="Z229" s="98" t="str">
        <f t="shared" si="40"/>
        <v/>
      </c>
      <c r="AA229" s="40" t="str">
        <f t="shared" si="46"/>
        <v/>
      </c>
      <c r="AB229" s="88"/>
      <c r="AC229" s="24"/>
      <c r="AD229" s="24"/>
      <c r="AE229" s="79" t="str">
        <f t="shared" si="41"/>
        <v/>
      </c>
      <c r="AF229" s="24"/>
      <c r="AG229" s="24"/>
      <c r="AH229" s="24"/>
      <c r="AI229" s="24"/>
      <c r="AJ229" s="99" t="str">
        <f t="shared" si="42"/>
        <v/>
      </c>
      <c r="AK229" s="31" t="str">
        <f t="shared" si="47"/>
        <v/>
      </c>
      <c r="AN229" s="139" t="str">
        <f>IF($K229="","",VLOOKUP($K229,'ORF Accuracy Value LookUp'!$G$4:$H$104,2,TRUE))</f>
        <v/>
      </c>
      <c r="AO229" s="94" t="str">
        <f t="shared" si="43"/>
        <v/>
      </c>
      <c r="AP229" s="47" t="str">
        <f>IF($U229="","",VLOOKUP($U229,'ORF Accuracy Value LookUp'!$G$4:$H$104,2,TRUE))</f>
        <v/>
      </c>
      <c r="AQ229" s="94" t="str">
        <f t="shared" si="44"/>
        <v/>
      </c>
      <c r="AR229" s="46" t="str">
        <f>IF($AE229="","",VLOOKUP($AE229,'ORF Accuracy Value LookUp'!$G$4:$H$104,2,TRUE))</f>
        <v/>
      </c>
      <c r="AS229" s="140" t="str">
        <f t="shared" si="45"/>
        <v/>
      </c>
    </row>
    <row r="230" spans="1:45">
      <c r="A230" s="10"/>
      <c r="B230" s="9"/>
      <c r="C230" s="9"/>
      <c r="D230" s="9"/>
      <c r="E230" s="10"/>
      <c r="F230" s="11"/>
      <c r="G230" s="15"/>
      <c r="H230" s="88"/>
      <c r="I230" s="24"/>
      <c r="J230" s="24"/>
      <c r="K230" s="114" t="str">
        <f t="shared" si="36"/>
        <v/>
      </c>
      <c r="L230" s="24"/>
      <c r="M230" s="24"/>
      <c r="N230" s="24"/>
      <c r="O230" s="24"/>
      <c r="P230" s="97" t="str">
        <f t="shared" si="37"/>
        <v/>
      </c>
      <c r="Q230" s="113" t="str">
        <f t="shared" si="38"/>
        <v/>
      </c>
      <c r="R230" s="88"/>
      <c r="S230" s="24"/>
      <c r="T230" s="24"/>
      <c r="U230" s="78" t="str">
        <f t="shared" si="39"/>
        <v/>
      </c>
      <c r="V230" s="24"/>
      <c r="W230" s="24"/>
      <c r="X230" s="24"/>
      <c r="Y230" s="24"/>
      <c r="Z230" s="98" t="str">
        <f t="shared" si="40"/>
        <v/>
      </c>
      <c r="AA230" s="40" t="str">
        <f t="shared" si="46"/>
        <v/>
      </c>
      <c r="AB230" s="88"/>
      <c r="AC230" s="24"/>
      <c r="AD230" s="24"/>
      <c r="AE230" s="79" t="str">
        <f t="shared" si="41"/>
        <v/>
      </c>
      <c r="AF230" s="24"/>
      <c r="AG230" s="24"/>
      <c r="AH230" s="24"/>
      <c r="AI230" s="24"/>
      <c r="AJ230" s="99" t="str">
        <f t="shared" si="42"/>
        <v/>
      </c>
      <c r="AK230" s="31" t="str">
        <f t="shared" si="47"/>
        <v/>
      </c>
      <c r="AN230" s="139" t="str">
        <f>IF($K230="","",VLOOKUP($K230,'ORF Accuracy Value LookUp'!$G$4:$H$104,2,TRUE))</f>
        <v/>
      </c>
      <c r="AO230" s="94" t="str">
        <f t="shared" si="43"/>
        <v/>
      </c>
      <c r="AP230" s="47" t="str">
        <f>IF($U230="","",VLOOKUP($U230,'ORF Accuracy Value LookUp'!$G$4:$H$104,2,TRUE))</f>
        <v/>
      </c>
      <c r="AQ230" s="94" t="str">
        <f t="shared" si="44"/>
        <v/>
      </c>
      <c r="AR230" s="46" t="str">
        <f>IF($AE230="","",VLOOKUP($AE230,'ORF Accuracy Value LookUp'!$G$4:$H$104,2,TRUE))</f>
        <v/>
      </c>
      <c r="AS230" s="140" t="str">
        <f t="shared" si="45"/>
        <v/>
      </c>
    </row>
    <row r="231" spans="1:45">
      <c r="A231" s="10"/>
      <c r="B231" s="9"/>
      <c r="C231" s="9"/>
      <c r="D231" s="9"/>
      <c r="E231" s="10"/>
      <c r="F231" s="11"/>
      <c r="G231" s="15"/>
      <c r="H231" s="88"/>
      <c r="I231" s="24"/>
      <c r="J231" s="24"/>
      <c r="K231" s="114" t="str">
        <f t="shared" si="36"/>
        <v/>
      </c>
      <c r="L231" s="24"/>
      <c r="M231" s="24"/>
      <c r="N231" s="24"/>
      <c r="O231" s="24"/>
      <c r="P231" s="97" t="str">
        <f t="shared" si="37"/>
        <v/>
      </c>
      <c r="Q231" s="113" t="str">
        <f t="shared" si="38"/>
        <v/>
      </c>
      <c r="R231" s="88"/>
      <c r="S231" s="24"/>
      <c r="T231" s="24"/>
      <c r="U231" s="78" t="str">
        <f t="shared" si="39"/>
        <v/>
      </c>
      <c r="V231" s="24"/>
      <c r="W231" s="24"/>
      <c r="X231" s="24"/>
      <c r="Y231" s="24"/>
      <c r="Z231" s="98" t="str">
        <f t="shared" si="40"/>
        <v/>
      </c>
      <c r="AA231" s="40" t="str">
        <f t="shared" si="46"/>
        <v/>
      </c>
      <c r="AB231" s="88"/>
      <c r="AC231" s="24"/>
      <c r="AD231" s="24"/>
      <c r="AE231" s="79" t="str">
        <f t="shared" si="41"/>
        <v/>
      </c>
      <c r="AF231" s="24"/>
      <c r="AG231" s="24"/>
      <c r="AH231" s="24"/>
      <c r="AI231" s="24"/>
      <c r="AJ231" s="99" t="str">
        <f t="shared" si="42"/>
        <v/>
      </c>
      <c r="AK231" s="31" t="str">
        <f t="shared" si="47"/>
        <v/>
      </c>
      <c r="AN231" s="139" t="str">
        <f>IF($K231="","",VLOOKUP($K231,'ORF Accuracy Value LookUp'!$G$4:$H$104,2,TRUE))</f>
        <v/>
      </c>
      <c r="AO231" s="94" t="str">
        <f t="shared" si="43"/>
        <v/>
      </c>
      <c r="AP231" s="47" t="str">
        <f>IF($U231="","",VLOOKUP($U231,'ORF Accuracy Value LookUp'!$G$4:$H$104,2,TRUE))</f>
        <v/>
      </c>
      <c r="AQ231" s="94" t="str">
        <f t="shared" si="44"/>
        <v/>
      </c>
      <c r="AR231" s="46" t="str">
        <f>IF($AE231="","",VLOOKUP($AE231,'ORF Accuracy Value LookUp'!$G$4:$H$104,2,TRUE))</f>
        <v/>
      </c>
      <c r="AS231" s="140" t="str">
        <f t="shared" si="45"/>
        <v/>
      </c>
    </row>
    <row r="232" spans="1:45">
      <c r="A232" s="10"/>
      <c r="B232" s="9"/>
      <c r="C232" s="9"/>
      <c r="D232" s="9"/>
      <c r="E232" s="10"/>
      <c r="F232" s="11"/>
      <c r="G232" s="15"/>
      <c r="H232" s="88"/>
      <c r="I232" s="24"/>
      <c r="J232" s="24"/>
      <c r="K232" s="114" t="str">
        <f t="shared" si="36"/>
        <v/>
      </c>
      <c r="L232" s="24"/>
      <c r="M232" s="24"/>
      <c r="N232" s="24"/>
      <c r="O232" s="24"/>
      <c r="P232" s="97" t="str">
        <f t="shared" si="37"/>
        <v/>
      </c>
      <c r="Q232" s="113" t="str">
        <f t="shared" si="38"/>
        <v/>
      </c>
      <c r="R232" s="88"/>
      <c r="S232" s="24"/>
      <c r="T232" s="24"/>
      <c r="U232" s="78" t="str">
        <f t="shared" si="39"/>
        <v/>
      </c>
      <c r="V232" s="24"/>
      <c r="W232" s="24"/>
      <c r="X232" s="24"/>
      <c r="Y232" s="24"/>
      <c r="Z232" s="98" t="str">
        <f t="shared" si="40"/>
        <v/>
      </c>
      <c r="AA232" s="40" t="str">
        <f t="shared" si="46"/>
        <v/>
      </c>
      <c r="AB232" s="88"/>
      <c r="AC232" s="24"/>
      <c r="AD232" s="24"/>
      <c r="AE232" s="79" t="str">
        <f t="shared" si="41"/>
        <v/>
      </c>
      <c r="AF232" s="24"/>
      <c r="AG232" s="24"/>
      <c r="AH232" s="24"/>
      <c r="AI232" s="24"/>
      <c r="AJ232" s="99" t="str">
        <f t="shared" si="42"/>
        <v/>
      </c>
      <c r="AK232" s="31" t="str">
        <f t="shared" si="47"/>
        <v/>
      </c>
      <c r="AN232" s="139" t="str">
        <f>IF($K232="","",VLOOKUP($K232,'ORF Accuracy Value LookUp'!$G$4:$H$104,2,TRUE))</f>
        <v/>
      </c>
      <c r="AO232" s="94" t="str">
        <f t="shared" si="43"/>
        <v/>
      </c>
      <c r="AP232" s="47" t="str">
        <f>IF($U232="","",VLOOKUP($U232,'ORF Accuracy Value LookUp'!$G$4:$H$104,2,TRUE))</f>
        <v/>
      </c>
      <c r="AQ232" s="94" t="str">
        <f t="shared" si="44"/>
        <v/>
      </c>
      <c r="AR232" s="46" t="str">
        <f>IF($AE232="","",VLOOKUP($AE232,'ORF Accuracy Value LookUp'!$G$4:$H$104,2,TRUE))</f>
        <v/>
      </c>
      <c r="AS232" s="140" t="str">
        <f t="shared" si="45"/>
        <v/>
      </c>
    </row>
    <row r="233" spans="1:45">
      <c r="A233" s="10"/>
      <c r="B233" s="9"/>
      <c r="C233" s="9"/>
      <c r="D233" s="9"/>
      <c r="E233" s="10"/>
      <c r="F233" s="11"/>
      <c r="G233" s="15"/>
      <c r="H233" s="88"/>
      <c r="I233" s="24"/>
      <c r="J233" s="24"/>
      <c r="K233" s="114" t="str">
        <f t="shared" si="36"/>
        <v/>
      </c>
      <c r="L233" s="24"/>
      <c r="M233" s="24"/>
      <c r="N233" s="24"/>
      <c r="O233" s="24"/>
      <c r="P233" s="97" t="str">
        <f t="shared" si="37"/>
        <v/>
      </c>
      <c r="Q233" s="113" t="str">
        <f t="shared" si="38"/>
        <v/>
      </c>
      <c r="R233" s="88"/>
      <c r="S233" s="24"/>
      <c r="T233" s="24"/>
      <c r="U233" s="78" t="str">
        <f t="shared" si="39"/>
        <v/>
      </c>
      <c r="V233" s="24"/>
      <c r="W233" s="24"/>
      <c r="X233" s="24"/>
      <c r="Y233" s="24"/>
      <c r="Z233" s="98" t="str">
        <f t="shared" si="40"/>
        <v/>
      </c>
      <c r="AA233" s="40" t="str">
        <f t="shared" si="46"/>
        <v/>
      </c>
      <c r="AB233" s="88"/>
      <c r="AC233" s="24"/>
      <c r="AD233" s="24"/>
      <c r="AE233" s="79" t="str">
        <f t="shared" si="41"/>
        <v/>
      </c>
      <c r="AF233" s="24"/>
      <c r="AG233" s="24"/>
      <c r="AH233" s="24"/>
      <c r="AI233" s="24"/>
      <c r="AJ233" s="99" t="str">
        <f t="shared" si="42"/>
        <v/>
      </c>
      <c r="AK233" s="31" t="str">
        <f t="shared" si="47"/>
        <v/>
      </c>
      <c r="AN233" s="139" t="str">
        <f>IF($K233="","",VLOOKUP($K233,'ORF Accuracy Value LookUp'!$G$4:$H$104,2,TRUE))</f>
        <v/>
      </c>
      <c r="AO233" s="94" t="str">
        <f t="shared" si="43"/>
        <v/>
      </c>
      <c r="AP233" s="47" t="str">
        <f>IF($U233="","",VLOOKUP($U233,'ORF Accuracy Value LookUp'!$G$4:$H$104,2,TRUE))</f>
        <v/>
      </c>
      <c r="AQ233" s="94" t="str">
        <f t="shared" si="44"/>
        <v/>
      </c>
      <c r="AR233" s="46" t="str">
        <f>IF($AE233="","",VLOOKUP($AE233,'ORF Accuracy Value LookUp'!$G$4:$H$104,2,TRUE))</f>
        <v/>
      </c>
      <c r="AS233" s="140" t="str">
        <f t="shared" si="45"/>
        <v/>
      </c>
    </row>
    <row r="234" spans="1:45">
      <c r="A234" s="10"/>
      <c r="B234" s="9"/>
      <c r="C234" s="9"/>
      <c r="D234" s="9"/>
      <c r="E234" s="10"/>
      <c r="F234" s="11"/>
      <c r="G234" s="15"/>
      <c r="H234" s="88"/>
      <c r="I234" s="24"/>
      <c r="J234" s="24"/>
      <c r="K234" s="114" t="str">
        <f t="shared" si="36"/>
        <v/>
      </c>
      <c r="L234" s="24"/>
      <c r="M234" s="24"/>
      <c r="N234" s="24"/>
      <c r="O234" s="24"/>
      <c r="P234" s="97" t="str">
        <f t="shared" si="37"/>
        <v/>
      </c>
      <c r="Q234" s="113" t="str">
        <f t="shared" si="38"/>
        <v/>
      </c>
      <c r="R234" s="88"/>
      <c r="S234" s="24"/>
      <c r="T234" s="24"/>
      <c r="U234" s="78" t="str">
        <f t="shared" si="39"/>
        <v/>
      </c>
      <c r="V234" s="24"/>
      <c r="W234" s="24"/>
      <c r="X234" s="24"/>
      <c r="Y234" s="24"/>
      <c r="Z234" s="98" t="str">
        <f t="shared" si="40"/>
        <v/>
      </c>
      <c r="AA234" s="40" t="str">
        <f t="shared" si="46"/>
        <v/>
      </c>
      <c r="AB234" s="88"/>
      <c r="AC234" s="24"/>
      <c r="AD234" s="24"/>
      <c r="AE234" s="79" t="str">
        <f t="shared" si="41"/>
        <v/>
      </c>
      <c r="AF234" s="24"/>
      <c r="AG234" s="24"/>
      <c r="AH234" s="24"/>
      <c r="AI234" s="24"/>
      <c r="AJ234" s="99" t="str">
        <f t="shared" si="42"/>
        <v/>
      </c>
      <c r="AK234" s="31" t="str">
        <f t="shared" si="47"/>
        <v/>
      </c>
      <c r="AN234" s="139" t="str">
        <f>IF($K234="","",VLOOKUP($K234,'ORF Accuracy Value LookUp'!$G$4:$H$104,2,TRUE))</f>
        <v/>
      </c>
      <c r="AO234" s="94" t="str">
        <f t="shared" si="43"/>
        <v/>
      </c>
      <c r="AP234" s="47" t="str">
        <f>IF($U234="","",VLOOKUP($U234,'ORF Accuracy Value LookUp'!$G$4:$H$104,2,TRUE))</f>
        <v/>
      </c>
      <c r="AQ234" s="94" t="str">
        <f t="shared" si="44"/>
        <v/>
      </c>
      <c r="AR234" s="46" t="str">
        <f>IF($AE234="","",VLOOKUP($AE234,'ORF Accuracy Value LookUp'!$G$4:$H$104,2,TRUE))</f>
        <v/>
      </c>
      <c r="AS234" s="140" t="str">
        <f t="shared" si="45"/>
        <v/>
      </c>
    </row>
    <row r="235" spans="1:45">
      <c r="A235" s="10"/>
      <c r="B235" s="9"/>
      <c r="C235" s="9"/>
      <c r="D235" s="9"/>
      <c r="E235" s="10"/>
      <c r="F235" s="11"/>
      <c r="G235" s="15"/>
      <c r="H235" s="88"/>
      <c r="I235" s="24"/>
      <c r="J235" s="24"/>
      <c r="K235" s="114" t="str">
        <f t="shared" si="36"/>
        <v/>
      </c>
      <c r="L235" s="24"/>
      <c r="M235" s="24"/>
      <c r="N235" s="24"/>
      <c r="O235" s="24"/>
      <c r="P235" s="97" t="str">
        <f t="shared" si="37"/>
        <v/>
      </c>
      <c r="Q235" s="113" t="str">
        <f t="shared" si="38"/>
        <v/>
      </c>
      <c r="R235" s="88"/>
      <c r="S235" s="24"/>
      <c r="T235" s="24"/>
      <c r="U235" s="78" t="str">
        <f t="shared" si="39"/>
        <v/>
      </c>
      <c r="V235" s="24"/>
      <c r="W235" s="24"/>
      <c r="X235" s="24"/>
      <c r="Y235" s="24"/>
      <c r="Z235" s="98" t="str">
        <f t="shared" si="40"/>
        <v/>
      </c>
      <c r="AA235" s="40" t="str">
        <f t="shared" si="46"/>
        <v/>
      </c>
      <c r="AB235" s="88"/>
      <c r="AC235" s="24"/>
      <c r="AD235" s="24"/>
      <c r="AE235" s="79" t="str">
        <f t="shared" si="41"/>
        <v/>
      </c>
      <c r="AF235" s="24"/>
      <c r="AG235" s="24"/>
      <c r="AH235" s="24"/>
      <c r="AI235" s="24"/>
      <c r="AJ235" s="99" t="str">
        <f t="shared" si="42"/>
        <v/>
      </c>
      <c r="AK235" s="31" t="str">
        <f t="shared" si="47"/>
        <v/>
      </c>
      <c r="AN235" s="139" t="str">
        <f>IF($K235="","",VLOOKUP($K235,'ORF Accuracy Value LookUp'!$G$4:$H$104,2,TRUE))</f>
        <v/>
      </c>
      <c r="AO235" s="94" t="str">
        <f t="shared" si="43"/>
        <v/>
      </c>
      <c r="AP235" s="47" t="str">
        <f>IF($U235="","",VLOOKUP($U235,'ORF Accuracy Value LookUp'!$G$4:$H$104,2,TRUE))</f>
        <v/>
      </c>
      <c r="AQ235" s="94" t="str">
        <f t="shared" si="44"/>
        <v/>
      </c>
      <c r="AR235" s="46" t="str">
        <f>IF($AE235="","",VLOOKUP($AE235,'ORF Accuracy Value LookUp'!$G$4:$H$104,2,TRUE))</f>
        <v/>
      </c>
      <c r="AS235" s="140" t="str">
        <f t="shared" si="45"/>
        <v/>
      </c>
    </row>
    <row r="236" spans="1:45">
      <c r="A236" s="10"/>
      <c r="B236" s="9"/>
      <c r="C236" s="9"/>
      <c r="D236" s="9"/>
      <c r="E236" s="10"/>
      <c r="F236" s="11"/>
      <c r="G236" s="15"/>
      <c r="H236" s="88"/>
      <c r="I236" s="24"/>
      <c r="J236" s="24"/>
      <c r="K236" s="114" t="str">
        <f t="shared" si="36"/>
        <v/>
      </c>
      <c r="L236" s="24"/>
      <c r="M236" s="24"/>
      <c r="N236" s="24"/>
      <c r="O236" s="24"/>
      <c r="P236" s="97" t="str">
        <f t="shared" si="37"/>
        <v/>
      </c>
      <c r="Q236" s="113" t="str">
        <f t="shared" si="38"/>
        <v/>
      </c>
      <c r="R236" s="88"/>
      <c r="S236" s="24"/>
      <c r="T236" s="24"/>
      <c r="U236" s="78" t="str">
        <f t="shared" si="39"/>
        <v/>
      </c>
      <c r="V236" s="24"/>
      <c r="W236" s="24"/>
      <c r="X236" s="24"/>
      <c r="Y236" s="24"/>
      <c r="Z236" s="98" t="str">
        <f t="shared" si="40"/>
        <v/>
      </c>
      <c r="AA236" s="40" t="str">
        <f t="shared" si="46"/>
        <v/>
      </c>
      <c r="AB236" s="88"/>
      <c r="AC236" s="24"/>
      <c r="AD236" s="24"/>
      <c r="AE236" s="79" t="str">
        <f t="shared" si="41"/>
        <v/>
      </c>
      <c r="AF236" s="24"/>
      <c r="AG236" s="24"/>
      <c r="AH236" s="24"/>
      <c r="AI236" s="24"/>
      <c r="AJ236" s="99" t="str">
        <f t="shared" si="42"/>
        <v/>
      </c>
      <c r="AK236" s="31" t="str">
        <f t="shared" si="47"/>
        <v/>
      </c>
      <c r="AN236" s="139" t="str">
        <f>IF($K236="","",VLOOKUP($K236,'ORF Accuracy Value LookUp'!$G$4:$H$104,2,TRUE))</f>
        <v/>
      </c>
      <c r="AO236" s="94" t="str">
        <f t="shared" si="43"/>
        <v/>
      </c>
      <c r="AP236" s="47" t="str">
        <f>IF($U236="","",VLOOKUP($U236,'ORF Accuracy Value LookUp'!$G$4:$H$104,2,TRUE))</f>
        <v/>
      </c>
      <c r="AQ236" s="94" t="str">
        <f t="shared" si="44"/>
        <v/>
      </c>
      <c r="AR236" s="46" t="str">
        <f>IF($AE236="","",VLOOKUP($AE236,'ORF Accuracy Value LookUp'!$G$4:$H$104,2,TRUE))</f>
        <v/>
      </c>
      <c r="AS236" s="140" t="str">
        <f t="shared" si="45"/>
        <v/>
      </c>
    </row>
    <row r="237" spans="1:45">
      <c r="A237" s="10"/>
      <c r="B237" s="9"/>
      <c r="C237" s="9"/>
      <c r="D237" s="9"/>
      <c r="E237" s="10"/>
      <c r="F237" s="11"/>
      <c r="G237" s="15"/>
      <c r="H237" s="88"/>
      <c r="I237" s="24"/>
      <c r="J237" s="24"/>
      <c r="K237" s="114" t="str">
        <f t="shared" si="36"/>
        <v/>
      </c>
      <c r="L237" s="24"/>
      <c r="M237" s="24"/>
      <c r="N237" s="24"/>
      <c r="O237" s="24"/>
      <c r="P237" s="97" t="str">
        <f t="shared" si="37"/>
        <v/>
      </c>
      <c r="Q237" s="113" t="str">
        <f t="shared" si="38"/>
        <v/>
      </c>
      <c r="R237" s="88"/>
      <c r="S237" s="24"/>
      <c r="T237" s="24"/>
      <c r="U237" s="78" t="str">
        <f t="shared" si="39"/>
        <v/>
      </c>
      <c r="V237" s="24"/>
      <c r="W237" s="24"/>
      <c r="X237" s="24"/>
      <c r="Y237" s="24"/>
      <c r="Z237" s="98" t="str">
        <f t="shared" si="40"/>
        <v/>
      </c>
      <c r="AA237" s="40" t="str">
        <f t="shared" si="46"/>
        <v/>
      </c>
      <c r="AB237" s="88"/>
      <c r="AC237" s="24"/>
      <c r="AD237" s="24"/>
      <c r="AE237" s="79" t="str">
        <f t="shared" si="41"/>
        <v/>
      </c>
      <c r="AF237" s="24"/>
      <c r="AG237" s="24"/>
      <c r="AH237" s="24"/>
      <c r="AI237" s="24"/>
      <c r="AJ237" s="99" t="str">
        <f t="shared" si="42"/>
        <v/>
      </c>
      <c r="AK237" s="31" t="str">
        <f t="shared" si="47"/>
        <v/>
      </c>
      <c r="AN237" s="139" t="str">
        <f>IF($K237="","",VLOOKUP($K237,'ORF Accuracy Value LookUp'!$G$4:$H$104,2,TRUE))</f>
        <v/>
      </c>
      <c r="AO237" s="94" t="str">
        <f t="shared" si="43"/>
        <v/>
      </c>
      <c r="AP237" s="47" t="str">
        <f>IF($U237="","",VLOOKUP($U237,'ORF Accuracy Value LookUp'!$G$4:$H$104,2,TRUE))</f>
        <v/>
      </c>
      <c r="AQ237" s="94" t="str">
        <f t="shared" si="44"/>
        <v/>
      </c>
      <c r="AR237" s="46" t="str">
        <f>IF($AE237="","",VLOOKUP($AE237,'ORF Accuracy Value LookUp'!$G$4:$H$104,2,TRUE))</f>
        <v/>
      </c>
      <c r="AS237" s="140" t="str">
        <f t="shared" si="45"/>
        <v/>
      </c>
    </row>
    <row r="238" spans="1:45">
      <c r="A238" s="10"/>
      <c r="B238" s="9"/>
      <c r="C238" s="9"/>
      <c r="D238" s="9"/>
      <c r="E238" s="10"/>
      <c r="F238" s="11"/>
      <c r="G238" s="15"/>
      <c r="H238" s="88"/>
      <c r="I238" s="24"/>
      <c r="J238" s="24"/>
      <c r="K238" s="114" t="str">
        <f t="shared" si="36"/>
        <v/>
      </c>
      <c r="L238" s="24"/>
      <c r="M238" s="24"/>
      <c r="N238" s="24"/>
      <c r="O238" s="24"/>
      <c r="P238" s="97" t="str">
        <f t="shared" si="37"/>
        <v/>
      </c>
      <c r="Q238" s="113" t="str">
        <f t="shared" si="38"/>
        <v/>
      </c>
      <c r="R238" s="88"/>
      <c r="S238" s="24"/>
      <c r="T238" s="24"/>
      <c r="U238" s="78" t="str">
        <f t="shared" si="39"/>
        <v/>
      </c>
      <c r="V238" s="24"/>
      <c r="W238" s="24"/>
      <c r="X238" s="24"/>
      <c r="Y238" s="24"/>
      <c r="Z238" s="98" t="str">
        <f t="shared" si="40"/>
        <v/>
      </c>
      <c r="AA238" s="40" t="str">
        <f t="shared" si="46"/>
        <v/>
      </c>
      <c r="AB238" s="88"/>
      <c r="AC238" s="24"/>
      <c r="AD238" s="24"/>
      <c r="AE238" s="79" t="str">
        <f t="shared" si="41"/>
        <v/>
      </c>
      <c r="AF238" s="24"/>
      <c r="AG238" s="24"/>
      <c r="AH238" s="24"/>
      <c r="AI238" s="24"/>
      <c r="AJ238" s="99" t="str">
        <f t="shared" si="42"/>
        <v/>
      </c>
      <c r="AK238" s="31" t="str">
        <f t="shared" si="47"/>
        <v/>
      </c>
      <c r="AN238" s="139" t="str">
        <f>IF($K238="","",VLOOKUP($K238,'ORF Accuracy Value LookUp'!$G$4:$H$104,2,TRUE))</f>
        <v/>
      </c>
      <c r="AO238" s="94" t="str">
        <f t="shared" si="43"/>
        <v/>
      </c>
      <c r="AP238" s="47" t="str">
        <f>IF($U238="","",VLOOKUP($U238,'ORF Accuracy Value LookUp'!$G$4:$H$104,2,TRUE))</f>
        <v/>
      </c>
      <c r="AQ238" s="94" t="str">
        <f t="shared" si="44"/>
        <v/>
      </c>
      <c r="AR238" s="46" t="str">
        <f>IF($AE238="","",VLOOKUP($AE238,'ORF Accuracy Value LookUp'!$G$4:$H$104,2,TRUE))</f>
        <v/>
      </c>
      <c r="AS238" s="140" t="str">
        <f t="shared" si="45"/>
        <v/>
      </c>
    </row>
    <row r="239" spans="1:45">
      <c r="A239" s="10"/>
      <c r="B239" s="9"/>
      <c r="C239" s="9"/>
      <c r="D239" s="9"/>
      <c r="E239" s="10"/>
      <c r="F239" s="11"/>
      <c r="G239" s="15"/>
      <c r="H239" s="88"/>
      <c r="I239" s="24"/>
      <c r="J239" s="24"/>
      <c r="K239" s="114" t="str">
        <f t="shared" si="36"/>
        <v/>
      </c>
      <c r="L239" s="24"/>
      <c r="M239" s="24"/>
      <c r="N239" s="24"/>
      <c r="O239" s="24"/>
      <c r="P239" s="97" t="str">
        <f t="shared" si="37"/>
        <v/>
      </c>
      <c r="Q239" s="113" t="str">
        <f t="shared" si="38"/>
        <v/>
      </c>
      <c r="R239" s="88"/>
      <c r="S239" s="24"/>
      <c r="T239" s="24"/>
      <c r="U239" s="78" t="str">
        <f t="shared" si="39"/>
        <v/>
      </c>
      <c r="V239" s="24"/>
      <c r="W239" s="24"/>
      <c r="X239" s="24"/>
      <c r="Y239" s="24"/>
      <c r="Z239" s="98" t="str">
        <f t="shared" si="40"/>
        <v/>
      </c>
      <c r="AA239" s="40" t="str">
        <f t="shared" si="46"/>
        <v/>
      </c>
      <c r="AB239" s="88"/>
      <c r="AC239" s="24"/>
      <c r="AD239" s="24"/>
      <c r="AE239" s="79" t="str">
        <f t="shared" si="41"/>
        <v/>
      </c>
      <c r="AF239" s="24"/>
      <c r="AG239" s="24"/>
      <c r="AH239" s="24"/>
      <c r="AI239" s="24"/>
      <c r="AJ239" s="99" t="str">
        <f t="shared" si="42"/>
        <v/>
      </c>
      <c r="AK239" s="31" t="str">
        <f t="shared" si="47"/>
        <v/>
      </c>
      <c r="AN239" s="139" t="str">
        <f>IF($K239="","",VLOOKUP($K239,'ORF Accuracy Value LookUp'!$G$4:$H$104,2,TRUE))</f>
        <v/>
      </c>
      <c r="AO239" s="94" t="str">
        <f t="shared" si="43"/>
        <v/>
      </c>
      <c r="AP239" s="47" t="str">
        <f>IF($U239="","",VLOOKUP($U239,'ORF Accuracy Value LookUp'!$G$4:$H$104,2,TRUE))</f>
        <v/>
      </c>
      <c r="AQ239" s="94" t="str">
        <f t="shared" si="44"/>
        <v/>
      </c>
      <c r="AR239" s="46" t="str">
        <f>IF($AE239="","",VLOOKUP($AE239,'ORF Accuracy Value LookUp'!$G$4:$H$104,2,TRUE))</f>
        <v/>
      </c>
      <c r="AS239" s="140" t="str">
        <f t="shared" si="45"/>
        <v/>
      </c>
    </row>
    <row r="240" spans="1:45">
      <c r="A240" s="10"/>
      <c r="B240" s="9"/>
      <c r="C240" s="9"/>
      <c r="D240" s="9"/>
      <c r="E240" s="10"/>
      <c r="F240" s="11"/>
      <c r="G240" s="15"/>
      <c r="H240" s="88"/>
      <c r="I240" s="24"/>
      <c r="J240" s="24"/>
      <c r="K240" s="114" t="str">
        <f t="shared" si="36"/>
        <v/>
      </c>
      <c r="L240" s="24"/>
      <c r="M240" s="24"/>
      <c r="N240" s="24"/>
      <c r="O240" s="24"/>
      <c r="P240" s="97" t="str">
        <f t="shared" si="37"/>
        <v/>
      </c>
      <c r="Q240" s="113" t="str">
        <f t="shared" si="38"/>
        <v/>
      </c>
      <c r="R240" s="88"/>
      <c r="S240" s="24"/>
      <c r="T240" s="24"/>
      <c r="U240" s="78" t="str">
        <f t="shared" si="39"/>
        <v/>
      </c>
      <c r="V240" s="24"/>
      <c r="W240" s="24"/>
      <c r="X240" s="24"/>
      <c r="Y240" s="24"/>
      <c r="Z240" s="98" t="str">
        <f t="shared" si="40"/>
        <v/>
      </c>
      <c r="AA240" s="40" t="str">
        <f t="shared" si="46"/>
        <v/>
      </c>
      <c r="AB240" s="88"/>
      <c r="AC240" s="24"/>
      <c r="AD240" s="24"/>
      <c r="AE240" s="79" t="str">
        <f t="shared" si="41"/>
        <v/>
      </c>
      <c r="AF240" s="24"/>
      <c r="AG240" s="24"/>
      <c r="AH240" s="24"/>
      <c r="AI240" s="24"/>
      <c r="AJ240" s="99" t="str">
        <f t="shared" si="42"/>
        <v/>
      </c>
      <c r="AK240" s="31" t="str">
        <f t="shared" si="47"/>
        <v/>
      </c>
      <c r="AN240" s="139" t="str">
        <f>IF($K240="","",VLOOKUP($K240,'ORF Accuracy Value LookUp'!$G$4:$H$104,2,TRUE))</f>
        <v/>
      </c>
      <c r="AO240" s="94" t="str">
        <f t="shared" si="43"/>
        <v/>
      </c>
      <c r="AP240" s="47" t="str">
        <f>IF($U240="","",VLOOKUP($U240,'ORF Accuracy Value LookUp'!$G$4:$H$104,2,TRUE))</f>
        <v/>
      </c>
      <c r="AQ240" s="94" t="str">
        <f t="shared" si="44"/>
        <v/>
      </c>
      <c r="AR240" s="46" t="str">
        <f>IF($AE240="","",VLOOKUP($AE240,'ORF Accuracy Value LookUp'!$G$4:$H$104,2,TRUE))</f>
        <v/>
      </c>
      <c r="AS240" s="140" t="str">
        <f t="shared" si="45"/>
        <v/>
      </c>
    </row>
    <row r="241" spans="1:45">
      <c r="A241" s="10"/>
      <c r="B241" s="9"/>
      <c r="C241" s="9"/>
      <c r="D241" s="9"/>
      <c r="E241" s="10"/>
      <c r="F241" s="11"/>
      <c r="G241" s="15"/>
      <c r="H241" s="88"/>
      <c r="I241" s="24"/>
      <c r="J241" s="24"/>
      <c r="K241" s="114" t="str">
        <f t="shared" si="36"/>
        <v/>
      </c>
      <c r="L241" s="24"/>
      <c r="M241" s="24"/>
      <c r="N241" s="24"/>
      <c r="O241" s="24"/>
      <c r="P241" s="97" t="str">
        <f t="shared" si="37"/>
        <v/>
      </c>
      <c r="Q241" s="113" t="str">
        <f t="shared" si="38"/>
        <v/>
      </c>
      <c r="R241" s="88"/>
      <c r="S241" s="24"/>
      <c r="T241" s="24"/>
      <c r="U241" s="78" t="str">
        <f t="shared" si="39"/>
        <v/>
      </c>
      <c r="V241" s="24"/>
      <c r="W241" s="24"/>
      <c r="X241" s="24"/>
      <c r="Y241" s="24"/>
      <c r="Z241" s="98" t="str">
        <f t="shared" si="40"/>
        <v/>
      </c>
      <c r="AA241" s="40" t="str">
        <f t="shared" si="46"/>
        <v/>
      </c>
      <c r="AB241" s="88"/>
      <c r="AC241" s="24"/>
      <c r="AD241" s="24"/>
      <c r="AE241" s="79" t="str">
        <f t="shared" si="41"/>
        <v/>
      </c>
      <c r="AF241" s="24"/>
      <c r="AG241" s="24"/>
      <c r="AH241" s="24"/>
      <c r="AI241" s="24"/>
      <c r="AJ241" s="99" t="str">
        <f t="shared" si="42"/>
        <v/>
      </c>
      <c r="AK241" s="31" t="str">
        <f t="shared" si="47"/>
        <v/>
      </c>
      <c r="AN241" s="139" t="str">
        <f>IF($K241="","",VLOOKUP($K241,'ORF Accuracy Value LookUp'!$G$4:$H$104,2,TRUE))</f>
        <v/>
      </c>
      <c r="AO241" s="94" t="str">
        <f t="shared" si="43"/>
        <v/>
      </c>
      <c r="AP241" s="47" t="str">
        <f>IF($U241="","",VLOOKUP($U241,'ORF Accuracy Value LookUp'!$G$4:$H$104,2,TRUE))</f>
        <v/>
      </c>
      <c r="AQ241" s="94" t="str">
        <f t="shared" si="44"/>
        <v/>
      </c>
      <c r="AR241" s="46" t="str">
        <f>IF($AE241="","",VLOOKUP($AE241,'ORF Accuracy Value LookUp'!$G$4:$H$104,2,TRUE))</f>
        <v/>
      </c>
      <c r="AS241" s="140" t="str">
        <f t="shared" si="45"/>
        <v/>
      </c>
    </row>
    <row r="242" spans="1:45">
      <c r="A242" s="10"/>
      <c r="B242" s="9"/>
      <c r="C242" s="9"/>
      <c r="D242" s="9"/>
      <c r="E242" s="10"/>
      <c r="F242" s="11"/>
      <c r="G242" s="15"/>
      <c r="H242" s="88"/>
      <c r="I242" s="24"/>
      <c r="J242" s="24"/>
      <c r="K242" s="114" t="str">
        <f t="shared" si="36"/>
        <v/>
      </c>
      <c r="L242" s="24"/>
      <c r="M242" s="24"/>
      <c r="N242" s="24"/>
      <c r="O242" s="24"/>
      <c r="P242" s="97" t="str">
        <f t="shared" si="37"/>
        <v/>
      </c>
      <c r="Q242" s="113" t="str">
        <f t="shared" si="38"/>
        <v/>
      </c>
      <c r="R242" s="88"/>
      <c r="S242" s="24"/>
      <c r="T242" s="24"/>
      <c r="U242" s="78" t="str">
        <f t="shared" si="39"/>
        <v/>
      </c>
      <c r="V242" s="24"/>
      <c r="W242" s="24"/>
      <c r="X242" s="24"/>
      <c r="Y242" s="24"/>
      <c r="Z242" s="98" t="str">
        <f t="shared" si="40"/>
        <v/>
      </c>
      <c r="AA242" s="40" t="str">
        <f t="shared" si="46"/>
        <v/>
      </c>
      <c r="AB242" s="88"/>
      <c r="AC242" s="24"/>
      <c r="AD242" s="24"/>
      <c r="AE242" s="79" t="str">
        <f t="shared" si="41"/>
        <v/>
      </c>
      <c r="AF242" s="24"/>
      <c r="AG242" s="24"/>
      <c r="AH242" s="24"/>
      <c r="AI242" s="24"/>
      <c r="AJ242" s="99" t="str">
        <f t="shared" si="42"/>
        <v/>
      </c>
      <c r="AK242" s="31" t="str">
        <f t="shared" si="47"/>
        <v/>
      </c>
      <c r="AN242" s="139" t="str">
        <f>IF($K242="","",VLOOKUP($K242,'ORF Accuracy Value LookUp'!$G$4:$H$104,2,TRUE))</f>
        <v/>
      </c>
      <c r="AO242" s="94" t="str">
        <f t="shared" si="43"/>
        <v/>
      </c>
      <c r="AP242" s="47" t="str">
        <f>IF($U242="","",VLOOKUP($U242,'ORF Accuracy Value LookUp'!$G$4:$H$104,2,TRUE))</f>
        <v/>
      </c>
      <c r="AQ242" s="94" t="str">
        <f t="shared" si="44"/>
        <v/>
      </c>
      <c r="AR242" s="46" t="str">
        <f>IF($AE242="","",VLOOKUP($AE242,'ORF Accuracy Value LookUp'!$G$4:$H$104,2,TRUE))</f>
        <v/>
      </c>
      <c r="AS242" s="140" t="str">
        <f t="shared" si="45"/>
        <v/>
      </c>
    </row>
    <row r="243" spans="1:45">
      <c r="A243" s="10"/>
      <c r="B243" s="9"/>
      <c r="C243" s="9"/>
      <c r="D243" s="9"/>
      <c r="E243" s="10"/>
      <c r="F243" s="11"/>
      <c r="G243" s="15"/>
      <c r="H243" s="88"/>
      <c r="I243" s="24"/>
      <c r="J243" s="24"/>
      <c r="K243" s="114" t="str">
        <f t="shared" si="36"/>
        <v/>
      </c>
      <c r="L243" s="24"/>
      <c r="M243" s="24"/>
      <c r="N243" s="24"/>
      <c r="O243" s="24"/>
      <c r="P243" s="97" t="str">
        <f t="shared" si="37"/>
        <v/>
      </c>
      <c r="Q243" s="113" t="str">
        <f t="shared" si="38"/>
        <v/>
      </c>
      <c r="R243" s="88"/>
      <c r="S243" s="24"/>
      <c r="T243" s="24"/>
      <c r="U243" s="78" t="str">
        <f t="shared" si="39"/>
        <v/>
      </c>
      <c r="V243" s="24"/>
      <c r="W243" s="24"/>
      <c r="X243" s="24"/>
      <c r="Y243" s="24"/>
      <c r="Z243" s="98" t="str">
        <f t="shared" si="40"/>
        <v/>
      </c>
      <c r="AA243" s="40" t="str">
        <f t="shared" si="46"/>
        <v/>
      </c>
      <c r="AB243" s="88"/>
      <c r="AC243" s="24"/>
      <c r="AD243" s="24"/>
      <c r="AE243" s="79" t="str">
        <f t="shared" si="41"/>
        <v/>
      </c>
      <c r="AF243" s="24"/>
      <c r="AG243" s="24"/>
      <c r="AH243" s="24"/>
      <c r="AI243" s="24"/>
      <c r="AJ243" s="99" t="str">
        <f t="shared" si="42"/>
        <v/>
      </c>
      <c r="AK243" s="31" t="str">
        <f t="shared" si="47"/>
        <v/>
      </c>
      <c r="AN243" s="139" t="str">
        <f>IF($K243="","",VLOOKUP($K243,'ORF Accuracy Value LookUp'!$G$4:$H$104,2,TRUE))</f>
        <v/>
      </c>
      <c r="AO243" s="94" t="str">
        <f t="shared" si="43"/>
        <v/>
      </c>
      <c r="AP243" s="47" t="str">
        <f>IF($U243="","",VLOOKUP($U243,'ORF Accuracy Value LookUp'!$G$4:$H$104,2,TRUE))</f>
        <v/>
      </c>
      <c r="AQ243" s="94" t="str">
        <f t="shared" si="44"/>
        <v/>
      </c>
      <c r="AR243" s="46" t="str">
        <f>IF($AE243="","",VLOOKUP($AE243,'ORF Accuracy Value LookUp'!$G$4:$H$104,2,TRUE))</f>
        <v/>
      </c>
      <c r="AS243" s="140" t="str">
        <f t="shared" si="45"/>
        <v/>
      </c>
    </row>
    <row r="244" spans="1:45">
      <c r="A244" s="10"/>
      <c r="B244" s="9"/>
      <c r="C244" s="9"/>
      <c r="D244" s="9"/>
      <c r="E244" s="10"/>
      <c r="F244" s="11"/>
      <c r="G244" s="15"/>
      <c r="H244" s="88"/>
      <c r="I244" s="24"/>
      <c r="J244" s="24"/>
      <c r="K244" s="114" t="str">
        <f t="shared" si="36"/>
        <v/>
      </c>
      <c r="L244" s="24"/>
      <c r="M244" s="24"/>
      <c r="N244" s="24"/>
      <c r="O244" s="24"/>
      <c r="P244" s="97" t="str">
        <f t="shared" si="37"/>
        <v/>
      </c>
      <c r="Q244" s="113" t="str">
        <f t="shared" si="38"/>
        <v/>
      </c>
      <c r="R244" s="88"/>
      <c r="S244" s="24"/>
      <c r="T244" s="24"/>
      <c r="U244" s="78" t="str">
        <f t="shared" si="39"/>
        <v/>
      </c>
      <c r="V244" s="24"/>
      <c r="W244" s="24"/>
      <c r="X244" s="24"/>
      <c r="Y244" s="24"/>
      <c r="Z244" s="98" t="str">
        <f t="shared" si="40"/>
        <v/>
      </c>
      <c r="AA244" s="40" t="str">
        <f t="shared" si="46"/>
        <v/>
      </c>
      <c r="AB244" s="88"/>
      <c r="AC244" s="24"/>
      <c r="AD244" s="24"/>
      <c r="AE244" s="79" t="str">
        <f t="shared" si="41"/>
        <v/>
      </c>
      <c r="AF244" s="24"/>
      <c r="AG244" s="24"/>
      <c r="AH244" s="24"/>
      <c r="AI244" s="24"/>
      <c r="AJ244" s="99" t="str">
        <f t="shared" si="42"/>
        <v/>
      </c>
      <c r="AK244" s="31" t="str">
        <f t="shared" si="47"/>
        <v/>
      </c>
      <c r="AN244" s="139" t="str">
        <f>IF($K244="","",VLOOKUP($K244,'ORF Accuracy Value LookUp'!$G$4:$H$104,2,TRUE))</f>
        <v/>
      </c>
      <c r="AO244" s="94" t="str">
        <f t="shared" si="43"/>
        <v/>
      </c>
      <c r="AP244" s="47" t="str">
        <f>IF($U244="","",VLOOKUP($U244,'ORF Accuracy Value LookUp'!$G$4:$H$104,2,TRUE))</f>
        <v/>
      </c>
      <c r="AQ244" s="94" t="str">
        <f t="shared" si="44"/>
        <v/>
      </c>
      <c r="AR244" s="46" t="str">
        <f>IF($AE244="","",VLOOKUP($AE244,'ORF Accuracy Value LookUp'!$G$4:$H$104,2,TRUE))</f>
        <v/>
      </c>
      <c r="AS244" s="140" t="str">
        <f t="shared" si="45"/>
        <v/>
      </c>
    </row>
    <row r="245" spans="1:45">
      <c r="A245" s="10"/>
      <c r="B245" s="9"/>
      <c r="C245" s="9"/>
      <c r="D245" s="9"/>
      <c r="E245" s="10"/>
      <c r="F245" s="11"/>
      <c r="G245" s="15"/>
      <c r="H245" s="88"/>
      <c r="I245" s="24"/>
      <c r="J245" s="24"/>
      <c r="K245" s="114" t="str">
        <f t="shared" si="36"/>
        <v/>
      </c>
      <c r="L245" s="24"/>
      <c r="M245" s="24"/>
      <c r="N245" s="24"/>
      <c r="O245" s="24"/>
      <c r="P245" s="97" t="str">
        <f t="shared" si="37"/>
        <v/>
      </c>
      <c r="Q245" s="113" t="str">
        <f t="shared" si="38"/>
        <v/>
      </c>
      <c r="R245" s="88"/>
      <c r="S245" s="24"/>
      <c r="T245" s="24"/>
      <c r="U245" s="78" t="str">
        <f t="shared" si="39"/>
        <v/>
      </c>
      <c r="V245" s="24"/>
      <c r="W245" s="24"/>
      <c r="X245" s="24"/>
      <c r="Y245" s="24"/>
      <c r="Z245" s="98" t="str">
        <f t="shared" si="40"/>
        <v/>
      </c>
      <c r="AA245" s="40" t="str">
        <f t="shared" si="46"/>
        <v/>
      </c>
      <c r="AB245" s="88"/>
      <c r="AC245" s="24"/>
      <c r="AD245" s="24"/>
      <c r="AE245" s="79" t="str">
        <f t="shared" si="41"/>
        <v/>
      </c>
      <c r="AF245" s="24"/>
      <c r="AG245" s="24"/>
      <c r="AH245" s="24"/>
      <c r="AI245" s="24"/>
      <c r="AJ245" s="99" t="str">
        <f t="shared" si="42"/>
        <v/>
      </c>
      <c r="AK245" s="31" t="str">
        <f t="shared" si="47"/>
        <v/>
      </c>
      <c r="AN245" s="139" t="str">
        <f>IF($K245="","",VLOOKUP($K245,'ORF Accuracy Value LookUp'!$G$4:$H$104,2,TRUE))</f>
        <v/>
      </c>
      <c r="AO245" s="94" t="str">
        <f t="shared" si="43"/>
        <v/>
      </c>
      <c r="AP245" s="47" t="str">
        <f>IF($U245="","",VLOOKUP($U245,'ORF Accuracy Value LookUp'!$G$4:$H$104,2,TRUE))</f>
        <v/>
      </c>
      <c r="AQ245" s="94" t="str">
        <f t="shared" si="44"/>
        <v/>
      </c>
      <c r="AR245" s="46" t="str">
        <f>IF($AE245="","",VLOOKUP($AE245,'ORF Accuracy Value LookUp'!$G$4:$H$104,2,TRUE))</f>
        <v/>
      </c>
      <c r="AS245" s="140" t="str">
        <f t="shared" si="45"/>
        <v/>
      </c>
    </row>
    <row r="246" spans="1:45">
      <c r="A246" s="10"/>
      <c r="B246" s="9"/>
      <c r="C246" s="9"/>
      <c r="D246" s="9"/>
      <c r="E246" s="10"/>
      <c r="F246" s="11"/>
      <c r="G246" s="15"/>
      <c r="H246" s="88"/>
      <c r="I246" s="24"/>
      <c r="J246" s="24"/>
      <c r="K246" s="114" t="str">
        <f t="shared" si="36"/>
        <v/>
      </c>
      <c r="L246" s="24"/>
      <c r="M246" s="24"/>
      <c r="N246" s="24"/>
      <c r="O246" s="24"/>
      <c r="P246" s="97" t="str">
        <f t="shared" si="37"/>
        <v/>
      </c>
      <c r="Q246" s="113" t="str">
        <f t="shared" si="38"/>
        <v/>
      </c>
      <c r="R246" s="88"/>
      <c r="S246" s="24"/>
      <c r="T246" s="24"/>
      <c r="U246" s="78" t="str">
        <f t="shared" si="39"/>
        <v/>
      </c>
      <c r="V246" s="24"/>
      <c r="W246" s="24"/>
      <c r="X246" s="24"/>
      <c r="Y246" s="24"/>
      <c r="Z246" s="98" t="str">
        <f t="shared" si="40"/>
        <v/>
      </c>
      <c r="AA246" s="40" t="str">
        <f t="shared" si="46"/>
        <v/>
      </c>
      <c r="AB246" s="88"/>
      <c r="AC246" s="24"/>
      <c r="AD246" s="24"/>
      <c r="AE246" s="79" t="str">
        <f t="shared" si="41"/>
        <v/>
      </c>
      <c r="AF246" s="24"/>
      <c r="AG246" s="24"/>
      <c r="AH246" s="24"/>
      <c r="AI246" s="24"/>
      <c r="AJ246" s="99" t="str">
        <f t="shared" si="42"/>
        <v/>
      </c>
      <c r="AK246" s="31" t="str">
        <f t="shared" si="47"/>
        <v/>
      </c>
      <c r="AN246" s="139" t="str">
        <f>IF($K246="","",VLOOKUP($K246,'ORF Accuracy Value LookUp'!$G$4:$H$104,2,TRUE))</f>
        <v/>
      </c>
      <c r="AO246" s="94" t="str">
        <f t="shared" si="43"/>
        <v/>
      </c>
      <c r="AP246" s="47" t="str">
        <f>IF($U246="","",VLOOKUP($U246,'ORF Accuracy Value LookUp'!$G$4:$H$104,2,TRUE))</f>
        <v/>
      </c>
      <c r="AQ246" s="94" t="str">
        <f t="shared" si="44"/>
        <v/>
      </c>
      <c r="AR246" s="46" t="str">
        <f>IF($AE246="","",VLOOKUP($AE246,'ORF Accuracy Value LookUp'!$G$4:$H$104,2,TRUE))</f>
        <v/>
      </c>
      <c r="AS246" s="140" t="str">
        <f t="shared" si="45"/>
        <v/>
      </c>
    </row>
    <row r="247" spans="1:45">
      <c r="A247" s="10"/>
      <c r="B247" s="9"/>
      <c r="C247" s="9"/>
      <c r="D247" s="9"/>
      <c r="E247" s="10"/>
      <c r="F247" s="11"/>
      <c r="G247" s="15"/>
      <c r="H247" s="88"/>
      <c r="I247" s="24"/>
      <c r="J247" s="24"/>
      <c r="K247" s="114" t="str">
        <f t="shared" si="36"/>
        <v/>
      </c>
      <c r="L247" s="24"/>
      <c r="M247" s="24"/>
      <c r="N247" s="24"/>
      <c r="O247" s="24"/>
      <c r="P247" s="97" t="str">
        <f t="shared" si="37"/>
        <v/>
      </c>
      <c r="Q247" s="113" t="str">
        <f t="shared" si="38"/>
        <v/>
      </c>
      <c r="R247" s="88"/>
      <c r="S247" s="24"/>
      <c r="T247" s="24"/>
      <c r="U247" s="78" t="str">
        <f t="shared" si="39"/>
        <v/>
      </c>
      <c r="V247" s="24"/>
      <c r="W247" s="24"/>
      <c r="X247" s="24"/>
      <c r="Y247" s="24"/>
      <c r="Z247" s="98" t="str">
        <f t="shared" si="40"/>
        <v/>
      </c>
      <c r="AA247" s="40" t="str">
        <f t="shared" si="46"/>
        <v/>
      </c>
      <c r="AB247" s="88"/>
      <c r="AC247" s="24"/>
      <c r="AD247" s="24"/>
      <c r="AE247" s="79" t="str">
        <f t="shared" si="41"/>
        <v/>
      </c>
      <c r="AF247" s="24"/>
      <c r="AG247" s="24"/>
      <c r="AH247" s="24"/>
      <c r="AI247" s="24"/>
      <c r="AJ247" s="99" t="str">
        <f t="shared" si="42"/>
        <v/>
      </c>
      <c r="AK247" s="31" t="str">
        <f t="shared" si="47"/>
        <v/>
      </c>
      <c r="AN247" s="139" t="str">
        <f>IF($K247="","",VLOOKUP($K247,'ORF Accuracy Value LookUp'!$G$4:$H$104,2,TRUE))</f>
        <v/>
      </c>
      <c r="AO247" s="94" t="str">
        <f t="shared" si="43"/>
        <v/>
      </c>
      <c r="AP247" s="47" t="str">
        <f>IF($U247="","",VLOOKUP($U247,'ORF Accuracy Value LookUp'!$G$4:$H$104,2,TRUE))</f>
        <v/>
      </c>
      <c r="AQ247" s="94" t="str">
        <f t="shared" si="44"/>
        <v/>
      </c>
      <c r="AR247" s="46" t="str">
        <f>IF($AE247="","",VLOOKUP($AE247,'ORF Accuracy Value LookUp'!$G$4:$H$104,2,TRUE))</f>
        <v/>
      </c>
      <c r="AS247" s="140" t="str">
        <f t="shared" si="45"/>
        <v/>
      </c>
    </row>
    <row r="248" spans="1:45">
      <c r="A248" s="10"/>
      <c r="B248" s="9"/>
      <c r="C248" s="9"/>
      <c r="D248" s="9"/>
      <c r="E248" s="10"/>
      <c r="F248" s="11"/>
      <c r="G248" s="15"/>
      <c r="H248" s="88"/>
      <c r="I248" s="24"/>
      <c r="J248" s="24"/>
      <c r="K248" s="114" t="str">
        <f t="shared" si="36"/>
        <v/>
      </c>
      <c r="L248" s="24"/>
      <c r="M248" s="24"/>
      <c r="N248" s="24"/>
      <c r="O248" s="24"/>
      <c r="P248" s="97" t="str">
        <f t="shared" si="37"/>
        <v/>
      </c>
      <c r="Q248" s="113" t="str">
        <f t="shared" si="38"/>
        <v/>
      </c>
      <c r="R248" s="88"/>
      <c r="S248" s="24"/>
      <c r="T248" s="24"/>
      <c r="U248" s="78" t="str">
        <f t="shared" si="39"/>
        <v/>
      </c>
      <c r="V248" s="24"/>
      <c r="W248" s="24"/>
      <c r="X248" s="24"/>
      <c r="Y248" s="24"/>
      <c r="Z248" s="98" t="str">
        <f t="shared" si="40"/>
        <v/>
      </c>
      <c r="AA248" s="40" t="str">
        <f t="shared" si="46"/>
        <v/>
      </c>
      <c r="AB248" s="88"/>
      <c r="AC248" s="24"/>
      <c r="AD248" s="24"/>
      <c r="AE248" s="79" t="str">
        <f t="shared" si="41"/>
        <v/>
      </c>
      <c r="AF248" s="24"/>
      <c r="AG248" s="24"/>
      <c r="AH248" s="24"/>
      <c r="AI248" s="24"/>
      <c r="AJ248" s="99" t="str">
        <f t="shared" si="42"/>
        <v/>
      </c>
      <c r="AK248" s="31" t="str">
        <f t="shared" si="47"/>
        <v/>
      </c>
      <c r="AN248" s="139" t="str">
        <f>IF($K248="","",VLOOKUP($K248,'ORF Accuracy Value LookUp'!$G$4:$H$104,2,TRUE))</f>
        <v/>
      </c>
      <c r="AO248" s="94" t="str">
        <f t="shared" si="43"/>
        <v/>
      </c>
      <c r="AP248" s="47" t="str">
        <f>IF($U248="","",VLOOKUP($U248,'ORF Accuracy Value LookUp'!$G$4:$H$104,2,TRUE))</f>
        <v/>
      </c>
      <c r="AQ248" s="94" t="str">
        <f t="shared" si="44"/>
        <v/>
      </c>
      <c r="AR248" s="46" t="str">
        <f>IF($AE248="","",VLOOKUP($AE248,'ORF Accuracy Value LookUp'!$G$4:$H$104,2,TRUE))</f>
        <v/>
      </c>
      <c r="AS248" s="140" t="str">
        <f t="shared" si="45"/>
        <v/>
      </c>
    </row>
    <row r="249" spans="1:45">
      <c r="A249" s="10"/>
      <c r="B249" s="9"/>
      <c r="C249" s="9"/>
      <c r="D249" s="9"/>
      <c r="E249" s="10"/>
      <c r="F249" s="11"/>
      <c r="G249" s="15"/>
      <c r="H249" s="88"/>
      <c r="I249" s="24"/>
      <c r="J249" s="24"/>
      <c r="K249" s="114" t="str">
        <f t="shared" si="36"/>
        <v/>
      </c>
      <c r="L249" s="24"/>
      <c r="M249" s="24"/>
      <c r="N249" s="24"/>
      <c r="O249" s="24"/>
      <c r="P249" s="97" t="str">
        <f t="shared" si="37"/>
        <v/>
      </c>
      <c r="Q249" s="113" t="str">
        <f t="shared" si="38"/>
        <v/>
      </c>
      <c r="R249" s="88"/>
      <c r="S249" s="24"/>
      <c r="T249" s="24"/>
      <c r="U249" s="78" t="str">
        <f t="shared" si="39"/>
        <v/>
      </c>
      <c r="V249" s="24"/>
      <c r="W249" s="24"/>
      <c r="X249" s="24"/>
      <c r="Y249" s="24"/>
      <c r="Z249" s="98" t="str">
        <f t="shared" si="40"/>
        <v/>
      </c>
      <c r="AA249" s="40" t="str">
        <f t="shared" si="46"/>
        <v/>
      </c>
      <c r="AB249" s="88"/>
      <c r="AC249" s="24"/>
      <c r="AD249" s="24"/>
      <c r="AE249" s="79" t="str">
        <f t="shared" si="41"/>
        <v/>
      </c>
      <c r="AF249" s="24"/>
      <c r="AG249" s="24"/>
      <c r="AH249" s="24"/>
      <c r="AI249" s="24"/>
      <c r="AJ249" s="99" t="str">
        <f t="shared" si="42"/>
        <v/>
      </c>
      <c r="AK249" s="31" t="str">
        <f t="shared" si="47"/>
        <v/>
      </c>
      <c r="AN249" s="139" t="str">
        <f>IF($K249="","",VLOOKUP($K249,'ORF Accuracy Value LookUp'!$G$4:$H$104,2,TRUE))</f>
        <v/>
      </c>
      <c r="AO249" s="94" t="str">
        <f t="shared" si="43"/>
        <v/>
      </c>
      <c r="AP249" s="47" t="str">
        <f>IF($U249="","",VLOOKUP($U249,'ORF Accuracy Value LookUp'!$G$4:$H$104,2,TRUE))</f>
        <v/>
      </c>
      <c r="AQ249" s="94" t="str">
        <f t="shared" si="44"/>
        <v/>
      </c>
      <c r="AR249" s="46" t="str">
        <f>IF($AE249="","",VLOOKUP($AE249,'ORF Accuracy Value LookUp'!$G$4:$H$104,2,TRUE))</f>
        <v/>
      </c>
      <c r="AS249" s="140" t="str">
        <f t="shared" si="45"/>
        <v/>
      </c>
    </row>
    <row r="250" spans="1:45">
      <c r="A250" s="10"/>
      <c r="B250" s="9"/>
      <c r="C250" s="9"/>
      <c r="D250" s="9"/>
      <c r="E250" s="10"/>
      <c r="F250" s="11"/>
      <c r="G250" s="15"/>
      <c r="H250" s="88"/>
      <c r="I250" s="24"/>
      <c r="J250" s="24"/>
      <c r="K250" s="114" t="str">
        <f t="shared" si="36"/>
        <v/>
      </c>
      <c r="L250" s="24"/>
      <c r="M250" s="24"/>
      <c r="N250" s="24"/>
      <c r="O250" s="24"/>
      <c r="P250" s="97" t="str">
        <f t="shared" si="37"/>
        <v/>
      </c>
      <c r="Q250" s="113" t="str">
        <f t="shared" si="38"/>
        <v/>
      </c>
      <c r="R250" s="88"/>
      <c r="S250" s="24"/>
      <c r="T250" s="24"/>
      <c r="U250" s="78" t="str">
        <f t="shared" si="39"/>
        <v/>
      </c>
      <c r="V250" s="24"/>
      <c r="W250" s="24"/>
      <c r="X250" s="24"/>
      <c r="Y250" s="24"/>
      <c r="Z250" s="98" t="str">
        <f t="shared" si="40"/>
        <v/>
      </c>
      <c r="AA250" s="40" t="str">
        <f t="shared" si="46"/>
        <v/>
      </c>
      <c r="AB250" s="88"/>
      <c r="AC250" s="24"/>
      <c r="AD250" s="24"/>
      <c r="AE250" s="79" t="str">
        <f t="shared" si="41"/>
        <v/>
      </c>
      <c r="AF250" s="24"/>
      <c r="AG250" s="24"/>
      <c r="AH250" s="24"/>
      <c r="AI250" s="24"/>
      <c r="AJ250" s="99" t="str">
        <f t="shared" si="42"/>
        <v/>
      </c>
      <c r="AK250" s="31" t="str">
        <f t="shared" si="47"/>
        <v/>
      </c>
      <c r="AN250" s="139" t="str">
        <f>IF($K250="","",VLOOKUP($K250,'ORF Accuracy Value LookUp'!$G$4:$H$104,2,TRUE))</f>
        <v/>
      </c>
      <c r="AO250" s="94" t="str">
        <f t="shared" si="43"/>
        <v/>
      </c>
      <c r="AP250" s="47" t="str">
        <f>IF($U250="","",VLOOKUP($U250,'ORF Accuracy Value LookUp'!$G$4:$H$104,2,TRUE))</f>
        <v/>
      </c>
      <c r="AQ250" s="94" t="str">
        <f t="shared" si="44"/>
        <v/>
      </c>
      <c r="AR250" s="46" t="str">
        <f>IF($AE250="","",VLOOKUP($AE250,'ORF Accuracy Value LookUp'!$G$4:$H$104,2,TRUE))</f>
        <v/>
      </c>
      <c r="AS250" s="140" t="str">
        <f t="shared" si="45"/>
        <v/>
      </c>
    </row>
    <row r="251" spans="1:45">
      <c r="A251" s="10"/>
      <c r="B251" s="9"/>
      <c r="C251" s="9"/>
      <c r="D251" s="9"/>
      <c r="E251" s="10"/>
      <c r="F251" s="11"/>
      <c r="G251" s="15"/>
      <c r="H251" s="88"/>
      <c r="I251" s="24"/>
      <c r="J251" s="24"/>
      <c r="K251" s="114" t="str">
        <f t="shared" si="36"/>
        <v/>
      </c>
      <c r="L251" s="24"/>
      <c r="M251" s="24"/>
      <c r="N251" s="24"/>
      <c r="O251" s="24"/>
      <c r="P251" s="97" t="str">
        <f t="shared" si="37"/>
        <v/>
      </c>
      <c r="Q251" s="113" t="str">
        <f t="shared" si="38"/>
        <v/>
      </c>
      <c r="R251" s="88"/>
      <c r="S251" s="24"/>
      <c r="T251" s="24"/>
      <c r="U251" s="78" t="str">
        <f t="shared" si="39"/>
        <v/>
      </c>
      <c r="V251" s="24"/>
      <c r="W251" s="24"/>
      <c r="X251" s="24"/>
      <c r="Y251" s="24"/>
      <c r="Z251" s="98" t="str">
        <f t="shared" si="40"/>
        <v/>
      </c>
      <c r="AA251" s="40" t="str">
        <f t="shared" si="46"/>
        <v/>
      </c>
      <c r="AB251" s="88"/>
      <c r="AC251" s="24"/>
      <c r="AD251" s="24"/>
      <c r="AE251" s="79" t="str">
        <f t="shared" si="41"/>
        <v/>
      </c>
      <c r="AF251" s="24"/>
      <c r="AG251" s="24"/>
      <c r="AH251" s="24"/>
      <c r="AI251" s="24"/>
      <c r="AJ251" s="99" t="str">
        <f t="shared" si="42"/>
        <v/>
      </c>
      <c r="AK251" s="31" t="str">
        <f t="shared" si="47"/>
        <v/>
      </c>
      <c r="AN251" s="139" t="str">
        <f>IF($K251="","",VLOOKUP($K251,'ORF Accuracy Value LookUp'!$G$4:$H$104,2,TRUE))</f>
        <v/>
      </c>
      <c r="AO251" s="94" t="str">
        <f t="shared" si="43"/>
        <v/>
      </c>
      <c r="AP251" s="47" t="str">
        <f>IF($U251="","",VLOOKUP($U251,'ORF Accuracy Value LookUp'!$G$4:$H$104,2,TRUE))</f>
        <v/>
      </c>
      <c r="AQ251" s="94" t="str">
        <f t="shared" si="44"/>
        <v/>
      </c>
      <c r="AR251" s="46" t="str">
        <f>IF($AE251="","",VLOOKUP($AE251,'ORF Accuracy Value LookUp'!$G$4:$H$104,2,TRUE))</f>
        <v/>
      </c>
      <c r="AS251" s="140" t="str">
        <f t="shared" si="45"/>
        <v/>
      </c>
    </row>
    <row r="252" spans="1:45">
      <c r="A252" s="10"/>
      <c r="B252" s="9"/>
      <c r="C252" s="9"/>
      <c r="D252" s="9"/>
      <c r="E252" s="10"/>
      <c r="F252" s="11"/>
      <c r="G252" s="15"/>
      <c r="H252" s="88"/>
      <c r="I252" s="24"/>
      <c r="J252" s="24"/>
      <c r="K252" s="114" t="str">
        <f t="shared" si="36"/>
        <v/>
      </c>
      <c r="L252" s="24"/>
      <c r="M252" s="24"/>
      <c r="N252" s="24"/>
      <c r="O252" s="24"/>
      <c r="P252" s="97" t="str">
        <f t="shared" si="37"/>
        <v/>
      </c>
      <c r="Q252" s="113" t="str">
        <f t="shared" si="38"/>
        <v/>
      </c>
      <c r="R252" s="88"/>
      <c r="S252" s="24"/>
      <c r="T252" s="24"/>
      <c r="U252" s="78" t="str">
        <f t="shared" si="39"/>
        <v/>
      </c>
      <c r="V252" s="24"/>
      <c r="W252" s="24"/>
      <c r="X252" s="24"/>
      <c r="Y252" s="24"/>
      <c r="Z252" s="98" t="str">
        <f t="shared" si="40"/>
        <v/>
      </c>
      <c r="AA252" s="40" t="str">
        <f t="shared" si="46"/>
        <v/>
      </c>
      <c r="AB252" s="88"/>
      <c r="AC252" s="24"/>
      <c r="AD252" s="24"/>
      <c r="AE252" s="79" t="str">
        <f t="shared" si="41"/>
        <v/>
      </c>
      <c r="AF252" s="24"/>
      <c r="AG252" s="24"/>
      <c r="AH252" s="24"/>
      <c r="AI252" s="24"/>
      <c r="AJ252" s="99" t="str">
        <f t="shared" si="42"/>
        <v/>
      </c>
      <c r="AK252" s="31" t="str">
        <f t="shared" si="47"/>
        <v/>
      </c>
      <c r="AN252" s="139" t="str">
        <f>IF($K252="","",VLOOKUP($K252,'ORF Accuracy Value LookUp'!$G$4:$H$104,2,TRUE))</f>
        <v/>
      </c>
      <c r="AO252" s="94" t="str">
        <f t="shared" si="43"/>
        <v/>
      </c>
      <c r="AP252" s="47" t="str">
        <f>IF($U252="","",VLOOKUP($U252,'ORF Accuracy Value LookUp'!$G$4:$H$104,2,TRUE))</f>
        <v/>
      </c>
      <c r="AQ252" s="94" t="str">
        <f t="shared" si="44"/>
        <v/>
      </c>
      <c r="AR252" s="46" t="str">
        <f>IF($AE252="","",VLOOKUP($AE252,'ORF Accuracy Value LookUp'!$G$4:$H$104,2,TRUE))</f>
        <v/>
      </c>
      <c r="AS252" s="140" t="str">
        <f t="shared" si="45"/>
        <v/>
      </c>
    </row>
    <row r="253" spans="1:45">
      <c r="A253" s="10"/>
      <c r="B253" s="9"/>
      <c r="C253" s="9"/>
      <c r="D253" s="9"/>
      <c r="E253" s="10"/>
      <c r="F253" s="11"/>
      <c r="G253" s="15"/>
      <c r="H253" s="88"/>
      <c r="I253" s="24"/>
      <c r="J253" s="24"/>
      <c r="K253" s="114" t="str">
        <f t="shared" si="36"/>
        <v/>
      </c>
      <c r="L253" s="24"/>
      <c r="M253" s="24"/>
      <c r="N253" s="24"/>
      <c r="O253" s="24"/>
      <c r="P253" s="97" t="str">
        <f t="shared" si="37"/>
        <v/>
      </c>
      <c r="Q253" s="113" t="str">
        <f t="shared" si="38"/>
        <v/>
      </c>
      <c r="R253" s="88"/>
      <c r="S253" s="24"/>
      <c r="T253" s="24"/>
      <c r="U253" s="78" t="str">
        <f t="shared" si="39"/>
        <v/>
      </c>
      <c r="V253" s="24"/>
      <c r="W253" s="24"/>
      <c r="X253" s="24"/>
      <c r="Y253" s="24"/>
      <c r="Z253" s="98" t="str">
        <f t="shared" si="40"/>
        <v/>
      </c>
      <c r="AA253" s="40" t="str">
        <f t="shared" si="46"/>
        <v/>
      </c>
      <c r="AB253" s="88"/>
      <c r="AC253" s="24"/>
      <c r="AD253" s="24"/>
      <c r="AE253" s="79" t="str">
        <f t="shared" si="41"/>
        <v/>
      </c>
      <c r="AF253" s="24"/>
      <c r="AG253" s="24"/>
      <c r="AH253" s="24"/>
      <c r="AI253" s="24"/>
      <c r="AJ253" s="99" t="str">
        <f t="shared" si="42"/>
        <v/>
      </c>
      <c r="AK253" s="31" t="str">
        <f t="shared" si="47"/>
        <v/>
      </c>
      <c r="AN253" s="139" t="str">
        <f>IF($K253="","",VLOOKUP($K253,'ORF Accuracy Value LookUp'!$G$4:$H$104,2,TRUE))</f>
        <v/>
      </c>
      <c r="AO253" s="94" t="str">
        <f t="shared" si="43"/>
        <v/>
      </c>
      <c r="AP253" s="47" t="str">
        <f>IF($U253="","",VLOOKUP($U253,'ORF Accuracy Value LookUp'!$G$4:$H$104,2,TRUE))</f>
        <v/>
      </c>
      <c r="AQ253" s="94" t="str">
        <f t="shared" si="44"/>
        <v/>
      </c>
      <c r="AR253" s="46" t="str">
        <f>IF($AE253="","",VLOOKUP($AE253,'ORF Accuracy Value LookUp'!$G$4:$H$104,2,TRUE))</f>
        <v/>
      </c>
      <c r="AS253" s="140" t="str">
        <f t="shared" si="45"/>
        <v/>
      </c>
    </row>
    <row r="254" spans="1:45">
      <c r="A254" s="10"/>
      <c r="B254" s="9"/>
      <c r="C254" s="9"/>
      <c r="D254" s="9"/>
      <c r="E254" s="10"/>
      <c r="F254" s="11"/>
      <c r="G254" s="15"/>
      <c r="H254" s="88"/>
      <c r="I254" s="24"/>
      <c r="J254" s="24"/>
      <c r="K254" s="114" t="str">
        <f t="shared" si="36"/>
        <v/>
      </c>
      <c r="L254" s="24"/>
      <c r="M254" s="24"/>
      <c r="N254" s="24"/>
      <c r="O254" s="24"/>
      <c r="P254" s="97" t="str">
        <f t="shared" si="37"/>
        <v/>
      </c>
      <c r="Q254" s="113" t="str">
        <f t="shared" si="38"/>
        <v/>
      </c>
      <c r="R254" s="88"/>
      <c r="S254" s="24"/>
      <c r="T254" s="24"/>
      <c r="U254" s="78" t="str">
        <f t="shared" si="39"/>
        <v/>
      </c>
      <c r="V254" s="24"/>
      <c r="W254" s="24"/>
      <c r="X254" s="24"/>
      <c r="Y254" s="24"/>
      <c r="Z254" s="98" t="str">
        <f t="shared" si="40"/>
        <v/>
      </c>
      <c r="AA254" s="40" t="str">
        <f t="shared" si="46"/>
        <v/>
      </c>
      <c r="AB254" s="88"/>
      <c r="AC254" s="24"/>
      <c r="AD254" s="24"/>
      <c r="AE254" s="79" t="str">
        <f t="shared" si="41"/>
        <v/>
      </c>
      <c r="AF254" s="24"/>
      <c r="AG254" s="24"/>
      <c r="AH254" s="24"/>
      <c r="AI254" s="24"/>
      <c r="AJ254" s="99" t="str">
        <f t="shared" si="42"/>
        <v/>
      </c>
      <c r="AK254" s="31" t="str">
        <f t="shared" si="47"/>
        <v/>
      </c>
      <c r="AN254" s="139" t="str">
        <f>IF($K254="","",VLOOKUP($K254,'ORF Accuracy Value LookUp'!$G$4:$H$104,2,TRUE))</f>
        <v/>
      </c>
      <c r="AO254" s="94" t="str">
        <f t="shared" si="43"/>
        <v/>
      </c>
      <c r="AP254" s="47" t="str">
        <f>IF($U254="","",VLOOKUP($U254,'ORF Accuracy Value LookUp'!$G$4:$H$104,2,TRUE))</f>
        <v/>
      </c>
      <c r="AQ254" s="94" t="str">
        <f t="shared" si="44"/>
        <v/>
      </c>
      <c r="AR254" s="46" t="str">
        <f>IF($AE254="","",VLOOKUP($AE254,'ORF Accuracy Value LookUp'!$G$4:$H$104,2,TRUE))</f>
        <v/>
      </c>
      <c r="AS254" s="140" t="str">
        <f t="shared" si="45"/>
        <v/>
      </c>
    </row>
    <row r="255" spans="1:45">
      <c r="A255" s="10"/>
      <c r="B255" s="9"/>
      <c r="C255" s="9"/>
      <c r="D255" s="9"/>
      <c r="E255" s="10"/>
      <c r="F255" s="11"/>
      <c r="G255" s="15"/>
      <c r="H255" s="88"/>
      <c r="I255" s="24"/>
      <c r="J255" s="24"/>
      <c r="K255" s="114" t="str">
        <f t="shared" si="36"/>
        <v/>
      </c>
      <c r="L255" s="24"/>
      <c r="M255" s="24"/>
      <c r="N255" s="24"/>
      <c r="O255" s="24"/>
      <c r="P255" s="97" t="str">
        <f t="shared" si="37"/>
        <v/>
      </c>
      <c r="Q255" s="113" t="str">
        <f t="shared" si="38"/>
        <v/>
      </c>
      <c r="R255" s="88"/>
      <c r="S255" s="24"/>
      <c r="T255" s="24"/>
      <c r="U255" s="78" t="str">
        <f t="shared" si="39"/>
        <v/>
      </c>
      <c r="V255" s="24"/>
      <c r="W255" s="24"/>
      <c r="X255" s="24"/>
      <c r="Y255" s="24"/>
      <c r="Z255" s="98" t="str">
        <f t="shared" si="40"/>
        <v/>
      </c>
      <c r="AA255" s="40" t="str">
        <f t="shared" si="46"/>
        <v/>
      </c>
      <c r="AB255" s="88"/>
      <c r="AC255" s="24"/>
      <c r="AD255" s="24"/>
      <c r="AE255" s="79" t="str">
        <f t="shared" si="41"/>
        <v/>
      </c>
      <c r="AF255" s="24"/>
      <c r="AG255" s="24"/>
      <c r="AH255" s="24"/>
      <c r="AI255" s="24"/>
      <c r="AJ255" s="99" t="str">
        <f t="shared" si="42"/>
        <v/>
      </c>
      <c r="AK255" s="31" t="str">
        <f t="shared" si="47"/>
        <v/>
      </c>
      <c r="AN255" s="139" t="str">
        <f>IF($K255="","",VLOOKUP($K255,'ORF Accuracy Value LookUp'!$G$4:$H$104,2,TRUE))</f>
        <v/>
      </c>
      <c r="AO255" s="94" t="str">
        <f t="shared" si="43"/>
        <v/>
      </c>
      <c r="AP255" s="47" t="str">
        <f>IF($U255="","",VLOOKUP($U255,'ORF Accuracy Value LookUp'!$G$4:$H$104,2,TRUE))</f>
        <v/>
      </c>
      <c r="AQ255" s="94" t="str">
        <f t="shared" si="44"/>
        <v/>
      </c>
      <c r="AR255" s="46" t="str">
        <f>IF($AE255="","",VLOOKUP($AE255,'ORF Accuracy Value LookUp'!$G$4:$H$104,2,TRUE))</f>
        <v/>
      </c>
      <c r="AS255" s="140" t="str">
        <f t="shared" si="45"/>
        <v/>
      </c>
    </row>
    <row r="256" spans="1:45">
      <c r="A256" s="10"/>
      <c r="B256" s="9"/>
      <c r="C256" s="9"/>
      <c r="D256" s="9"/>
      <c r="E256" s="10"/>
      <c r="F256" s="11"/>
      <c r="G256" s="15"/>
      <c r="H256" s="88"/>
      <c r="I256" s="24"/>
      <c r="J256" s="24"/>
      <c r="K256" s="114" t="str">
        <f t="shared" si="36"/>
        <v/>
      </c>
      <c r="L256" s="24"/>
      <c r="M256" s="24"/>
      <c r="N256" s="24"/>
      <c r="O256" s="24"/>
      <c r="P256" s="97" t="str">
        <f t="shared" si="37"/>
        <v/>
      </c>
      <c r="Q256" s="113" t="str">
        <f t="shared" si="38"/>
        <v/>
      </c>
      <c r="R256" s="88"/>
      <c r="S256" s="24"/>
      <c r="T256" s="24"/>
      <c r="U256" s="78" t="str">
        <f t="shared" si="39"/>
        <v/>
      </c>
      <c r="V256" s="24"/>
      <c r="W256" s="24"/>
      <c r="X256" s="24"/>
      <c r="Y256" s="24"/>
      <c r="Z256" s="98" t="str">
        <f t="shared" si="40"/>
        <v/>
      </c>
      <c r="AA256" s="40" t="str">
        <f t="shared" si="46"/>
        <v/>
      </c>
      <c r="AB256" s="88"/>
      <c r="AC256" s="24"/>
      <c r="AD256" s="24"/>
      <c r="AE256" s="79" t="str">
        <f t="shared" si="41"/>
        <v/>
      </c>
      <c r="AF256" s="24"/>
      <c r="AG256" s="24"/>
      <c r="AH256" s="24"/>
      <c r="AI256" s="24"/>
      <c r="AJ256" s="99" t="str">
        <f t="shared" si="42"/>
        <v/>
      </c>
      <c r="AK256" s="31" t="str">
        <f t="shared" si="47"/>
        <v/>
      </c>
      <c r="AN256" s="139" t="str">
        <f>IF($K256="","",VLOOKUP($K256,'ORF Accuracy Value LookUp'!$G$4:$H$104,2,TRUE))</f>
        <v/>
      </c>
      <c r="AO256" s="94" t="str">
        <f t="shared" si="43"/>
        <v/>
      </c>
      <c r="AP256" s="47" t="str">
        <f>IF($U256="","",VLOOKUP($U256,'ORF Accuracy Value LookUp'!$G$4:$H$104,2,TRUE))</f>
        <v/>
      </c>
      <c r="AQ256" s="94" t="str">
        <f t="shared" si="44"/>
        <v/>
      </c>
      <c r="AR256" s="46" t="str">
        <f>IF($AE256="","",VLOOKUP($AE256,'ORF Accuracy Value LookUp'!$G$4:$H$104,2,TRUE))</f>
        <v/>
      </c>
      <c r="AS256" s="140" t="str">
        <f t="shared" si="45"/>
        <v/>
      </c>
    </row>
    <row r="257" spans="1:45">
      <c r="A257" s="10"/>
      <c r="B257" s="9"/>
      <c r="C257" s="9"/>
      <c r="D257" s="9"/>
      <c r="E257" s="10"/>
      <c r="F257" s="11"/>
      <c r="G257" s="15"/>
      <c r="H257" s="88"/>
      <c r="I257" s="24"/>
      <c r="J257" s="24"/>
      <c r="K257" s="114" t="str">
        <f t="shared" si="36"/>
        <v/>
      </c>
      <c r="L257" s="24"/>
      <c r="M257" s="24"/>
      <c r="N257" s="24"/>
      <c r="O257" s="24"/>
      <c r="P257" s="97" t="str">
        <f t="shared" si="37"/>
        <v/>
      </c>
      <c r="Q257" s="113" t="str">
        <f t="shared" si="38"/>
        <v/>
      </c>
      <c r="R257" s="88"/>
      <c r="S257" s="24"/>
      <c r="T257" s="24"/>
      <c r="U257" s="78" t="str">
        <f t="shared" si="39"/>
        <v/>
      </c>
      <c r="V257" s="24"/>
      <c r="W257" s="24"/>
      <c r="X257" s="24"/>
      <c r="Y257" s="24"/>
      <c r="Z257" s="98" t="str">
        <f t="shared" si="40"/>
        <v/>
      </c>
      <c r="AA257" s="40" t="str">
        <f t="shared" si="46"/>
        <v/>
      </c>
      <c r="AB257" s="88"/>
      <c r="AC257" s="24"/>
      <c r="AD257" s="24"/>
      <c r="AE257" s="79" t="str">
        <f t="shared" si="41"/>
        <v/>
      </c>
      <c r="AF257" s="24"/>
      <c r="AG257" s="24"/>
      <c r="AH257" s="24"/>
      <c r="AI257" s="24"/>
      <c r="AJ257" s="99" t="str">
        <f t="shared" si="42"/>
        <v/>
      </c>
      <c r="AK257" s="31" t="str">
        <f t="shared" si="47"/>
        <v/>
      </c>
      <c r="AN257" s="139" t="str">
        <f>IF($K257="","",VLOOKUP($K257,'ORF Accuracy Value LookUp'!$G$4:$H$104,2,TRUE))</f>
        <v/>
      </c>
      <c r="AO257" s="94" t="str">
        <f t="shared" si="43"/>
        <v/>
      </c>
      <c r="AP257" s="47" t="str">
        <f>IF($U257="","",VLOOKUP($U257,'ORF Accuracy Value LookUp'!$G$4:$H$104,2,TRUE))</f>
        <v/>
      </c>
      <c r="AQ257" s="94" t="str">
        <f t="shared" si="44"/>
        <v/>
      </c>
      <c r="AR257" s="46" t="str">
        <f>IF($AE257="","",VLOOKUP($AE257,'ORF Accuracy Value LookUp'!$G$4:$H$104,2,TRUE))</f>
        <v/>
      </c>
      <c r="AS257" s="140" t="str">
        <f t="shared" si="45"/>
        <v/>
      </c>
    </row>
    <row r="258" spans="1:45">
      <c r="A258" s="10"/>
      <c r="B258" s="9"/>
      <c r="C258" s="9"/>
      <c r="D258" s="9"/>
      <c r="E258" s="10"/>
      <c r="F258" s="11"/>
      <c r="G258" s="15"/>
      <c r="H258" s="88"/>
      <c r="I258" s="24"/>
      <c r="J258" s="24"/>
      <c r="K258" s="114" t="str">
        <f t="shared" si="36"/>
        <v/>
      </c>
      <c r="L258" s="24"/>
      <c r="M258" s="24"/>
      <c r="N258" s="24"/>
      <c r="O258" s="24"/>
      <c r="P258" s="97" t="str">
        <f t="shared" si="37"/>
        <v/>
      </c>
      <c r="Q258" s="113" t="str">
        <f t="shared" si="38"/>
        <v/>
      </c>
      <c r="R258" s="88"/>
      <c r="S258" s="24"/>
      <c r="T258" s="24"/>
      <c r="U258" s="78" t="str">
        <f t="shared" si="39"/>
        <v/>
      </c>
      <c r="V258" s="24"/>
      <c r="W258" s="24"/>
      <c r="X258" s="24"/>
      <c r="Y258" s="24"/>
      <c r="Z258" s="98" t="str">
        <f t="shared" si="40"/>
        <v/>
      </c>
      <c r="AA258" s="40" t="str">
        <f t="shared" si="46"/>
        <v/>
      </c>
      <c r="AB258" s="88"/>
      <c r="AC258" s="24"/>
      <c r="AD258" s="24"/>
      <c r="AE258" s="79" t="str">
        <f t="shared" si="41"/>
        <v/>
      </c>
      <c r="AF258" s="24"/>
      <c r="AG258" s="24"/>
      <c r="AH258" s="24"/>
      <c r="AI258" s="24"/>
      <c r="AJ258" s="99" t="str">
        <f t="shared" si="42"/>
        <v/>
      </c>
      <c r="AK258" s="31" t="str">
        <f t="shared" si="47"/>
        <v/>
      </c>
      <c r="AN258" s="139" t="str">
        <f>IF($K258="","",VLOOKUP($K258,'ORF Accuracy Value LookUp'!$G$4:$H$104,2,TRUE))</f>
        <v/>
      </c>
      <c r="AO258" s="94" t="str">
        <f t="shared" si="43"/>
        <v/>
      </c>
      <c r="AP258" s="47" t="str">
        <f>IF($U258="","",VLOOKUP($U258,'ORF Accuracy Value LookUp'!$G$4:$H$104,2,TRUE))</f>
        <v/>
      </c>
      <c r="AQ258" s="94" t="str">
        <f t="shared" si="44"/>
        <v/>
      </c>
      <c r="AR258" s="46" t="str">
        <f>IF($AE258="","",VLOOKUP($AE258,'ORF Accuracy Value LookUp'!$G$4:$H$104,2,TRUE))</f>
        <v/>
      </c>
      <c r="AS258" s="140" t="str">
        <f t="shared" si="45"/>
        <v/>
      </c>
    </row>
    <row r="259" spans="1:45">
      <c r="A259" s="10"/>
      <c r="B259" s="9"/>
      <c r="C259" s="9"/>
      <c r="D259" s="9"/>
      <c r="E259" s="10"/>
      <c r="F259" s="11"/>
      <c r="G259" s="15"/>
      <c r="H259" s="88"/>
      <c r="I259" s="24"/>
      <c r="J259" s="24"/>
      <c r="K259" s="114" t="str">
        <f t="shared" si="36"/>
        <v/>
      </c>
      <c r="L259" s="24"/>
      <c r="M259" s="24"/>
      <c r="N259" s="24"/>
      <c r="O259" s="24"/>
      <c r="P259" s="97" t="str">
        <f t="shared" si="37"/>
        <v/>
      </c>
      <c r="Q259" s="113" t="str">
        <f t="shared" si="38"/>
        <v/>
      </c>
      <c r="R259" s="88"/>
      <c r="S259" s="24"/>
      <c r="T259" s="24"/>
      <c r="U259" s="78" t="str">
        <f t="shared" si="39"/>
        <v/>
      </c>
      <c r="V259" s="24"/>
      <c r="W259" s="24"/>
      <c r="X259" s="24"/>
      <c r="Y259" s="24"/>
      <c r="Z259" s="98" t="str">
        <f t="shared" si="40"/>
        <v/>
      </c>
      <c r="AA259" s="40" t="str">
        <f t="shared" si="46"/>
        <v/>
      </c>
      <c r="AB259" s="88"/>
      <c r="AC259" s="24"/>
      <c r="AD259" s="24"/>
      <c r="AE259" s="79" t="str">
        <f t="shared" si="41"/>
        <v/>
      </c>
      <c r="AF259" s="24"/>
      <c r="AG259" s="24"/>
      <c r="AH259" s="24"/>
      <c r="AI259" s="24"/>
      <c r="AJ259" s="99" t="str">
        <f t="shared" si="42"/>
        <v/>
      </c>
      <c r="AK259" s="31" t="str">
        <f t="shared" si="47"/>
        <v/>
      </c>
      <c r="AN259" s="139" t="str">
        <f>IF($K259="","",VLOOKUP($K259,'ORF Accuracy Value LookUp'!$G$4:$H$104,2,TRUE))</f>
        <v/>
      </c>
      <c r="AO259" s="94" t="str">
        <f t="shared" si="43"/>
        <v/>
      </c>
      <c r="AP259" s="47" t="str">
        <f>IF($U259="","",VLOOKUP($U259,'ORF Accuracy Value LookUp'!$G$4:$H$104,2,TRUE))</f>
        <v/>
      </c>
      <c r="AQ259" s="94" t="str">
        <f t="shared" si="44"/>
        <v/>
      </c>
      <c r="AR259" s="46" t="str">
        <f>IF($AE259="","",VLOOKUP($AE259,'ORF Accuracy Value LookUp'!$G$4:$H$104,2,TRUE))</f>
        <v/>
      </c>
      <c r="AS259" s="140" t="str">
        <f t="shared" si="45"/>
        <v/>
      </c>
    </row>
    <row r="260" spans="1:45">
      <c r="A260" s="10"/>
      <c r="B260" s="9"/>
      <c r="C260" s="9"/>
      <c r="D260" s="9"/>
      <c r="E260" s="10"/>
      <c r="F260" s="11"/>
      <c r="G260" s="15"/>
      <c r="H260" s="88"/>
      <c r="I260" s="24"/>
      <c r="J260" s="24"/>
      <c r="K260" s="114" t="str">
        <f t="shared" si="36"/>
        <v/>
      </c>
      <c r="L260" s="24"/>
      <c r="M260" s="24"/>
      <c r="N260" s="24"/>
      <c r="O260" s="24"/>
      <c r="P260" s="97" t="str">
        <f t="shared" si="37"/>
        <v/>
      </c>
      <c r="Q260" s="113" t="str">
        <f t="shared" si="38"/>
        <v/>
      </c>
      <c r="R260" s="88"/>
      <c r="S260" s="24"/>
      <c r="T260" s="24"/>
      <c r="U260" s="78" t="str">
        <f t="shared" si="39"/>
        <v/>
      </c>
      <c r="V260" s="24"/>
      <c r="W260" s="24"/>
      <c r="X260" s="24"/>
      <c r="Y260" s="24"/>
      <c r="Z260" s="98" t="str">
        <f t="shared" si="40"/>
        <v/>
      </c>
      <c r="AA260" s="40" t="str">
        <f t="shared" si="46"/>
        <v/>
      </c>
      <c r="AB260" s="88"/>
      <c r="AC260" s="24"/>
      <c r="AD260" s="24"/>
      <c r="AE260" s="79" t="str">
        <f t="shared" si="41"/>
        <v/>
      </c>
      <c r="AF260" s="24"/>
      <c r="AG260" s="24"/>
      <c r="AH260" s="24"/>
      <c r="AI260" s="24"/>
      <c r="AJ260" s="99" t="str">
        <f t="shared" si="42"/>
        <v/>
      </c>
      <c r="AK260" s="31" t="str">
        <f t="shared" si="47"/>
        <v/>
      </c>
      <c r="AN260" s="139" t="str">
        <f>IF($K260="","",VLOOKUP($K260,'ORF Accuracy Value LookUp'!$G$4:$H$104,2,TRUE))</f>
        <v/>
      </c>
      <c r="AO260" s="94" t="str">
        <f t="shared" si="43"/>
        <v/>
      </c>
      <c r="AP260" s="47" t="str">
        <f>IF($U260="","",VLOOKUP($U260,'ORF Accuracy Value LookUp'!$G$4:$H$104,2,TRUE))</f>
        <v/>
      </c>
      <c r="AQ260" s="94" t="str">
        <f t="shared" si="44"/>
        <v/>
      </c>
      <c r="AR260" s="46" t="str">
        <f>IF($AE260="","",VLOOKUP($AE260,'ORF Accuracy Value LookUp'!$G$4:$H$104,2,TRUE))</f>
        <v/>
      </c>
      <c r="AS260" s="140" t="str">
        <f t="shared" si="45"/>
        <v/>
      </c>
    </row>
    <row r="261" spans="1:45">
      <c r="A261" s="10"/>
      <c r="B261" s="9"/>
      <c r="C261" s="9"/>
      <c r="D261" s="9"/>
      <c r="E261" s="10"/>
      <c r="F261" s="11"/>
      <c r="G261" s="15"/>
      <c r="H261" s="88"/>
      <c r="I261" s="24"/>
      <c r="J261" s="24"/>
      <c r="K261" s="114" t="str">
        <f t="shared" si="36"/>
        <v/>
      </c>
      <c r="L261" s="24"/>
      <c r="M261" s="24"/>
      <c r="N261" s="24"/>
      <c r="O261" s="24"/>
      <c r="P261" s="97" t="str">
        <f t="shared" si="37"/>
        <v/>
      </c>
      <c r="Q261" s="113" t="str">
        <f t="shared" si="38"/>
        <v/>
      </c>
      <c r="R261" s="88"/>
      <c r="S261" s="24"/>
      <c r="T261" s="24"/>
      <c r="U261" s="78" t="str">
        <f t="shared" si="39"/>
        <v/>
      </c>
      <c r="V261" s="24"/>
      <c r="W261" s="24"/>
      <c r="X261" s="24"/>
      <c r="Y261" s="24"/>
      <c r="Z261" s="98" t="str">
        <f t="shared" si="40"/>
        <v/>
      </c>
      <c r="AA261" s="40" t="str">
        <f t="shared" si="46"/>
        <v/>
      </c>
      <c r="AB261" s="88"/>
      <c r="AC261" s="24"/>
      <c r="AD261" s="24"/>
      <c r="AE261" s="79" t="str">
        <f t="shared" si="41"/>
        <v/>
      </c>
      <c r="AF261" s="24"/>
      <c r="AG261" s="24"/>
      <c r="AH261" s="24"/>
      <c r="AI261" s="24"/>
      <c r="AJ261" s="99" t="str">
        <f t="shared" si="42"/>
        <v/>
      </c>
      <c r="AK261" s="31" t="str">
        <f t="shared" si="47"/>
        <v/>
      </c>
      <c r="AN261" s="139" t="str">
        <f>IF($K261="","",VLOOKUP($K261,'ORF Accuracy Value LookUp'!$G$4:$H$104,2,TRUE))</f>
        <v/>
      </c>
      <c r="AO261" s="94" t="str">
        <f t="shared" si="43"/>
        <v/>
      </c>
      <c r="AP261" s="47" t="str">
        <f>IF($U261="","",VLOOKUP($U261,'ORF Accuracy Value LookUp'!$G$4:$H$104,2,TRUE))</f>
        <v/>
      </c>
      <c r="AQ261" s="94" t="str">
        <f t="shared" si="44"/>
        <v/>
      </c>
      <c r="AR261" s="46" t="str">
        <f>IF($AE261="","",VLOOKUP($AE261,'ORF Accuracy Value LookUp'!$G$4:$H$104,2,TRUE))</f>
        <v/>
      </c>
      <c r="AS261" s="140" t="str">
        <f t="shared" si="45"/>
        <v/>
      </c>
    </row>
    <row r="262" spans="1:45">
      <c r="A262" s="10"/>
      <c r="B262" s="9"/>
      <c r="C262" s="9"/>
      <c r="D262" s="9"/>
      <c r="E262" s="10"/>
      <c r="F262" s="11"/>
      <c r="G262" s="15"/>
      <c r="H262" s="88"/>
      <c r="I262" s="24"/>
      <c r="J262" s="24"/>
      <c r="K262" s="114" t="str">
        <f t="shared" si="36"/>
        <v/>
      </c>
      <c r="L262" s="24"/>
      <c r="M262" s="24"/>
      <c r="N262" s="24"/>
      <c r="O262" s="24"/>
      <c r="P262" s="97" t="str">
        <f t="shared" si="37"/>
        <v/>
      </c>
      <c r="Q262" s="113" t="str">
        <f t="shared" si="38"/>
        <v/>
      </c>
      <c r="R262" s="88"/>
      <c r="S262" s="24"/>
      <c r="T262" s="24"/>
      <c r="U262" s="78" t="str">
        <f t="shared" si="39"/>
        <v/>
      </c>
      <c r="V262" s="24"/>
      <c r="W262" s="24"/>
      <c r="X262" s="24"/>
      <c r="Y262" s="24"/>
      <c r="Z262" s="98" t="str">
        <f t="shared" si="40"/>
        <v/>
      </c>
      <c r="AA262" s="40" t="str">
        <f t="shared" si="46"/>
        <v/>
      </c>
      <c r="AB262" s="88"/>
      <c r="AC262" s="24"/>
      <c r="AD262" s="24"/>
      <c r="AE262" s="79" t="str">
        <f t="shared" si="41"/>
        <v/>
      </c>
      <c r="AF262" s="24"/>
      <c r="AG262" s="24"/>
      <c r="AH262" s="24"/>
      <c r="AI262" s="24"/>
      <c r="AJ262" s="99" t="str">
        <f t="shared" si="42"/>
        <v/>
      </c>
      <c r="AK262" s="31" t="str">
        <f t="shared" si="47"/>
        <v/>
      </c>
      <c r="AN262" s="139" t="str">
        <f>IF($K262="","",VLOOKUP($K262,'ORF Accuracy Value LookUp'!$G$4:$H$104,2,TRUE))</f>
        <v/>
      </c>
      <c r="AO262" s="94" t="str">
        <f t="shared" si="43"/>
        <v/>
      </c>
      <c r="AP262" s="47" t="str">
        <f>IF($U262="","",VLOOKUP($U262,'ORF Accuracy Value LookUp'!$G$4:$H$104,2,TRUE))</f>
        <v/>
      </c>
      <c r="AQ262" s="94" t="str">
        <f t="shared" si="44"/>
        <v/>
      </c>
      <c r="AR262" s="46" t="str">
        <f>IF($AE262="","",VLOOKUP($AE262,'ORF Accuracy Value LookUp'!$G$4:$H$104,2,TRUE))</f>
        <v/>
      </c>
      <c r="AS262" s="140" t="str">
        <f t="shared" si="45"/>
        <v/>
      </c>
    </row>
    <row r="263" spans="1:45">
      <c r="A263" s="10"/>
      <c r="B263" s="9"/>
      <c r="C263" s="9"/>
      <c r="D263" s="9"/>
      <c r="E263" s="10"/>
      <c r="F263" s="11"/>
      <c r="G263" s="15"/>
      <c r="H263" s="88"/>
      <c r="I263" s="24"/>
      <c r="J263" s="24"/>
      <c r="K263" s="114" t="str">
        <f t="shared" si="36"/>
        <v/>
      </c>
      <c r="L263" s="24"/>
      <c r="M263" s="24"/>
      <c r="N263" s="24"/>
      <c r="O263" s="24"/>
      <c r="P263" s="97" t="str">
        <f t="shared" si="37"/>
        <v/>
      </c>
      <c r="Q263" s="113" t="str">
        <f t="shared" si="38"/>
        <v/>
      </c>
      <c r="R263" s="88"/>
      <c r="S263" s="24"/>
      <c r="T263" s="24"/>
      <c r="U263" s="78" t="str">
        <f t="shared" si="39"/>
        <v/>
      </c>
      <c r="V263" s="24"/>
      <c r="W263" s="24"/>
      <c r="X263" s="24"/>
      <c r="Y263" s="24"/>
      <c r="Z263" s="98" t="str">
        <f t="shared" si="40"/>
        <v/>
      </c>
      <c r="AA263" s="40" t="str">
        <f t="shared" si="46"/>
        <v/>
      </c>
      <c r="AB263" s="88"/>
      <c r="AC263" s="24"/>
      <c r="AD263" s="24"/>
      <c r="AE263" s="79" t="str">
        <f t="shared" si="41"/>
        <v/>
      </c>
      <c r="AF263" s="24"/>
      <c r="AG263" s="24"/>
      <c r="AH263" s="24"/>
      <c r="AI263" s="24"/>
      <c r="AJ263" s="99" t="str">
        <f t="shared" si="42"/>
        <v/>
      </c>
      <c r="AK263" s="31" t="str">
        <f t="shared" si="47"/>
        <v/>
      </c>
      <c r="AN263" s="139" t="str">
        <f>IF($K263="","",VLOOKUP($K263,'ORF Accuracy Value LookUp'!$G$4:$H$104,2,TRUE))</f>
        <v/>
      </c>
      <c r="AO263" s="94" t="str">
        <f t="shared" si="43"/>
        <v/>
      </c>
      <c r="AP263" s="47" t="str">
        <f>IF($U263="","",VLOOKUP($U263,'ORF Accuracy Value LookUp'!$G$4:$H$104,2,TRUE))</f>
        <v/>
      </c>
      <c r="AQ263" s="94" t="str">
        <f t="shared" si="44"/>
        <v/>
      </c>
      <c r="AR263" s="46" t="str">
        <f>IF($AE263="","",VLOOKUP($AE263,'ORF Accuracy Value LookUp'!$G$4:$H$104,2,TRUE))</f>
        <v/>
      </c>
      <c r="AS263" s="140" t="str">
        <f t="shared" si="45"/>
        <v/>
      </c>
    </row>
    <row r="264" spans="1:45">
      <c r="A264" s="10"/>
      <c r="B264" s="9"/>
      <c r="C264" s="9"/>
      <c r="D264" s="9"/>
      <c r="E264" s="10"/>
      <c r="F264" s="11"/>
      <c r="G264" s="15"/>
      <c r="H264" s="88"/>
      <c r="I264" s="24"/>
      <c r="J264" s="24"/>
      <c r="K264" s="114" t="str">
        <f t="shared" ref="K264:K327" si="48">IF($I264="","",SUM($I264/($I264+$J264)))</f>
        <v/>
      </c>
      <c r="L264" s="24"/>
      <c r="M264" s="24"/>
      <c r="N264" s="24"/>
      <c r="O264" s="24"/>
      <c r="P264" s="97" t="str">
        <f t="shared" ref="P264:P327" si="49">IF($AO264&gt;0,$AO264,0)</f>
        <v/>
      </c>
      <c r="Q264" s="113" t="str">
        <f t="shared" ref="Q264:Q327" si="50">IF($B264="","",SUM($I264+$AN264+($L264*2)+($P264*2)))</f>
        <v/>
      </c>
      <c r="R264" s="88"/>
      <c r="S264" s="24"/>
      <c r="T264" s="24"/>
      <c r="U264" s="78" t="str">
        <f t="shared" ref="U264:U327" si="51">IF($S264="","",SUM($S264/($S264+$T264)))</f>
        <v/>
      </c>
      <c r="V264" s="24"/>
      <c r="W264" s="24"/>
      <c r="X264" s="24"/>
      <c r="Y264" s="24"/>
      <c r="Z264" s="98" t="str">
        <f t="shared" ref="Z264:Z327" si="52">IF($AQ264&gt;0,$AQ264,0)</f>
        <v/>
      </c>
      <c r="AA264" s="40" t="str">
        <f t="shared" si="46"/>
        <v/>
      </c>
      <c r="AB264" s="88"/>
      <c r="AC264" s="24"/>
      <c r="AD264" s="24"/>
      <c r="AE264" s="79" t="str">
        <f t="shared" ref="AE264:AE327" si="53">IF($AC264="","",SUM($AC264/($AC264+$AD264)))</f>
        <v/>
      </c>
      <c r="AF264" s="24"/>
      <c r="AG264" s="24"/>
      <c r="AH264" s="24"/>
      <c r="AI264" s="24"/>
      <c r="AJ264" s="99" t="str">
        <f t="shared" ref="AJ264:AJ327" si="54">IF($AS264&gt;0,$AS264,0)</f>
        <v/>
      </c>
      <c r="AK264" s="31" t="str">
        <f t="shared" si="47"/>
        <v/>
      </c>
      <c r="AN264" s="139" t="str">
        <f>IF($K264="","",VLOOKUP($K264,'ORF Accuracy Value LookUp'!$G$4:$H$104,2,TRUE))</f>
        <v/>
      </c>
      <c r="AO264" s="94" t="str">
        <f t="shared" ref="AO264:AO327" si="55">IF($N264="","",($N264-($O264/2)))</f>
        <v/>
      </c>
      <c r="AP264" s="47" t="str">
        <f>IF($U264="","",VLOOKUP($U264,'ORF Accuracy Value LookUp'!$G$4:$H$104,2,TRUE))</f>
        <v/>
      </c>
      <c r="AQ264" s="94" t="str">
        <f t="shared" ref="AQ264:AQ327" si="56">IF($X264="","",$X264-($Y264/2))</f>
        <v/>
      </c>
      <c r="AR264" s="46" t="str">
        <f>IF($AE264="","",VLOOKUP($AE264,'ORF Accuracy Value LookUp'!$G$4:$H$104,2,TRUE))</f>
        <v/>
      </c>
      <c r="AS264" s="140" t="str">
        <f t="shared" ref="AS264:AS327" si="57">IF($AH264="","",$AH264-($AI264/2))</f>
        <v/>
      </c>
    </row>
    <row r="265" spans="1:45">
      <c r="A265" s="10"/>
      <c r="B265" s="9"/>
      <c r="C265" s="9"/>
      <c r="D265" s="9"/>
      <c r="E265" s="10"/>
      <c r="F265" s="11"/>
      <c r="G265" s="15"/>
      <c r="H265" s="88"/>
      <c r="I265" s="24"/>
      <c r="J265" s="24"/>
      <c r="K265" s="114" t="str">
        <f t="shared" si="48"/>
        <v/>
      </c>
      <c r="L265" s="24"/>
      <c r="M265" s="24"/>
      <c r="N265" s="24"/>
      <c r="O265" s="24"/>
      <c r="P265" s="97" t="str">
        <f t="shared" si="49"/>
        <v/>
      </c>
      <c r="Q265" s="113" t="str">
        <f t="shared" si="50"/>
        <v/>
      </c>
      <c r="R265" s="88"/>
      <c r="S265" s="24"/>
      <c r="T265" s="24"/>
      <c r="U265" s="78" t="str">
        <f t="shared" si="51"/>
        <v/>
      </c>
      <c r="V265" s="24"/>
      <c r="W265" s="24"/>
      <c r="X265" s="24"/>
      <c r="Y265" s="24"/>
      <c r="Z265" s="98" t="str">
        <f t="shared" si="52"/>
        <v/>
      </c>
      <c r="AA265" s="40" t="str">
        <f t="shared" ref="AA265:AA328" si="58">IF($R265="","",SUM($S265+$AP265+($V265*2)+($Z265*4)))</f>
        <v/>
      </c>
      <c r="AB265" s="88"/>
      <c r="AC265" s="24"/>
      <c r="AD265" s="24"/>
      <c r="AE265" s="79" t="str">
        <f t="shared" si="53"/>
        <v/>
      </c>
      <c r="AF265" s="24"/>
      <c r="AG265" s="24"/>
      <c r="AH265" s="24"/>
      <c r="AI265" s="24"/>
      <c r="AJ265" s="99" t="str">
        <f t="shared" si="54"/>
        <v/>
      </c>
      <c r="AK265" s="31" t="str">
        <f t="shared" ref="AK265:AK328" si="59">IF($AB265="","",SUM($AC265+$AR265+($AF265*2)+($AJ265*4)))</f>
        <v/>
      </c>
      <c r="AN265" s="139" t="str">
        <f>IF($K265="","",VLOOKUP($K265,'ORF Accuracy Value LookUp'!$G$4:$H$104,2,TRUE))</f>
        <v/>
      </c>
      <c r="AO265" s="94" t="str">
        <f t="shared" si="55"/>
        <v/>
      </c>
      <c r="AP265" s="47" t="str">
        <f>IF($U265="","",VLOOKUP($U265,'ORF Accuracy Value LookUp'!$G$4:$H$104,2,TRUE))</f>
        <v/>
      </c>
      <c r="AQ265" s="94" t="str">
        <f t="shared" si="56"/>
        <v/>
      </c>
      <c r="AR265" s="46" t="str">
        <f>IF($AE265="","",VLOOKUP($AE265,'ORF Accuracy Value LookUp'!$G$4:$H$104,2,TRUE))</f>
        <v/>
      </c>
      <c r="AS265" s="140" t="str">
        <f t="shared" si="57"/>
        <v/>
      </c>
    </row>
    <row r="266" spans="1:45">
      <c r="A266" s="10"/>
      <c r="B266" s="9"/>
      <c r="C266" s="9"/>
      <c r="D266" s="9"/>
      <c r="E266" s="10"/>
      <c r="F266" s="11"/>
      <c r="G266" s="15"/>
      <c r="H266" s="88"/>
      <c r="I266" s="24"/>
      <c r="J266" s="24"/>
      <c r="K266" s="114" t="str">
        <f t="shared" si="48"/>
        <v/>
      </c>
      <c r="L266" s="24"/>
      <c r="M266" s="24"/>
      <c r="N266" s="24"/>
      <c r="O266" s="24"/>
      <c r="P266" s="97" t="str">
        <f t="shared" si="49"/>
        <v/>
      </c>
      <c r="Q266" s="113" t="str">
        <f t="shared" si="50"/>
        <v/>
      </c>
      <c r="R266" s="88"/>
      <c r="S266" s="24"/>
      <c r="T266" s="24"/>
      <c r="U266" s="78" t="str">
        <f t="shared" si="51"/>
        <v/>
      </c>
      <c r="V266" s="24"/>
      <c r="W266" s="24"/>
      <c r="X266" s="24"/>
      <c r="Y266" s="24"/>
      <c r="Z266" s="98" t="str">
        <f t="shared" si="52"/>
        <v/>
      </c>
      <c r="AA266" s="40" t="str">
        <f t="shared" si="58"/>
        <v/>
      </c>
      <c r="AB266" s="88"/>
      <c r="AC266" s="24"/>
      <c r="AD266" s="24"/>
      <c r="AE266" s="79" t="str">
        <f t="shared" si="53"/>
        <v/>
      </c>
      <c r="AF266" s="24"/>
      <c r="AG266" s="24"/>
      <c r="AH266" s="24"/>
      <c r="AI266" s="24"/>
      <c r="AJ266" s="99" t="str">
        <f t="shared" si="54"/>
        <v/>
      </c>
      <c r="AK266" s="31" t="str">
        <f t="shared" si="59"/>
        <v/>
      </c>
      <c r="AN266" s="139" t="str">
        <f>IF($K266="","",VLOOKUP($K266,'ORF Accuracy Value LookUp'!$G$4:$H$104,2,TRUE))</f>
        <v/>
      </c>
      <c r="AO266" s="94" t="str">
        <f t="shared" si="55"/>
        <v/>
      </c>
      <c r="AP266" s="47" t="str">
        <f>IF($U266="","",VLOOKUP($U266,'ORF Accuracy Value LookUp'!$G$4:$H$104,2,TRUE))</f>
        <v/>
      </c>
      <c r="AQ266" s="94" t="str">
        <f t="shared" si="56"/>
        <v/>
      </c>
      <c r="AR266" s="46" t="str">
        <f>IF($AE266="","",VLOOKUP($AE266,'ORF Accuracy Value LookUp'!$G$4:$H$104,2,TRUE))</f>
        <v/>
      </c>
      <c r="AS266" s="140" t="str">
        <f t="shared" si="57"/>
        <v/>
      </c>
    </row>
    <row r="267" spans="1:45">
      <c r="A267" s="10"/>
      <c r="B267" s="9"/>
      <c r="C267" s="9"/>
      <c r="D267" s="9"/>
      <c r="E267" s="10"/>
      <c r="F267" s="11"/>
      <c r="G267" s="15"/>
      <c r="H267" s="88"/>
      <c r="I267" s="24"/>
      <c r="J267" s="24"/>
      <c r="K267" s="114" t="str">
        <f t="shared" si="48"/>
        <v/>
      </c>
      <c r="L267" s="24"/>
      <c r="M267" s="24"/>
      <c r="N267" s="24"/>
      <c r="O267" s="24"/>
      <c r="P267" s="97" t="str">
        <f t="shared" si="49"/>
        <v/>
      </c>
      <c r="Q267" s="113" t="str">
        <f t="shared" si="50"/>
        <v/>
      </c>
      <c r="R267" s="88"/>
      <c r="S267" s="24"/>
      <c r="T267" s="24"/>
      <c r="U267" s="78" t="str">
        <f t="shared" si="51"/>
        <v/>
      </c>
      <c r="V267" s="24"/>
      <c r="W267" s="24"/>
      <c r="X267" s="24"/>
      <c r="Y267" s="24"/>
      <c r="Z267" s="98" t="str">
        <f t="shared" si="52"/>
        <v/>
      </c>
      <c r="AA267" s="40" t="str">
        <f t="shared" si="58"/>
        <v/>
      </c>
      <c r="AB267" s="88"/>
      <c r="AC267" s="24"/>
      <c r="AD267" s="24"/>
      <c r="AE267" s="79" t="str">
        <f t="shared" si="53"/>
        <v/>
      </c>
      <c r="AF267" s="24"/>
      <c r="AG267" s="24"/>
      <c r="AH267" s="24"/>
      <c r="AI267" s="24"/>
      <c r="AJ267" s="99" t="str">
        <f t="shared" si="54"/>
        <v/>
      </c>
      <c r="AK267" s="31" t="str">
        <f t="shared" si="59"/>
        <v/>
      </c>
      <c r="AN267" s="139" t="str">
        <f>IF($K267="","",VLOOKUP($K267,'ORF Accuracy Value LookUp'!$G$4:$H$104,2,TRUE))</f>
        <v/>
      </c>
      <c r="AO267" s="94" t="str">
        <f t="shared" si="55"/>
        <v/>
      </c>
      <c r="AP267" s="47" t="str">
        <f>IF($U267="","",VLOOKUP($U267,'ORF Accuracy Value LookUp'!$G$4:$H$104,2,TRUE))</f>
        <v/>
      </c>
      <c r="AQ267" s="94" t="str">
        <f t="shared" si="56"/>
        <v/>
      </c>
      <c r="AR267" s="46" t="str">
        <f>IF($AE267="","",VLOOKUP($AE267,'ORF Accuracy Value LookUp'!$G$4:$H$104,2,TRUE))</f>
        <v/>
      </c>
      <c r="AS267" s="140" t="str">
        <f t="shared" si="57"/>
        <v/>
      </c>
    </row>
    <row r="268" spans="1:45">
      <c r="A268" s="10"/>
      <c r="B268" s="9"/>
      <c r="C268" s="9"/>
      <c r="D268" s="9"/>
      <c r="E268" s="10"/>
      <c r="F268" s="11"/>
      <c r="G268" s="15"/>
      <c r="H268" s="88"/>
      <c r="I268" s="24"/>
      <c r="J268" s="24"/>
      <c r="K268" s="114" t="str">
        <f t="shared" si="48"/>
        <v/>
      </c>
      <c r="L268" s="24"/>
      <c r="M268" s="24"/>
      <c r="N268" s="24"/>
      <c r="O268" s="24"/>
      <c r="P268" s="97" t="str">
        <f t="shared" si="49"/>
        <v/>
      </c>
      <c r="Q268" s="113" t="str">
        <f t="shared" si="50"/>
        <v/>
      </c>
      <c r="R268" s="88"/>
      <c r="S268" s="24"/>
      <c r="T268" s="24"/>
      <c r="U268" s="78" t="str">
        <f t="shared" si="51"/>
        <v/>
      </c>
      <c r="V268" s="24"/>
      <c r="W268" s="24"/>
      <c r="X268" s="24"/>
      <c r="Y268" s="24"/>
      <c r="Z268" s="98" t="str">
        <f t="shared" si="52"/>
        <v/>
      </c>
      <c r="AA268" s="40" t="str">
        <f t="shared" si="58"/>
        <v/>
      </c>
      <c r="AB268" s="88"/>
      <c r="AC268" s="24"/>
      <c r="AD268" s="24"/>
      <c r="AE268" s="79" t="str">
        <f t="shared" si="53"/>
        <v/>
      </c>
      <c r="AF268" s="24"/>
      <c r="AG268" s="24"/>
      <c r="AH268" s="24"/>
      <c r="AI268" s="24"/>
      <c r="AJ268" s="99" t="str">
        <f t="shared" si="54"/>
        <v/>
      </c>
      <c r="AK268" s="31" t="str">
        <f t="shared" si="59"/>
        <v/>
      </c>
      <c r="AN268" s="139" t="str">
        <f>IF($K268="","",VLOOKUP($K268,'ORF Accuracy Value LookUp'!$G$4:$H$104,2,TRUE))</f>
        <v/>
      </c>
      <c r="AO268" s="94" t="str">
        <f t="shared" si="55"/>
        <v/>
      </c>
      <c r="AP268" s="47" t="str">
        <f>IF($U268="","",VLOOKUP($U268,'ORF Accuracy Value LookUp'!$G$4:$H$104,2,TRUE))</f>
        <v/>
      </c>
      <c r="AQ268" s="94" t="str">
        <f t="shared" si="56"/>
        <v/>
      </c>
      <c r="AR268" s="46" t="str">
        <f>IF($AE268="","",VLOOKUP($AE268,'ORF Accuracy Value LookUp'!$G$4:$H$104,2,TRUE))</f>
        <v/>
      </c>
      <c r="AS268" s="140" t="str">
        <f t="shared" si="57"/>
        <v/>
      </c>
    </row>
    <row r="269" spans="1:45">
      <c r="A269" s="10"/>
      <c r="B269" s="9"/>
      <c r="C269" s="9"/>
      <c r="D269" s="9"/>
      <c r="E269" s="10"/>
      <c r="F269" s="11"/>
      <c r="G269" s="15"/>
      <c r="H269" s="88"/>
      <c r="I269" s="24"/>
      <c r="J269" s="24"/>
      <c r="K269" s="114" t="str">
        <f t="shared" si="48"/>
        <v/>
      </c>
      <c r="L269" s="24"/>
      <c r="M269" s="24"/>
      <c r="N269" s="24"/>
      <c r="O269" s="24"/>
      <c r="P269" s="97" t="str">
        <f t="shared" si="49"/>
        <v/>
      </c>
      <c r="Q269" s="113" t="str">
        <f t="shared" si="50"/>
        <v/>
      </c>
      <c r="R269" s="88"/>
      <c r="S269" s="24"/>
      <c r="T269" s="24"/>
      <c r="U269" s="78" t="str">
        <f t="shared" si="51"/>
        <v/>
      </c>
      <c r="V269" s="24"/>
      <c r="W269" s="24"/>
      <c r="X269" s="24"/>
      <c r="Y269" s="24"/>
      <c r="Z269" s="98" t="str">
        <f t="shared" si="52"/>
        <v/>
      </c>
      <c r="AA269" s="40" t="str">
        <f t="shared" si="58"/>
        <v/>
      </c>
      <c r="AB269" s="88"/>
      <c r="AC269" s="24"/>
      <c r="AD269" s="24"/>
      <c r="AE269" s="79" t="str">
        <f t="shared" si="53"/>
        <v/>
      </c>
      <c r="AF269" s="24"/>
      <c r="AG269" s="24"/>
      <c r="AH269" s="24"/>
      <c r="AI269" s="24"/>
      <c r="AJ269" s="99" t="str">
        <f t="shared" si="54"/>
        <v/>
      </c>
      <c r="AK269" s="31" t="str">
        <f t="shared" si="59"/>
        <v/>
      </c>
      <c r="AN269" s="139" t="str">
        <f>IF($K269="","",VLOOKUP($K269,'ORF Accuracy Value LookUp'!$G$4:$H$104,2,TRUE))</f>
        <v/>
      </c>
      <c r="AO269" s="94" t="str">
        <f t="shared" si="55"/>
        <v/>
      </c>
      <c r="AP269" s="47" t="str">
        <f>IF($U269="","",VLOOKUP($U269,'ORF Accuracy Value LookUp'!$G$4:$H$104,2,TRUE))</f>
        <v/>
      </c>
      <c r="AQ269" s="94" t="str">
        <f t="shared" si="56"/>
        <v/>
      </c>
      <c r="AR269" s="46" t="str">
        <f>IF($AE269="","",VLOOKUP($AE269,'ORF Accuracy Value LookUp'!$G$4:$H$104,2,TRUE))</f>
        <v/>
      </c>
      <c r="AS269" s="140" t="str">
        <f t="shared" si="57"/>
        <v/>
      </c>
    </row>
    <row r="270" spans="1:45">
      <c r="A270" s="10"/>
      <c r="B270" s="9"/>
      <c r="C270" s="9"/>
      <c r="D270" s="9"/>
      <c r="E270" s="10"/>
      <c r="F270" s="11"/>
      <c r="G270" s="15"/>
      <c r="H270" s="88"/>
      <c r="I270" s="24"/>
      <c r="J270" s="24"/>
      <c r="K270" s="114" t="str">
        <f t="shared" si="48"/>
        <v/>
      </c>
      <c r="L270" s="24"/>
      <c r="M270" s="24"/>
      <c r="N270" s="24"/>
      <c r="O270" s="24"/>
      <c r="P270" s="97" t="str">
        <f t="shared" si="49"/>
        <v/>
      </c>
      <c r="Q270" s="113" t="str">
        <f t="shared" si="50"/>
        <v/>
      </c>
      <c r="R270" s="88"/>
      <c r="S270" s="24"/>
      <c r="T270" s="24"/>
      <c r="U270" s="78" t="str">
        <f t="shared" si="51"/>
        <v/>
      </c>
      <c r="V270" s="24"/>
      <c r="W270" s="24"/>
      <c r="X270" s="24"/>
      <c r="Y270" s="24"/>
      <c r="Z270" s="98" t="str">
        <f t="shared" si="52"/>
        <v/>
      </c>
      <c r="AA270" s="40" t="str">
        <f t="shared" si="58"/>
        <v/>
      </c>
      <c r="AB270" s="88"/>
      <c r="AC270" s="24"/>
      <c r="AD270" s="24"/>
      <c r="AE270" s="79" t="str">
        <f t="shared" si="53"/>
        <v/>
      </c>
      <c r="AF270" s="24"/>
      <c r="AG270" s="24"/>
      <c r="AH270" s="24"/>
      <c r="AI270" s="24"/>
      <c r="AJ270" s="99" t="str">
        <f t="shared" si="54"/>
        <v/>
      </c>
      <c r="AK270" s="31" t="str">
        <f t="shared" si="59"/>
        <v/>
      </c>
      <c r="AN270" s="139" t="str">
        <f>IF($K270="","",VLOOKUP($K270,'ORF Accuracy Value LookUp'!$G$4:$H$104,2,TRUE))</f>
        <v/>
      </c>
      <c r="AO270" s="94" t="str">
        <f t="shared" si="55"/>
        <v/>
      </c>
      <c r="AP270" s="47" t="str">
        <f>IF($U270="","",VLOOKUP($U270,'ORF Accuracy Value LookUp'!$G$4:$H$104,2,TRUE))</f>
        <v/>
      </c>
      <c r="AQ270" s="94" t="str">
        <f t="shared" si="56"/>
        <v/>
      </c>
      <c r="AR270" s="46" t="str">
        <f>IF($AE270="","",VLOOKUP($AE270,'ORF Accuracy Value LookUp'!$G$4:$H$104,2,TRUE))</f>
        <v/>
      </c>
      <c r="AS270" s="140" t="str">
        <f t="shared" si="57"/>
        <v/>
      </c>
    </row>
    <row r="271" spans="1:45">
      <c r="A271" s="10"/>
      <c r="B271" s="9"/>
      <c r="C271" s="9"/>
      <c r="D271" s="9"/>
      <c r="E271" s="10"/>
      <c r="F271" s="11"/>
      <c r="G271" s="15"/>
      <c r="H271" s="88"/>
      <c r="I271" s="24"/>
      <c r="J271" s="24"/>
      <c r="K271" s="114" t="str">
        <f t="shared" si="48"/>
        <v/>
      </c>
      <c r="L271" s="24"/>
      <c r="M271" s="24"/>
      <c r="N271" s="24"/>
      <c r="O271" s="24"/>
      <c r="P271" s="97" t="str">
        <f t="shared" si="49"/>
        <v/>
      </c>
      <c r="Q271" s="113" t="str">
        <f t="shared" si="50"/>
        <v/>
      </c>
      <c r="R271" s="88"/>
      <c r="S271" s="24"/>
      <c r="T271" s="24"/>
      <c r="U271" s="78" t="str">
        <f t="shared" si="51"/>
        <v/>
      </c>
      <c r="V271" s="24"/>
      <c r="W271" s="24"/>
      <c r="X271" s="24"/>
      <c r="Y271" s="24"/>
      <c r="Z271" s="98" t="str">
        <f t="shared" si="52"/>
        <v/>
      </c>
      <c r="AA271" s="40" t="str">
        <f t="shared" si="58"/>
        <v/>
      </c>
      <c r="AB271" s="88"/>
      <c r="AC271" s="24"/>
      <c r="AD271" s="24"/>
      <c r="AE271" s="79" t="str">
        <f t="shared" si="53"/>
        <v/>
      </c>
      <c r="AF271" s="24"/>
      <c r="AG271" s="24"/>
      <c r="AH271" s="24"/>
      <c r="AI271" s="24"/>
      <c r="AJ271" s="99" t="str">
        <f t="shared" si="54"/>
        <v/>
      </c>
      <c r="AK271" s="31" t="str">
        <f t="shared" si="59"/>
        <v/>
      </c>
      <c r="AN271" s="139" t="str">
        <f>IF($K271="","",VLOOKUP($K271,'ORF Accuracy Value LookUp'!$G$4:$H$104,2,TRUE))</f>
        <v/>
      </c>
      <c r="AO271" s="94" t="str">
        <f t="shared" si="55"/>
        <v/>
      </c>
      <c r="AP271" s="47" t="str">
        <f>IF($U271="","",VLOOKUP($U271,'ORF Accuracy Value LookUp'!$G$4:$H$104,2,TRUE))</f>
        <v/>
      </c>
      <c r="AQ271" s="94" t="str">
        <f t="shared" si="56"/>
        <v/>
      </c>
      <c r="AR271" s="46" t="str">
        <f>IF($AE271="","",VLOOKUP($AE271,'ORF Accuracy Value LookUp'!$G$4:$H$104,2,TRUE))</f>
        <v/>
      </c>
      <c r="AS271" s="140" t="str">
        <f t="shared" si="57"/>
        <v/>
      </c>
    </row>
    <row r="272" spans="1:45">
      <c r="A272" s="10"/>
      <c r="B272" s="9"/>
      <c r="C272" s="9"/>
      <c r="D272" s="9"/>
      <c r="E272" s="10"/>
      <c r="F272" s="11"/>
      <c r="G272" s="15"/>
      <c r="H272" s="88"/>
      <c r="I272" s="24"/>
      <c r="J272" s="24"/>
      <c r="K272" s="114" t="str">
        <f t="shared" si="48"/>
        <v/>
      </c>
      <c r="L272" s="24"/>
      <c r="M272" s="24"/>
      <c r="N272" s="24"/>
      <c r="O272" s="24"/>
      <c r="P272" s="97" t="str">
        <f t="shared" si="49"/>
        <v/>
      </c>
      <c r="Q272" s="113" t="str">
        <f t="shared" si="50"/>
        <v/>
      </c>
      <c r="R272" s="88"/>
      <c r="S272" s="24"/>
      <c r="T272" s="24"/>
      <c r="U272" s="78" t="str">
        <f t="shared" si="51"/>
        <v/>
      </c>
      <c r="V272" s="24"/>
      <c r="W272" s="24"/>
      <c r="X272" s="24"/>
      <c r="Y272" s="24"/>
      <c r="Z272" s="98" t="str">
        <f t="shared" si="52"/>
        <v/>
      </c>
      <c r="AA272" s="40" t="str">
        <f t="shared" si="58"/>
        <v/>
      </c>
      <c r="AB272" s="88"/>
      <c r="AC272" s="24"/>
      <c r="AD272" s="24"/>
      <c r="AE272" s="79" t="str">
        <f t="shared" si="53"/>
        <v/>
      </c>
      <c r="AF272" s="24"/>
      <c r="AG272" s="24"/>
      <c r="AH272" s="24"/>
      <c r="AI272" s="24"/>
      <c r="AJ272" s="99" t="str">
        <f t="shared" si="54"/>
        <v/>
      </c>
      <c r="AK272" s="31" t="str">
        <f t="shared" si="59"/>
        <v/>
      </c>
      <c r="AN272" s="139" t="str">
        <f>IF($K272="","",VLOOKUP($K272,'ORF Accuracy Value LookUp'!$G$4:$H$104,2,TRUE))</f>
        <v/>
      </c>
      <c r="AO272" s="94" t="str">
        <f t="shared" si="55"/>
        <v/>
      </c>
      <c r="AP272" s="47" t="str">
        <f>IF($U272="","",VLOOKUP($U272,'ORF Accuracy Value LookUp'!$G$4:$H$104,2,TRUE))</f>
        <v/>
      </c>
      <c r="AQ272" s="94" t="str">
        <f t="shared" si="56"/>
        <v/>
      </c>
      <c r="AR272" s="46" t="str">
        <f>IF($AE272="","",VLOOKUP($AE272,'ORF Accuracy Value LookUp'!$G$4:$H$104,2,TRUE))</f>
        <v/>
      </c>
      <c r="AS272" s="140" t="str">
        <f t="shared" si="57"/>
        <v/>
      </c>
    </row>
    <row r="273" spans="1:45">
      <c r="A273" s="10"/>
      <c r="B273" s="9"/>
      <c r="C273" s="9"/>
      <c r="D273" s="9"/>
      <c r="E273" s="10"/>
      <c r="F273" s="11"/>
      <c r="G273" s="15"/>
      <c r="H273" s="88"/>
      <c r="I273" s="24"/>
      <c r="J273" s="24"/>
      <c r="K273" s="114" t="str">
        <f t="shared" si="48"/>
        <v/>
      </c>
      <c r="L273" s="24"/>
      <c r="M273" s="24"/>
      <c r="N273" s="24"/>
      <c r="O273" s="24"/>
      <c r="P273" s="97" t="str">
        <f t="shared" si="49"/>
        <v/>
      </c>
      <c r="Q273" s="113" t="str">
        <f t="shared" si="50"/>
        <v/>
      </c>
      <c r="R273" s="88"/>
      <c r="S273" s="24"/>
      <c r="T273" s="24"/>
      <c r="U273" s="78" t="str">
        <f t="shared" si="51"/>
        <v/>
      </c>
      <c r="V273" s="24"/>
      <c r="W273" s="24"/>
      <c r="X273" s="24"/>
      <c r="Y273" s="24"/>
      <c r="Z273" s="98" t="str">
        <f t="shared" si="52"/>
        <v/>
      </c>
      <c r="AA273" s="40" t="str">
        <f t="shared" si="58"/>
        <v/>
      </c>
      <c r="AB273" s="88"/>
      <c r="AC273" s="24"/>
      <c r="AD273" s="24"/>
      <c r="AE273" s="79" t="str">
        <f t="shared" si="53"/>
        <v/>
      </c>
      <c r="AF273" s="24"/>
      <c r="AG273" s="24"/>
      <c r="AH273" s="24"/>
      <c r="AI273" s="24"/>
      <c r="AJ273" s="99" t="str">
        <f t="shared" si="54"/>
        <v/>
      </c>
      <c r="AK273" s="31" t="str">
        <f t="shared" si="59"/>
        <v/>
      </c>
      <c r="AN273" s="139" t="str">
        <f>IF($K273="","",VLOOKUP($K273,'ORF Accuracy Value LookUp'!$G$4:$H$104,2,TRUE))</f>
        <v/>
      </c>
      <c r="AO273" s="94" t="str">
        <f t="shared" si="55"/>
        <v/>
      </c>
      <c r="AP273" s="47" t="str">
        <f>IF($U273="","",VLOOKUP($U273,'ORF Accuracy Value LookUp'!$G$4:$H$104,2,TRUE))</f>
        <v/>
      </c>
      <c r="AQ273" s="94" t="str">
        <f t="shared" si="56"/>
        <v/>
      </c>
      <c r="AR273" s="46" t="str">
        <f>IF($AE273="","",VLOOKUP($AE273,'ORF Accuracy Value LookUp'!$G$4:$H$104,2,TRUE))</f>
        <v/>
      </c>
      <c r="AS273" s="140" t="str">
        <f t="shared" si="57"/>
        <v/>
      </c>
    </row>
    <row r="274" spans="1:45">
      <c r="A274" s="10"/>
      <c r="B274" s="9"/>
      <c r="C274" s="9"/>
      <c r="D274" s="9"/>
      <c r="E274" s="10"/>
      <c r="F274" s="11"/>
      <c r="G274" s="15"/>
      <c r="H274" s="88"/>
      <c r="I274" s="24"/>
      <c r="J274" s="24"/>
      <c r="K274" s="114" t="str">
        <f t="shared" si="48"/>
        <v/>
      </c>
      <c r="L274" s="24"/>
      <c r="M274" s="24"/>
      <c r="N274" s="24"/>
      <c r="O274" s="24"/>
      <c r="P274" s="97" t="str">
        <f t="shared" si="49"/>
        <v/>
      </c>
      <c r="Q274" s="113" t="str">
        <f t="shared" si="50"/>
        <v/>
      </c>
      <c r="R274" s="88"/>
      <c r="S274" s="24"/>
      <c r="T274" s="24"/>
      <c r="U274" s="78" t="str">
        <f t="shared" si="51"/>
        <v/>
      </c>
      <c r="V274" s="24"/>
      <c r="W274" s="24"/>
      <c r="X274" s="24"/>
      <c r="Y274" s="24"/>
      <c r="Z274" s="98" t="str">
        <f t="shared" si="52"/>
        <v/>
      </c>
      <c r="AA274" s="40" t="str">
        <f t="shared" si="58"/>
        <v/>
      </c>
      <c r="AB274" s="88"/>
      <c r="AC274" s="24"/>
      <c r="AD274" s="24"/>
      <c r="AE274" s="79" t="str">
        <f t="shared" si="53"/>
        <v/>
      </c>
      <c r="AF274" s="24"/>
      <c r="AG274" s="24"/>
      <c r="AH274" s="24"/>
      <c r="AI274" s="24"/>
      <c r="AJ274" s="99" t="str">
        <f t="shared" si="54"/>
        <v/>
      </c>
      <c r="AK274" s="31" t="str">
        <f t="shared" si="59"/>
        <v/>
      </c>
      <c r="AN274" s="139" t="str">
        <f>IF($K274="","",VLOOKUP($K274,'ORF Accuracy Value LookUp'!$G$4:$H$104,2,TRUE))</f>
        <v/>
      </c>
      <c r="AO274" s="94" t="str">
        <f t="shared" si="55"/>
        <v/>
      </c>
      <c r="AP274" s="47" t="str">
        <f>IF($U274="","",VLOOKUP($U274,'ORF Accuracy Value LookUp'!$G$4:$H$104,2,TRUE))</f>
        <v/>
      </c>
      <c r="AQ274" s="94" t="str">
        <f t="shared" si="56"/>
        <v/>
      </c>
      <c r="AR274" s="46" t="str">
        <f>IF($AE274="","",VLOOKUP($AE274,'ORF Accuracy Value LookUp'!$G$4:$H$104,2,TRUE))</f>
        <v/>
      </c>
      <c r="AS274" s="140" t="str">
        <f t="shared" si="57"/>
        <v/>
      </c>
    </row>
    <row r="275" spans="1:45">
      <c r="A275" s="10"/>
      <c r="B275" s="9"/>
      <c r="C275" s="9"/>
      <c r="D275" s="9"/>
      <c r="E275" s="10"/>
      <c r="F275" s="11"/>
      <c r="G275" s="15"/>
      <c r="H275" s="88"/>
      <c r="I275" s="24"/>
      <c r="J275" s="24"/>
      <c r="K275" s="114" t="str">
        <f t="shared" si="48"/>
        <v/>
      </c>
      <c r="L275" s="24"/>
      <c r="M275" s="24"/>
      <c r="N275" s="24"/>
      <c r="O275" s="24"/>
      <c r="P275" s="97" t="str">
        <f t="shared" si="49"/>
        <v/>
      </c>
      <c r="Q275" s="113" t="str">
        <f t="shared" si="50"/>
        <v/>
      </c>
      <c r="R275" s="88"/>
      <c r="S275" s="24"/>
      <c r="T275" s="24"/>
      <c r="U275" s="78" t="str">
        <f t="shared" si="51"/>
        <v/>
      </c>
      <c r="V275" s="24"/>
      <c r="W275" s="24"/>
      <c r="X275" s="24"/>
      <c r="Y275" s="24"/>
      <c r="Z275" s="98" t="str">
        <f t="shared" si="52"/>
        <v/>
      </c>
      <c r="AA275" s="40" t="str">
        <f t="shared" si="58"/>
        <v/>
      </c>
      <c r="AB275" s="88"/>
      <c r="AC275" s="24"/>
      <c r="AD275" s="24"/>
      <c r="AE275" s="79" t="str">
        <f t="shared" si="53"/>
        <v/>
      </c>
      <c r="AF275" s="24"/>
      <c r="AG275" s="24"/>
      <c r="AH275" s="24"/>
      <c r="AI275" s="24"/>
      <c r="AJ275" s="99" t="str">
        <f t="shared" si="54"/>
        <v/>
      </c>
      <c r="AK275" s="31" t="str">
        <f t="shared" si="59"/>
        <v/>
      </c>
      <c r="AN275" s="139" t="str">
        <f>IF($K275="","",VLOOKUP($K275,'ORF Accuracy Value LookUp'!$G$4:$H$104,2,TRUE))</f>
        <v/>
      </c>
      <c r="AO275" s="94" t="str">
        <f t="shared" si="55"/>
        <v/>
      </c>
      <c r="AP275" s="47" t="str">
        <f>IF($U275="","",VLOOKUP($U275,'ORF Accuracy Value LookUp'!$G$4:$H$104,2,TRUE))</f>
        <v/>
      </c>
      <c r="AQ275" s="94" t="str">
        <f t="shared" si="56"/>
        <v/>
      </c>
      <c r="AR275" s="46" t="str">
        <f>IF($AE275="","",VLOOKUP($AE275,'ORF Accuracy Value LookUp'!$G$4:$H$104,2,TRUE))</f>
        <v/>
      </c>
      <c r="AS275" s="140" t="str">
        <f t="shared" si="57"/>
        <v/>
      </c>
    </row>
    <row r="276" spans="1:45">
      <c r="A276" s="10"/>
      <c r="B276" s="9"/>
      <c r="C276" s="9"/>
      <c r="D276" s="9"/>
      <c r="E276" s="10"/>
      <c r="F276" s="11"/>
      <c r="G276" s="15"/>
      <c r="H276" s="88"/>
      <c r="I276" s="24"/>
      <c r="J276" s="24"/>
      <c r="K276" s="114" t="str">
        <f t="shared" si="48"/>
        <v/>
      </c>
      <c r="L276" s="24"/>
      <c r="M276" s="24"/>
      <c r="N276" s="24"/>
      <c r="O276" s="24"/>
      <c r="P276" s="97" t="str">
        <f t="shared" si="49"/>
        <v/>
      </c>
      <c r="Q276" s="113" t="str">
        <f t="shared" si="50"/>
        <v/>
      </c>
      <c r="R276" s="88"/>
      <c r="S276" s="24"/>
      <c r="T276" s="24"/>
      <c r="U276" s="78" t="str">
        <f t="shared" si="51"/>
        <v/>
      </c>
      <c r="V276" s="24"/>
      <c r="W276" s="24"/>
      <c r="X276" s="24"/>
      <c r="Y276" s="24"/>
      <c r="Z276" s="98" t="str">
        <f t="shared" si="52"/>
        <v/>
      </c>
      <c r="AA276" s="40" t="str">
        <f t="shared" si="58"/>
        <v/>
      </c>
      <c r="AB276" s="88"/>
      <c r="AC276" s="24"/>
      <c r="AD276" s="24"/>
      <c r="AE276" s="79" t="str">
        <f t="shared" si="53"/>
        <v/>
      </c>
      <c r="AF276" s="24"/>
      <c r="AG276" s="24"/>
      <c r="AH276" s="24"/>
      <c r="AI276" s="24"/>
      <c r="AJ276" s="99" t="str">
        <f t="shared" si="54"/>
        <v/>
      </c>
      <c r="AK276" s="31" t="str">
        <f t="shared" si="59"/>
        <v/>
      </c>
      <c r="AN276" s="139" t="str">
        <f>IF($K276="","",VLOOKUP($K276,'ORF Accuracy Value LookUp'!$G$4:$H$104,2,TRUE))</f>
        <v/>
      </c>
      <c r="AO276" s="94" t="str">
        <f t="shared" si="55"/>
        <v/>
      </c>
      <c r="AP276" s="47" t="str">
        <f>IF($U276="","",VLOOKUP($U276,'ORF Accuracy Value LookUp'!$G$4:$H$104,2,TRUE))</f>
        <v/>
      </c>
      <c r="AQ276" s="94" t="str">
        <f t="shared" si="56"/>
        <v/>
      </c>
      <c r="AR276" s="46" t="str">
        <f>IF($AE276="","",VLOOKUP($AE276,'ORF Accuracy Value LookUp'!$G$4:$H$104,2,TRUE))</f>
        <v/>
      </c>
      <c r="AS276" s="140" t="str">
        <f t="shared" si="57"/>
        <v/>
      </c>
    </row>
    <row r="277" spans="1:45">
      <c r="A277" s="10"/>
      <c r="B277" s="9"/>
      <c r="C277" s="9"/>
      <c r="D277" s="9"/>
      <c r="E277" s="10"/>
      <c r="F277" s="11"/>
      <c r="G277" s="15"/>
      <c r="H277" s="88"/>
      <c r="I277" s="24"/>
      <c r="J277" s="24"/>
      <c r="K277" s="114" t="str">
        <f t="shared" si="48"/>
        <v/>
      </c>
      <c r="L277" s="24"/>
      <c r="M277" s="24"/>
      <c r="N277" s="24"/>
      <c r="O277" s="24"/>
      <c r="P277" s="97" t="str">
        <f t="shared" si="49"/>
        <v/>
      </c>
      <c r="Q277" s="113" t="str">
        <f t="shared" si="50"/>
        <v/>
      </c>
      <c r="R277" s="88"/>
      <c r="S277" s="24"/>
      <c r="T277" s="24"/>
      <c r="U277" s="78" t="str">
        <f t="shared" si="51"/>
        <v/>
      </c>
      <c r="V277" s="24"/>
      <c r="W277" s="24"/>
      <c r="X277" s="24"/>
      <c r="Y277" s="24"/>
      <c r="Z277" s="98" t="str">
        <f t="shared" si="52"/>
        <v/>
      </c>
      <c r="AA277" s="40" t="str">
        <f t="shared" si="58"/>
        <v/>
      </c>
      <c r="AB277" s="88"/>
      <c r="AC277" s="24"/>
      <c r="AD277" s="24"/>
      <c r="AE277" s="79" t="str">
        <f t="shared" si="53"/>
        <v/>
      </c>
      <c r="AF277" s="24"/>
      <c r="AG277" s="24"/>
      <c r="AH277" s="24"/>
      <c r="AI277" s="24"/>
      <c r="AJ277" s="99" t="str">
        <f t="shared" si="54"/>
        <v/>
      </c>
      <c r="AK277" s="31" t="str">
        <f t="shared" si="59"/>
        <v/>
      </c>
      <c r="AN277" s="139" t="str">
        <f>IF($K277="","",VLOOKUP($K277,'ORF Accuracy Value LookUp'!$G$4:$H$104,2,TRUE))</f>
        <v/>
      </c>
      <c r="AO277" s="94" t="str">
        <f t="shared" si="55"/>
        <v/>
      </c>
      <c r="AP277" s="47" t="str">
        <f>IF($U277="","",VLOOKUP($U277,'ORF Accuracy Value LookUp'!$G$4:$H$104,2,TRUE))</f>
        <v/>
      </c>
      <c r="AQ277" s="94" t="str">
        <f t="shared" si="56"/>
        <v/>
      </c>
      <c r="AR277" s="46" t="str">
        <f>IF($AE277="","",VLOOKUP($AE277,'ORF Accuracy Value LookUp'!$G$4:$H$104,2,TRUE))</f>
        <v/>
      </c>
      <c r="AS277" s="140" t="str">
        <f t="shared" si="57"/>
        <v/>
      </c>
    </row>
    <row r="278" spans="1:45">
      <c r="A278" s="10"/>
      <c r="B278" s="9"/>
      <c r="C278" s="9"/>
      <c r="D278" s="9"/>
      <c r="E278" s="10"/>
      <c r="F278" s="11"/>
      <c r="G278" s="15"/>
      <c r="H278" s="88"/>
      <c r="I278" s="24"/>
      <c r="J278" s="24"/>
      <c r="K278" s="114" t="str">
        <f t="shared" si="48"/>
        <v/>
      </c>
      <c r="L278" s="24"/>
      <c r="M278" s="24"/>
      <c r="N278" s="24"/>
      <c r="O278" s="24"/>
      <c r="P278" s="97" t="str">
        <f t="shared" si="49"/>
        <v/>
      </c>
      <c r="Q278" s="113" t="str">
        <f t="shared" si="50"/>
        <v/>
      </c>
      <c r="R278" s="88"/>
      <c r="S278" s="24"/>
      <c r="T278" s="24"/>
      <c r="U278" s="78" t="str">
        <f t="shared" si="51"/>
        <v/>
      </c>
      <c r="V278" s="24"/>
      <c r="W278" s="24"/>
      <c r="X278" s="24"/>
      <c r="Y278" s="24"/>
      <c r="Z278" s="98" t="str">
        <f t="shared" si="52"/>
        <v/>
      </c>
      <c r="AA278" s="40" t="str">
        <f t="shared" si="58"/>
        <v/>
      </c>
      <c r="AB278" s="88"/>
      <c r="AC278" s="24"/>
      <c r="AD278" s="24"/>
      <c r="AE278" s="79" t="str">
        <f t="shared" si="53"/>
        <v/>
      </c>
      <c r="AF278" s="24"/>
      <c r="AG278" s="24"/>
      <c r="AH278" s="24"/>
      <c r="AI278" s="24"/>
      <c r="AJ278" s="99" t="str">
        <f t="shared" si="54"/>
        <v/>
      </c>
      <c r="AK278" s="31" t="str">
        <f t="shared" si="59"/>
        <v/>
      </c>
      <c r="AN278" s="139" t="str">
        <f>IF($K278="","",VLOOKUP($K278,'ORF Accuracy Value LookUp'!$G$4:$H$104,2,TRUE))</f>
        <v/>
      </c>
      <c r="AO278" s="94" t="str">
        <f t="shared" si="55"/>
        <v/>
      </c>
      <c r="AP278" s="47" t="str">
        <f>IF($U278="","",VLOOKUP($U278,'ORF Accuracy Value LookUp'!$G$4:$H$104,2,TRUE))</f>
        <v/>
      </c>
      <c r="AQ278" s="94" t="str">
        <f t="shared" si="56"/>
        <v/>
      </c>
      <c r="AR278" s="46" t="str">
        <f>IF($AE278="","",VLOOKUP($AE278,'ORF Accuracy Value LookUp'!$G$4:$H$104,2,TRUE))</f>
        <v/>
      </c>
      <c r="AS278" s="140" t="str">
        <f t="shared" si="57"/>
        <v/>
      </c>
    </row>
    <row r="279" spans="1:45">
      <c r="A279" s="10"/>
      <c r="B279" s="9"/>
      <c r="C279" s="9"/>
      <c r="D279" s="9"/>
      <c r="E279" s="10"/>
      <c r="F279" s="11"/>
      <c r="G279" s="15"/>
      <c r="H279" s="88"/>
      <c r="I279" s="24"/>
      <c r="J279" s="24"/>
      <c r="K279" s="114" t="str">
        <f t="shared" si="48"/>
        <v/>
      </c>
      <c r="L279" s="24"/>
      <c r="M279" s="24"/>
      <c r="N279" s="24"/>
      <c r="O279" s="24"/>
      <c r="P279" s="97" t="str">
        <f t="shared" si="49"/>
        <v/>
      </c>
      <c r="Q279" s="113" t="str">
        <f t="shared" si="50"/>
        <v/>
      </c>
      <c r="R279" s="88"/>
      <c r="S279" s="24"/>
      <c r="T279" s="24"/>
      <c r="U279" s="78" t="str">
        <f t="shared" si="51"/>
        <v/>
      </c>
      <c r="V279" s="24"/>
      <c r="W279" s="24"/>
      <c r="X279" s="24"/>
      <c r="Y279" s="24"/>
      <c r="Z279" s="98" t="str">
        <f t="shared" si="52"/>
        <v/>
      </c>
      <c r="AA279" s="40" t="str">
        <f t="shared" si="58"/>
        <v/>
      </c>
      <c r="AB279" s="88"/>
      <c r="AC279" s="24"/>
      <c r="AD279" s="24"/>
      <c r="AE279" s="79" t="str">
        <f t="shared" si="53"/>
        <v/>
      </c>
      <c r="AF279" s="24"/>
      <c r="AG279" s="24"/>
      <c r="AH279" s="24"/>
      <c r="AI279" s="24"/>
      <c r="AJ279" s="99" t="str">
        <f t="shared" si="54"/>
        <v/>
      </c>
      <c r="AK279" s="31" t="str">
        <f t="shared" si="59"/>
        <v/>
      </c>
      <c r="AN279" s="139" t="str">
        <f>IF($K279="","",VLOOKUP($K279,'ORF Accuracy Value LookUp'!$G$4:$H$104,2,TRUE))</f>
        <v/>
      </c>
      <c r="AO279" s="94" t="str">
        <f t="shared" si="55"/>
        <v/>
      </c>
      <c r="AP279" s="47" t="str">
        <f>IF($U279="","",VLOOKUP($U279,'ORF Accuracy Value LookUp'!$G$4:$H$104,2,TRUE))</f>
        <v/>
      </c>
      <c r="AQ279" s="94" t="str">
        <f t="shared" si="56"/>
        <v/>
      </c>
      <c r="AR279" s="46" t="str">
        <f>IF($AE279="","",VLOOKUP($AE279,'ORF Accuracy Value LookUp'!$G$4:$H$104,2,TRUE))</f>
        <v/>
      </c>
      <c r="AS279" s="140" t="str">
        <f t="shared" si="57"/>
        <v/>
      </c>
    </row>
    <row r="280" spans="1:45">
      <c r="A280" s="10"/>
      <c r="B280" s="9"/>
      <c r="C280" s="9"/>
      <c r="D280" s="9"/>
      <c r="E280" s="10"/>
      <c r="F280" s="11"/>
      <c r="G280" s="15"/>
      <c r="H280" s="88"/>
      <c r="I280" s="24"/>
      <c r="J280" s="24"/>
      <c r="K280" s="114" t="str">
        <f t="shared" si="48"/>
        <v/>
      </c>
      <c r="L280" s="24"/>
      <c r="M280" s="24"/>
      <c r="N280" s="24"/>
      <c r="O280" s="24"/>
      <c r="P280" s="97" t="str">
        <f t="shared" si="49"/>
        <v/>
      </c>
      <c r="Q280" s="113" t="str">
        <f t="shared" si="50"/>
        <v/>
      </c>
      <c r="R280" s="88"/>
      <c r="S280" s="24"/>
      <c r="T280" s="24"/>
      <c r="U280" s="78" t="str">
        <f t="shared" si="51"/>
        <v/>
      </c>
      <c r="V280" s="24"/>
      <c r="W280" s="24"/>
      <c r="X280" s="24"/>
      <c r="Y280" s="24"/>
      <c r="Z280" s="98" t="str">
        <f t="shared" si="52"/>
        <v/>
      </c>
      <c r="AA280" s="40" t="str">
        <f t="shared" si="58"/>
        <v/>
      </c>
      <c r="AB280" s="88"/>
      <c r="AC280" s="24"/>
      <c r="AD280" s="24"/>
      <c r="AE280" s="79" t="str">
        <f t="shared" si="53"/>
        <v/>
      </c>
      <c r="AF280" s="24"/>
      <c r="AG280" s="24"/>
      <c r="AH280" s="24"/>
      <c r="AI280" s="24"/>
      <c r="AJ280" s="99" t="str">
        <f t="shared" si="54"/>
        <v/>
      </c>
      <c r="AK280" s="31" t="str">
        <f t="shared" si="59"/>
        <v/>
      </c>
      <c r="AN280" s="139" t="str">
        <f>IF($K280="","",VLOOKUP($K280,'ORF Accuracy Value LookUp'!$G$4:$H$104,2,TRUE))</f>
        <v/>
      </c>
      <c r="AO280" s="94" t="str">
        <f t="shared" si="55"/>
        <v/>
      </c>
      <c r="AP280" s="47" t="str">
        <f>IF($U280="","",VLOOKUP($U280,'ORF Accuracy Value LookUp'!$G$4:$H$104,2,TRUE))</f>
        <v/>
      </c>
      <c r="AQ280" s="94" t="str">
        <f t="shared" si="56"/>
        <v/>
      </c>
      <c r="AR280" s="46" t="str">
        <f>IF($AE280="","",VLOOKUP($AE280,'ORF Accuracy Value LookUp'!$G$4:$H$104,2,TRUE))</f>
        <v/>
      </c>
      <c r="AS280" s="140" t="str">
        <f t="shared" si="57"/>
        <v/>
      </c>
    </row>
    <row r="281" spans="1:45">
      <c r="A281" s="10"/>
      <c r="B281" s="9"/>
      <c r="C281" s="9"/>
      <c r="D281" s="9"/>
      <c r="E281" s="10"/>
      <c r="F281" s="11"/>
      <c r="G281" s="15"/>
      <c r="H281" s="88"/>
      <c r="I281" s="24"/>
      <c r="J281" s="24"/>
      <c r="K281" s="114" t="str">
        <f t="shared" si="48"/>
        <v/>
      </c>
      <c r="L281" s="24"/>
      <c r="M281" s="24"/>
      <c r="N281" s="24"/>
      <c r="O281" s="24"/>
      <c r="P281" s="97" t="str">
        <f t="shared" si="49"/>
        <v/>
      </c>
      <c r="Q281" s="113" t="str">
        <f t="shared" si="50"/>
        <v/>
      </c>
      <c r="R281" s="88"/>
      <c r="S281" s="24"/>
      <c r="T281" s="24"/>
      <c r="U281" s="78" t="str">
        <f t="shared" si="51"/>
        <v/>
      </c>
      <c r="V281" s="24"/>
      <c r="W281" s="24"/>
      <c r="X281" s="24"/>
      <c r="Y281" s="24"/>
      <c r="Z281" s="98" t="str">
        <f t="shared" si="52"/>
        <v/>
      </c>
      <c r="AA281" s="40" t="str">
        <f t="shared" si="58"/>
        <v/>
      </c>
      <c r="AB281" s="88"/>
      <c r="AC281" s="24"/>
      <c r="AD281" s="24"/>
      <c r="AE281" s="79" t="str">
        <f t="shared" si="53"/>
        <v/>
      </c>
      <c r="AF281" s="24"/>
      <c r="AG281" s="24"/>
      <c r="AH281" s="24"/>
      <c r="AI281" s="24"/>
      <c r="AJ281" s="99" t="str">
        <f t="shared" si="54"/>
        <v/>
      </c>
      <c r="AK281" s="31" t="str">
        <f t="shared" si="59"/>
        <v/>
      </c>
      <c r="AN281" s="139" t="str">
        <f>IF($K281="","",VLOOKUP($K281,'ORF Accuracy Value LookUp'!$G$4:$H$104,2,TRUE))</f>
        <v/>
      </c>
      <c r="AO281" s="94" t="str">
        <f t="shared" si="55"/>
        <v/>
      </c>
      <c r="AP281" s="47" t="str">
        <f>IF($U281="","",VLOOKUP($U281,'ORF Accuracy Value LookUp'!$G$4:$H$104,2,TRUE))</f>
        <v/>
      </c>
      <c r="AQ281" s="94" t="str">
        <f t="shared" si="56"/>
        <v/>
      </c>
      <c r="AR281" s="46" t="str">
        <f>IF($AE281="","",VLOOKUP($AE281,'ORF Accuracy Value LookUp'!$G$4:$H$104,2,TRUE))</f>
        <v/>
      </c>
      <c r="AS281" s="140" t="str">
        <f t="shared" si="57"/>
        <v/>
      </c>
    </row>
    <row r="282" spans="1:45">
      <c r="A282" s="10"/>
      <c r="B282" s="9"/>
      <c r="C282" s="9"/>
      <c r="D282" s="9"/>
      <c r="E282" s="10"/>
      <c r="F282" s="11"/>
      <c r="G282" s="15"/>
      <c r="H282" s="88"/>
      <c r="I282" s="24"/>
      <c r="J282" s="24"/>
      <c r="K282" s="114" t="str">
        <f t="shared" si="48"/>
        <v/>
      </c>
      <c r="L282" s="24"/>
      <c r="M282" s="24"/>
      <c r="N282" s="24"/>
      <c r="O282" s="24"/>
      <c r="P282" s="97" t="str">
        <f t="shared" si="49"/>
        <v/>
      </c>
      <c r="Q282" s="113" t="str">
        <f t="shared" si="50"/>
        <v/>
      </c>
      <c r="R282" s="88"/>
      <c r="S282" s="24"/>
      <c r="T282" s="24"/>
      <c r="U282" s="78" t="str">
        <f t="shared" si="51"/>
        <v/>
      </c>
      <c r="V282" s="24"/>
      <c r="W282" s="24"/>
      <c r="X282" s="24"/>
      <c r="Y282" s="24"/>
      <c r="Z282" s="98" t="str">
        <f t="shared" si="52"/>
        <v/>
      </c>
      <c r="AA282" s="40" t="str">
        <f t="shared" si="58"/>
        <v/>
      </c>
      <c r="AB282" s="88"/>
      <c r="AC282" s="24"/>
      <c r="AD282" s="24"/>
      <c r="AE282" s="79" t="str">
        <f t="shared" si="53"/>
        <v/>
      </c>
      <c r="AF282" s="24"/>
      <c r="AG282" s="24"/>
      <c r="AH282" s="24"/>
      <c r="AI282" s="24"/>
      <c r="AJ282" s="99" t="str">
        <f t="shared" si="54"/>
        <v/>
      </c>
      <c r="AK282" s="31" t="str">
        <f t="shared" si="59"/>
        <v/>
      </c>
      <c r="AN282" s="139" t="str">
        <f>IF($K282="","",VLOOKUP($K282,'ORF Accuracy Value LookUp'!$G$4:$H$104,2,TRUE))</f>
        <v/>
      </c>
      <c r="AO282" s="94" t="str">
        <f t="shared" si="55"/>
        <v/>
      </c>
      <c r="AP282" s="47" t="str">
        <f>IF($U282="","",VLOOKUP($U282,'ORF Accuracy Value LookUp'!$G$4:$H$104,2,TRUE))</f>
        <v/>
      </c>
      <c r="AQ282" s="94" t="str">
        <f t="shared" si="56"/>
        <v/>
      </c>
      <c r="AR282" s="46" t="str">
        <f>IF($AE282="","",VLOOKUP($AE282,'ORF Accuracy Value LookUp'!$G$4:$H$104,2,TRUE))</f>
        <v/>
      </c>
      <c r="AS282" s="140" t="str">
        <f t="shared" si="57"/>
        <v/>
      </c>
    </row>
    <row r="283" spans="1:45">
      <c r="A283" s="10"/>
      <c r="B283" s="9"/>
      <c r="C283" s="9"/>
      <c r="D283" s="9"/>
      <c r="E283" s="10"/>
      <c r="F283" s="11"/>
      <c r="G283" s="15"/>
      <c r="H283" s="88"/>
      <c r="I283" s="24"/>
      <c r="J283" s="24"/>
      <c r="K283" s="114" t="str">
        <f t="shared" si="48"/>
        <v/>
      </c>
      <c r="L283" s="24"/>
      <c r="M283" s="24"/>
      <c r="N283" s="24"/>
      <c r="O283" s="24"/>
      <c r="P283" s="97" t="str">
        <f t="shared" si="49"/>
        <v/>
      </c>
      <c r="Q283" s="113" t="str">
        <f t="shared" si="50"/>
        <v/>
      </c>
      <c r="R283" s="88"/>
      <c r="S283" s="24"/>
      <c r="T283" s="24"/>
      <c r="U283" s="78" t="str">
        <f t="shared" si="51"/>
        <v/>
      </c>
      <c r="V283" s="24"/>
      <c r="W283" s="24"/>
      <c r="X283" s="24"/>
      <c r="Y283" s="24"/>
      <c r="Z283" s="98" t="str">
        <f t="shared" si="52"/>
        <v/>
      </c>
      <c r="AA283" s="40" t="str">
        <f t="shared" si="58"/>
        <v/>
      </c>
      <c r="AB283" s="88"/>
      <c r="AC283" s="24"/>
      <c r="AD283" s="24"/>
      <c r="AE283" s="79" t="str">
        <f t="shared" si="53"/>
        <v/>
      </c>
      <c r="AF283" s="24"/>
      <c r="AG283" s="24"/>
      <c r="AH283" s="24"/>
      <c r="AI283" s="24"/>
      <c r="AJ283" s="99" t="str">
        <f t="shared" si="54"/>
        <v/>
      </c>
      <c r="AK283" s="31" t="str">
        <f t="shared" si="59"/>
        <v/>
      </c>
      <c r="AN283" s="139" t="str">
        <f>IF($K283="","",VLOOKUP($K283,'ORF Accuracy Value LookUp'!$G$4:$H$104,2,TRUE))</f>
        <v/>
      </c>
      <c r="AO283" s="94" t="str">
        <f t="shared" si="55"/>
        <v/>
      </c>
      <c r="AP283" s="47" t="str">
        <f>IF($U283="","",VLOOKUP($U283,'ORF Accuracy Value LookUp'!$G$4:$H$104,2,TRUE))</f>
        <v/>
      </c>
      <c r="AQ283" s="94" t="str">
        <f t="shared" si="56"/>
        <v/>
      </c>
      <c r="AR283" s="46" t="str">
        <f>IF($AE283="","",VLOOKUP($AE283,'ORF Accuracy Value LookUp'!$G$4:$H$104,2,TRUE))</f>
        <v/>
      </c>
      <c r="AS283" s="140" t="str">
        <f t="shared" si="57"/>
        <v/>
      </c>
    </row>
    <row r="284" spans="1:45">
      <c r="A284" s="10"/>
      <c r="B284" s="9"/>
      <c r="C284" s="9"/>
      <c r="D284" s="9"/>
      <c r="E284" s="10"/>
      <c r="F284" s="11"/>
      <c r="G284" s="15"/>
      <c r="H284" s="88"/>
      <c r="I284" s="24"/>
      <c r="J284" s="24"/>
      <c r="K284" s="114" t="str">
        <f t="shared" si="48"/>
        <v/>
      </c>
      <c r="L284" s="24"/>
      <c r="M284" s="24"/>
      <c r="N284" s="24"/>
      <c r="O284" s="24"/>
      <c r="P284" s="97" t="str">
        <f t="shared" si="49"/>
        <v/>
      </c>
      <c r="Q284" s="113" t="str">
        <f t="shared" si="50"/>
        <v/>
      </c>
      <c r="R284" s="88"/>
      <c r="S284" s="24"/>
      <c r="T284" s="24"/>
      <c r="U284" s="78" t="str">
        <f t="shared" si="51"/>
        <v/>
      </c>
      <c r="V284" s="24"/>
      <c r="W284" s="24"/>
      <c r="X284" s="24"/>
      <c r="Y284" s="24"/>
      <c r="Z284" s="98" t="str">
        <f t="shared" si="52"/>
        <v/>
      </c>
      <c r="AA284" s="40" t="str">
        <f t="shared" si="58"/>
        <v/>
      </c>
      <c r="AB284" s="88"/>
      <c r="AC284" s="24"/>
      <c r="AD284" s="24"/>
      <c r="AE284" s="79" t="str">
        <f t="shared" si="53"/>
        <v/>
      </c>
      <c r="AF284" s="24"/>
      <c r="AG284" s="24"/>
      <c r="AH284" s="24"/>
      <c r="AI284" s="24"/>
      <c r="AJ284" s="99" t="str">
        <f t="shared" si="54"/>
        <v/>
      </c>
      <c r="AK284" s="31" t="str">
        <f t="shared" si="59"/>
        <v/>
      </c>
      <c r="AN284" s="139" t="str">
        <f>IF($K284="","",VLOOKUP($K284,'ORF Accuracy Value LookUp'!$G$4:$H$104,2,TRUE))</f>
        <v/>
      </c>
      <c r="AO284" s="94" t="str">
        <f t="shared" si="55"/>
        <v/>
      </c>
      <c r="AP284" s="47" t="str">
        <f>IF($U284="","",VLOOKUP($U284,'ORF Accuracy Value LookUp'!$G$4:$H$104,2,TRUE))</f>
        <v/>
      </c>
      <c r="AQ284" s="94" t="str">
        <f t="shared" si="56"/>
        <v/>
      </c>
      <c r="AR284" s="46" t="str">
        <f>IF($AE284="","",VLOOKUP($AE284,'ORF Accuracy Value LookUp'!$G$4:$H$104,2,TRUE))</f>
        <v/>
      </c>
      <c r="AS284" s="140" t="str">
        <f t="shared" si="57"/>
        <v/>
      </c>
    </row>
    <row r="285" spans="1:45">
      <c r="A285" s="10"/>
      <c r="B285" s="9"/>
      <c r="C285" s="9"/>
      <c r="D285" s="9"/>
      <c r="E285" s="10"/>
      <c r="F285" s="11"/>
      <c r="G285" s="15"/>
      <c r="H285" s="88"/>
      <c r="I285" s="24"/>
      <c r="J285" s="24"/>
      <c r="K285" s="114" t="str">
        <f t="shared" si="48"/>
        <v/>
      </c>
      <c r="L285" s="24"/>
      <c r="M285" s="24"/>
      <c r="N285" s="24"/>
      <c r="O285" s="24"/>
      <c r="P285" s="97" t="str">
        <f t="shared" si="49"/>
        <v/>
      </c>
      <c r="Q285" s="113" t="str">
        <f t="shared" si="50"/>
        <v/>
      </c>
      <c r="R285" s="88"/>
      <c r="S285" s="24"/>
      <c r="T285" s="24"/>
      <c r="U285" s="78" t="str">
        <f t="shared" si="51"/>
        <v/>
      </c>
      <c r="V285" s="24"/>
      <c r="W285" s="24"/>
      <c r="X285" s="24"/>
      <c r="Y285" s="24"/>
      <c r="Z285" s="98" t="str">
        <f t="shared" si="52"/>
        <v/>
      </c>
      <c r="AA285" s="40" t="str">
        <f t="shared" si="58"/>
        <v/>
      </c>
      <c r="AB285" s="88"/>
      <c r="AC285" s="24"/>
      <c r="AD285" s="24"/>
      <c r="AE285" s="79" t="str">
        <f t="shared" si="53"/>
        <v/>
      </c>
      <c r="AF285" s="24"/>
      <c r="AG285" s="24"/>
      <c r="AH285" s="24"/>
      <c r="AI285" s="24"/>
      <c r="AJ285" s="99" t="str">
        <f t="shared" si="54"/>
        <v/>
      </c>
      <c r="AK285" s="31" t="str">
        <f t="shared" si="59"/>
        <v/>
      </c>
      <c r="AN285" s="139" t="str">
        <f>IF($K285="","",VLOOKUP($K285,'ORF Accuracy Value LookUp'!$G$4:$H$104,2,TRUE))</f>
        <v/>
      </c>
      <c r="AO285" s="94" t="str">
        <f t="shared" si="55"/>
        <v/>
      </c>
      <c r="AP285" s="47" t="str">
        <f>IF($U285="","",VLOOKUP($U285,'ORF Accuracy Value LookUp'!$G$4:$H$104,2,TRUE))</f>
        <v/>
      </c>
      <c r="AQ285" s="94" t="str">
        <f t="shared" si="56"/>
        <v/>
      </c>
      <c r="AR285" s="46" t="str">
        <f>IF($AE285="","",VLOOKUP($AE285,'ORF Accuracy Value LookUp'!$G$4:$H$104,2,TRUE))</f>
        <v/>
      </c>
      <c r="AS285" s="140" t="str">
        <f t="shared" si="57"/>
        <v/>
      </c>
    </row>
    <row r="286" spans="1:45">
      <c r="A286" s="10"/>
      <c r="B286" s="9"/>
      <c r="C286" s="9"/>
      <c r="D286" s="9"/>
      <c r="E286" s="10"/>
      <c r="F286" s="11"/>
      <c r="G286" s="15"/>
      <c r="H286" s="88"/>
      <c r="I286" s="24"/>
      <c r="J286" s="24"/>
      <c r="K286" s="114" t="str">
        <f t="shared" si="48"/>
        <v/>
      </c>
      <c r="L286" s="24"/>
      <c r="M286" s="24"/>
      <c r="N286" s="24"/>
      <c r="O286" s="24"/>
      <c r="P286" s="97" t="str">
        <f t="shared" si="49"/>
        <v/>
      </c>
      <c r="Q286" s="113" t="str">
        <f t="shared" si="50"/>
        <v/>
      </c>
      <c r="R286" s="88"/>
      <c r="S286" s="24"/>
      <c r="T286" s="24"/>
      <c r="U286" s="78" t="str">
        <f t="shared" si="51"/>
        <v/>
      </c>
      <c r="V286" s="24"/>
      <c r="W286" s="24"/>
      <c r="X286" s="24"/>
      <c r="Y286" s="24"/>
      <c r="Z286" s="98" t="str">
        <f t="shared" si="52"/>
        <v/>
      </c>
      <c r="AA286" s="40" t="str">
        <f t="shared" si="58"/>
        <v/>
      </c>
      <c r="AB286" s="88"/>
      <c r="AC286" s="24"/>
      <c r="AD286" s="24"/>
      <c r="AE286" s="79" t="str">
        <f t="shared" si="53"/>
        <v/>
      </c>
      <c r="AF286" s="24"/>
      <c r="AG286" s="24"/>
      <c r="AH286" s="24"/>
      <c r="AI286" s="24"/>
      <c r="AJ286" s="99" t="str">
        <f t="shared" si="54"/>
        <v/>
      </c>
      <c r="AK286" s="31" t="str">
        <f t="shared" si="59"/>
        <v/>
      </c>
      <c r="AN286" s="139" t="str">
        <f>IF($K286="","",VLOOKUP($K286,'ORF Accuracy Value LookUp'!$G$4:$H$104,2,TRUE))</f>
        <v/>
      </c>
      <c r="AO286" s="94" t="str">
        <f t="shared" si="55"/>
        <v/>
      </c>
      <c r="AP286" s="47" t="str">
        <f>IF($U286="","",VLOOKUP($U286,'ORF Accuracy Value LookUp'!$G$4:$H$104,2,TRUE))</f>
        <v/>
      </c>
      <c r="AQ286" s="94" t="str">
        <f t="shared" si="56"/>
        <v/>
      </c>
      <c r="AR286" s="46" t="str">
        <f>IF($AE286="","",VLOOKUP($AE286,'ORF Accuracy Value LookUp'!$G$4:$H$104,2,TRUE))</f>
        <v/>
      </c>
      <c r="AS286" s="140" t="str">
        <f t="shared" si="57"/>
        <v/>
      </c>
    </row>
    <row r="287" spans="1:45">
      <c r="A287" s="10"/>
      <c r="B287" s="9"/>
      <c r="C287" s="9"/>
      <c r="D287" s="9"/>
      <c r="E287" s="10"/>
      <c r="F287" s="11"/>
      <c r="G287" s="15"/>
      <c r="H287" s="88"/>
      <c r="I287" s="24"/>
      <c r="J287" s="24"/>
      <c r="K287" s="114" t="str">
        <f t="shared" si="48"/>
        <v/>
      </c>
      <c r="L287" s="24"/>
      <c r="M287" s="24"/>
      <c r="N287" s="24"/>
      <c r="O287" s="24"/>
      <c r="P287" s="97" t="str">
        <f t="shared" si="49"/>
        <v/>
      </c>
      <c r="Q287" s="113" t="str">
        <f t="shared" si="50"/>
        <v/>
      </c>
      <c r="R287" s="88"/>
      <c r="S287" s="24"/>
      <c r="T287" s="24"/>
      <c r="U287" s="78" t="str">
        <f t="shared" si="51"/>
        <v/>
      </c>
      <c r="V287" s="24"/>
      <c r="W287" s="24"/>
      <c r="X287" s="24"/>
      <c r="Y287" s="24"/>
      <c r="Z287" s="98" t="str">
        <f t="shared" si="52"/>
        <v/>
      </c>
      <c r="AA287" s="40" t="str">
        <f t="shared" si="58"/>
        <v/>
      </c>
      <c r="AB287" s="88"/>
      <c r="AC287" s="24"/>
      <c r="AD287" s="24"/>
      <c r="AE287" s="79" t="str">
        <f t="shared" si="53"/>
        <v/>
      </c>
      <c r="AF287" s="24"/>
      <c r="AG287" s="24"/>
      <c r="AH287" s="24"/>
      <c r="AI287" s="24"/>
      <c r="AJ287" s="99" t="str">
        <f t="shared" si="54"/>
        <v/>
      </c>
      <c r="AK287" s="31" t="str">
        <f t="shared" si="59"/>
        <v/>
      </c>
      <c r="AN287" s="139" t="str">
        <f>IF($K287="","",VLOOKUP($K287,'ORF Accuracy Value LookUp'!$G$4:$H$104,2,TRUE))</f>
        <v/>
      </c>
      <c r="AO287" s="94" t="str">
        <f t="shared" si="55"/>
        <v/>
      </c>
      <c r="AP287" s="47" t="str">
        <f>IF($U287="","",VLOOKUP($U287,'ORF Accuracy Value LookUp'!$G$4:$H$104,2,TRUE))</f>
        <v/>
      </c>
      <c r="AQ287" s="94" t="str">
        <f t="shared" si="56"/>
        <v/>
      </c>
      <c r="AR287" s="46" t="str">
        <f>IF($AE287="","",VLOOKUP($AE287,'ORF Accuracy Value LookUp'!$G$4:$H$104,2,TRUE))</f>
        <v/>
      </c>
      <c r="AS287" s="140" t="str">
        <f t="shared" si="57"/>
        <v/>
      </c>
    </row>
    <row r="288" spans="1:45">
      <c r="A288" s="10"/>
      <c r="B288" s="9"/>
      <c r="C288" s="9"/>
      <c r="D288" s="9"/>
      <c r="E288" s="10"/>
      <c r="F288" s="11"/>
      <c r="G288" s="15"/>
      <c r="H288" s="88"/>
      <c r="I288" s="24"/>
      <c r="J288" s="24"/>
      <c r="K288" s="114" t="str">
        <f t="shared" si="48"/>
        <v/>
      </c>
      <c r="L288" s="24"/>
      <c r="M288" s="24"/>
      <c r="N288" s="24"/>
      <c r="O288" s="24"/>
      <c r="P288" s="97" t="str">
        <f t="shared" si="49"/>
        <v/>
      </c>
      <c r="Q288" s="113" t="str">
        <f t="shared" si="50"/>
        <v/>
      </c>
      <c r="R288" s="88"/>
      <c r="S288" s="24"/>
      <c r="T288" s="24"/>
      <c r="U288" s="78" t="str">
        <f t="shared" si="51"/>
        <v/>
      </c>
      <c r="V288" s="24"/>
      <c r="W288" s="24"/>
      <c r="X288" s="24"/>
      <c r="Y288" s="24"/>
      <c r="Z288" s="98" t="str">
        <f t="shared" si="52"/>
        <v/>
      </c>
      <c r="AA288" s="40" t="str">
        <f t="shared" si="58"/>
        <v/>
      </c>
      <c r="AB288" s="88"/>
      <c r="AC288" s="24"/>
      <c r="AD288" s="24"/>
      <c r="AE288" s="79" t="str">
        <f t="shared" si="53"/>
        <v/>
      </c>
      <c r="AF288" s="24"/>
      <c r="AG288" s="24"/>
      <c r="AH288" s="24"/>
      <c r="AI288" s="24"/>
      <c r="AJ288" s="99" t="str">
        <f t="shared" si="54"/>
        <v/>
      </c>
      <c r="AK288" s="31" t="str">
        <f t="shared" si="59"/>
        <v/>
      </c>
      <c r="AN288" s="139" t="str">
        <f>IF($K288="","",VLOOKUP($K288,'ORF Accuracy Value LookUp'!$G$4:$H$104,2,TRUE))</f>
        <v/>
      </c>
      <c r="AO288" s="94" t="str">
        <f t="shared" si="55"/>
        <v/>
      </c>
      <c r="AP288" s="47" t="str">
        <f>IF($U288="","",VLOOKUP($U288,'ORF Accuracy Value LookUp'!$G$4:$H$104,2,TRUE))</f>
        <v/>
      </c>
      <c r="AQ288" s="94" t="str">
        <f t="shared" si="56"/>
        <v/>
      </c>
      <c r="AR288" s="46" t="str">
        <f>IF($AE288="","",VLOOKUP($AE288,'ORF Accuracy Value LookUp'!$G$4:$H$104,2,TRUE))</f>
        <v/>
      </c>
      <c r="AS288" s="140" t="str">
        <f t="shared" si="57"/>
        <v/>
      </c>
    </row>
    <row r="289" spans="1:45">
      <c r="A289" s="10"/>
      <c r="B289" s="9"/>
      <c r="C289" s="9"/>
      <c r="D289" s="9"/>
      <c r="E289" s="10"/>
      <c r="F289" s="11"/>
      <c r="G289" s="15"/>
      <c r="H289" s="88"/>
      <c r="I289" s="24"/>
      <c r="J289" s="24"/>
      <c r="K289" s="114" t="str">
        <f t="shared" si="48"/>
        <v/>
      </c>
      <c r="L289" s="24"/>
      <c r="M289" s="24"/>
      <c r="N289" s="24"/>
      <c r="O289" s="24"/>
      <c r="P289" s="97" t="str">
        <f t="shared" si="49"/>
        <v/>
      </c>
      <c r="Q289" s="113" t="str">
        <f t="shared" si="50"/>
        <v/>
      </c>
      <c r="R289" s="88"/>
      <c r="S289" s="24"/>
      <c r="T289" s="24"/>
      <c r="U289" s="78" t="str">
        <f t="shared" si="51"/>
        <v/>
      </c>
      <c r="V289" s="24"/>
      <c r="W289" s="24"/>
      <c r="X289" s="24"/>
      <c r="Y289" s="24"/>
      <c r="Z289" s="98" t="str">
        <f t="shared" si="52"/>
        <v/>
      </c>
      <c r="AA289" s="40" t="str">
        <f t="shared" si="58"/>
        <v/>
      </c>
      <c r="AB289" s="88"/>
      <c r="AC289" s="24"/>
      <c r="AD289" s="24"/>
      <c r="AE289" s="79" t="str">
        <f t="shared" si="53"/>
        <v/>
      </c>
      <c r="AF289" s="24"/>
      <c r="AG289" s="24"/>
      <c r="AH289" s="24"/>
      <c r="AI289" s="24"/>
      <c r="AJ289" s="99" t="str">
        <f t="shared" si="54"/>
        <v/>
      </c>
      <c r="AK289" s="31" t="str">
        <f t="shared" si="59"/>
        <v/>
      </c>
      <c r="AN289" s="139" t="str">
        <f>IF($K289="","",VLOOKUP($K289,'ORF Accuracy Value LookUp'!$G$4:$H$104,2,TRUE))</f>
        <v/>
      </c>
      <c r="AO289" s="94" t="str">
        <f t="shared" si="55"/>
        <v/>
      </c>
      <c r="AP289" s="47" t="str">
        <f>IF($U289="","",VLOOKUP($U289,'ORF Accuracy Value LookUp'!$G$4:$H$104,2,TRUE))</f>
        <v/>
      </c>
      <c r="AQ289" s="94" t="str">
        <f t="shared" si="56"/>
        <v/>
      </c>
      <c r="AR289" s="46" t="str">
        <f>IF($AE289="","",VLOOKUP($AE289,'ORF Accuracy Value LookUp'!$G$4:$H$104,2,TRUE))</f>
        <v/>
      </c>
      <c r="AS289" s="140" t="str">
        <f t="shared" si="57"/>
        <v/>
      </c>
    </row>
    <row r="290" spans="1:45">
      <c r="A290" s="10"/>
      <c r="B290" s="9"/>
      <c r="C290" s="9"/>
      <c r="D290" s="9"/>
      <c r="E290" s="10"/>
      <c r="F290" s="11"/>
      <c r="G290" s="15"/>
      <c r="H290" s="88"/>
      <c r="I290" s="24"/>
      <c r="J290" s="24"/>
      <c r="K290" s="114" t="str">
        <f t="shared" si="48"/>
        <v/>
      </c>
      <c r="L290" s="24"/>
      <c r="M290" s="24"/>
      <c r="N290" s="24"/>
      <c r="O290" s="24"/>
      <c r="P290" s="97" t="str">
        <f t="shared" si="49"/>
        <v/>
      </c>
      <c r="Q290" s="113" t="str">
        <f t="shared" si="50"/>
        <v/>
      </c>
      <c r="R290" s="88"/>
      <c r="S290" s="24"/>
      <c r="T290" s="24"/>
      <c r="U290" s="78" t="str">
        <f t="shared" si="51"/>
        <v/>
      </c>
      <c r="V290" s="24"/>
      <c r="W290" s="24"/>
      <c r="X290" s="24"/>
      <c r="Y290" s="24"/>
      <c r="Z290" s="98" t="str">
        <f t="shared" si="52"/>
        <v/>
      </c>
      <c r="AA290" s="40" t="str">
        <f t="shared" si="58"/>
        <v/>
      </c>
      <c r="AB290" s="88"/>
      <c r="AC290" s="24"/>
      <c r="AD290" s="24"/>
      <c r="AE290" s="79" t="str">
        <f t="shared" si="53"/>
        <v/>
      </c>
      <c r="AF290" s="24"/>
      <c r="AG290" s="24"/>
      <c r="AH290" s="24"/>
      <c r="AI290" s="24"/>
      <c r="AJ290" s="99" t="str">
        <f t="shared" si="54"/>
        <v/>
      </c>
      <c r="AK290" s="31" t="str">
        <f t="shared" si="59"/>
        <v/>
      </c>
      <c r="AN290" s="139" t="str">
        <f>IF($K290="","",VLOOKUP($K290,'ORF Accuracy Value LookUp'!$G$4:$H$104,2,TRUE))</f>
        <v/>
      </c>
      <c r="AO290" s="94" t="str">
        <f t="shared" si="55"/>
        <v/>
      </c>
      <c r="AP290" s="47" t="str">
        <f>IF($U290="","",VLOOKUP($U290,'ORF Accuracy Value LookUp'!$G$4:$H$104,2,TRUE))</f>
        <v/>
      </c>
      <c r="AQ290" s="94" t="str">
        <f t="shared" si="56"/>
        <v/>
      </c>
      <c r="AR290" s="46" t="str">
        <f>IF($AE290="","",VLOOKUP($AE290,'ORF Accuracy Value LookUp'!$G$4:$H$104,2,TRUE))</f>
        <v/>
      </c>
      <c r="AS290" s="140" t="str">
        <f t="shared" si="57"/>
        <v/>
      </c>
    </row>
    <row r="291" spans="1:45">
      <c r="A291" s="10"/>
      <c r="B291" s="9"/>
      <c r="C291" s="9"/>
      <c r="D291" s="9"/>
      <c r="E291" s="10"/>
      <c r="F291" s="11"/>
      <c r="G291" s="15"/>
      <c r="H291" s="88"/>
      <c r="I291" s="24"/>
      <c r="J291" s="24"/>
      <c r="K291" s="114" t="str">
        <f t="shared" si="48"/>
        <v/>
      </c>
      <c r="L291" s="24"/>
      <c r="M291" s="24"/>
      <c r="N291" s="24"/>
      <c r="O291" s="24"/>
      <c r="P291" s="97" t="str">
        <f t="shared" si="49"/>
        <v/>
      </c>
      <c r="Q291" s="113" t="str">
        <f t="shared" si="50"/>
        <v/>
      </c>
      <c r="R291" s="88"/>
      <c r="S291" s="24"/>
      <c r="T291" s="24"/>
      <c r="U291" s="78" t="str">
        <f t="shared" si="51"/>
        <v/>
      </c>
      <c r="V291" s="24"/>
      <c r="W291" s="24"/>
      <c r="X291" s="24"/>
      <c r="Y291" s="24"/>
      <c r="Z291" s="98" t="str">
        <f t="shared" si="52"/>
        <v/>
      </c>
      <c r="AA291" s="40" t="str">
        <f t="shared" si="58"/>
        <v/>
      </c>
      <c r="AB291" s="88"/>
      <c r="AC291" s="24"/>
      <c r="AD291" s="24"/>
      <c r="AE291" s="79" t="str">
        <f t="shared" si="53"/>
        <v/>
      </c>
      <c r="AF291" s="24"/>
      <c r="AG291" s="24"/>
      <c r="AH291" s="24"/>
      <c r="AI291" s="24"/>
      <c r="AJ291" s="99" t="str">
        <f t="shared" si="54"/>
        <v/>
      </c>
      <c r="AK291" s="31" t="str">
        <f t="shared" si="59"/>
        <v/>
      </c>
      <c r="AN291" s="139" t="str">
        <f>IF($K291="","",VLOOKUP($K291,'ORF Accuracy Value LookUp'!$G$4:$H$104,2,TRUE))</f>
        <v/>
      </c>
      <c r="AO291" s="94" t="str">
        <f t="shared" si="55"/>
        <v/>
      </c>
      <c r="AP291" s="47" t="str">
        <f>IF($U291="","",VLOOKUP($U291,'ORF Accuracy Value LookUp'!$G$4:$H$104,2,TRUE))</f>
        <v/>
      </c>
      <c r="AQ291" s="94" t="str">
        <f t="shared" si="56"/>
        <v/>
      </c>
      <c r="AR291" s="46" t="str">
        <f>IF($AE291="","",VLOOKUP($AE291,'ORF Accuracy Value LookUp'!$G$4:$H$104,2,TRUE))</f>
        <v/>
      </c>
      <c r="AS291" s="140" t="str">
        <f t="shared" si="57"/>
        <v/>
      </c>
    </row>
    <row r="292" spans="1:45">
      <c r="A292" s="10"/>
      <c r="B292" s="9"/>
      <c r="C292" s="9"/>
      <c r="D292" s="9"/>
      <c r="E292" s="10"/>
      <c r="F292" s="11"/>
      <c r="G292" s="15"/>
      <c r="H292" s="88"/>
      <c r="I292" s="24"/>
      <c r="J292" s="24"/>
      <c r="K292" s="114" t="str">
        <f t="shared" si="48"/>
        <v/>
      </c>
      <c r="L292" s="24"/>
      <c r="M292" s="24"/>
      <c r="N292" s="24"/>
      <c r="O292" s="24"/>
      <c r="P292" s="97" t="str">
        <f t="shared" si="49"/>
        <v/>
      </c>
      <c r="Q292" s="113" t="str">
        <f t="shared" si="50"/>
        <v/>
      </c>
      <c r="R292" s="88"/>
      <c r="S292" s="24"/>
      <c r="T292" s="24"/>
      <c r="U292" s="78" t="str">
        <f t="shared" si="51"/>
        <v/>
      </c>
      <c r="V292" s="24"/>
      <c r="W292" s="24"/>
      <c r="X292" s="24"/>
      <c r="Y292" s="24"/>
      <c r="Z292" s="98" t="str">
        <f t="shared" si="52"/>
        <v/>
      </c>
      <c r="AA292" s="40" t="str">
        <f t="shared" si="58"/>
        <v/>
      </c>
      <c r="AB292" s="88"/>
      <c r="AC292" s="24"/>
      <c r="AD292" s="24"/>
      <c r="AE292" s="79" t="str">
        <f t="shared" si="53"/>
        <v/>
      </c>
      <c r="AF292" s="24"/>
      <c r="AG292" s="24"/>
      <c r="AH292" s="24"/>
      <c r="AI292" s="24"/>
      <c r="AJ292" s="99" t="str">
        <f t="shared" si="54"/>
        <v/>
      </c>
      <c r="AK292" s="31" t="str">
        <f t="shared" si="59"/>
        <v/>
      </c>
      <c r="AN292" s="139" t="str">
        <f>IF($K292="","",VLOOKUP($K292,'ORF Accuracy Value LookUp'!$G$4:$H$104,2,TRUE))</f>
        <v/>
      </c>
      <c r="AO292" s="94" t="str">
        <f t="shared" si="55"/>
        <v/>
      </c>
      <c r="AP292" s="47" t="str">
        <f>IF($U292="","",VLOOKUP($U292,'ORF Accuracy Value LookUp'!$G$4:$H$104,2,TRUE))</f>
        <v/>
      </c>
      <c r="AQ292" s="94" t="str">
        <f t="shared" si="56"/>
        <v/>
      </c>
      <c r="AR292" s="46" t="str">
        <f>IF($AE292="","",VLOOKUP($AE292,'ORF Accuracy Value LookUp'!$G$4:$H$104,2,TRUE))</f>
        <v/>
      </c>
      <c r="AS292" s="140" t="str">
        <f t="shared" si="57"/>
        <v/>
      </c>
    </row>
    <row r="293" spans="1:45">
      <c r="A293" s="10"/>
      <c r="B293" s="9"/>
      <c r="C293" s="9"/>
      <c r="D293" s="9"/>
      <c r="E293" s="10"/>
      <c r="F293" s="11"/>
      <c r="G293" s="15"/>
      <c r="H293" s="88"/>
      <c r="I293" s="24"/>
      <c r="J293" s="24"/>
      <c r="K293" s="114" t="str">
        <f t="shared" si="48"/>
        <v/>
      </c>
      <c r="L293" s="24"/>
      <c r="M293" s="24"/>
      <c r="N293" s="24"/>
      <c r="O293" s="24"/>
      <c r="P293" s="97" t="str">
        <f t="shared" si="49"/>
        <v/>
      </c>
      <c r="Q293" s="113" t="str">
        <f t="shared" si="50"/>
        <v/>
      </c>
      <c r="R293" s="88"/>
      <c r="S293" s="24"/>
      <c r="T293" s="24"/>
      <c r="U293" s="78" t="str">
        <f t="shared" si="51"/>
        <v/>
      </c>
      <c r="V293" s="24"/>
      <c r="W293" s="24"/>
      <c r="X293" s="24"/>
      <c r="Y293" s="24"/>
      <c r="Z293" s="98" t="str">
        <f t="shared" si="52"/>
        <v/>
      </c>
      <c r="AA293" s="40" t="str">
        <f t="shared" si="58"/>
        <v/>
      </c>
      <c r="AB293" s="88"/>
      <c r="AC293" s="24"/>
      <c r="AD293" s="24"/>
      <c r="AE293" s="79" t="str">
        <f t="shared" si="53"/>
        <v/>
      </c>
      <c r="AF293" s="24"/>
      <c r="AG293" s="24"/>
      <c r="AH293" s="24"/>
      <c r="AI293" s="24"/>
      <c r="AJ293" s="99" t="str">
        <f t="shared" si="54"/>
        <v/>
      </c>
      <c r="AK293" s="31" t="str">
        <f t="shared" si="59"/>
        <v/>
      </c>
      <c r="AN293" s="139" t="str">
        <f>IF($K293="","",VLOOKUP($K293,'ORF Accuracy Value LookUp'!$G$4:$H$104,2,TRUE))</f>
        <v/>
      </c>
      <c r="AO293" s="94" t="str">
        <f t="shared" si="55"/>
        <v/>
      </c>
      <c r="AP293" s="47" t="str">
        <f>IF($U293="","",VLOOKUP($U293,'ORF Accuracy Value LookUp'!$G$4:$H$104,2,TRUE))</f>
        <v/>
      </c>
      <c r="AQ293" s="94" t="str">
        <f t="shared" si="56"/>
        <v/>
      </c>
      <c r="AR293" s="46" t="str">
        <f>IF($AE293="","",VLOOKUP($AE293,'ORF Accuracy Value LookUp'!$G$4:$H$104,2,TRUE))</f>
        <v/>
      </c>
      <c r="AS293" s="140" t="str">
        <f t="shared" si="57"/>
        <v/>
      </c>
    </row>
    <row r="294" spans="1:45">
      <c r="A294" s="10"/>
      <c r="B294" s="9"/>
      <c r="C294" s="9"/>
      <c r="D294" s="9"/>
      <c r="E294" s="10"/>
      <c r="F294" s="11"/>
      <c r="G294" s="15"/>
      <c r="H294" s="88"/>
      <c r="I294" s="24"/>
      <c r="J294" s="24"/>
      <c r="K294" s="114" t="str">
        <f t="shared" si="48"/>
        <v/>
      </c>
      <c r="L294" s="24"/>
      <c r="M294" s="24"/>
      <c r="N294" s="24"/>
      <c r="O294" s="24"/>
      <c r="P294" s="97" t="str">
        <f t="shared" si="49"/>
        <v/>
      </c>
      <c r="Q294" s="113" t="str">
        <f t="shared" si="50"/>
        <v/>
      </c>
      <c r="R294" s="88"/>
      <c r="S294" s="24"/>
      <c r="T294" s="24"/>
      <c r="U294" s="78" t="str">
        <f t="shared" si="51"/>
        <v/>
      </c>
      <c r="V294" s="24"/>
      <c r="W294" s="24"/>
      <c r="X294" s="24"/>
      <c r="Y294" s="24"/>
      <c r="Z294" s="98" t="str">
        <f t="shared" si="52"/>
        <v/>
      </c>
      <c r="AA294" s="40" t="str">
        <f t="shared" si="58"/>
        <v/>
      </c>
      <c r="AB294" s="88"/>
      <c r="AC294" s="24"/>
      <c r="AD294" s="24"/>
      <c r="AE294" s="79" t="str">
        <f t="shared" si="53"/>
        <v/>
      </c>
      <c r="AF294" s="24"/>
      <c r="AG294" s="24"/>
      <c r="AH294" s="24"/>
      <c r="AI294" s="24"/>
      <c r="AJ294" s="99" t="str">
        <f t="shared" si="54"/>
        <v/>
      </c>
      <c r="AK294" s="31" t="str">
        <f t="shared" si="59"/>
        <v/>
      </c>
      <c r="AN294" s="139" t="str">
        <f>IF($K294="","",VLOOKUP($K294,'ORF Accuracy Value LookUp'!$G$4:$H$104,2,TRUE))</f>
        <v/>
      </c>
      <c r="AO294" s="94" t="str">
        <f t="shared" si="55"/>
        <v/>
      </c>
      <c r="AP294" s="47" t="str">
        <f>IF($U294="","",VLOOKUP($U294,'ORF Accuracy Value LookUp'!$G$4:$H$104,2,TRUE))</f>
        <v/>
      </c>
      <c r="AQ294" s="94" t="str">
        <f t="shared" si="56"/>
        <v/>
      </c>
      <c r="AR294" s="46" t="str">
        <f>IF($AE294="","",VLOOKUP($AE294,'ORF Accuracy Value LookUp'!$G$4:$H$104,2,TRUE))</f>
        <v/>
      </c>
      <c r="AS294" s="140" t="str">
        <f t="shared" si="57"/>
        <v/>
      </c>
    </row>
    <row r="295" spans="1:45">
      <c r="A295" s="10"/>
      <c r="B295" s="9"/>
      <c r="C295" s="9"/>
      <c r="D295" s="9"/>
      <c r="E295" s="10"/>
      <c r="F295" s="11"/>
      <c r="G295" s="15"/>
      <c r="H295" s="88"/>
      <c r="I295" s="24"/>
      <c r="J295" s="24"/>
      <c r="K295" s="114" t="str">
        <f t="shared" si="48"/>
        <v/>
      </c>
      <c r="L295" s="24"/>
      <c r="M295" s="24"/>
      <c r="N295" s="24"/>
      <c r="O295" s="24"/>
      <c r="P295" s="97" t="str">
        <f t="shared" si="49"/>
        <v/>
      </c>
      <c r="Q295" s="113" t="str">
        <f t="shared" si="50"/>
        <v/>
      </c>
      <c r="R295" s="88"/>
      <c r="S295" s="24"/>
      <c r="T295" s="24"/>
      <c r="U295" s="78" t="str">
        <f t="shared" si="51"/>
        <v/>
      </c>
      <c r="V295" s="24"/>
      <c r="W295" s="24"/>
      <c r="X295" s="24"/>
      <c r="Y295" s="24"/>
      <c r="Z295" s="98" t="str">
        <f t="shared" si="52"/>
        <v/>
      </c>
      <c r="AA295" s="40" t="str">
        <f t="shared" si="58"/>
        <v/>
      </c>
      <c r="AB295" s="88"/>
      <c r="AC295" s="24"/>
      <c r="AD295" s="24"/>
      <c r="AE295" s="79" t="str">
        <f t="shared" si="53"/>
        <v/>
      </c>
      <c r="AF295" s="24"/>
      <c r="AG295" s="24"/>
      <c r="AH295" s="24"/>
      <c r="AI295" s="24"/>
      <c r="AJ295" s="99" t="str">
        <f t="shared" si="54"/>
        <v/>
      </c>
      <c r="AK295" s="31" t="str">
        <f t="shared" si="59"/>
        <v/>
      </c>
      <c r="AN295" s="139" t="str">
        <f>IF($K295="","",VLOOKUP($K295,'ORF Accuracy Value LookUp'!$G$4:$H$104,2,TRUE))</f>
        <v/>
      </c>
      <c r="AO295" s="94" t="str">
        <f t="shared" si="55"/>
        <v/>
      </c>
      <c r="AP295" s="47" t="str">
        <f>IF($U295="","",VLOOKUP($U295,'ORF Accuracy Value LookUp'!$G$4:$H$104,2,TRUE))</f>
        <v/>
      </c>
      <c r="AQ295" s="94" t="str">
        <f t="shared" si="56"/>
        <v/>
      </c>
      <c r="AR295" s="46" t="str">
        <f>IF($AE295="","",VLOOKUP($AE295,'ORF Accuracy Value LookUp'!$G$4:$H$104,2,TRUE))</f>
        <v/>
      </c>
      <c r="AS295" s="140" t="str">
        <f t="shared" si="57"/>
        <v/>
      </c>
    </row>
    <row r="296" spans="1:45">
      <c r="A296" s="10"/>
      <c r="B296" s="9"/>
      <c r="C296" s="9"/>
      <c r="D296" s="9"/>
      <c r="E296" s="10"/>
      <c r="F296" s="11"/>
      <c r="G296" s="15"/>
      <c r="H296" s="88"/>
      <c r="I296" s="24"/>
      <c r="J296" s="24"/>
      <c r="K296" s="114" t="str">
        <f t="shared" si="48"/>
        <v/>
      </c>
      <c r="L296" s="24"/>
      <c r="M296" s="24"/>
      <c r="N296" s="24"/>
      <c r="O296" s="24"/>
      <c r="P296" s="97" t="str">
        <f t="shared" si="49"/>
        <v/>
      </c>
      <c r="Q296" s="113" t="str">
        <f t="shared" si="50"/>
        <v/>
      </c>
      <c r="R296" s="88"/>
      <c r="S296" s="24"/>
      <c r="T296" s="24"/>
      <c r="U296" s="78" t="str">
        <f t="shared" si="51"/>
        <v/>
      </c>
      <c r="V296" s="24"/>
      <c r="W296" s="24"/>
      <c r="X296" s="24"/>
      <c r="Y296" s="24"/>
      <c r="Z296" s="98" t="str">
        <f t="shared" si="52"/>
        <v/>
      </c>
      <c r="AA296" s="40" t="str">
        <f t="shared" si="58"/>
        <v/>
      </c>
      <c r="AB296" s="88"/>
      <c r="AC296" s="24"/>
      <c r="AD296" s="24"/>
      <c r="AE296" s="79" t="str">
        <f t="shared" si="53"/>
        <v/>
      </c>
      <c r="AF296" s="24"/>
      <c r="AG296" s="24"/>
      <c r="AH296" s="24"/>
      <c r="AI296" s="24"/>
      <c r="AJ296" s="99" t="str">
        <f t="shared" si="54"/>
        <v/>
      </c>
      <c r="AK296" s="31" t="str">
        <f t="shared" si="59"/>
        <v/>
      </c>
      <c r="AN296" s="139" t="str">
        <f>IF($K296="","",VLOOKUP($K296,'ORF Accuracy Value LookUp'!$G$4:$H$104,2,TRUE))</f>
        <v/>
      </c>
      <c r="AO296" s="94" t="str">
        <f t="shared" si="55"/>
        <v/>
      </c>
      <c r="AP296" s="47" t="str">
        <f>IF($U296="","",VLOOKUP($U296,'ORF Accuracy Value LookUp'!$G$4:$H$104,2,TRUE))</f>
        <v/>
      </c>
      <c r="AQ296" s="94" t="str">
        <f t="shared" si="56"/>
        <v/>
      </c>
      <c r="AR296" s="46" t="str">
        <f>IF($AE296="","",VLOOKUP($AE296,'ORF Accuracy Value LookUp'!$G$4:$H$104,2,TRUE))</f>
        <v/>
      </c>
      <c r="AS296" s="140" t="str">
        <f t="shared" si="57"/>
        <v/>
      </c>
    </row>
    <row r="297" spans="1:45">
      <c r="A297" s="10"/>
      <c r="B297" s="9"/>
      <c r="C297" s="9"/>
      <c r="D297" s="9"/>
      <c r="E297" s="10"/>
      <c r="F297" s="11"/>
      <c r="G297" s="15"/>
      <c r="H297" s="88"/>
      <c r="I297" s="24"/>
      <c r="J297" s="24"/>
      <c r="K297" s="114" t="str">
        <f t="shared" si="48"/>
        <v/>
      </c>
      <c r="L297" s="24"/>
      <c r="M297" s="24"/>
      <c r="N297" s="24"/>
      <c r="O297" s="24"/>
      <c r="P297" s="97" t="str">
        <f t="shared" si="49"/>
        <v/>
      </c>
      <c r="Q297" s="113" t="str">
        <f t="shared" si="50"/>
        <v/>
      </c>
      <c r="R297" s="88"/>
      <c r="S297" s="24"/>
      <c r="T297" s="24"/>
      <c r="U297" s="78" t="str">
        <f t="shared" si="51"/>
        <v/>
      </c>
      <c r="V297" s="24"/>
      <c r="W297" s="24"/>
      <c r="X297" s="24"/>
      <c r="Y297" s="24"/>
      <c r="Z297" s="98" t="str">
        <f t="shared" si="52"/>
        <v/>
      </c>
      <c r="AA297" s="40" t="str">
        <f t="shared" si="58"/>
        <v/>
      </c>
      <c r="AB297" s="88"/>
      <c r="AC297" s="24"/>
      <c r="AD297" s="24"/>
      <c r="AE297" s="79" t="str">
        <f t="shared" si="53"/>
        <v/>
      </c>
      <c r="AF297" s="24"/>
      <c r="AG297" s="24"/>
      <c r="AH297" s="24"/>
      <c r="AI297" s="24"/>
      <c r="AJ297" s="99" t="str">
        <f t="shared" si="54"/>
        <v/>
      </c>
      <c r="AK297" s="31" t="str">
        <f t="shared" si="59"/>
        <v/>
      </c>
      <c r="AN297" s="139" t="str">
        <f>IF($K297="","",VLOOKUP($K297,'ORF Accuracy Value LookUp'!$G$4:$H$104,2,TRUE))</f>
        <v/>
      </c>
      <c r="AO297" s="94" t="str">
        <f t="shared" si="55"/>
        <v/>
      </c>
      <c r="AP297" s="47" t="str">
        <f>IF($U297="","",VLOOKUP($U297,'ORF Accuracy Value LookUp'!$G$4:$H$104,2,TRUE))</f>
        <v/>
      </c>
      <c r="AQ297" s="94" t="str">
        <f t="shared" si="56"/>
        <v/>
      </c>
      <c r="AR297" s="46" t="str">
        <f>IF($AE297="","",VLOOKUP($AE297,'ORF Accuracy Value LookUp'!$G$4:$H$104,2,TRUE))</f>
        <v/>
      </c>
      <c r="AS297" s="140" t="str">
        <f t="shared" si="57"/>
        <v/>
      </c>
    </row>
    <row r="298" spans="1:45">
      <c r="A298" s="10"/>
      <c r="B298" s="9"/>
      <c r="C298" s="9"/>
      <c r="D298" s="9"/>
      <c r="E298" s="10"/>
      <c r="F298" s="11"/>
      <c r="G298" s="15"/>
      <c r="H298" s="88"/>
      <c r="I298" s="24"/>
      <c r="J298" s="24"/>
      <c r="K298" s="114" t="str">
        <f t="shared" si="48"/>
        <v/>
      </c>
      <c r="L298" s="24"/>
      <c r="M298" s="24"/>
      <c r="N298" s="24"/>
      <c r="O298" s="24"/>
      <c r="P298" s="97" t="str">
        <f t="shared" si="49"/>
        <v/>
      </c>
      <c r="Q298" s="113" t="str">
        <f t="shared" si="50"/>
        <v/>
      </c>
      <c r="R298" s="88"/>
      <c r="S298" s="24"/>
      <c r="T298" s="24"/>
      <c r="U298" s="78" t="str">
        <f t="shared" si="51"/>
        <v/>
      </c>
      <c r="V298" s="24"/>
      <c r="W298" s="24"/>
      <c r="X298" s="24"/>
      <c r="Y298" s="24"/>
      <c r="Z298" s="98" t="str">
        <f t="shared" si="52"/>
        <v/>
      </c>
      <c r="AA298" s="40" t="str">
        <f t="shared" si="58"/>
        <v/>
      </c>
      <c r="AB298" s="88"/>
      <c r="AC298" s="24"/>
      <c r="AD298" s="24"/>
      <c r="AE298" s="79" t="str">
        <f t="shared" si="53"/>
        <v/>
      </c>
      <c r="AF298" s="24"/>
      <c r="AG298" s="24"/>
      <c r="AH298" s="24"/>
      <c r="AI298" s="24"/>
      <c r="AJ298" s="99" t="str">
        <f t="shared" si="54"/>
        <v/>
      </c>
      <c r="AK298" s="31" t="str">
        <f t="shared" si="59"/>
        <v/>
      </c>
      <c r="AN298" s="139" t="str">
        <f>IF($K298="","",VLOOKUP($K298,'ORF Accuracy Value LookUp'!$G$4:$H$104,2,TRUE))</f>
        <v/>
      </c>
      <c r="AO298" s="94" t="str">
        <f t="shared" si="55"/>
        <v/>
      </c>
      <c r="AP298" s="47" t="str">
        <f>IF($U298="","",VLOOKUP($U298,'ORF Accuracy Value LookUp'!$G$4:$H$104,2,TRUE))</f>
        <v/>
      </c>
      <c r="AQ298" s="94" t="str">
        <f t="shared" si="56"/>
        <v/>
      </c>
      <c r="AR298" s="46" t="str">
        <f>IF($AE298="","",VLOOKUP($AE298,'ORF Accuracy Value LookUp'!$G$4:$H$104,2,TRUE))</f>
        <v/>
      </c>
      <c r="AS298" s="140" t="str">
        <f t="shared" si="57"/>
        <v/>
      </c>
    </row>
    <row r="299" spans="1:45">
      <c r="A299" s="10"/>
      <c r="B299" s="9"/>
      <c r="C299" s="9"/>
      <c r="D299" s="9"/>
      <c r="E299" s="10"/>
      <c r="F299" s="11"/>
      <c r="G299" s="15"/>
      <c r="H299" s="88"/>
      <c r="I299" s="24"/>
      <c r="J299" s="24"/>
      <c r="K299" s="114" t="str">
        <f t="shared" si="48"/>
        <v/>
      </c>
      <c r="L299" s="24"/>
      <c r="M299" s="24"/>
      <c r="N299" s="24"/>
      <c r="O299" s="24"/>
      <c r="P299" s="97" t="str">
        <f t="shared" si="49"/>
        <v/>
      </c>
      <c r="Q299" s="113" t="str">
        <f t="shared" si="50"/>
        <v/>
      </c>
      <c r="R299" s="88"/>
      <c r="S299" s="24"/>
      <c r="T299" s="24"/>
      <c r="U299" s="78" t="str">
        <f t="shared" si="51"/>
        <v/>
      </c>
      <c r="V299" s="24"/>
      <c r="W299" s="24"/>
      <c r="X299" s="24"/>
      <c r="Y299" s="24"/>
      <c r="Z299" s="98" t="str">
        <f t="shared" si="52"/>
        <v/>
      </c>
      <c r="AA299" s="40" t="str">
        <f t="shared" si="58"/>
        <v/>
      </c>
      <c r="AB299" s="88"/>
      <c r="AC299" s="24"/>
      <c r="AD299" s="24"/>
      <c r="AE299" s="79" t="str">
        <f t="shared" si="53"/>
        <v/>
      </c>
      <c r="AF299" s="24"/>
      <c r="AG299" s="24"/>
      <c r="AH299" s="24"/>
      <c r="AI299" s="24"/>
      <c r="AJ299" s="99" t="str">
        <f t="shared" si="54"/>
        <v/>
      </c>
      <c r="AK299" s="31" t="str">
        <f t="shared" si="59"/>
        <v/>
      </c>
      <c r="AN299" s="139" t="str">
        <f>IF($K299="","",VLOOKUP($K299,'ORF Accuracy Value LookUp'!$G$4:$H$104,2,TRUE))</f>
        <v/>
      </c>
      <c r="AO299" s="94" t="str">
        <f t="shared" si="55"/>
        <v/>
      </c>
      <c r="AP299" s="47" t="str">
        <f>IF($U299="","",VLOOKUP($U299,'ORF Accuracy Value LookUp'!$G$4:$H$104,2,TRUE))</f>
        <v/>
      </c>
      <c r="AQ299" s="94" t="str">
        <f t="shared" si="56"/>
        <v/>
      </c>
      <c r="AR299" s="46" t="str">
        <f>IF($AE299="","",VLOOKUP($AE299,'ORF Accuracy Value LookUp'!$G$4:$H$104,2,TRUE))</f>
        <v/>
      </c>
      <c r="AS299" s="140" t="str">
        <f t="shared" si="57"/>
        <v/>
      </c>
    </row>
    <row r="300" spans="1:45">
      <c r="A300" s="10"/>
      <c r="B300" s="9"/>
      <c r="C300" s="9"/>
      <c r="D300" s="9"/>
      <c r="E300" s="10"/>
      <c r="F300" s="11"/>
      <c r="G300" s="15"/>
      <c r="H300" s="88"/>
      <c r="I300" s="24"/>
      <c r="J300" s="24"/>
      <c r="K300" s="114" t="str">
        <f t="shared" si="48"/>
        <v/>
      </c>
      <c r="L300" s="24"/>
      <c r="M300" s="24"/>
      <c r="N300" s="24"/>
      <c r="O300" s="24"/>
      <c r="P300" s="97" t="str">
        <f t="shared" si="49"/>
        <v/>
      </c>
      <c r="Q300" s="113" t="str">
        <f t="shared" si="50"/>
        <v/>
      </c>
      <c r="R300" s="88"/>
      <c r="S300" s="24"/>
      <c r="T300" s="24"/>
      <c r="U300" s="78" t="str">
        <f t="shared" si="51"/>
        <v/>
      </c>
      <c r="V300" s="24"/>
      <c r="W300" s="24"/>
      <c r="X300" s="24"/>
      <c r="Y300" s="24"/>
      <c r="Z300" s="98" t="str">
        <f t="shared" si="52"/>
        <v/>
      </c>
      <c r="AA300" s="40" t="str">
        <f t="shared" si="58"/>
        <v/>
      </c>
      <c r="AB300" s="88"/>
      <c r="AC300" s="24"/>
      <c r="AD300" s="24"/>
      <c r="AE300" s="79" t="str">
        <f t="shared" si="53"/>
        <v/>
      </c>
      <c r="AF300" s="24"/>
      <c r="AG300" s="24"/>
      <c r="AH300" s="24"/>
      <c r="AI300" s="24"/>
      <c r="AJ300" s="99" t="str">
        <f t="shared" si="54"/>
        <v/>
      </c>
      <c r="AK300" s="31" t="str">
        <f t="shared" si="59"/>
        <v/>
      </c>
      <c r="AN300" s="139" t="str">
        <f>IF($K300="","",VLOOKUP($K300,'ORF Accuracy Value LookUp'!$G$4:$H$104,2,TRUE))</f>
        <v/>
      </c>
      <c r="AO300" s="94" t="str">
        <f t="shared" si="55"/>
        <v/>
      </c>
      <c r="AP300" s="47" t="str">
        <f>IF($U300="","",VLOOKUP($U300,'ORF Accuracy Value LookUp'!$G$4:$H$104,2,TRUE))</f>
        <v/>
      </c>
      <c r="AQ300" s="94" t="str">
        <f t="shared" si="56"/>
        <v/>
      </c>
      <c r="AR300" s="46" t="str">
        <f>IF($AE300="","",VLOOKUP($AE300,'ORF Accuracy Value LookUp'!$G$4:$H$104,2,TRUE))</f>
        <v/>
      </c>
      <c r="AS300" s="140" t="str">
        <f t="shared" si="57"/>
        <v/>
      </c>
    </row>
    <row r="301" spans="1:45">
      <c r="A301" s="10"/>
      <c r="B301" s="9"/>
      <c r="C301" s="9"/>
      <c r="D301" s="9"/>
      <c r="E301" s="10"/>
      <c r="F301" s="11"/>
      <c r="G301" s="15"/>
      <c r="H301" s="88"/>
      <c r="I301" s="24"/>
      <c r="J301" s="24"/>
      <c r="K301" s="114" t="str">
        <f t="shared" si="48"/>
        <v/>
      </c>
      <c r="L301" s="24"/>
      <c r="M301" s="24"/>
      <c r="N301" s="24"/>
      <c r="O301" s="24"/>
      <c r="P301" s="97" t="str">
        <f t="shared" si="49"/>
        <v/>
      </c>
      <c r="Q301" s="113" t="str">
        <f t="shared" si="50"/>
        <v/>
      </c>
      <c r="R301" s="88"/>
      <c r="S301" s="24"/>
      <c r="T301" s="24"/>
      <c r="U301" s="78" t="str">
        <f t="shared" si="51"/>
        <v/>
      </c>
      <c r="V301" s="24"/>
      <c r="W301" s="24"/>
      <c r="X301" s="24"/>
      <c r="Y301" s="24"/>
      <c r="Z301" s="98" t="str">
        <f t="shared" si="52"/>
        <v/>
      </c>
      <c r="AA301" s="40" t="str">
        <f t="shared" si="58"/>
        <v/>
      </c>
      <c r="AB301" s="88"/>
      <c r="AC301" s="24"/>
      <c r="AD301" s="24"/>
      <c r="AE301" s="79" t="str">
        <f t="shared" si="53"/>
        <v/>
      </c>
      <c r="AF301" s="24"/>
      <c r="AG301" s="24"/>
      <c r="AH301" s="24"/>
      <c r="AI301" s="24"/>
      <c r="AJ301" s="99" t="str">
        <f t="shared" si="54"/>
        <v/>
      </c>
      <c r="AK301" s="31" t="str">
        <f t="shared" si="59"/>
        <v/>
      </c>
      <c r="AN301" s="139" t="str">
        <f>IF($K301="","",VLOOKUP($K301,'ORF Accuracy Value LookUp'!$G$4:$H$104,2,TRUE))</f>
        <v/>
      </c>
      <c r="AO301" s="94" t="str">
        <f t="shared" si="55"/>
        <v/>
      </c>
      <c r="AP301" s="47" t="str">
        <f>IF($U301="","",VLOOKUP($U301,'ORF Accuracy Value LookUp'!$G$4:$H$104,2,TRUE))</f>
        <v/>
      </c>
      <c r="AQ301" s="94" t="str">
        <f t="shared" si="56"/>
        <v/>
      </c>
      <c r="AR301" s="46" t="str">
        <f>IF($AE301="","",VLOOKUP($AE301,'ORF Accuracy Value LookUp'!$G$4:$H$104,2,TRUE))</f>
        <v/>
      </c>
      <c r="AS301" s="140" t="str">
        <f t="shared" si="57"/>
        <v/>
      </c>
    </row>
    <row r="302" spans="1:45">
      <c r="A302" s="10"/>
      <c r="B302" s="9"/>
      <c r="C302" s="9"/>
      <c r="D302" s="9"/>
      <c r="E302" s="10"/>
      <c r="F302" s="11"/>
      <c r="G302" s="15"/>
      <c r="H302" s="88"/>
      <c r="I302" s="24"/>
      <c r="J302" s="24"/>
      <c r="K302" s="114" t="str">
        <f t="shared" si="48"/>
        <v/>
      </c>
      <c r="L302" s="24"/>
      <c r="M302" s="24"/>
      <c r="N302" s="24"/>
      <c r="O302" s="24"/>
      <c r="P302" s="97" t="str">
        <f t="shared" si="49"/>
        <v/>
      </c>
      <c r="Q302" s="113" t="str">
        <f t="shared" si="50"/>
        <v/>
      </c>
      <c r="R302" s="88"/>
      <c r="S302" s="24"/>
      <c r="T302" s="24"/>
      <c r="U302" s="78" t="str">
        <f t="shared" si="51"/>
        <v/>
      </c>
      <c r="V302" s="24"/>
      <c r="W302" s="24"/>
      <c r="X302" s="24"/>
      <c r="Y302" s="24"/>
      <c r="Z302" s="98" t="str">
        <f t="shared" si="52"/>
        <v/>
      </c>
      <c r="AA302" s="40" t="str">
        <f t="shared" si="58"/>
        <v/>
      </c>
      <c r="AB302" s="88"/>
      <c r="AC302" s="24"/>
      <c r="AD302" s="24"/>
      <c r="AE302" s="79" t="str">
        <f t="shared" si="53"/>
        <v/>
      </c>
      <c r="AF302" s="24"/>
      <c r="AG302" s="24"/>
      <c r="AH302" s="24"/>
      <c r="AI302" s="24"/>
      <c r="AJ302" s="99" t="str">
        <f t="shared" si="54"/>
        <v/>
      </c>
      <c r="AK302" s="31" t="str">
        <f t="shared" si="59"/>
        <v/>
      </c>
      <c r="AN302" s="139" t="str">
        <f>IF($K302="","",VLOOKUP($K302,'ORF Accuracy Value LookUp'!$G$4:$H$104,2,TRUE))</f>
        <v/>
      </c>
      <c r="AO302" s="94" t="str">
        <f t="shared" si="55"/>
        <v/>
      </c>
      <c r="AP302" s="47" t="str">
        <f>IF($U302="","",VLOOKUP($U302,'ORF Accuracy Value LookUp'!$G$4:$H$104,2,TRUE))</f>
        <v/>
      </c>
      <c r="AQ302" s="94" t="str">
        <f t="shared" si="56"/>
        <v/>
      </c>
      <c r="AR302" s="46" t="str">
        <f>IF($AE302="","",VLOOKUP($AE302,'ORF Accuracy Value LookUp'!$G$4:$H$104,2,TRUE))</f>
        <v/>
      </c>
      <c r="AS302" s="140" t="str">
        <f t="shared" si="57"/>
        <v/>
      </c>
    </row>
    <row r="303" spans="1:45">
      <c r="A303" s="10"/>
      <c r="B303" s="9"/>
      <c r="C303" s="9"/>
      <c r="D303" s="9"/>
      <c r="E303" s="10"/>
      <c r="F303" s="11"/>
      <c r="G303" s="15"/>
      <c r="H303" s="88"/>
      <c r="I303" s="24"/>
      <c r="J303" s="24"/>
      <c r="K303" s="114" t="str">
        <f t="shared" si="48"/>
        <v/>
      </c>
      <c r="L303" s="24"/>
      <c r="M303" s="24"/>
      <c r="N303" s="24"/>
      <c r="O303" s="24"/>
      <c r="P303" s="97" t="str">
        <f t="shared" si="49"/>
        <v/>
      </c>
      <c r="Q303" s="113" t="str">
        <f t="shared" si="50"/>
        <v/>
      </c>
      <c r="R303" s="88"/>
      <c r="S303" s="24"/>
      <c r="T303" s="24"/>
      <c r="U303" s="78" t="str">
        <f t="shared" si="51"/>
        <v/>
      </c>
      <c r="V303" s="24"/>
      <c r="W303" s="24"/>
      <c r="X303" s="24"/>
      <c r="Y303" s="24"/>
      <c r="Z303" s="98" t="str">
        <f t="shared" si="52"/>
        <v/>
      </c>
      <c r="AA303" s="40" t="str">
        <f t="shared" si="58"/>
        <v/>
      </c>
      <c r="AB303" s="88"/>
      <c r="AC303" s="24"/>
      <c r="AD303" s="24"/>
      <c r="AE303" s="79" t="str">
        <f t="shared" si="53"/>
        <v/>
      </c>
      <c r="AF303" s="24"/>
      <c r="AG303" s="24"/>
      <c r="AH303" s="24"/>
      <c r="AI303" s="24"/>
      <c r="AJ303" s="99" t="str">
        <f t="shared" si="54"/>
        <v/>
      </c>
      <c r="AK303" s="31" t="str">
        <f t="shared" si="59"/>
        <v/>
      </c>
      <c r="AN303" s="139" t="str">
        <f>IF($K303="","",VLOOKUP($K303,'ORF Accuracy Value LookUp'!$G$4:$H$104,2,TRUE))</f>
        <v/>
      </c>
      <c r="AO303" s="94" t="str">
        <f t="shared" si="55"/>
        <v/>
      </c>
      <c r="AP303" s="47" t="str">
        <f>IF($U303="","",VLOOKUP($U303,'ORF Accuracy Value LookUp'!$G$4:$H$104,2,TRUE))</f>
        <v/>
      </c>
      <c r="AQ303" s="94" t="str">
        <f t="shared" si="56"/>
        <v/>
      </c>
      <c r="AR303" s="46" t="str">
        <f>IF($AE303="","",VLOOKUP($AE303,'ORF Accuracy Value LookUp'!$G$4:$H$104,2,TRUE))</f>
        <v/>
      </c>
      <c r="AS303" s="140" t="str">
        <f t="shared" si="57"/>
        <v/>
      </c>
    </row>
    <row r="304" spans="1:45">
      <c r="A304" s="10"/>
      <c r="B304" s="9"/>
      <c r="C304" s="9"/>
      <c r="D304" s="9"/>
      <c r="E304" s="10"/>
      <c r="F304" s="11"/>
      <c r="G304" s="15"/>
      <c r="H304" s="88"/>
      <c r="I304" s="24"/>
      <c r="J304" s="24"/>
      <c r="K304" s="114" t="str">
        <f t="shared" si="48"/>
        <v/>
      </c>
      <c r="L304" s="24"/>
      <c r="M304" s="24"/>
      <c r="N304" s="24"/>
      <c r="O304" s="24"/>
      <c r="P304" s="97" t="str">
        <f t="shared" si="49"/>
        <v/>
      </c>
      <c r="Q304" s="113" t="str">
        <f t="shared" si="50"/>
        <v/>
      </c>
      <c r="R304" s="88"/>
      <c r="S304" s="24"/>
      <c r="T304" s="24"/>
      <c r="U304" s="78" t="str">
        <f t="shared" si="51"/>
        <v/>
      </c>
      <c r="V304" s="24"/>
      <c r="W304" s="24"/>
      <c r="X304" s="24"/>
      <c r="Y304" s="24"/>
      <c r="Z304" s="98" t="str">
        <f t="shared" si="52"/>
        <v/>
      </c>
      <c r="AA304" s="40" t="str">
        <f t="shared" si="58"/>
        <v/>
      </c>
      <c r="AB304" s="88"/>
      <c r="AC304" s="24"/>
      <c r="AD304" s="24"/>
      <c r="AE304" s="79" t="str">
        <f t="shared" si="53"/>
        <v/>
      </c>
      <c r="AF304" s="24"/>
      <c r="AG304" s="24"/>
      <c r="AH304" s="24"/>
      <c r="AI304" s="24"/>
      <c r="AJ304" s="99" t="str">
        <f t="shared" si="54"/>
        <v/>
      </c>
      <c r="AK304" s="31" t="str">
        <f t="shared" si="59"/>
        <v/>
      </c>
      <c r="AN304" s="139" t="str">
        <f>IF($K304="","",VLOOKUP($K304,'ORF Accuracy Value LookUp'!$G$4:$H$104,2,TRUE))</f>
        <v/>
      </c>
      <c r="AO304" s="94" t="str">
        <f t="shared" si="55"/>
        <v/>
      </c>
      <c r="AP304" s="47" t="str">
        <f>IF($U304="","",VLOOKUP($U304,'ORF Accuracy Value LookUp'!$G$4:$H$104,2,TRUE))</f>
        <v/>
      </c>
      <c r="AQ304" s="94" t="str">
        <f t="shared" si="56"/>
        <v/>
      </c>
      <c r="AR304" s="46" t="str">
        <f>IF($AE304="","",VLOOKUP($AE304,'ORF Accuracy Value LookUp'!$G$4:$H$104,2,TRUE))</f>
        <v/>
      </c>
      <c r="AS304" s="140" t="str">
        <f t="shared" si="57"/>
        <v/>
      </c>
    </row>
    <row r="305" spans="1:45">
      <c r="A305" s="10"/>
      <c r="B305" s="9"/>
      <c r="C305" s="9"/>
      <c r="D305" s="9"/>
      <c r="E305" s="10"/>
      <c r="F305" s="11"/>
      <c r="G305" s="15"/>
      <c r="H305" s="88"/>
      <c r="I305" s="24"/>
      <c r="J305" s="24"/>
      <c r="K305" s="114" t="str">
        <f t="shared" si="48"/>
        <v/>
      </c>
      <c r="L305" s="24"/>
      <c r="M305" s="24"/>
      <c r="N305" s="24"/>
      <c r="O305" s="24"/>
      <c r="P305" s="97" t="str">
        <f t="shared" si="49"/>
        <v/>
      </c>
      <c r="Q305" s="113" t="str">
        <f t="shared" si="50"/>
        <v/>
      </c>
      <c r="R305" s="88"/>
      <c r="S305" s="24"/>
      <c r="T305" s="24"/>
      <c r="U305" s="78" t="str">
        <f t="shared" si="51"/>
        <v/>
      </c>
      <c r="V305" s="24"/>
      <c r="W305" s="24"/>
      <c r="X305" s="24"/>
      <c r="Y305" s="24"/>
      <c r="Z305" s="98" t="str">
        <f t="shared" si="52"/>
        <v/>
      </c>
      <c r="AA305" s="40" t="str">
        <f t="shared" si="58"/>
        <v/>
      </c>
      <c r="AB305" s="88"/>
      <c r="AC305" s="24"/>
      <c r="AD305" s="24"/>
      <c r="AE305" s="79" t="str">
        <f t="shared" si="53"/>
        <v/>
      </c>
      <c r="AF305" s="24"/>
      <c r="AG305" s="24"/>
      <c r="AH305" s="24"/>
      <c r="AI305" s="24"/>
      <c r="AJ305" s="99" t="str">
        <f t="shared" si="54"/>
        <v/>
      </c>
      <c r="AK305" s="31" t="str">
        <f t="shared" si="59"/>
        <v/>
      </c>
      <c r="AN305" s="139" t="str">
        <f>IF($K305="","",VLOOKUP($K305,'ORF Accuracy Value LookUp'!$G$4:$H$104,2,TRUE))</f>
        <v/>
      </c>
      <c r="AO305" s="94" t="str">
        <f t="shared" si="55"/>
        <v/>
      </c>
      <c r="AP305" s="47" t="str">
        <f>IF($U305="","",VLOOKUP($U305,'ORF Accuracy Value LookUp'!$G$4:$H$104,2,TRUE))</f>
        <v/>
      </c>
      <c r="AQ305" s="94" t="str">
        <f t="shared" si="56"/>
        <v/>
      </c>
      <c r="AR305" s="46" t="str">
        <f>IF($AE305="","",VLOOKUP($AE305,'ORF Accuracy Value LookUp'!$G$4:$H$104,2,TRUE))</f>
        <v/>
      </c>
      <c r="AS305" s="140" t="str">
        <f t="shared" si="57"/>
        <v/>
      </c>
    </row>
    <row r="306" spans="1:45">
      <c r="A306" s="10"/>
      <c r="B306" s="9"/>
      <c r="C306" s="9"/>
      <c r="D306" s="9"/>
      <c r="E306" s="10"/>
      <c r="F306" s="11"/>
      <c r="G306" s="15"/>
      <c r="H306" s="88"/>
      <c r="I306" s="24"/>
      <c r="J306" s="24"/>
      <c r="K306" s="114" t="str">
        <f t="shared" si="48"/>
        <v/>
      </c>
      <c r="L306" s="24"/>
      <c r="M306" s="24"/>
      <c r="N306" s="24"/>
      <c r="O306" s="24"/>
      <c r="P306" s="97" t="str">
        <f t="shared" si="49"/>
        <v/>
      </c>
      <c r="Q306" s="113" t="str">
        <f t="shared" si="50"/>
        <v/>
      </c>
      <c r="R306" s="88"/>
      <c r="S306" s="24"/>
      <c r="T306" s="24"/>
      <c r="U306" s="78" t="str">
        <f t="shared" si="51"/>
        <v/>
      </c>
      <c r="V306" s="24"/>
      <c r="W306" s="24"/>
      <c r="X306" s="24"/>
      <c r="Y306" s="24"/>
      <c r="Z306" s="98" t="str">
        <f t="shared" si="52"/>
        <v/>
      </c>
      <c r="AA306" s="40" t="str">
        <f t="shared" si="58"/>
        <v/>
      </c>
      <c r="AB306" s="88"/>
      <c r="AC306" s="24"/>
      <c r="AD306" s="24"/>
      <c r="AE306" s="79" t="str">
        <f t="shared" si="53"/>
        <v/>
      </c>
      <c r="AF306" s="24"/>
      <c r="AG306" s="24"/>
      <c r="AH306" s="24"/>
      <c r="AI306" s="24"/>
      <c r="AJ306" s="99" t="str">
        <f t="shared" si="54"/>
        <v/>
      </c>
      <c r="AK306" s="31" t="str">
        <f t="shared" si="59"/>
        <v/>
      </c>
      <c r="AN306" s="139" t="str">
        <f>IF($K306="","",VLOOKUP($K306,'ORF Accuracy Value LookUp'!$G$4:$H$104,2,TRUE))</f>
        <v/>
      </c>
      <c r="AO306" s="94" t="str">
        <f t="shared" si="55"/>
        <v/>
      </c>
      <c r="AP306" s="47" t="str">
        <f>IF($U306="","",VLOOKUP($U306,'ORF Accuracy Value LookUp'!$G$4:$H$104,2,TRUE))</f>
        <v/>
      </c>
      <c r="AQ306" s="94" t="str">
        <f t="shared" si="56"/>
        <v/>
      </c>
      <c r="AR306" s="46" t="str">
        <f>IF($AE306="","",VLOOKUP($AE306,'ORF Accuracy Value LookUp'!$G$4:$H$104,2,TRUE))</f>
        <v/>
      </c>
      <c r="AS306" s="140" t="str">
        <f t="shared" si="57"/>
        <v/>
      </c>
    </row>
    <row r="307" spans="1:45">
      <c r="A307" s="10"/>
      <c r="B307" s="9"/>
      <c r="C307" s="9"/>
      <c r="D307" s="9"/>
      <c r="E307" s="10"/>
      <c r="F307" s="11"/>
      <c r="G307" s="15"/>
      <c r="H307" s="88"/>
      <c r="I307" s="24"/>
      <c r="J307" s="24"/>
      <c r="K307" s="114" t="str">
        <f t="shared" si="48"/>
        <v/>
      </c>
      <c r="L307" s="24"/>
      <c r="M307" s="24"/>
      <c r="N307" s="24"/>
      <c r="O307" s="24"/>
      <c r="P307" s="97" t="str">
        <f t="shared" si="49"/>
        <v/>
      </c>
      <c r="Q307" s="113" t="str">
        <f t="shared" si="50"/>
        <v/>
      </c>
      <c r="R307" s="88"/>
      <c r="S307" s="24"/>
      <c r="T307" s="24"/>
      <c r="U307" s="78" t="str">
        <f t="shared" si="51"/>
        <v/>
      </c>
      <c r="V307" s="24"/>
      <c r="W307" s="24"/>
      <c r="X307" s="24"/>
      <c r="Y307" s="24"/>
      <c r="Z307" s="98" t="str">
        <f t="shared" si="52"/>
        <v/>
      </c>
      <c r="AA307" s="40" t="str">
        <f t="shared" si="58"/>
        <v/>
      </c>
      <c r="AB307" s="88"/>
      <c r="AC307" s="24"/>
      <c r="AD307" s="24"/>
      <c r="AE307" s="79" t="str">
        <f t="shared" si="53"/>
        <v/>
      </c>
      <c r="AF307" s="24"/>
      <c r="AG307" s="24"/>
      <c r="AH307" s="24"/>
      <c r="AI307" s="24"/>
      <c r="AJ307" s="99" t="str">
        <f t="shared" si="54"/>
        <v/>
      </c>
      <c r="AK307" s="31" t="str">
        <f t="shared" si="59"/>
        <v/>
      </c>
      <c r="AN307" s="139" t="str">
        <f>IF($K307="","",VLOOKUP($K307,'ORF Accuracy Value LookUp'!$G$4:$H$104,2,TRUE))</f>
        <v/>
      </c>
      <c r="AO307" s="94" t="str">
        <f t="shared" si="55"/>
        <v/>
      </c>
      <c r="AP307" s="47" t="str">
        <f>IF($U307="","",VLOOKUP($U307,'ORF Accuracy Value LookUp'!$G$4:$H$104,2,TRUE))</f>
        <v/>
      </c>
      <c r="AQ307" s="94" t="str">
        <f t="shared" si="56"/>
        <v/>
      </c>
      <c r="AR307" s="46" t="str">
        <f>IF($AE307="","",VLOOKUP($AE307,'ORF Accuracy Value LookUp'!$G$4:$H$104,2,TRUE))</f>
        <v/>
      </c>
      <c r="AS307" s="140" t="str">
        <f t="shared" si="57"/>
        <v/>
      </c>
    </row>
    <row r="308" spans="1:45">
      <c r="A308" s="10"/>
      <c r="B308" s="9"/>
      <c r="C308" s="9"/>
      <c r="D308" s="9"/>
      <c r="E308" s="10"/>
      <c r="F308" s="11"/>
      <c r="G308" s="15"/>
      <c r="H308" s="88"/>
      <c r="I308" s="24"/>
      <c r="J308" s="24"/>
      <c r="K308" s="114" t="str">
        <f t="shared" si="48"/>
        <v/>
      </c>
      <c r="L308" s="24"/>
      <c r="M308" s="24"/>
      <c r="N308" s="24"/>
      <c r="O308" s="24"/>
      <c r="P308" s="97" t="str">
        <f t="shared" si="49"/>
        <v/>
      </c>
      <c r="Q308" s="113" t="str">
        <f t="shared" si="50"/>
        <v/>
      </c>
      <c r="R308" s="88"/>
      <c r="S308" s="24"/>
      <c r="T308" s="24"/>
      <c r="U308" s="78" t="str">
        <f t="shared" si="51"/>
        <v/>
      </c>
      <c r="V308" s="24"/>
      <c r="W308" s="24"/>
      <c r="X308" s="24"/>
      <c r="Y308" s="24"/>
      <c r="Z308" s="98" t="str">
        <f t="shared" si="52"/>
        <v/>
      </c>
      <c r="AA308" s="40" t="str">
        <f t="shared" si="58"/>
        <v/>
      </c>
      <c r="AB308" s="88"/>
      <c r="AC308" s="24"/>
      <c r="AD308" s="24"/>
      <c r="AE308" s="79" t="str">
        <f t="shared" si="53"/>
        <v/>
      </c>
      <c r="AF308" s="24"/>
      <c r="AG308" s="24"/>
      <c r="AH308" s="24"/>
      <c r="AI308" s="24"/>
      <c r="AJ308" s="99" t="str">
        <f t="shared" si="54"/>
        <v/>
      </c>
      <c r="AK308" s="31" t="str">
        <f t="shared" si="59"/>
        <v/>
      </c>
      <c r="AN308" s="139" t="str">
        <f>IF($K308="","",VLOOKUP($K308,'ORF Accuracy Value LookUp'!$G$4:$H$104,2,TRUE))</f>
        <v/>
      </c>
      <c r="AO308" s="94" t="str">
        <f t="shared" si="55"/>
        <v/>
      </c>
      <c r="AP308" s="47" t="str">
        <f>IF($U308="","",VLOOKUP($U308,'ORF Accuracy Value LookUp'!$G$4:$H$104,2,TRUE))</f>
        <v/>
      </c>
      <c r="AQ308" s="94" t="str">
        <f t="shared" si="56"/>
        <v/>
      </c>
      <c r="AR308" s="46" t="str">
        <f>IF($AE308="","",VLOOKUP($AE308,'ORF Accuracy Value LookUp'!$G$4:$H$104,2,TRUE))</f>
        <v/>
      </c>
      <c r="AS308" s="140" t="str">
        <f t="shared" si="57"/>
        <v/>
      </c>
    </row>
    <row r="309" spans="1:45">
      <c r="A309" s="10"/>
      <c r="B309" s="9"/>
      <c r="C309" s="9"/>
      <c r="D309" s="9"/>
      <c r="E309" s="10"/>
      <c r="F309" s="11"/>
      <c r="G309" s="15"/>
      <c r="H309" s="88"/>
      <c r="I309" s="24"/>
      <c r="J309" s="24"/>
      <c r="K309" s="114" t="str">
        <f t="shared" si="48"/>
        <v/>
      </c>
      <c r="L309" s="24"/>
      <c r="M309" s="24"/>
      <c r="N309" s="24"/>
      <c r="O309" s="24"/>
      <c r="P309" s="97" t="str">
        <f t="shared" si="49"/>
        <v/>
      </c>
      <c r="Q309" s="113" t="str">
        <f t="shared" si="50"/>
        <v/>
      </c>
      <c r="R309" s="88"/>
      <c r="S309" s="24"/>
      <c r="T309" s="24"/>
      <c r="U309" s="78" t="str">
        <f t="shared" si="51"/>
        <v/>
      </c>
      <c r="V309" s="24"/>
      <c r="W309" s="24"/>
      <c r="X309" s="24"/>
      <c r="Y309" s="24"/>
      <c r="Z309" s="98" t="str">
        <f t="shared" si="52"/>
        <v/>
      </c>
      <c r="AA309" s="40" t="str">
        <f t="shared" si="58"/>
        <v/>
      </c>
      <c r="AB309" s="88"/>
      <c r="AC309" s="24"/>
      <c r="AD309" s="24"/>
      <c r="AE309" s="79" t="str">
        <f t="shared" si="53"/>
        <v/>
      </c>
      <c r="AF309" s="24"/>
      <c r="AG309" s="24"/>
      <c r="AH309" s="24"/>
      <c r="AI309" s="24"/>
      <c r="AJ309" s="99" t="str">
        <f t="shared" si="54"/>
        <v/>
      </c>
      <c r="AK309" s="31" t="str">
        <f t="shared" si="59"/>
        <v/>
      </c>
      <c r="AN309" s="139" t="str">
        <f>IF($K309="","",VLOOKUP($K309,'ORF Accuracy Value LookUp'!$G$4:$H$104,2,TRUE))</f>
        <v/>
      </c>
      <c r="AO309" s="94" t="str">
        <f t="shared" si="55"/>
        <v/>
      </c>
      <c r="AP309" s="47" t="str">
        <f>IF($U309="","",VLOOKUP($U309,'ORF Accuracy Value LookUp'!$G$4:$H$104,2,TRUE))</f>
        <v/>
      </c>
      <c r="AQ309" s="94" t="str">
        <f t="shared" si="56"/>
        <v/>
      </c>
      <c r="AR309" s="46" t="str">
        <f>IF($AE309="","",VLOOKUP($AE309,'ORF Accuracy Value LookUp'!$G$4:$H$104,2,TRUE))</f>
        <v/>
      </c>
      <c r="AS309" s="140" t="str">
        <f t="shared" si="57"/>
        <v/>
      </c>
    </row>
    <row r="310" spans="1:45">
      <c r="A310" s="10"/>
      <c r="B310" s="9"/>
      <c r="C310" s="9"/>
      <c r="D310" s="9"/>
      <c r="E310" s="10"/>
      <c r="F310" s="11"/>
      <c r="G310" s="15"/>
      <c r="H310" s="88"/>
      <c r="I310" s="24"/>
      <c r="J310" s="24"/>
      <c r="K310" s="114" t="str">
        <f t="shared" si="48"/>
        <v/>
      </c>
      <c r="L310" s="24"/>
      <c r="M310" s="24"/>
      <c r="N310" s="24"/>
      <c r="O310" s="24"/>
      <c r="P310" s="97" t="str">
        <f t="shared" si="49"/>
        <v/>
      </c>
      <c r="Q310" s="113" t="str">
        <f t="shared" si="50"/>
        <v/>
      </c>
      <c r="R310" s="88"/>
      <c r="S310" s="24"/>
      <c r="T310" s="24"/>
      <c r="U310" s="78" t="str">
        <f t="shared" si="51"/>
        <v/>
      </c>
      <c r="V310" s="24"/>
      <c r="W310" s="24"/>
      <c r="X310" s="24"/>
      <c r="Y310" s="24"/>
      <c r="Z310" s="98" t="str">
        <f t="shared" si="52"/>
        <v/>
      </c>
      <c r="AA310" s="40" t="str">
        <f t="shared" si="58"/>
        <v/>
      </c>
      <c r="AB310" s="88"/>
      <c r="AC310" s="24"/>
      <c r="AD310" s="24"/>
      <c r="AE310" s="79" t="str">
        <f t="shared" si="53"/>
        <v/>
      </c>
      <c r="AF310" s="24"/>
      <c r="AG310" s="24"/>
      <c r="AH310" s="24"/>
      <c r="AI310" s="24"/>
      <c r="AJ310" s="99" t="str">
        <f t="shared" si="54"/>
        <v/>
      </c>
      <c r="AK310" s="31" t="str">
        <f t="shared" si="59"/>
        <v/>
      </c>
      <c r="AN310" s="139" t="str">
        <f>IF($K310="","",VLOOKUP($K310,'ORF Accuracy Value LookUp'!$G$4:$H$104,2,TRUE))</f>
        <v/>
      </c>
      <c r="AO310" s="94" t="str">
        <f t="shared" si="55"/>
        <v/>
      </c>
      <c r="AP310" s="47" t="str">
        <f>IF($U310="","",VLOOKUP($U310,'ORF Accuracy Value LookUp'!$G$4:$H$104,2,TRUE))</f>
        <v/>
      </c>
      <c r="AQ310" s="94" t="str">
        <f t="shared" si="56"/>
        <v/>
      </c>
      <c r="AR310" s="46" t="str">
        <f>IF($AE310="","",VLOOKUP($AE310,'ORF Accuracy Value LookUp'!$G$4:$H$104,2,TRUE))</f>
        <v/>
      </c>
      <c r="AS310" s="140" t="str">
        <f t="shared" si="57"/>
        <v/>
      </c>
    </row>
    <row r="311" spans="1:45">
      <c r="A311" s="10"/>
      <c r="B311" s="9"/>
      <c r="C311" s="9"/>
      <c r="D311" s="9"/>
      <c r="E311" s="10"/>
      <c r="F311" s="11"/>
      <c r="G311" s="15"/>
      <c r="H311" s="88"/>
      <c r="I311" s="24"/>
      <c r="J311" s="24"/>
      <c r="K311" s="114" t="str">
        <f t="shared" si="48"/>
        <v/>
      </c>
      <c r="L311" s="24"/>
      <c r="M311" s="24"/>
      <c r="N311" s="24"/>
      <c r="O311" s="24"/>
      <c r="P311" s="97" t="str">
        <f t="shared" si="49"/>
        <v/>
      </c>
      <c r="Q311" s="113" t="str">
        <f t="shared" si="50"/>
        <v/>
      </c>
      <c r="R311" s="88"/>
      <c r="S311" s="24"/>
      <c r="T311" s="24"/>
      <c r="U311" s="78" t="str">
        <f t="shared" si="51"/>
        <v/>
      </c>
      <c r="V311" s="24"/>
      <c r="W311" s="24"/>
      <c r="X311" s="24"/>
      <c r="Y311" s="24"/>
      <c r="Z311" s="98" t="str">
        <f t="shared" si="52"/>
        <v/>
      </c>
      <c r="AA311" s="40" t="str">
        <f t="shared" si="58"/>
        <v/>
      </c>
      <c r="AB311" s="88"/>
      <c r="AC311" s="24"/>
      <c r="AD311" s="24"/>
      <c r="AE311" s="79" t="str">
        <f t="shared" si="53"/>
        <v/>
      </c>
      <c r="AF311" s="24"/>
      <c r="AG311" s="24"/>
      <c r="AH311" s="24"/>
      <c r="AI311" s="24"/>
      <c r="AJ311" s="99" t="str">
        <f t="shared" si="54"/>
        <v/>
      </c>
      <c r="AK311" s="31" t="str">
        <f t="shared" si="59"/>
        <v/>
      </c>
      <c r="AN311" s="139" t="str">
        <f>IF($K311="","",VLOOKUP($K311,'ORF Accuracy Value LookUp'!$G$4:$H$104,2,TRUE))</f>
        <v/>
      </c>
      <c r="AO311" s="94" t="str">
        <f t="shared" si="55"/>
        <v/>
      </c>
      <c r="AP311" s="47" t="str">
        <f>IF($U311="","",VLOOKUP($U311,'ORF Accuracy Value LookUp'!$G$4:$H$104,2,TRUE))</f>
        <v/>
      </c>
      <c r="AQ311" s="94" t="str">
        <f t="shared" si="56"/>
        <v/>
      </c>
      <c r="AR311" s="46" t="str">
        <f>IF($AE311="","",VLOOKUP($AE311,'ORF Accuracy Value LookUp'!$G$4:$H$104,2,TRUE))</f>
        <v/>
      </c>
      <c r="AS311" s="140" t="str">
        <f t="shared" si="57"/>
        <v/>
      </c>
    </row>
    <row r="312" spans="1:45">
      <c r="A312" s="10"/>
      <c r="B312" s="9"/>
      <c r="C312" s="9"/>
      <c r="D312" s="9"/>
      <c r="E312" s="10"/>
      <c r="F312" s="11"/>
      <c r="G312" s="15"/>
      <c r="H312" s="88"/>
      <c r="I312" s="24"/>
      <c r="J312" s="24"/>
      <c r="K312" s="114" t="str">
        <f t="shared" si="48"/>
        <v/>
      </c>
      <c r="L312" s="24"/>
      <c r="M312" s="24"/>
      <c r="N312" s="24"/>
      <c r="O312" s="24"/>
      <c r="P312" s="97" t="str">
        <f t="shared" si="49"/>
        <v/>
      </c>
      <c r="Q312" s="113" t="str">
        <f t="shared" si="50"/>
        <v/>
      </c>
      <c r="R312" s="88"/>
      <c r="S312" s="24"/>
      <c r="T312" s="24"/>
      <c r="U312" s="78" t="str">
        <f t="shared" si="51"/>
        <v/>
      </c>
      <c r="V312" s="24"/>
      <c r="W312" s="24"/>
      <c r="X312" s="24"/>
      <c r="Y312" s="24"/>
      <c r="Z312" s="98" t="str">
        <f t="shared" si="52"/>
        <v/>
      </c>
      <c r="AA312" s="40" t="str">
        <f t="shared" si="58"/>
        <v/>
      </c>
      <c r="AB312" s="88"/>
      <c r="AC312" s="24"/>
      <c r="AD312" s="24"/>
      <c r="AE312" s="79" t="str">
        <f t="shared" si="53"/>
        <v/>
      </c>
      <c r="AF312" s="24"/>
      <c r="AG312" s="24"/>
      <c r="AH312" s="24"/>
      <c r="AI312" s="24"/>
      <c r="AJ312" s="99" t="str">
        <f t="shared" si="54"/>
        <v/>
      </c>
      <c r="AK312" s="31" t="str">
        <f t="shared" si="59"/>
        <v/>
      </c>
      <c r="AN312" s="139" t="str">
        <f>IF($K312="","",VLOOKUP($K312,'ORF Accuracy Value LookUp'!$G$4:$H$104,2,TRUE))</f>
        <v/>
      </c>
      <c r="AO312" s="94" t="str">
        <f t="shared" si="55"/>
        <v/>
      </c>
      <c r="AP312" s="47" t="str">
        <f>IF($U312="","",VLOOKUP($U312,'ORF Accuracy Value LookUp'!$G$4:$H$104,2,TRUE))</f>
        <v/>
      </c>
      <c r="AQ312" s="94" t="str">
        <f t="shared" si="56"/>
        <v/>
      </c>
      <c r="AR312" s="46" t="str">
        <f>IF($AE312="","",VLOOKUP($AE312,'ORF Accuracy Value LookUp'!$G$4:$H$104,2,TRUE))</f>
        <v/>
      </c>
      <c r="AS312" s="140" t="str">
        <f t="shared" si="57"/>
        <v/>
      </c>
    </row>
    <row r="313" spans="1:45">
      <c r="A313" s="10"/>
      <c r="B313" s="9"/>
      <c r="C313" s="9"/>
      <c r="D313" s="9"/>
      <c r="E313" s="10"/>
      <c r="F313" s="11"/>
      <c r="G313" s="15"/>
      <c r="H313" s="88"/>
      <c r="I313" s="24"/>
      <c r="J313" s="24"/>
      <c r="K313" s="114" t="str">
        <f t="shared" si="48"/>
        <v/>
      </c>
      <c r="L313" s="24"/>
      <c r="M313" s="24"/>
      <c r="N313" s="24"/>
      <c r="O313" s="24"/>
      <c r="P313" s="97" t="str">
        <f t="shared" si="49"/>
        <v/>
      </c>
      <c r="Q313" s="113" t="str">
        <f t="shared" si="50"/>
        <v/>
      </c>
      <c r="R313" s="88"/>
      <c r="S313" s="24"/>
      <c r="T313" s="24"/>
      <c r="U313" s="78" t="str">
        <f t="shared" si="51"/>
        <v/>
      </c>
      <c r="V313" s="24"/>
      <c r="W313" s="24"/>
      <c r="X313" s="24"/>
      <c r="Y313" s="24"/>
      <c r="Z313" s="98" t="str">
        <f t="shared" si="52"/>
        <v/>
      </c>
      <c r="AA313" s="40" t="str">
        <f t="shared" si="58"/>
        <v/>
      </c>
      <c r="AB313" s="88"/>
      <c r="AC313" s="24"/>
      <c r="AD313" s="24"/>
      <c r="AE313" s="79" t="str">
        <f t="shared" si="53"/>
        <v/>
      </c>
      <c r="AF313" s="24"/>
      <c r="AG313" s="24"/>
      <c r="AH313" s="24"/>
      <c r="AI313" s="24"/>
      <c r="AJ313" s="99" t="str">
        <f t="shared" si="54"/>
        <v/>
      </c>
      <c r="AK313" s="31" t="str">
        <f t="shared" si="59"/>
        <v/>
      </c>
      <c r="AN313" s="139" t="str">
        <f>IF($K313="","",VLOOKUP($K313,'ORF Accuracy Value LookUp'!$G$4:$H$104,2,TRUE))</f>
        <v/>
      </c>
      <c r="AO313" s="94" t="str">
        <f t="shared" si="55"/>
        <v/>
      </c>
      <c r="AP313" s="47" t="str">
        <f>IF($U313="","",VLOOKUP($U313,'ORF Accuracy Value LookUp'!$G$4:$H$104,2,TRUE))</f>
        <v/>
      </c>
      <c r="AQ313" s="94" t="str">
        <f t="shared" si="56"/>
        <v/>
      </c>
      <c r="AR313" s="46" t="str">
        <f>IF($AE313="","",VLOOKUP($AE313,'ORF Accuracy Value LookUp'!$G$4:$H$104,2,TRUE))</f>
        <v/>
      </c>
      <c r="AS313" s="140" t="str">
        <f t="shared" si="57"/>
        <v/>
      </c>
    </row>
    <row r="314" spans="1:45">
      <c r="A314" s="10"/>
      <c r="B314" s="9"/>
      <c r="C314" s="9"/>
      <c r="D314" s="9"/>
      <c r="E314" s="10"/>
      <c r="F314" s="11"/>
      <c r="G314" s="15"/>
      <c r="H314" s="88"/>
      <c r="I314" s="24"/>
      <c r="J314" s="24"/>
      <c r="K314" s="114" t="str">
        <f t="shared" si="48"/>
        <v/>
      </c>
      <c r="L314" s="24"/>
      <c r="M314" s="24"/>
      <c r="N314" s="24"/>
      <c r="O314" s="24"/>
      <c r="P314" s="97" t="str">
        <f t="shared" si="49"/>
        <v/>
      </c>
      <c r="Q314" s="113" t="str">
        <f t="shared" si="50"/>
        <v/>
      </c>
      <c r="R314" s="88"/>
      <c r="S314" s="24"/>
      <c r="T314" s="24"/>
      <c r="U314" s="78" t="str">
        <f t="shared" si="51"/>
        <v/>
      </c>
      <c r="V314" s="24"/>
      <c r="W314" s="24"/>
      <c r="X314" s="24"/>
      <c r="Y314" s="24"/>
      <c r="Z314" s="98" t="str">
        <f t="shared" si="52"/>
        <v/>
      </c>
      <c r="AA314" s="40" t="str">
        <f t="shared" si="58"/>
        <v/>
      </c>
      <c r="AB314" s="88"/>
      <c r="AC314" s="24"/>
      <c r="AD314" s="24"/>
      <c r="AE314" s="79" t="str">
        <f t="shared" si="53"/>
        <v/>
      </c>
      <c r="AF314" s="24"/>
      <c r="AG314" s="24"/>
      <c r="AH314" s="24"/>
      <c r="AI314" s="24"/>
      <c r="AJ314" s="99" t="str">
        <f t="shared" si="54"/>
        <v/>
      </c>
      <c r="AK314" s="31" t="str">
        <f t="shared" si="59"/>
        <v/>
      </c>
      <c r="AN314" s="139" t="str">
        <f>IF($K314="","",VLOOKUP($K314,'ORF Accuracy Value LookUp'!$G$4:$H$104,2,TRUE))</f>
        <v/>
      </c>
      <c r="AO314" s="94" t="str">
        <f t="shared" si="55"/>
        <v/>
      </c>
      <c r="AP314" s="47" t="str">
        <f>IF($U314="","",VLOOKUP($U314,'ORF Accuracy Value LookUp'!$G$4:$H$104,2,TRUE))</f>
        <v/>
      </c>
      <c r="AQ314" s="94" t="str">
        <f t="shared" si="56"/>
        <v/>
      </c>
      <c r="AR314" s="46" t="str">
        <f>IF($AE314="","",VLOOKUP($AE314,'ORF Accuracy Value LookUp'!$G$4:$H$104,2,TRUE))</f>
        <v/>
      </c>
      <c r="AS314" s="140" t="str">
        <f t="shared" si="57"/>
        <v/>
      </c>
    </row>
    <row r="315" spans="1:45">
      <c r="A315" s="10"/>
      <c r="B315" s="9"/>
      <c r="C315" s="9"/>
      <c r="D315" s="9"/>
      <c r="E315" s="10"/>
      <c r="F315" s="11"/>
      <c r="G315" s="15"/>
      <c r="H315" s="88"/>
      <c r="I315" s="24"/>
      <c r="J315" s="24"/>
      <c r="K315" s="114" t="str">
        <f t="shared" si="48"/>
        <v/>
      </c>
      <c r="L315" s="24"/>
      <c r="M315" s="24"/>
      <c r="N315" s="24"/>
      <c r="O315" s="24"/>
      <c r="P315" s="97" t="str">
        <f t="shared" si="49"/>
        <v/>
      </c>
      <c r="Q315" s="113" t="str">
        <f t="shared" si="50"/>
        <v/>
      </c>
      <c r="R315" s="88"/>
      <c r="S315" s="24"/>
      <c r="T315" s="24"/>
      <c r="U315" s="78" t="str">
        <f t="shared" si="51"/>
        <v/>
      </c>
      <c r="V315" s="24"/>
      <c r="W315" s="24"/>
      <c r="X315" s="24"/>
      <c r="Y315" s="24"/>
      <c r="Z315" s="98" t="str">
        <f t="shared" si="52"/>
        <v/>
      </c>
      <c r="AA315" s="40" t="str">
        <f t="shared" si="58"/>
        <v/>
      </c>
      <c r="AB315" s="88"/>
      <c r="AC315" s="24"/>
      <c r="AD315" s="24"/>
      <c r="AE315" s="79" t="str">
        <f t="shared" si="53"/>
        <v/>
      </c>
      <c r="AF315" s="24"/>
      <c r="AG315" s="24"/>
      <c r="AH315" s="24"/>
      <c r="AI315" s="24"/>
      <c r="AJ315" s="99" t="str">
        <f t="shared" si="54"/>
        <v/>
      </c>
      <c r="AK315" s="31" t="str">
        <f t="shared" si="59"/>
        <v/>
      </c>
      <c r="AN315" s="139" t="str">
        <f>IF($K315="","",VLOOKUP($K315,'ORF Accuracy Value LookUp'!$G$4:$H$104,2,TRUE))</f>
        <v/>
      </c>
      <c r="AO315" s="94" t="str">
        <f t="shared" si="55"/>
        <v/>
      </c>
      <c r="AP315" s="47" t="str">
        <f>IF($U315="","",VLOOKUP($U315,'ORF Accuracy Value LookUp'!$G$4:$H$104,2,TRUE))</f>
        <v/>
      </c>
      <c r="AQ315" s="94" t="str">
        <f t="shared" si="56"/>
        <v/>
      </c>
      <c r="AR315" s="46" t="str">
        <f>IF($AE315="","",VLOOKUP($AE315,'ORF Accuracy Value LookUp'!$G$4:$H$104,2,TRUE))</f>
        <v/>
      </c>
      <c r="AS315" s="140" t="str">
        <f t="shared" si="57"/>
        <v/>
      </c>
    </row>
    <row r="316" spans="1:45">
      <c r="A316" s="10"/>
      <c r="B316" s="9"/>
      <c r="C316" s="9"/>
      <c r="D316" s="9"/>
      <c r="E316" s="10"/>
      <c r="F316" s="11"/>
      <c r="G316" s="15"/>
      <c r="H316" s="88"/>
      <c r="I316" s="24"/>
      <c r="J316" s="24"/>
      <c r="K316" s="114" t="str">
        <f t="shared" si="48"/>
        <v/>
      </c>
      <c r="L316" s="24"/>
      <c r="M316" s="24"/>
      <c r="N316" s="24"/>
      <c r="O316" s="24"/>
      <c r="P316" s="97" t="str">
        <f t="shared" si="49"/>
        <v/>
      </c>
      <c r="Q316" s="113" t="str">
        <f t="shared" si="50"/>
        <v/>
      </c>
      <c r="R316" s="88"/>
      <c r="S316" s="24"/>
      <c r="T316" s="24"/>
      <c r="U316" s="78" t="str">
        <f t="shared" si="51"/>
        <v/>
      </c>
      <c r="V316" s="24"/>
      <c r="W316" s="24"/>
      <c r="X316" s="24"/>
      <c r="Y316" s="24"/>
      <c r="Z316" s="98" t="str">
        <f t="shared" si="52"/>
        <v/>
      </c>
      <c r="AA316" s="40" t="str">
        <f t="shared" si="58"/>
        <v/>
      </c>
      <c r="AB316" s="88"/>
      <c r="AC316" s="24"/>
      <c r="AD316" s="24"/>
      <c r="AE316" s="79" t="str">
        <f t="shared" si="53"/>
        <v/>
      </c>
      <c r="AF316" s="24"/>
      <c r="AG316" s="24"/>
      <c r="AH316" s="24"/>
      <c r="AI316" s="24"/>
      <c r="AJ316" s="99" t="str">
        <f t="shared" si="54"/>
        <v/>
      </c>
      <c r="AK316" s="31" t="str">
        <f t="shared" si="59"/>
        <v/>
      </c>
      <c r="AN316" s="139" t="str">
        <f>IF($K316="","",VLOOKUP($K316,'ORF Accuracy Value LookUp'!$G$4:$H$104,2,TRUE))</f>
        <v/>
      </c>
      <c r="AO316" s="94" t="str">
        <f t="shared" si="55"/>
        <v/>
      </c>
      <c r="AP316" s="47" t="str">
        <f>IF($U316="","",VLOOKUP($U316,'ORF Accuracy Value LookUp'!$G$4:$H$104,2,TRUE))</f>
        <v/>
      </c>
      <c r="AQ316" s="94" t="str">
        <f t="shared" si="56"/>
        <v/>
      </c>
      <c r="AR316" s="46" t="str">
        <f>IF($AE316="","",VLOOKUP($AE316,'ORF Accuracy Value LookUp'!$G$4:$H$104,2,TRUE))</f>
        <v/>
      </c>
      <c r="AS316" s="140" t="str">
        <f t="shared" si="57"/>
        <v/>
      </c>
    </row>
    <row r="317" spans="1:45">
      <c r="A317" s="10"/>
      <c r="B317" s="9"/>
      <c r="C317" s="9"/>
      <c r="D317" s="9"/>
      <c r="E317" s="10"/>
      <c r="F317" s="11"/>
      <c r="G317" s="15"/>
      <c r="H317" s="88"/>
      <c r="I317" s="24"/>
      <c r="J317" s="24"/>
      <c r="K317" s="114" t="str">
        <f t="shared" si="48"/>
        <v/>
      </c>
      <c r="L317" s="24"/>
      <c r="M317" s="24"/>
      <c r="N317" s="24"/>
      <c r="O317" s="24"/>
      <c r="P317" s="97" t="str">
        <f t="shared" si="49"/>
        <v/>
      </c>
      <c r="Q317" s="113" t="str">
        <f t="shared" si="50"/>
        <v/>
      </c>
      <c r="R317" s="88"/>
      <c r="S317" s="24"/>
      <c r="T317" s="24"/>
      <c r="U317" s="78" t="str">
        <f t="shared" si="51"/>
        <v/>
      </c>
      <c r="V317" s="24"/>
      <c r="W317" s="24"/>
      <c r="X317" s="24"/>
      <c r="Y317" s="24"/>
      <c r="Z317" s="98" t="str">
        <f t="shared" si="52"/>
        <v/>
      </c>
      <c r="AA317" s="40" t="str">
        <f t="shared" si="58"/>
        <v/>
      </c>
      <c r="AB317" s="88"/>
      <c r="AC317" s="24"/>
      <c r="AD317" s="24"/>
      <c r="AE317" s="79" t="str">
        <f t="shared" si="53"/>
        <v/>
      </c>
      <c r="AF317" s="24"/>
      <c r="AG317" s="24"/>
      <c r="AH317" s="24"/>
      <c r="AI317" s="24"/>
      <c r="AJ317" s="99" t="str">
        <f t="shared" si="54"/>
        <v/>
      </c>
      <c r="AK317" s="31" t="str">
        <f t="shared" si="59"/>
        <v/>
      </c>
      <c r="AN317" s="139" t="str">
        <f>IF($K317="","",VLOOKUP($K317,'ORF Accuracy Value LookUp'!$G$4:$H$104,2,TRUE))</f>
        <v/>
      </c>
      <c r="AO317" s="94" t="str">
        <f t="shared" si="55"/>
        <v/>
      </c>
      <c r="AP317" s="47" t="str">
        <f>IF($U317="","",VLOOKUP($U317,'ORF Accuracy Value LookUp'!$G$4:$H$104,2,TRUE))</f>
        <v/>
      </c>
      <c r="AQ317" s="94" t="str">
        <f t="shared" si="56"/>
        <v/>
      </c>
      <c r="AR317" s="46" t="str">
        <f>IF($AE317="","",VLOOKUP($AE317,'ORF Accuracy Value LookUp'!$G$4:$H$104,2,TRUE))</f>
        <v/>
      </c>
      <c r="AS317" s="140" t="str">
        <f t="shared" si="57"/>
        <v/>
      </c>
    </row>
    <row r="318" spans="1:45">
      <c r="A318" s="10"/>
      <c r="B318" s="9"/>
      <c r="C318" s="9"/>
      <c r="D318" s="9"/>
      <c r="E318" s="10"/>
      <c r="F318" s="11"/>
      <c r="G318" s="15"/>
      <c r="H318" s="88"/>
      <c r="I318" s="24"/>
      <c r="J318" s="24"/>
      <c r="K318" s="114" t="str">
        <f t="shared" si="48"/>
        <v/>
      </c>
      <c r="L318" s="24"/>
      <c r="M318" s="24"/>
      <c r="N318" s="24"/>
      <c r="O318" s="24"/>
      <c r="P318" s="97" t="str">
        <f t="shared" si="49"/>
        <v/>
      </c>
      <c r="Q318" s="113" t="str">
        <f t="shared" si="50"/>
        <v/>
      </c>
      <c r="R318" s="88"/>
      <c r="S318" s="24"/>
      <c r="T318" s="24"/>
      <c r="U318" s="78" t="str">
        <f t="shared" si="51"/>
        <v/>
      </c>
      <c r="V318" s="24"/>
      <c r="W318" s="24"/>
      <c r="X318" s="24"/>
      <c r="Y318" s="24"/>
      <c r="Z318" s="98" t="str">
        <f t="shared" si="52"/>
        <v/>
      </c>
      <c r="AA318" s="40" t="str">
        <f t="shared" si="58"/>
        <v/>
      </c>
      <c r="AB318" s="88"/>
      <c r="AC318" s="24"/>
      <c r="AD318" s="24"/>
      <c r="AE318" s="79" t="str">
        <f t="shared" si="53"/>
        <v/>
      </c>
      <c r="AF318" s="24"/>
      <c r="AG318" s="24"/>
      <c r="AH318" s="24"/>
      <c r="AI318" s="24"/>
      <c r="AJ318" s="99" t="str">
        <f t="shared" si="54"/>
        <v/>
      </c>
      <c r="AK318" s="31" t="str">
        <f t="shared" si="59"/>
        <v/>
      </c>
      <c r="AN318" s="139" t="str">
        <f>IF($K318="","",VLOOKUP($K318,'ORF Accuracy Value LookUp'!$G$4:$H$104,2,TRUE))</f>
        <v/>
      </c>
      <c r="AO318" s="94" t="str">
        <f t="shared" si="55"/>
        <v/>
      </c>
      <c r="AP318" s="47" t="str">
        <f>IF($U318="","",VLOOKUP($U318,'ORF Accuracy Value LookUp'!$G$4:$H$104,2,TRUE))</f>
        <v/>
      </c>
      <c r="AQ318" s="94" t="str">
        <f t="shared" si="56"/>
        <v/>
      </c>
      <c r="AR318" s="46" t="str">
        <f>IF($AE318="","",VLOOKUP($AE318,'ORF Accuracy Value LookUp'!$G$4:$H$104,2,TRUE))</f>
        <v/>
      </c>
      <c r="AS318" s="140" t="str">
        <f t="shared" si="57"/>
        <v/>
      </c>
    </row>
    <row r="319" spans="1:45">
      <c r="A319" s="10"/>
      <c r="B319" s="9"/>
      <c r="C319" s="9"/>
      <c r="D319" s="9"/>
      <c r="E319" s="10"/>
      <c r="F319" s="11"/>
      <c r="G319" s="15"/>
      <c r="H319" s="88"/>
      <c r="I319" s="24"/>
      <c r="J319" s="24"/>
      <c r="K319" s="114" t="str">
        <f t="shared" si="48"/>
        <v/>
      </c>
      <c r="L319" s="24"/>
      <c r="M319" s="24"/>
      <c r="N319" s="24"/>
      <c r="O319" s="24"/>
      <c r="P319" s="97" t="str">
        <f t="shared" si="49"/>
        <v/>
      </c>
      <c r="Q319" s="113" t="str">
        <f t="shared" si="50"/>
        <v/>
      </c>
      <c r="R319" s="88"/>
      <c r="S319" s="24"/>
      <c r="T319" s="24"/>
      <c r="U319" s="78" t="str">
        <f t="shared" si="51"/>
        <v/>
      </c>
      <c r="V319" s="24"/>
      <c r="W319" s="24"/>
      <c r="X319" s="24"/>
      <c r="Y319" s="24"/>
      <c r="Z319" s="98" t="str">
        <f t="shared" si="52"/>
        <v/>
      </c>
      <c r="AA319" s="40" t="str">
        <f t="shared" si="58"/>
        <v/>
      </c>
      <c r="AB319" s="88"/>
      <c r="AC319" s="24"/>
      <c r="AD319" s="24"/>
      <c r="AE319" s="79" t="str">
        <f t="shared" si="53"/>
        <v/>
      </c>
      <c r="AF319" s="24"/>
      <c r="AG319" s="24"/>
      <c r="AH319" s="24"/>
      <c r="AI319" s="24"/>
      <c r="AJ319" s="99" t="str">
        <f t="shared" si="54"/>
        <v/>
      </c>
      <c r="AK319" s="31" t="str">
        <f t="shared" si="59"/>
        <v/>
      </c>
      <c r="AN319" s="139" t="str">
        <f>IF($K319="","",VLOOKUP($K319,'ORF Accuracy Value LookUp'!$G$4:$H$104,2,TRUE))</f>
        <v/>
      </c>
      <c r="AO319" s="94" t="str">
        <f t="shared" si="55"/>
        <v/>
      </c>
      <c r="AP319" s="47" t="str">
        <f>IF($U319="","",VLOOKUP($U319,'ORF Accuracy Value LookUp'!$G$4:$H$104,2,TRUE))</f>
        <v/>
      </c>
      <c r="AQ319" s="94" t="str">
        <f t="shared" si="56"/>
        <v/>
      </c>
      <c r="AR319" s="46" t="str">
        <f>IF($AE319="","",VLOOKUP($AE319,'ORF Accuracy Value LookUp'!$G$4:$H$104,2,TRUE))</f>
        <v/>
      </c>
      <c r="AS319" s="140" t="str">
        <f t="shared" si="57"/>
        <v/>
      </c>
    </row>
    <row r="320" spans="1:45">
      <c r="A320" s="10"/>
      <c r="B320" s="9"/>
      <c r="C320" s="9"/>
      <c r="D320" s="9"/>
      <c r="E320" s="10"/>
      <c r="F320" s="11"/>
      <c r="G320" s="15"/>
      <c r="H320" s="88"/>
      <c r="I320" s="24"/>
      <c r="J320" s="24"/>
      <c r="K320" s="114" t="str">
        <f t="shared" si="48"/>
        <v/>
      </c>
      <c r="L320" s="24"/>
      <c r="M320" s="24"/>
      <c r="N320" s="24"/>
      <c r="O320" s="24"/>
      <c r="P320" s="97" t="str">
        <f t="shared" si="49"/>
        <v/>
      </c>
      <c r="Q320" s="113" t="str">
        <f t="shared" si="50"/>
        <v/>
      </c>
      <c r="R320" s="88"/>
      <c r="S320" s="24"/>
      <c r="T320" s="24"/>
      <c r="U320" s="78" t="str">
        <f t="shared" si="51"/>
        <v/>
      </c>
      <c r="V320" s="24"/>
      <c r="W320" s="24"/>
      <c r="X320" s="24"/>
      <c r="Y320" s="24"/>
      <c r="Z320" s="98" t="str">
        <f t="shared" si="52"/>
        <v/>
      </c>
      <c r="AA320" s="40" t="str">
        <f t="shared" si="58"/>
        <v/>
      </c>
      <c r="AB320" s="88"/>
      <c r="AC320" s="24"/>
      <c r="AD320" s="24"/>
      <c r="AE320" s="79" t="str">
        <f t="shared" si="53"/>
        <v/>
      </c>
      <c r="AF320" s="24"/>
      <c r="AG320" s="24"/>
      <c r="AH320" s="24"/>
      <c r="AI320" s="24"/>
      <c r="AJ320" s="99" t="str">
        <f t="shared" si="54"/>
        <v/>
      </c>
      <c r="AK320" s="31" t="str">
        <f t="shared" si="59"/>
        <v/>
      </c>
      <c r="AN320" s="139" t="str">
        <f>IF($K320="","",VLOOKUP($K320,'ORF Accuracy Value LookUp'!$G$4:$H$104,2,TRUE))</f>
        <v/>
      </c>
      <c r="AO320" s="94" t="str">
        <f t="shared" si="55"/>
        <v/>
      </c>
      <c r="AP320" s="47" t="str">
        <f>IF($U320="","",VLOOKUP($U320,'ORF Accuracy Value LookUp'!$G$4:$H$104,2,TRUE))</f>
        <v/>
      </c>
      <c r="AQ320" s="94" t="str">
        <f t="shared" si="56"/>
        <v/>
      </c>
      <c r="AR320" s="46" t="str">
        <f>IF($AE320="","",VLOOKUP($AE320,'ORF Accuracy Value LookUp'!$G$4:$H$104,2,TRUE))</f>
        <v/>
      </c>
      <c r="AS320" s="140" t="str">
        <f t="shared" si="57"/>
        <v/>
      </c>
    </row>
    <row r="321" spans="1:45">
      <c r="A321" s="10"/>
      <c r="B321" s="9"/>
      <c r="C321" s="9"/>
      <c r="D321" s="9"/>
      <c r="E321" s="10"/>
      <c r="F321" s="11"/>
      <c r="G321" s="15"/>
      <c r="H321" s="88"/>
      <c r="I321" s="24"/>
      <c r="J321" s="24"/>
      <c r="K321" s="114" t="str">
        <f t="shared" si="48"/>
        <v/>
      </c>
      <c r="L321" s="24"/>
      <c r="M321" s="24"/>
      <c r="N321" s="24"/>
      <c r="O321" s="24"/>
      <c r="P321" s="97" t="str">
        <f t="shared" si="49"/>
        <v/>
      </c>
      <c r="Q321" s="113" t="str">
        <f t="shared" si="50"/>
        <v/>
      </c>
      <c r="R321" s="88"/>
      <c r="S321" s="24"/>
      <c r="T321" s="24"/>
      <c r="U321" s="78" t="str">
        <f t="shared" si="51"/>
        <v/>
      </c>
      <c r="V321" s="24"/>
      <c r="W321" s="24"/>
      <c r="X321" s="24"/>
      <c r="Y321" s="24"/>
      <c r="Z321" s="98" t="str">
        <f t="shared" si="52"/>
        <v/>
      </c>
      <c r="AA321" s="40" t="str">
        <f t="shared" si="58"/>
        <v/>
      </c>
      <c r="AB321" s="88"/>
      <c r="AC321" s="24"/>
      <c r="AD321" s="24"/>
      <c r="AE321" s="79" t="str">
        <f t="shared" si="53"/>
        <v/>
      </c>
      <c r="AF321" s="24"/>
      <c r="AG321" s="24"/>
      <c r="AH321" s="24"/>
      <c r="AI321" s="24"/>
      <c r="AJ321" s="99" t="str">
        <f t="shared" si="54"/>
        <v/>
      </c>
      <c r="AK321" s="31" t="str">
        <f t="shared" si="59"/>
        <v/>
      </c>
      <c r="AN321" s="139" t="str">
        <f>IF($K321="","",VLOOKUP($K321,'ORF Accuracy Value LookUp'!$G$4:$H$104,2,TRUE))</f>
        <v/>
      </c>
      <c r="AO321" s="94" t="str">
        <f t="shared" si="55"/>
        <v/>
      </c>
      <c r="AP321" s="47" t="str">
        <f>IF($U321="","",VLOOKUP($U321,'ORF Accuracy Value LookUp'!$G$4:$H$104,2,TRUE))</f>
        <v/>
      </c>
      <c r="AQ321" s="94" t="str">
        <f t="shared" si="56"/>
        <v/>
      </c>
      <c r="AR321" s="46" t="str">
        <f>IF($AE321="","",VLOOKUP($AE321,'ORF Accuracy Value LookUp'!$G$4:$H$104,2,TRUE))</f>
        <v/>
      </c>
      <c r="AS321" s="140" t="str">
        <f t="shared" si="57"/>
        <v/>
      </c>
    </row>
    <row r="322" spans="1:45">
      <c r="A322" s="10"/>
      <c r="B322" s="9"/>
      <c r="C322" s="9"/>
      <c r="D322" s="9"/>
      <c r="E322" s="10"/>
      <c r="F322" s="11"/>
      <c r="G322" s="15"/>
      <c r="H322" s="88"/>
      <c r="I322" s="24"/>
      <c r="J322" s="24"/>
      <c r="K322" s="114" t="str">
        <f t="shared" si="48"/>
        <v/>
      </c>
      <c r="L322" s="24"/>
      <c r="M322" s="24"/>
      <c r="N322" s="24"/>
      <c r="O322" s="24"/>
      <c r="P322" s="97" t="str">
        <f t="shared" si="49"/>
        <v/>
      </c>
      <c r="Q322" s="113" t="str">
        <f t="shared" si="50"/>
        <v/>
      </c>
      <c r="R322" s="88"/>
      <c r="S322" s="24"/>
      <c r="T322" s="24"/>
      <c r="U322" s="78" t="str">
        <f t="shared" si="51"/>
        <v/>
      </c>
      <c r="V322" s="24"/>
      <c r="W322" s="24"/>
      <c r="X322" s="24"/>
      <c r="Y322" s="24"/>
      <c r="Z322" s="98" t="str">
        <f t="shared" si="52"/>
        <v/>
      </c>
      <c r="AA322" s="40" t="str">
        <f t="shared" si="58"/>
        <v/>
      </c>
      <c r="AB322" s="88"/>
      <c r="AC322" s="24"/>
      <c r="AD322" s="24"/>
      <c r="AE322" s="79" t="str">
        <f t="shared" si="53"/>
        <v/>
      </c>
      <c r="AF322" s="24"/>
      <c r="AG322" s="24"/>
      <c r="AH322" s="24"/>
      <c r="AI322" s="24"/>
      <c r="AJ322" s="99" t="str">
        <f t="shared" si="54"/>
        <v/>
      </c>
      <c r="AK322" s="31" t="str">
        <f t="shared" si="59"/>
        <v/>
      </c>
      <c r="AN322" s="139" t="str">
        <f>IF($K322="","",VLOOKUP($K322,'ORF Accuracy Value LookUp'!$G$4:$H$104,2,TRUE))</f>
        <v/>
      </c>
      <c r="AO322" s="94" t="str">
        <f t="shared" si="55"/>
        <v/>
      </c>
      <c r="AP322" s="47" t="str">
        <f>IF($U322="","",VLOOKUP($U322,'ORF Accuracy Value LookUp'!$G$4:$H$104,2,TRUE))</f>
        <v/>
      </c>
      <c r="AQ322" s="94" t="str">
        <f t="shared" si="56"/>
        <v/>
      </c>
      <c r="AR322" s="46" t="str">
        <f>IF($AE322="","",VLOOKUP($AE322,'ORF Accuracy Value LookUp'!$G$4:$H$104,2,TRUE))</f>
        <v/>
      </c>
      <c r="AS322" s="140" t="str">
        <f t="shared" si="57"/>
        <v/>
      </c>
    </row>
    <row r="323" spans="1:45">
      <c r="A323" s="10"/>
      <c r="B323" s="9"/>
      <c r="C323" s="9"/>
      <c r="D323" s="9"/>
      <c r="E323" s="10"/>
      <c r="F323" s="11"/>
      <c r="G323" s="15"/>
      <c r="H323" s="88"/>
      <c r="I323" s="24"/>
      <c r="J323" s="24"/>
      <c r="K323" s="114" t="str">
        <f t="shared" si="48"/>
        <v/>
      </c>
      <c r="L323" s="24"/>
      <c r="M323" s="24"/>
      <c r="N323" s="24"/>
      <c r="O323" s="24"/>
      <c r="P323" s="97" t="str">
        <f t="shared" si="49"/>
        <v/>
      </c>
      <c r="Q323" s="113" t="str">
        <f t="shared" si="50"/>
        <v/>
      </c>
      <c r="R323" s="88"/>
      <c r="S323" s="24"/>
      <c r="T323" s="24"/>
      <c r="U323" s="78" t="str">
        <f t="shared" si="51"/>
        <v/>
      </c>
      <c r="V323" s="24"/>
      <c r="W323" s="24"/>
      <c r="X323" s="24"/>
      <c r="Y323" s="24"/>
      <c r="Z323" s="98" t="str">
        <f t="shared" si="52"/>
        <v/>
      </c>
      <c r="AA323" s="40" t="str">
        <f t="shared" si="58"/>
        <v/>
      </c>
      <c r="AB323" s="88"/>
      <c r="AC323" s="24"/>
      <c r="AD323" s="24"/>
      <c r="AE323" s="79" t="str">
        <f t="shared" si="53"/>
        <v/>
      </c>
      <c r="AF323" s="24"/>
      <c r="AG323" s="24"/>
      <c r="AH323" s="24"/>
      <c r="AI323" s="24"/>
      <c r="AJ323" s="99" t="str">
        <f t="shared" si="54"/>
        <v/>
      </c>
      <c r="AK323" s="31" t="str">
        <f t="shared" si="59"/>
        <v/>
      </c>
      <c r="AN323" s="139" t="str">
        <f>IF($K323="","",VLOOKUP($K323,'ORF Accuracy Value LookUp'!$G$4:$H$104,2,TRUE))</f>
        <v/>
      </c>
      <c r="AO323" s="94" t="str">
        <f t="shared" si="55"/>
        <v/>
      </c>
      <c r="AP323" s="47" t="str">
        <f>IF($U323="","",VLOOKUP($U323,'ORF Accuracy Value LookUp'!$G$4:$H$104,2,TRUE))</f>
        <v/>
      </c>
      <c r="AQ323" s="94" t="str">
        <f t="shared" si="56"/>
        <v/>
      </c>
      <c r="AR323" s="46" t="str">
        <f>IF($AE323="","",VLOOKUP($AE323,'ORF Accuracy Value LookUp'!$G$4:$H$104,2,TRUE))</f>
        <v/>
      </c>
      <c r="AS323" s="140" t="str">
        <f t="shared" si="57"/>
        <v/>
      </c>
    </row>
    <row r="324" spans="1:45">
      <c r="A324" s="10"/>
      <c r="B324" s="9"/>
      <c r="C324" s="9"/>
      <c r="D324" s="9"/>
      <c r="E324" s="10"/>
      <c r="F324" s="11"/>
      <c r="G324" s="15"/>
      <c r="H324" s="88"/>
      <c r="I324" s="24"/>
      <c r="J324" s="24"/>
      <c r="K324" s="114" t="str">
        <f t="shared" si="48"/>
        <v/>
      </c>
      <c r="L324" s="24"/>
      <c r="M324" s="24"/>
      <c r="N324" s="24"/>
      <c r="O324" s="24"/>
      <c r="P324" s="97" t="str">
        <f t="shared" si="49"/>
        <v/>
      </c>
      <c r="Q324" s="113" t="str">
        <f t="shared" si="50"/>
        <v/>
      </c>
      <c r="R324" s="88"/>
      <c r="S324" s="24"/>
      <c r="T324" s="24"/>
      <c r="U324" s="78" t="str">
        <f t="shared" si="51"/>
        <v/>
      </c>
      <c r="V324" s="24"/>
      <c r="W324" s="24"/>
      <c r="X324" s="24"/>
      <c r="Y324" s="24"/>
      <c r="Z324" s="98" t="str">
        <f t="shared" si="52"/>
        <v/>
      </c>
      <c r="AA324" s="40" t="str">
        <f t="shared" si="58"/>
        <v/>
      </c>
      <c r="AB324" s="88"/>
      <c r="AC324" s="24"/>
      <c r="AD324" s="24"/>
      <c r="AE324" s="79" t="str">
        <f t="shared" si="53"/>
        <v/>
      </c>
      <c r="AF324" s="24"/>
      <c r="AG324" s="24"/>
      <c r="AH324" s="24"/>
      <c r="AI324" s="24"/>
      <c r="AJ324" s="99" t="str">
        <f t="shared" si="54"/>
        <v/>
      </c>
      <c r="AK324" s="31" t="str">
        <f t="shared" si="59"/>
        <v/>
      </c>
      <c r="AN324" s="139" t="str">
        <f>IF($K324="","",VLOOKUP($K324,'ORF Accuracy Value LookUp'!$G$4:$H$104,2,TRUE))</f>
        <v/>
      </c>
      <c r="AO324" s="94" t="str">
        <f t="shared" si="55"/>
        <v/>
      </c>
      <c r="AP324" s="47" t="str">
        <f>IF($U324="","",VLOOKUP($U324,'ORF Accuracy Value LookUp'!$G$4:$H$104,2,TRUE))</f>
        <v/>
      </c>
      <c r="AQ324" s="94" t="str">
        <f t="shared" si="56"/>
        <v/>
      </c>
      <c r="AR324" s="46" t="str">
        <f>IF($AE324="","",VLOOKUP($AE324,'ORF Accuracy Value LookUp'!$G$4:$H$104,2,TRUE))</f>
        <v/>
      </c>
      <c r="AS324" s="140" t="str">
        <f t="shared" si="57"/>
        <v/>
      </c>
    </row>
    <row r="325" spans="1:45">
      <c r="A325" s="10"/>
      <c r="B325" s="9"/>
      <c r="C325" s="9"/>
      <c r="D325" s="9"/>
      <c r="E325" s="10"/>
      <c r="F325" s="11"/>
      <c r="G325" s="15"/>
      <c r="H325" s="88"/>
      <c r="I325" s="24"/>
      <c r="J325" s="24"/>
      <c r="K325" s="114" t="str">
        <f t="shared" si="48"/>
        <v/>
      </c>
      <c r="L325" s="24"/>
      <c r="M325" s="24"/>
      <c r="N325" s="24"/>
      <c r="O325" s="24"/>
      <c r="P325" s="97" t="str">
        <f t="shared" si="49"/>
        <v/>
      </c>
      <c r="Q325" s="113" t="str">
        <f t="shared" si="50"/>
        <v/>
      </c>
      <c r="R325" s="88"/>
      <c r="S325" s="24"/>
      <c r="T325" s="24"/>
      <c r="U325" s="78" t="str">
        <f t="shared" si="51"/>
        <v/>
      </c>
      <c r="V325" s="24"/>
      <c r="W325" s="24"/>
      <c r="X325" s="24"/>
      <c r="Y325" s="24"/>
      <c r="Z325" s="98" t="str">
        <f t="shared" si="52"/>
        <v/>
      </c>
      <c r="AA325" s="40" t="str">
        <f t="shared" si="58"/>
        <v/>
      </c>
      <c r="AB325" s="88"/>
      <c r="AC325" s="24"/>
      <c r="AD325" s="24"/>
      <c r="AE325" s="79" t="str">
        <f t="shared" si="53"/>
        <v/>
      </c>
      <c r="AF325" s="24"/>
      <c r="AG325" s="24"/>
      <c r="AH325" s="24"/>
      <c r="AI325" s="24"/>
      <c r="AJ325" s="99" t="str">
        <f t="shared" si="54"/>
        <v/>
      </c>
      <c r="AK325" s="31" t="str">
        <f t="shared" si="59"/>
        <v/>
      </c>
      <c r="AN325" s="139" t="str">
        <f>IF($K325="","",VLOOKUP($K325,'ORF Accuracy Value LookUp'!$G$4:$H$104,2,TRUE))</f>
        <v/>
      </c>
      <c r="AO325" s="94" t="str">
        <f t="shared" si="55"/>
        <v/>
      </c>
      <c r="AP325" s="47" t="str">
        <f>IF($U325="","",VLOOKUP($U325,'ORF Accuracy Value LookUp'!$G$4:$H$104,2,TRUE))</f>
        <v/>
      </c>
      <c r="AQ325" s="94" t="str">
        <f t="shared" si="56"/>
        <v/>
      </c>
      <c r="AR325" s="46" t="str">
        <f>IF($AE325="","",VLOOKUP($AE325,'ORF Accuracy Value LookUp'!$G$4:$H$104,2,TRUE))</f>
        <v/>
      </c>
      <c r="AS325" s="140" t="str">
        <f t="shared" si="57"/>
        <v/>
      </c>
    </row>
    <row r="326" spans="1:45">
      <c r="A326" s="10"/>
      <c r="B326" s="9"/>
      <c r="C326" s="9"/>
      <c r="D326" s="9"/>
      <c r="E326" s="10"/>
      <c r="F326" s="11"/>
      <c r="G326" s="15"/>
      <c r="H326" s="88"/>
      <c r="I326" s="24"/>
      <c r="J326" s="24"/>
      <c r="K326" s="114" t="str">
        <f t="shared" si="48"/>
        <v/>
      </c>
      <c r="L326" s="24"/>
      <c r="M326" s="24"/>
      <c r="N326" s="24"/>
      <c r="O326" s="24"/>
      <c r="P326" s="97" t="str">
        <f t="shared" si="49"/>
        <v/>
      </c>
      <c r="Q326" s="113" t="str">
        <f t="shared" si="50"/>
        <v/>
      </c>
      <c r="R326" s="88"/>
      <c r="S326" s="24"/>
      <c r="T326" s="24"/>
      <c r="U326" s="78" t="str">
        <f t="shared" si="51"/>
        <v/>
      </c>
      <c r="V326" s="24"/>
      <c r="W326" s="24"/>
      <c r="X326" s="24"/>
      <c r="Y326" s="24"/>
      <c r="Z326" s="98" t="str">
        <f t="shared" si="52"/>
        <v/>
      </c>
      <c r="AA326" s="40" t="str">
        <f t="shared" si="58"/>
        <v/>
      </c>
      <c r="AB326" s="88"/>
      <c r="AC326" s="24"/>
      <c r="AD326" s="24"/>
      <c r="AE326" s="79" t="str">
        <f t="shared" si="53"/>
        <v/>
      </c>
      <c r="AF326" s="24"/>
      <c r="AG326" s="24"/>
      <c r="AH326" s="24"/>
      <c r="AI326" s="24"/>
      <c r="AJ326" s="99" t="str">
        <f t="shared" si="54"/>
        <v/>
      </c>
      <c r="AK326" s="31" t="str">
        <f t="shared" si="59"/>
        <v/>
      </c>
      <c r="AN326" s="139" t="str">
        <f>IF($K326="","",VLOOKUP($K326,'ORF Accuracy Value LookUp'!$G$4:$H$104,2,TRUE))</f>
        <v/>
      </c>
      <c r="AO326" s="94" t="str">
        <f t="shared" si="55"/>
        <v/>
      </c>
      <c r="AP326" s="47" t="str">
        <f>IF($U326="","",VLOOKUP($U326,'ORF Accuracy Value LookUp'!$G$4:$H$104,2,TRUE))</f>
        <v/>
      </c>
      <c r="AQ326" s="94" t="str">
        <f t="shared" si="56"/>
        <v/>
      </c>
      <c r="AR326" s="46" t="str">
        <f>IF($AE326="","",VLOOKUP($AE326,'ORF Accuracy Value LookUp'!$G$4:$H$104,2,TRUE))</f>
        <v/>
      </c>
      <c r="AS326" s="140" t="str">
        <f t="shared" si="57"/>
        <v/>
      </c>
    </row>
    <row r="327" spans="1:45">
      <c r="A327" s="10"/>
      <c r="B327" s="9"/>
      <c r="C327" s="9"/>
      <c r="D327" s="9"/>
      <c r="E327" s="10"/>
      <c r="F327" s="11"/>
      <c r="G327" s="15"/>
      <c r="H327" s="88"/>
      <c r="I327" s="24"/>
      <c r="J327" s="24"/>
      <c r="K327" s="114" t="str">
        <f t="shared" si="48"/>
        <v/>
      </c>
      <c r="L327" s="24"/>
      <c r="M327" s="24"/>
      <c r="N327" s="24"/>
      <c r="O327" s="24"/>
      <c r="P327" s="97" t="str">
        <f t="shared" si="49"/>
        <v/>
      </c>
      <c r="Q327" s="113" t="str">
        <f t="shared" si="50"/>
        <v/>
      </c>
      <c r="R327" s="88"/>
      <c r="S327" s="24"/>
      <c r="T327" s="24"/>
      <c r="U327" s="78" t="str">
        <f t="shared" si="51"/>
        <v/>
      </c>
      <c r="V327" s="24"/>
      <c r="W327" s="24"/>
      <c r="X327" s="24"/>
      <c r="Y327" s="24"/>
      <c r="Z327" s="98" t="str">
        <f t="shared" si="52"/>
        <v/>
      </c>
      <c r="AA327" s="40" t="str">
        <f t="shared" si="58"/>
        <v/>
      </c>
      <c r="AB327" s="88"/>
      <c r="AC327" s="24"/>
      <c r="AD327" s="24"/>
      <c r="AE327" s="79" t="str">
        <f t="shared" si="53"/>
        <v/>
      </c>
      <c r="AF327" s="24"/>
      <c r="AG327" s="24"/>
      <c r="AH327" s="24"/>
      <c r="AI327" s="24"/>
      <c r="AJ327" s="99" t="str">
        <f t="shared" si="54"/>
        <v/>
      </c>
      <c r="AK327" s="31" t="str">
        <f t="shared" si="59"/>
        <v/>
      </c>
      <c r="AN327" s="139" t="str">
        <f>IF($K327="","",VLOOKUP($K327,'ORF Accuracy Value LookUp'!$G$4:$H$104,2,TRUE))</f>
        <v/>
      </c>
      <c r="AO327" s="94" t="str">
        <f t="shared" si="55"/>
        <v/>
      </c>
      <c r="AP327" s="47" t="str">
        <f>IF($U327="","",VLOOKUP($U327,'ORF Accuracy Value LookUp'!$G$4:$H$104,2,TRUE))</f>
        <v/>
      </c>
      <c r="AQ327" s="94" t="str">
        <f t="shared" si="56"/>
        <v/>
      </c>
      <c r="AR327" s="46" t="str">
        <f>IF($AE327="","",VLOOKUP($AE327,'ORF Accuracy Value LookUp'!$G$4:$H$104,2,TRUE))</f>
        <v/>
      </c>
      <c r="AS327" s="140" t="str">
        <f t="shared" si="57"/>
        <v/>
      </c>
    </row>
    <row r="328" spans="1:45">
      <c r="A328" s="10"/>
      <c r="B328" s="9"/>
      <c r="C328" s="9"/>
      <c r="D328" s="9"/>
      <c r="E328" s="10"/>
      <c r="F328" s="11"/>
      <c r="G328" s="15"/>
      <c r="H328" s="88"/>
      <c r="I328" s="24"/>
      <c r="J328" s="24"/>
      <c r="K328" s="114" t="str">
        <f t="shared" ref="K328:K391" si="60">IF($I328="","",SUM($I328/($I328+$J328)))</f>
        <v/>
      </c>
      <c r="L328" s="24"/>
      <c r="M328" s="24"/>
      <c r="N328" s="24"/>
      <c r="O328" s="24"/>
      <c r="P328" s="97" t="str">
        <f t="shared" ref="P328:P391" si="61">IF($AO328&gt;0,$AO328,0)</f>
        <v/>
      </c>
      <c r="Q328" s="113" t="str">
        <f t="shared" ref="Q328:Q391" si="62">IF($B328="","",SUM($I328+$AN328+($L328*2)+($P328*2)))</f>
        <v/>
      </c>
      <c r="R328" s="88"/>
      <c r="S328" s="24"/>
      <c r="T328" s="24"/>
      <c r="U328" s="78" t="str">
        <f t="shared" ref="U328:U391" si="63">IF($S328="","",SUM($S328/($S328+$T328)))</f>
        <v/>
      </c>
      <c r="V328" s="24"/>
      <c r="W328" s="24"/>
      <c r="X328" s="24"/>
      <c r="Y328" s="24"/>
      <c r="Z328" s="98" t="str">
        <f t="shared" ref="Z328:Z391" si="64">IF($AQ328&gt;0,$AQ328,0)</f>
        <v/>
      </c>
      <c r="AA328" s="40" t="str">
        <f t="shared" si="58"/>
        <v/>
      </c>
      <c r="AB328" s="88"/>
      <c r="AC328" s="24"/>
      <c r="AD328" s="24"/>
      <c r="AE328" s="79" t="str">
        <f t="shared" ref="AE328:AE391" si="65">IF($AC328="","",SUM($AC328/($AC328+$AD328)))</f>
        <v/>
      </c>
      <c r="AF328" s="24"/>
      <c r="AG328" s="24"/>
      <c r="AH328" s="24"/>
      <c r="AI328" s="24"/>
      <c r="AJ328" s="99" t="str">
        <f t="shared" ref="AJ328:AJ391" si="66">IF($AS328&gt;0,$AS328,0)</f>
        <v/>
      </c>
      <c r="AK328" s="31" t="str">
        <f t="shared" si="59"/>
        <v/>
      </c>
      <c r="AN328" s="139" t="str">
        <f>IF($K328="","",VLOOKUP($K328,'ORF Accuracy Value LookUp'!$G$4:$H$104,2,TRUE))</f>
        <v/>
      </c>
      <c r="AO328" s="94" t="str">
        <f t="shared" ref="AO328:AO391" si="67">IF($N328="","",($N328-($O328/2)))</f>
        <v/>
      </c>
      <c r="AP328" s="47" t="str">
        <f>IF($U328="","",VLOOKUP($U328,'ORF Accuracy Value LookUp'!$G$4:$H$104,2,TRUE))</f>
        <v/>
      </c>
      <c r="AQ328" s="94" t="str">
        <f t="shared" ref="AQ328:AQ391" si="68">IF($X328="","",$X328-($Y328/2))</f>
        <v/>
      </c>
      <c r="AR328" s="46" t="str">
        <f>IF($AE328="","",VLOOKUP($AE328,'ORF Accuracy Value LookUp'!$G$4:$H$104,2,TRUE))</f>
        <v/>
      </c>
      <c r="AS328" s="140" t="str">
        <f t="shared" ref="AS328:AS391" si="69">IF($AH328="","",$AH328-($AI328/2))</f>
        <v/>
      </c>
    </row>
    <row r="329" spans="1:45">
      <c r="A329" s="10"/>
      <c r="B329" s="9"/>
      <c r="C329" s="9"/>
      <c r="D329" s="9"/>
      <c r="E329" s="10"/>
      <c r="F329" s="11"/>
      <c r="G329" s="15"/>
      <c r="H329" s="88"/>
      <c r="I329" s="24"/>
      <c r="J329" s="24"/>
      <c r="K329" s="114" t="str">
        <f t="shared" si="60"/>
        <v/>
      </c>
      <c r="L329" s="24"/>
      <c r="M329" s="24"/>
      <c r="N329" s="24"/>
      <c r="O329" s="24"/>
      <c r="P329" s="97" t="str">
        <f t="shared" si="61"/>
        <v/>
      </c>
      <c r="Q329" s="113" t="str">
        <f t="shared" si="62"/>
        <v/>
      </c>
      <c r="R329" s="88"/>
      <c r="S329" s="24"/>
      <c r="T329" s="24"/>
      <c r="U329" s="78" t="str">
        <f t="shared" si="63"/>
        <v/>
      </c>
      <c r="V329" s="24"/>
      <c r="W329" s="24"/>
      <c r="X329" s="24"/>
      <c r="Y329" s="24"/>
      <c r="Z329" s="98" t="str">
        <f t="shared" si="64"/>
        <v/>
      </c>
      <c r="AA329" s="40" t="str">
        <f t="shared" ref="AA329:AA392" si="70">IF($R329="","",SUM($S329+$AP329+($V329*2)+($Z329*4)))</f>
        <v/>
      </c>
      <c r="AB329" s="88"/>
      <c r="AC329" s="24"/>
      <c r="AD329" s="24"/>
      <c r="AE329" s="79" t="str">
        <f t="shared" si="65"/>
        <v/>
      </c>
      <c r="AF329" s="24"/>
      <c r="AG329" s="24"/>
      <c r="AH329" s="24"/>
      <c r="AI329" s="24"/>
      <c r="AJ329" s="99" t="str">
        <f t="shared" si="66"/>
        <v/>
      </c>
      <c r="AK329" s="31" t="str">
        <f t="shared" ref="AK329:AK392" si="71">IF($AB329="","",SUM($AC329+$AR329+($AF329*2)+($AJ329*4)))</f>
        <v/>
      </c>
      <c r="AN329" s="139" t="str">
        <f>IF($K329="","",VLOOKUP($K329,'ORF Accuracy Value LookUp'!$G$4:$H$104,2,TRUE))</f>
        <v/>
      </c>
      <c r="AO329" s="94" t="str">
        <f t="shared" si="67"/>
        <v/>
      </c>
      <c r="AP329" s="47" t="str">
        <f>IF($U329="","",VLOOKUP($U329,'ORF Accuracy Value LookUp'!$G$4:$H$104,2,TRUE))</f>
        <v/>
      </c>
      <c r="AQ329" s="94" t="str">
        <f t="shared" si="68"/>
        <v/>
      </c>
      <c r="AR329" s="46" t="str">
        <f>IF($AE329="","",VLOOKUP($AE329,'ORF Accuracy Value LookUp'!$G$4:$H$104,2,TRUE))</f>
        <v/>
      </c>
      <c r="AS329" s="140" t="str">
        <f t="shared" si="69"/>
        <v/>
      </c>
    </row>
    <row r="330" spans="1:45">
      <c r="A330" s="10"/>
      <c r="B330" s="9"/>
      <c r="C330" s="9"/>
      <c r="D330" s="9"/>
      <c r="E330" s="10"/>
      <c r="F330" s="11"/>
      <c r="G330" s="15"/>
      <c r="H330" s="88"/>
      <c r="I330" s="24"/>
      <c r="J330" s="24"/>
      <c r="K330" s="114" t="str">
        <f t="shared" si="60"/>
        <v/>
      </c>
      <c r="L330" s="24"/>
      <c r="M330" s="24"/>
      <c r="N330" s="24"/>
      <c r="O330" s="24"/>
      <c r="P330" s="97" t="str">
        <f t="shared" si="61"/>
        <v/>
      </c>
      <c r="Q330" s="113" t="str">
        <f t="shared" si="62"/>
        <v/>
      </c>
      <c r="R330" s="88"/>
      <c r="S330" s="24"/>
      <c r="T330" s="24"/>
      <c r="U330" s="78" t="str">
        <f t="shared" si="63"/>
        <v/>
      </c>
      <c r="V330" s="24"/>
      <c r="W330" s="24"/>
      <c r="X330" s="24"/>
      <c r="Y330" s="24"/>
      <c r="Z330" s="98" t="str">
        <f t="shared" si="64"/>
        <v/>
      </c>
      <c r="AA330" s="40" t="str">
        <f t="shared" si="70"/>
        <v/>
      </c>
      <c r="AB330" s="88"/>
      <c r="AC330" s="24"/>
      <c r="AD330" s="24"/>
      <c r="AE330" s="79" t="str">
        <f t="shared" si="65"/>
        <v/>
      </c>
      <c r="AF330" s="24"/>
      <c r="AG330" s="24"/>
      <c r="AH330" s="24"/>
      <c r="AI330" s="24"/>
      <c r="AJ330" s="99" t="str">
        <f t="shared" si="66"/>
        <v/>
      </c>
      <c r="AK330" s="31" t="str">
        <f t="shared" si="71"/>
        <v/>
      </c>
      <c r="AN330" s="139" t="str">
        <f>IF($K330="","",VLOOKUP($K330,'ORF Accuracy Value LookUp'!$G$4:$H$104,2,TRUE))</f>
        <v/>
      </c>
      <c r="AO330" s="94" t="str">
        <f t="shared" si="67"/>
        <v/>
      </c>
      <c r="AP330" s="47" t="str">
        <f>IF($U330="","",VLOOKUP($U330,'ORF Accuracy Value LookUp'!$G$4:$H$104,2,TRUE))</f>
        <v/>
      </c>
      <c r="AQ330" s="94" t="str">
        <f t="shared" si="68"/>
        <v/>
      </c>
      <c r="AR330" s="46" t="str">
        <f>IF($AE330="","",VLOOKUP($AE330,'ORF Accuracy Value LookUp'!$G$4:$H$104,2,TRUE))</f>
        <v/>
      </c>
      <c r="AS330" s="140" t="str">
        <f t="shared" si="69"/>
        <v/>
      </c>
    </row>
    <row r="331" spans="1:45">
      <c r="A331" s="10"/>
      <c r="B331" s="9"/>
      <c r="C331" s="9"/>
      <c r="D331" s="9"/>
      <c r="E331" s="10"/>
      <c r="F331" s="11"/>
      <c r="G331" s="15"/>
      <c r="H331" s="88"/>
      <c r="I331" s="24"/>
      <c r="J331" s="24"/>
      <c r="K331" s="114" t="str">
        <f t="shared" si="60"/>
        <v/>
      </c>
      <c r="L331" s="24"/>
      <c r="M331" s="24"/>
      <c r="N331" s="24"/>
      <c r="O331" s="24"/>
      <c r="P331" s="97" t="str">
        <f t="shared" si="61"/>
        <v/>
      </c>
      <c r="Q331" s="113" t="str">
        <f t="shared" si="62"/>
        <v/>
      </c>
      <c r="R331" s="88"/>
      <c r="S331" s="24"/>
      <c r="T331" s="24"/>
      <c r="U331" s="78" t="str">
        <f t="shared" si="63"/>
        <v/>
      </c>
      <c r="V331" s="24"/>
      <c r="W331" s="24"/>
      <c r="X331" s="24"/>
      <c r="Y331" s="24"/>
      <c r="Z331" s="98" t="str">
        <f t="shared" si="64"/>
        <v/>
      </c>
      <c r="AA331" s="40" t="str">
        <f t="shared" si="70"/>
        <v/>
      </c>
      <c r="AB331" s="88"/>
      <c r="AC331" s="24"/>
      <c r="AD331" s="24"/>
      <c r="AE331" s="79" t="str">
        <f t="shared" si="65"/>
        <v/>
      </c>
      <c r="AF331" s="24"/>
      <c r="AG331" s="24"/>
      <c r="AH331" s="24"/>
      <c r="AI331" s="24"/>
      <c r="AJ331" s="99" t="str">
        <f t="shared" si="66"/>
        <v/>
      </c>
      <c r="AK331" s="31" t="str">
        <f t="shared" si="71"/>
        <v/>
      </c>
      <c r="AN331" s="139" t="str">
        <f>IF($K331="","",VLOOKUP($K331,'ORF Accuracy Value LookUp'!$G$4:$H$104,2,TRUE))</f>
        <v/>
      </c>
      <c r="AO331" s="94" t="str">
        <f t="shared" si="67"/>
        <v/>
      </c>
      <c r="AP331" s="47" t="str">
        <f>IF($U331="","",VLOOKUP($U331,'ORF Accuracy Value LookUp'!$G$4:$H$104,2,TRUE))</f>
        <v/>
      </c>
      <c r="AQ331" s="94" t="str">
        <f t="shared" si="68"/>
        <v/>
      </c>
      <c r="AR331" s="46" t="str">
        <f>IF($AE331="","",VLOOKUP($AE331,'ORF Accuracy Value LookUp'!$G$4:$H$104,2,TRUE))</f>
        <v/>
      </c>
      <c r="AS331" s="140" t="str">
        <f t="shared" si="69"/>
        <v/>
      </c>
    </row>
    <row r="332" spans="1:45">
      <c r="A332" s="10"/>
      <c r="B332" s="9"/>
      <c r="C332" s="9"/>
      <c r="D332" s="9"/>
      <c r="E332" s="10"/>
      <c r="F332" s="11"/>
      <c r="G332" s="15"/>
      <c r="H332" s="88"/>
      <c r="I332" s="24"/>
      <c r="J332" s="24"/>
      <c r="K332" s="114" t="str">
        <f t="shared" si="60"/>
        <v/>
      </c>
      <c r="L332" s="24"/>
      <c r="M332" s="24"/>
      <c r="N332" s="24"/>
      <c r="O332" s="24"/>
      <c r="P332" s="97" t="str">
        <f t="shared" si="61"/>
        <v/>
      </c>
      <c r="Q332" s="113" t="str">
        <f t="shared" si="62"/>
        <v/>
      </c>
      <c r="R332" s="88"/>
      <c r="S332" s="24"/>
      <c r="T332" s="24"/>
      <c r="U332" s="78" t="str">
        <f t="shared" si="63"/>
        <v/>
      </c>
      <c r="V332" s="24"/>
      <c r="W332" s="24"/>
      <c r="X332" s="24"/>
      <c r="Y332" s="24"/>
      <c r="Z332" s="98" t="str">
        <f t="shared" si="64"/>
        <v/>
      </c>
      <c r="AA332" s="40" t="str">
        <f t="shared" si="70"/>
        <v/>
      </c>
      <c r="AB332" s="88"/>
      <c r="AC332" s="24"/>
      <c r="AD332" s="24"/>
      <c r="AE332" s="79" t="str">
        <f t="shared" si="65"/>
        <v/>
      </c>
      <c r="AF332" s="24"/>
      <c r="AG332" s="24"/>
      <c r="AH332" s="24"/>
      <c r="AI332" s="24"/>
      <c r="AJ332" s="99" t="str">
        <f t="shared" si="66"/>
        <v/>
      </c>
      <c r="AK332" s="31" t="str">
        <f t="shared" si="71"/>
        <v/>
      </c>
      <c r="AN332" s="139" t="str">
        <f>IF($K332="","",VLOOKUP($K332,'ORF Accuracy Value LookUp'!$G$4:$H$104,2,TRUE))</f>
        <v/>
      </c>
      <c r="AO332" s="94" t="str">
        <f t="shared" si="67"/>
        <v/>
      </c>
      <c r="AP332" s="47" t="str">
        <f>IF($U332="","",VLOOKUP($U332,'ORF Accuracy Value LookUp'!$G$4:$H$104,2,TRUE))</f>
        <v/>
      </c>
      <c r="AQ332" s="94" t="str">
        <f t="shared" si="68"/>
        <v/>
      </c>
      <c r="AR332" s="46" t="str">
        <f>IF($AE332="","",VLOOKUP($AE332,'ORF Accuracy Value LookUp'!$G$4:$H$104,2,TRUE))</f>
        <v/>
      </c>
      <c r="AS332" s="140" t="str">
        <f t="shared" si="69"/>
        <v/>
      </c>
    </row>
    <row r="333" spans="1:45">
      <c r="A333" s="10"/>
      <c r="B333" s="9"/>
      <c r="C333" s="9"/>
      <c r="D333" s="9"/>
      <c r="E333" s="10"/>
      <c r="F333" s="11"/>
      <c r="G333" s="15"/>
      <c r="H333" s="88"/>
      <c r="I333" s="24"/>
      <c r="J333" s="24"/>
      <c r="K333" s="114" t="str">
        <f t="shared" si="60"/>
        <v/>
      </c>
      <c r="L333" s="24"/>
      <c r="M333" s="24"/>
      <c r="N333" s="24"/>
      <c r="O333" s="24"/>
      <c r="P333" s="97" t="str">
        <f t="shared" si="61"/>
        <v/>
      </c>
      <c r="Q333" s="113" t="str">
        <f t="shared" si="62"/>
        <v/>
      </c>
      <c r="R333" s="88"/>
      <c r="S333" s="24"/>
      <c r="T333" s="24"/>
      <c r="U333" s="78" t="str">
        <f t="shared" si="63"/>
        <v/>
      </c>
      <c r="V333" s="24"/>
      <c r="W333" s="24"/>
      <c r="X333" s="24"/>
      <c r="Y333" s="24"/>
      <c r="Z333" s="98" t="str">
        <f t="shared" si="64"/>
        <v/>
      </c>
      <c r="AA333" s="40" t="str">
        <f t="shared" si="70"/>
        <v/>
      </c>
      <c r="AB333" s="88"/>
      <c r="AC333" s="24"/>
      <c r="AD333" s="24"/>
      <c r="AE333" s="79" t="str">
        <f t="shared" si="65"/>
        <v/>
      </c>
      <c r="AF333" s="24"/>
      <c r="AG333" s="24"/>
      <c r="AH333" s="24"/>
      <c r="AI333" s="24"/>
      <c r="AJ333" s="99" t="str">
        <f t="shared" si="66"/>
        <v/>
      </c>
      <c r="AK333" s="31" t="str">
        <f t="shared" si="71"/>
        <v/>
      </c>
      <c r="AN333" s="139" t="str">
        <f>IF($K333="","",VLOOKUP($K333,'ORF Accuracy Value LookUp'!$G$4:$H$104,2,TRUE))</f>
        <v/>
      </c>
      <c r="AO333" s="94" t="str">
        <f t="shared" si="67"/>
        <v/>
      </c>
      <c r="AP333" s="47" t="str">
        <f>IF($U333="","",VLOOKUP($U333,'ORF Accuracy Value LookUp'!$G$4:$H$104,2,TRUE))</f>
        <v/>
      </c>
      <c r="AQ333" s="94" t="str">
        <f t="shared" si="68"/>
        <v/>
      </c>
      <c r="AR333" s="46" t="str">
        <f>IF($AE333="","",VLOOKUP($AE333,'ORF Accuracy Value LookUp'!$G$4:$H$104,2,TRUE))</f>
        <v/>
      </c>
      <c r="AS333" s="140" t="str">
        <f t="shared" si="69"/>
        <v/>
      </c>
    </row>
    <row r="334" spans="1:45">
      <c r="A334" s="10"/>
      <c r="B334" s="9"/>
      <c r="C334" s="9"/>
      <c r="D334" s="9"/>
      <c r="E334" s="10"/>
      <c r="F334" s="11"/>
      <c r="G334" s="15"/>
      <c r="H334" s="88"/>
      <c r="I334" s="24"/>
      <c r="J334" s="24"/>
      <c r="K334" s="114" t="str">
        <f t="shared" si="60"/>
        <v/>
      </c>
      <c r="L334" s="24"/>
      <c r="M334" s="24"/>
      <c r="N334" s="24"/>
      <c r="O334" s="24"/>
      <c r="P334" s="97" t="str">
        <f t="shared" si="61"/>
        <v/>
      </c>
      <c r="Q334" s="113" t="str">
        <f t="shared" si="62"/>
        <v/>
      </c>
      <c r="R334" s="88"/>
      <c r="S334" s="24"/>
      <c r="T334" s="24"/>
      <c r="U334" s="78" t="str">
        <f t="shared" si="63"/>
        <v/>
      </c>
      <c r="V334" s="24"/>
      <c r="W334" s="24"/>
      <c r="X334" s="24"/>
      <c r="Y334" s="24"/>
      <c r="Z334" s="98" t="str">
        <f t="shared" si="64"/>
        <v/>
      </c>
      <c r="AA334" s="40" t="str">
        <f t="shared" si="70"/>
        <v/>
      </c>
      <c r="AB334" s="88"/>
      <c r="AC334" s="24"/>
      <c r="AD334" s="24"/>
      <c r="AE334" s="79" t="str">
        <f t="shared" si="65"/>
        <v/>
      </c>
      <c r="AF334" s="24"/>
      <c r="AG334" s="24"/>
      <c r="AH334" s="24"/>
      <c r="AI334" s="24"/>
      <c r="AJ334" s="99" t="str">
        <f t="shared" si="66"/>
        <v/>
      </c>
      <c r="AK334" s="31" t="str">
        <f t="shared" si="71"/>
        <v/>
      </c>
      <c r="AN334" s="139" t="str">
        <f>IF($K334="","",VLOOKUP($K334,'ORF Accuracy Value LookUp'!$G$4:$H$104,2,TRUE))</f>
        <v/>
      </c>
      <c r="AO334" s="94" t="str">
        <f t="shared" si="67"/>
        <v/>
      </c>
      <c r="AP334" s="47" t="str">
        <f>IF($U334="","",VLOOKUP($U334,'ORF Accuracy Value LookUp'!$G$4:$H$104,2,TRUE))</f>
        <v/>
      </c>
      <c r="AQ334" s="94" t="str">
        <f t="shared" si="68"/>
        <v/>
      </c>
      <c r="AR334" s="46" t="str">
        <f>IF($AE334="","",VLOOKUP($AE334,'ORF Accuracy Value LookUp'!$G$4:$H$104,2,TRUE))</f>
        <v/>
      </c>
      <c r="AS334" s="140" t="str">
        <f t="shared" si="69"/>
        <v/>
      </c>
    </row>
    <row r="335" spans="1:45">
      <c r="A335" s="10"/>
      <c r="B335" s="9"/>
      <c r="C335" s="9"/>
      <c r="D335" s="9"/>
      <c r="E335" s="10"/>
      <c r="F335" s="11"/>
      <c r="G335" s="15"/>
      <c r="H335" s="88"/>
      <c r="I335" s="24"/>
      <c r="J335" s="24"/>
      <c r="K335" s="114" t="str">
        <f t="shared" si="60"/>
        <v/>
      </c>
      <c r="L335" s="24"/>
      <c r="M335" s="24"/>
      <c r="N335" s="24"/>
      <c r="O335" s="24"/>
      <c r="P335" s="97" t="str">
        <f t="shared" si="61"/>
        <v/>
      </c>
      <c r="Q335" s="113" t="str">
        <f t="shared" si="62"/>
        <v/>
      </c>
      <c r="R335" s="88"/>
      <c r="S335" s="24"/>
      <c r="T335" s="24"/>
      <c r="U335" s="78" t="str">
        <f t="shared" si="63"/>
        <v/>
      </c>
      <c r="V335" s="24"/>
      <c r="W335" s="24"/>
      <c r="X335" s="24"/>
      <c r="Y335" s="24"/>
      <c r="Z335" s="98" t="str">
        <f t="shared" si="64"/>
        <v/>
      </c>
      <c r="AA335" s="40" t="str">
        <f t="shared" si="70"/>
        <v/>
      </c>
      <c r="AB335" s="88"/>
      <c r="AC335" s="24"/>
      <c r="AD335" s="24"/>
      <c r="AE335" s="79" t="str">
        <f t="shared" si="65"/>
        <v/>
      </c>
      <c r="AF335" s="24"/>
      <c r="AG335" s="24"/>
      <c r="AH335" s="24"/>
      <c r="AI335" s="24"/>
      <c r="AJ335" s="99" t="str">
        <f t="shared" si="66"/>
        <v/>
      </c>
      <c r="AK335" s="31" t="str">
        <f t="shared" si="71"/>
        <v/>
      </c>
      <c r="AN335" s="139" t="str">
        <f>IF($K335="","",VLOOKUP($K335,'ORF Accuracy Value LookUp'!$G$4:$H$104,2,TRUE))</f>
        <v/>
      </c>
      <c r="AO335" s="94" t="str">
        <f t="shared" si="67"/>
        <v/>
      </c>
      <c r="AP335" s="47" t="str">
        <f>IF($U335="","",VLOOKUP($U335,'ORF Accuracy Value LookUp'!$G$4:$H$104,2,TRUE))</f>
        <v/>
      </c>
      <c r="AQ335" s="94" t="str">
        <f t="shared" si="68"/>
        <v/>
      </c>
      <c r="AR335" s="46" t="str">
        <f>IF($AE335="","",VLOOKUP($AE335,'ORF Accuracy Value LookUp'!$G$4:$H$104,2,TRUE))</f>
        <v/>
      </c>
      <c r="AS335" s="140" t="str">
        <f t="shared" si="69"/>
        <v/>
      </c>
    </row>
    <row r="336" spans="1:45">
      <c r="A336" s="10"/>
      <c r="B336" s="9"/>
      <c r="C336" s="9"/>
      <c r="D336" s="9"/>
      <c r="E336" s="10"/>
      <c r="F336" s="11"/>
      <c r="G336" s="15"/>
      <c r="H336" s="88"/>
      <c r="I336" s="24"/>
      <c r="J336" s="24"/>
      <c r="K336" s="114" t="str">
        <f t="shared" si="60"/>
        <v/>
      </c>
      <c r="L336" s="24"/>
      <c r="M336" s="24"/>
      <c r="N336" s="24"/>
      <c r="O336" s="24"/>
      <c r="P336" s="97" t="str">
        <f t="shared" si="61"/>
        <v/>
      </c>
      <c r="Q336" s="113" t="str">
        <f t="shared" si="62"/>
        <v/>
      </c>
      <c r="R336" s="88"/>
      <c r="S336" s="24"/>
      <c r="T336" s="24"/>
      <c r="U336" s="78" t="str">
        <f t="shared" si="63"/>
        <v/>
      </c>
      <c r="V336" s="24"/>
      <c r="W336" s="24"/>
      <c r="X336" s="24"/>
      <c r="Y336" s="24"/>
      <c r="Z336" s="98" t="str">
        <f t="shared" si="64"/>
        <v/>
      </c>
      <c r="AA336" s="40" t="str">
        <f t="shared" si="70"/>
        <v/>
      </c>
      <c r="AB336" s="88"/>
      <c r="AC336" s="24"/>
      <c r="AD336" s="24"/>
      <c r="AE336" s="79" t="str">
        <f t="shared" si="65"/>
        <v/>
      </c>
      <c r="AF336" s="24"/>
      <c r="AG336" s="24"/>
      <c r="AH336" s="24"/>
      <c r="AI336" s="24"/>
      <c r="AJ336" s="99" t="str">
        <f t="shared" si="66"/>
        <v/>
      </c>
      <c r="AK336" s="31" t="str">
        <f t="shared" si="71"/>
        <v/>
      </c>
      <c r="AN336" s="139" t="str">
        <f>IF($K336="","",VLOOKUP($K336,'ORF Accuracy Value LookUp'!$G$4:$H$104,2,TRUE))</f>
        <v/>
      </c>
      <c r="AO336" s="94" t="str">
        <f t="shared" si="67"/>
        <v/>
      </c>
      <c r="AP336" s="47" t="str">
        <f>IF($U336="","",VLOOKUP($U336,'ORF Accuracy Value LookUp'!$G$4:$H$104,2,TRUE))</f>
        <v/>
      </c>
      <c r="AQ336" s="94" t="str">
        <f t="shared" si="68"/>
        <v/>
      </c>
      <c r="AR336" s="46" t="str">
        <f>IF($AE336="","",VLOOKUP($AE336,'ORF Accuracy Value LookUp'!$G$4:$H$104,2,TRUE))</f>
        <v/>
      </c>
      <c r="AS336" s="140" t="str">
        <f t="shared" si="69"/>
        <v/>
      </c>
    </row>
    <row r="337" spans="1:45">
      <c r="A337" s="10"/>
      <c r="B337" s="9"/>
      <c r="C337" s="9"/>
      <c r="D337" s="9"/>
      <c r="E337" s="10"/>
      <c r="F337" s="11"/>
      <c r="G337" s="15"/>
      <c r="H337" s="88"/>
      <c r="I337" s="24"/>
      <c r="J337" s="24"/>
      <c r="K337" s="114" t="str">
        <f t="shared" si="60"/>
        <v/>
      </c>
      <c r="L337" s="24"/>
      <c r="M337" s="24"/>
      <c r="N337" s="24"/>
      <c r="O337" s="24"/>
      <c r="P337" s="97" t="str">
        <f t="shared" si="61"/>
        <v/>
      </c>
      <c r="Q337" s="113" t="str">
        <f t="shared" si="62"/>
        <v/>
      </c>
      <c r="R337" s="88"/>
      <c r="S337" s="24"/>
      <c r="T337" s="24"/>
      <c r="U337" s="78" t="str">
        <f t="shared" si="63"/>
        <v/>
      </c>
      <c r="V337" s="24"/>
      <c r="W337" s="24"/>
      <c r="X337" s="24"/>
      <c r="Y337" s="24"/>
      <c r="Z337" s="98" t="str">
        <f t="shared" si="64"/>
        <v/>
      </c>
      <c r="AA337" s="40" t="str">
        <f t="shared" si="70"/>
        <v/>
      </c>
      <c r="AB337" s="88"/>
      <c r="AC337" s="24"/>
      <c r="AD337" s="24"/>
      <c r="AE337" s="79" t="str">
        <f t="shared" si="65"/>
        <v/>
      </c>
      <c r="AF337" s="24"/>
      <c r="AG337" s="24"/>
      <c r="AH337" s="24"/>
      <c r="AI337" s="24"/>
      <c r="AJ337" s="99" t="str">
        <f t="shared" si="66"/>
        <v/>
      </c>
      <c r="AK337" s="31" t="str">
        <f t="shared" si="71"/>
        <v/>
      </c>
      <c r="AN337" s="139" t="str">
        <f>IF($K337="","",VLOOKUP($K337,'ORF Accuracy Value LookUp'!$G$4:$H$104,2,TRUE))</f>
        <v/>
      </c>
      <c r="AO337" s="94" t="str">
        <f t="shared" si="67"/>
        <v/>
      </c>
      <c r="AP337" s="47" t="str">
        <f>IF($U337="","",VLOOKUP($U337,'ORF Accuracy Value LookUp'!$G$4:$H$104,2,TRUE))</f>
        <v/>
      </c>
      <c r="AQ337" s="94" t="str">
        <f t="shared" si="68"/>
        <v/>
      </c>
      <c r="AR337" s="46" t="str">
        <f>IF($AE337="","",VLOOKUP($AE337,'ORF Accuracy Value LookUp'!$G$4:$H$104,2,TRUE))</f>
        <v/>
      </c>
      <c r="AS337" s="140" t="str">
        <f t="shared" si="69"/>
        <v/>
      </c>
    </row>
    <row r="338" spans="1:45">
      <c r="A338" s="10"/>
      <c r="B338" s="9"/>
      <c r="C338" s="9"/>
      <c r="D338" s="9"/>
      <c r="E338" s="10"/>
      <c r="F338" s="11"/>
      <c r="G338" s="15"/>
      <c r="H338" s="88"/>
      <c r="I338" s="24"/>
      <c r="J338" s="24"/>
      <c r="K338" s="114" t="str">
        <f t="shared" si="60"/>
        <v/>
      </c>
      <c r="L338" s="24"/>
      <c r="M338" s="24"/>
      <c r="N338" s="24"/>
      <c r="O338" s="24"/>
      <c r="P338" s="97" t="str">
        <f t="shared" si="61"/>
        <v/>
      </c>
      <c r="Q338" s="113" t="str">
        <f t="shared" si="62"/>
        <v/>
      </c>
      <c r="R338" s="88"/>
      <c r="S338" s="24"/>
      <c r="T338" s="24"/>
      <c r="U338" s="78" t="str">
        <f t="shared" si="63"/>
        <v/>
      </c>
      <c r="V338" s="24"/>
      <c r="W338" s="24"/>
      <c r="X338" s="24"/>
      <c r="Y338" s="24"/>
      <c r="Z338" s="98" t="str">
        <f t="shared" si="64"/>
        <v/>
      </c>
      <c r="AA338" s="40" t="str">
        <f t="shared" si="70"/>
        <v/>
      </c>
      <c r="AB338" s="88"/>
      <c r="AC338" s="24"/>
      <c r="AD338" s="24"/>
      <c r="AE338" s="79" t="str">
        <f t="shared" si="65"/>
        <v/>
      </c>
      <c r="AF338" s="24"/>
      <c r="AG338" s="24"/>
      <c r="AH338" s="24"/>
      <c r="AI338" s="24"/>
      <c r="AJ338" s="99" t="str">
        <f t="shared" si="66"/>
        <v/>
      </c>
      <c r="AK338" s="31" t="str">
        <f t="shared" si="71"/>
        <v/>
      </c>
      <c r="AN338" s="139" t="str">
        <f>IF($K338="","",VLOOKUP($K338,'ORF Accuracy Value LookUp'!$G$4:$H$104,2,TRUE))</f>
        <v/>
      </c>
      <c r="AO338" s="94" t="str">
        <f t="shared" si="67"/>
        <v/>
      </c>
      <c r="AP338" s="47" t="str">
        <f>IF($U338="","",VLOOKUP($U338,'ORF Accuracy Value LookUp'!$G$4:$H$104,2,TRUE))</f>
        <v/>
      </c>
      <c r="AQ338" s="94" t="str">
        <f t="shared" si="68"/>
        <v/>
      </c>
      <c r="AR338" s="46" t="str">
        <f>IF($AE338="","",VLOOKUP($AE338,'ORF Accuracy Value LookUp'!$G$4:$H$104,2,TRUE))</f>
        <v/>
      </c>
      <c r="AS338" s="140" t="str">
        <f t="shared" si="69"/>
        <v/>
      </c>
    </row>
    <row r="339" spans="1:45">
      <c r="A339" s="10"/>
      <c r="B339" s="9"/>
      <c r="C339" s="9"/>
      <c r="D339" s="9"/>
      <c r="E339" s="10"/>
      <c r="F339" s="11"/>
      <c r="G339" s="15"/>
      <c r="H339" s="88"/>
      <c r="I339" s="24"/>
      <c r="J339" s="24"/>
      <c r="K339" s="114" t="str">
        <f t="shared" si="60"/>
        <v/>
      </c>
      <c r="L339" s="24"/>
      <c r="M339" s="24"/>
      <c r="N339" s="24"/>
      <c r="O339" s="24"/>
      <c r="P339" s="97" t="str">
        <f t="shared" si="61"/>
        <v/>
      </c>
      <c r="Q339" s="113" t="str">
        <f t="shared" si="62"/>
        <v/>
      </c>
      <c r="R339" s="88"/>
      <c r="S339" s="24"/>
      <c r="T339" s="24"/>
      <c r="U339" s="78" t="str">
        <f t="shared" si="63"/>
        <v/>
      </c>
      <c r="V339" s="24"/>
      <c r="W339" s="24"/>
      <c r="X339" s="24"/>
      <c r="Y339" s="24"/>
      <c r="Z339" s="98" t="str">
        <f t="shared" si="64"/>
        <v/>
      </c>
      <c r="AA339" s="40" t="str">
        <f t="shared" si="70"/>
        <v/>
      </c>
      <c r="AB339" s="88"/>
      <c r="AC339" s="24"/>
      <c r="AD339" s="24"/>
      <c r="AE339" s="79" t="str">
        <f t="shared" si="65"/>
        <v/>
      </c>
      <c r="AF339" s="24"/>
      <c r="AG339" s="24"/>
      <c r="AH339" s="24"/>
      <c r="AI339" s="24"/>
      <c r="AJ339" s="99" t="str">
        <f t="shared" si="66"/>
        <v/>
      </c>
      <c r="AK339" s="31" t="str">
        <f t="shared" si="71"/>
        <v/>
      </c>
      <c r="AN339" s="139" t="str">
        <f>IF($K339="","",VLOOKUP($K339,'ORF Accuracy Value LookUp'!$G$4:$H$104,2,TRUE))</f>
        <v/>
      </c>
      <c r="AO339" s="94" t="str">
        <f t="shared" si="67"/>
        <v/>
      </c>
      <c r="AP339" s="47" t="str">
        <f>IF($U339="","",VLOOKUP($U339,'ORF Accuracy Value LookUp'!$G$4:$H$104,2,TRUE))</f>
        <v/>
      </c>
      <c r="AQ339" s="94" t="str">
        <f t="shared" si="68"/>
        <v/>
      </c>
      <c r="AR339" s="46" t="str">
        <f>IF($AE339="","",VLOOKUP($AE339,'ORF Accuracy Value LookUp'!$G$4:$H$104,2,TRUE))</f>
        <v/>
      </c>
      <c r="AS339" s="140" t="str">
        <f t="shared" si="69"/>
        <v/>
      </c>
    </row>
    <row r="340" spans="1:45">
      <c r="A340" s="10"/>
      <c r="B340" s="9"/>
      <c r="C340" s="9"/>
      <c r="D340" s="9"/>
      <c r="E340" s="10"/>
      <c r="F340" s="11"/>
      <c r="G340" s="15"/>
      <c r="H340" s="88"/>
      <c r="I340" s="24"/>
      <c r="J340" s="24"/>
      <c r="K340" s="114" t="str">
        <f t="shared" si="60"/>
        <v/>
      </c>
      <c r="L340" s="24"/>
      <c r="M340" s="24"/>
      <c r="N340" s="24"/>
      <c r="O340" s="24"/>
      <c r="P340" s="97" t="str">
        <f t="shared" si="61"/>
        <v/>
      </c>
      <c r="Q340" s="113" t="str">
        <f t="shared" si="62"/>
        <v/>
      </c>
      <c r="R340" s="88"/>
      <c r="S340" s="24"/>
      <c r="T340" s="24"/>
      <c r="U340" s="78" t="str">
        <f t="shared" si="63"/>
        <v/>
      </c>
      <c r="V340" s="24"/>
      <c r="W340" s="24"/>
      <c r="X340" s="24"/>
      <c r="Y340" s="24"/>
      <c r="Z340" s="98" t="str">
        <f t="shared" si="64"/>
        <v/>
      </c>
      <c r="AA340" s="40" t="str">
        <f t="shared" si="70"/>
        <v/>
      </c>
      <c r="AB340" s="88"/>
      <c r="AC340" s="24"/>
      <c r="AD340" s="24"/>
      <c r="AE340" s="79" t="str">
        <f t="shared" si="65"/>
        <v/>
      </c>
      <c r="AF340" s="24"/>
      <c r="AG340" s="24"/>
      <c r="AH340" s="24"/>
      <c r="AI340" s="24"/>
      <c r="AJ340" s="99" t="str">
        <f t="shared" si="66"/>
        <v/>
      </c>
      <c r="AK340" s="31" t="str">
        <f t="shared" si="71"/>
        <v/>
      </c>
      <c r="AN340" s="139" t="str">
        <f>IF($K340="","",VLOOKUP($K340,'ORF Accuracy Value LookUp'!$G$4:$H$104,2,TRUE))</f>
        <v/>
      </c>
      <c r="AO340" s="94" t="str">
        <f t="shared" si="67"/>
        <v/>
      </c>
      <c r="AP340" s="47" t="str">
        <f>IF($U340="","",VLOOKUP($U340,'ORF Accuracy Value LookUp'!$G$4:$H$104,2,TRUE))</f>
        <v/>
      </c>
      <c r="AQ340" s="94" t="str">
        <f t="shared" si="68"/>
        <v/>
      </c>
      <c r="AR340" s="46" t="str">
        <f>IF($AE340="","",VLOOKUP($AE340,'ORF Accuracy Value LookUp'!$G$4:$H$104,2,TRUE))</f>
        <v/>
      </c>
      <c r="AS340" s="140" t="str">
        <f t="shared" si="69"/>
        <v/>
      </c>
    </row>
    <row r="341" spans="1:45">
      <c r="A341" s="10"/>
      <c r="B341" s="9"/>
      <c r="C341" s="9"/>
      <c r="D341" s="9"/>
      <c r="E341" s="10"/>
      <c r="F341" s="11"/>
      <c r="G341" s="15"/>
      <c r="H341" s="88"/>
      <c r="I341" s="24"/>
      <c r="J341" s="24"/>
      <c r="K341" s="114" t="str">
        <f t="shared" si="60"/>
        <v/>
      </c>
      <c r="L341" s="24"/>
      <c r="M341" s="24"/>
      <c r="N341" s="24"/>
      <c r="O341" s="24"/>
      <c r="P341" s="97" t="str">
        <f t="shared" si="61"/>
        <v/>
      </c>
      <c r="Q341" s="113" t="str">
        <f t="shared" si="62"/>
        <v/>
      </c>
      <c r="R341" s="88"/>
      <c r="S341" s="24"/>
      <c r="T341" s="24"/>
      <c r="U341" s="78" t="str">
        <f t="shared" si="63"/>
        <v/>
      </c>
      <c r="V341" s="24"/>
      <c r="W341" s="24"/>
      <c r="X341" s="24"/>
      <c r="Y341" s="24"/>
      <c r="Z341" s="98" t="str">
        <f t="shared" si="64"/>
        <v/>
      </c>
      <c r="AA341" s="40" t="str">
        <f t="shared" si="70"/>
        <v/>
      </c>
      <c r="AB341" s="88"/>
      <c r="AC341" s="24"/>
      <c r="AD341" s="24"/>
      <c r="AE341" s="79" t="str">
        <f t="shared" si="65"/>
        <v/>
      </c>
      <c r="AF341" s="24"/>
      <c r="AG341" s="24"/>
      <c r="AH341" s="24"/>
      <c r="AI341" s="24"/>
      <c r="AJ341" s="99" t="str">
        <f t="shared" si="66"/>
        <v/>
      </c>
      <c r="AK341" s="31" t="str">
        <f t="shared" si="71"/>
        <v/>
      </c>
      <c r="AN341" s="139" t="str">
        <f>IF($K341="","",VLOOKUP($K341,'ORF Accuracy Value LookUp'!$G$4:$H$104,2,TRUE))</f>
        <v/>
      </c>
      <c r="AO341" s="94" t="str">
        <f t="shared" si="67"/>
        <v/>
      </c>
      <c r="AP341" s="47" t="str">
        <f>IF($U341="","",VLOOKUP($U341,'ORF Accuracy Value LookUp'!$G$4:$H$104,2,TRUE))</f>
        <v/>
      </c>
      <c r="AQ341" s="94" t="str">
        <f t="shared" si="68"/>
        <v/>
      </c>
      <c r="AR341" s="46" t="str">
        <f>IF($AE341="","",VLOOKUP($AE341,'ORF Accuracy Value LookUp'!$G$4:$H$104,2,TRUE))</f>
        <v/>
      </c>
      <c r="AS341" s="140" t="str">
        <f t="shared" si="69"/>
        <v/>
      </c>
    </row>
    <row r="342" spans="1:45">
      <c r="A342" s="10"/>
      <c r="B342" s="9"/>
      <c r="C342" s="9"/>
      <c r="D342" s="9"/>
      <c r="E342" s="10"/>
      <c r="F342" s="11"/>
      <c r="G342" s="15"/>
      <c r="H342" s="88"/>
      <c r="I342" s="24"/>
      <c r="J342" s="24"/>
      <c r="K342" s="114" t="str">
        <f t="shared" si="60"/>
        <v/>
      </c>
      <c r="L342" s="24"/>
      <c r="M342" s="24"/>
      <c r="N342" s="24"/>
      <c r="O342" s="24"/>
      <c r="P342" s="97" t="str">
        <f t="shared" si="61"/>
        <v/>
      </c>
      <c r="Q342" s="113" t="str">
        <f t="shared" si="62"/>
        <v/>
      </c>
      <c r="R342" s="88"/>
      <c r="S342" s="24"/>
      <c r="T342" s="24"/>
      <c r="U342" s="78" t="str">
        <f t="shared" si="63"/>
        <v/>
      </c>
      <c r="V342" s="24"/>
      <c r="W342" s="24"/>
      <c r="X342" s="24"/>
      <c r="Y342" s="24"/>
      <c r="Z342" s="98" t="str">
        <f t="shared" si="64"/>
        <v/>
      </c>
      <c r="AA342" s="40" t="str">
        <f t="shared" si="70"/>
        <v/>
      </c>
      <c r="AB342" s="88"/>
      <c r="AC342" s="24"/>
      <c r="AD342" s="24"/>
      <c r="AE342" s="79" t="str">
        <f t="shared" si="65"/>
        <v/>
      </c>
      <c r="AF342" s="24"/>
      <c r="AG342" s="24"/>
      <c r="AH342" s="24"/>
      <c r="AI342" s="24"/>
      <c r="AJ342" s="99" t="str">
        <f t="shared" si="66"/>
        <v/>
      </c>
      <c r="AK342" s="31" t="str">
        <f t="shared" si="71"/>
        <v/>
      </c>
      <c r="AN342" s="139" t="str">
        <f>IF($K342="","",VLOOKUP($K342,'ORF Accuracy Value LookUp'!$G$4:$H$104,2,TRUE))</f>
        <v/>
      </c>
      <c r="AO342" s="94" t="str">
        <f t="shared" si="67"/>
        <v/>
      </c>
      <c r="AP342" s="47" t="str">
        <f>IF($U342="","",VLOOKUP($U342,'ORF Accuracy Value LookUp'!$G$4:$H$104,2,TRUE))</f>
        <v/>
      </c>
      <c r="AQ342" s="94" t="str">
        <f t="shared" si="68"/>
        <v/>
      </c>
      <c r="AR342" s="46" t="str">
        <f>IF($AE342="","",VLOOKUP($AE342,'ORF Accuracy Value LookUp'!$G$4:$H$104,2,TRUE))</f>
        <v/>
      </c>
      <c r="AS342" s="140" t="str">
        <f t="shared" si="69"/>
        <v/>
      </c>
    </row>
    <row r="343" spans="1:45">
      <c r="A343" s="10"/>
      <c r="B343" s="9"/>
      <c r="C343" s="9"/>
      <c r="D343" s="9"/>
      <c r="E343" s="10"/>
      <c r="F343" s="11"/>
      <c r="G343" s="15"/>
      <c r="H343" s="88"/>
      <c r="I343" s="24"/>
      <c r="J343" s="24"/>
      <c r="K343" s="114" t="str">
        <f t="shared" si="60"/>
        <v/>
      </c>
      <c r="L343" s="24"/>
      <c r="M343" s="24"/>
      <c r="N343" s="24"/>
      <c r="O343" s="24"/>
      <c r="P343" s="97" t="str">
        <f t="shared" si="61"/>
        <v/>
      </c>
      <c r="Q343" s="113" t="str">
        <f t="shared" si="62"/>
        <v/>
      </c>
      <c r="R343" s="88"/>
      <c r="S343" s="24"/>
      <c r="T343" s="24"/>
      <c r="U343" s="78" t="str">
        <f t="shared" si="63"/>
        <v/>
      </c>
      <c r="V343" s="24"/>
      <c r="W343" s="24"/>
      <c r="X343" s="24"/>
      <c r="Y343" s="24"/>
      <c r="Z343" s="98" t="str">
        <f t="shared" si="64"/>
        <v/>
      </c>
      <c r="AA343" s="40" t="str">
        <f t="shared" si="70"/>
        <v/>
      </c>
      <c r="AB343" s="88"/>
      <c r="AC343" s="24"/>
      <c r="AD343" s="24"/>
      <c r="AE343" s="79" t="str">
        <f t="shared" si="65"/>
        <v/>
      </c>
      <c r="AF343" s="24"/>
      <c r="AG343" s="24"/>
      <c r="AH343" s="24"/>
      <c r="AI343" s="24"/>
      <c r="AJ343" s="99" t="str">
        <f t="shared" si="66"/>
        <v/>
      </c>
      <c r="AK343" s="31" t="str">
        <f t="shared" si="71"/>
        <v/>
      </c>
      <c r="AN343" s="139" t="str">
        <f>IF($K343="","",VLOOKUP($K343,'ORF Accuracy Value LookUp'!$G$4:$H$104,2,TRUE))</f>
        <v/>
      </c>
      <c r="AO343" s="94" t="str">
        <f t="shared" si="67"/>
        <v/>
      </c>
      <c r="AP343" s="47" t="str">
        <f>IF($U343="","",VLOOKUP($U343,'ORF Accuracy Value LookUp'!$G$4:$H$104,2,TRUE))</f>
        <v/>
      </c>
      <c r="AQ343" s="94" t="str">
        <f t="shared" si="68"/>
        <v/>
      </c>
      <c r="AR343" s="46" t="str">
        <f>IF($AE343="","",VLOOKUP($AE343,'ORF Accuracy Value LookUp'!$G$4:$H$104,2,TRUE))</f>
        <v/>
      </c>
      <c r="AS343" s="140" t="str">
        <f t="shared" si="69"/>
        <v/>
      </c>
    </row>
    <row r="344" spans="1:45">
      <c r="A344" s="10"/>
      <c r="B344" s="9"/>
      <c r="C344" s="9"/>
      <c r="D344" s="9"/>
      <c r="E344" s="10"/>
      <c r="F344" s="11"/>
      <c r="G344" s="15"/>
      <c r="H344" s="88"/>
      <c r="I344" s="24"/>
      <c r="J344" s="24"/>
      <c r="K344" s="114" t="str">
        <f t="shared" si="60"/>
        <v/>
      </c>
      <c r="L344" s="24"/>
      <c r="M344" s="24"/>
      <c r="N344" s="24"/>
      <c r="O344" s="24"/>
      <c r="P344" s="97" t="str">
        <f t="shared" si="61"/>
        <v/>
      </c>
      <c r="Q344" s="113" t="str">
        <f t="shared" si="62"/>
        <v/>
      </c>
      <c r="R344" s="88"/>
      <c r="S344" s="24"/>
      <c r="T344" s="24"/>
      <c r="U344" s="78" t="str">
        <f t="shared" si="63"/>
        <v/>
      </c>
      <c r="V344" s="24"/>
      <c r="W344" s="24"/>
      <c r="X344" s="24"/>
      <c r="Y344" s="24"/>
      <c r="Z344" s="98" t="str">
        <f t="shared" si="64"/>
        <v/>
      </c>
      <c r="AA344" s="40" t="str">
        <f t="shared" si="70"/>
        <v/>
      </c>
      <c r="AB344" s="88"/>
      <c r="AC344" s="24"/>
      <c r="AD344" s="24"/>
      <c r="AE344" s="79" t="str">
        <f t="shared" si="65"/>
        <v/>
      </c>
      <c r="AF344" s="24"/>
      <c r="AG344" s="24"/>
      <c r="AH344" s="24"/>
      <c r="AI344" s="24"/>
      <c r="AJ344" s="99" t="str">
        <f t="shared" si="66"/>
        <v/>
      </c>
      <c r="AK344" s="31" t="str">
        <f t="shared" si="71"/>
        <v/>
      </c>
      <c r="AN344" s="139" t="str">
        <f>IF($K344="","",VLOOKUP($K344,'ORF Accuracy Value LookUp'!$G$4:$H$104,2,TRUE))</f>
        <v/>
      </c>
      <c r="AO344" s="94" t="str">
        <f t="shared" si="67"/>
        <v/>
      </c>
      <c r="AP344" s="47" t="str">
        <f>IF($U344="","",VLOOKUP($U344,'ORF Accuracy Value LookUp'!$G$4:$H$104,2,TRUE))</f>
        <v/>
      </c>
      <c r="AQ344" s="94" t="str">
        <f t="shared" si="68"/>
        <v/>
      </c>
      <c r="AR344" s="46" t="str">
        <f>IF($AE344="","",VLOOKUP($AE344,'ORF Accuracy Value LookUp'!$G$4:$H$104,2,TRUE))</f>
        <v/>
      </c>
      <c r="AS344" s="140" t="str">
        <f t="shared" si="69"/>
        <v/>
      </c>
    </row>
    <row r="345" spans="1:45">
      <c r="A345" s="10"/>
      <c r="B345" s="9"/>
      <c r="C345" s="9"/>
      <c r="D345" s="9"/>
      <c r="E345" s="10"/>
      <c r="F345" s="11"/>
      <c r="G345" s="15"/>
      <c r="H345" s="88"/>
      <c r="I345" s="24"/>
      <c r="J345" s="24"/>
      <c r="K345" s="114" t="str">
        <f t="shared" si="60"/>
        <v/>
      </c>
      <c r="L345" s="24"/>
      <c r="M345" s="24"/>
      <c r="N345" s="24"/>
      <c r="O345" s="24"/>
      <c r="P345" s="97" t="str">
        <f t="shared" si="61"/>
        <v/>
      </c>
      <c r="Q345" s="113" t="str">
        <f t="shared" si="62"/>
        <v/>
      </c>
      <c r="R345" s="88"/>
      <c r="S345" s="24"/>
      <c r="T345" s="24"/>
      <c r="U345" s="78" t="str">
        <f t="shared" si="63"/>
        <v/>
      </c>
      <c r="V345" s="24"/>
      <c r="W345" s="24"/>
      <c r="X345" s="24"/>
      <c r="Y345" s="24"/>
      <c r="Z345" s="98" t="str">
        <f t="shared" si="64"/>
        <v/>
      </c>
      <c r="AA345" s="40" t="str">
        <f t="shared" si="70"/>
        <v/>
      </c>
      <c r="AB345" s="88"/>
      <c r="AC345" s="24"/>
      <c r="AD345" s="24"/>
      <c r="AE345" s="79" t="str">
        <f t="shared" si="65"/>
        <v/>
      </c>
      <c r="AF345" s="24"/>
      <c r="AG345" s="24"/>
      <c r="AH345" s="24"/>
      <c r="AI345" s="24"/>
      <c r="AJ345" s="99" t="str">
        <f t="shared" si="66"/>
        <v/>
      </c>
      <c r="AK345" s="31" t="str">
        <f t="shared" si="71"/>
        <v/>
      </c>
      <c r="AN345" s="139" t="str">
        <f>IF($K345="","",VLOOKUP($K345,'ORF Accuracy Value LookUp'!$G$4:$H$104,2,TRUE))</f>
        <v/>
      </c>
      <c r="AO345" s="94" t="str">
        <f t="shared" si="67"/>
        <v/>
      </c>
      <c r="AP345" s="47" t="str">
        <f>IF($U345="","",VLOOKUP($U345,'ORF Accuracy Value LookUp'!$G$4:$H$104,2,TRUE))</f>
        <v/>
      </c>
      <c r="AQ345" s="94" t="str">
        <f t="shared" si="68"/>
        <v/>
      </c>
      <c r="AR345" s="46" t="str">
        <f>IF($AE345="","",VLOOKUP($AE345,'ORF Accuracy Value LookUp'!$G$4:$H$104,2,TRUE))</f>
        <v/>
      </c>
      <c r="AS345" s="140" t="str">
        <f t="shared" si="69"/>
        <v/>
      </c>
    </row>
    <row r="346" spans="1:45">
      <c r="A346" s="10"/>
      <c r="B346" s="9"/>
      <c r="C346" s="9"/>
      <c r="D346" s="9"/>
      <c r="E346" s="10"/>
      <c r="F346" s="11"/>
      <c r="G346" s="15"/>
      <c r="H346" s="88"/>
      <c r="I346" s="24"/>
      <c r="J346" s="24"/>
      <c r="K346" s="114" t="str">
        <f t="shared" si="60"/>
        <v/>
      </c>
      <c r="L346" s="24"/>
      <c r="M346" s="24"/>
      <c r="N346" s="24"/>
      <c r="O346" s="24"/>
      <c r="P346" s="97" t="str">
        <f t="shared" si="61"/>
        <v/>
      </c>
      <c r="Q346" s="113" t="str">
        <f t="shared" si="62"/>
        <v/>
      </c>
      <c r="R346" s="88"/>
      <c r="S346" s="24"/>
      <c r="T346" s="24"/>
      <c r="U346" s="78" t="str">
        <f t="shared" si="63"/>
        <v/>
      </c>
      <c r="V346" s="24"/>
      <c r="W346" s="24"/>
      <c r="X346" s="24"/>
      <c r="Y346" s="24"/>
      <c r="Z346" s="98" t="str">
        <f t="shared" si="64"/>
        <v/>
      </c>
      <c r="AA346" s="40" t="str">
        <f t="shared" si="70"/>
        <v/>
      </c>
      <c r="AB346" s="88"/>
      <c r="AC346" s="24"/>
      <c r="AD346" s="24"/>
      <c r="AE346" s="79" t="str">
        <f t="shared" si="65"/>
        <v/>
      </c>
      <c r="AF346" s="24"/>
      <c r="AG346" s="24"/>
      <c r="AH346" s="24"/>
      <c r="AI346" s="24"/>
      <c r="AJ346" s="99" t="str">
        <f t="shared" si="66"/>
        <v/>
      </c>
      <c r="AK346" s="31" t="str">
        <f t="shared" si="71"/>
        <v/>
      </c>
      <c r="AN346" s="139" t="str">
        <f>IF($K346="","",VLOOKUP($K346,'ORF Accuracy Value LookUp'!$G$4:$H$104,2,TRUE))</f>
        <v/>
      </c>
      <c r="AO346" s="94" t="str">
        <f t="shared" si="67"/>
        <v/>
      </c>
      <c r="AP346" s="47" t="str">
        <f>IF($U346="","",VLOOKUP($U346,'ORF Accuracy Value LookUp'!$G$4:$H$104,2,TRUE))</f>
        <v/>
      </c>
      <c r="AQ346" s="94" t="str">
        <f t="shared" si="68"/>
        <v/>
      </c>
      <c r="AR346" s="46" t="str">
        <f>IF($AE346="","",VLOOKUP($AE346,'ORF Accuracy Value LookUp'!$G$4:$H$104,2,TRUE))</f>
        <v/>
      </c>
      <c r="AS346" s="140" t="str">
        <f t="shared" si="69"/>
        <v/>
      </c>
    </row>
    <row r="347" spans="1:45">
      <c r="A347" s="10"/>
      <c r="B347" s="9"/>
      <c r="C347" s="9"/>
      <c r="D347" s="9"/>
      <c r="E347" s="10"/>
      <c r="F347" s="11"/>
      <c r="G347" s="15"/>
      <c r="H347" s="88"/>
      <c r="I347" s="24"/>
      <c r="J347" s="24"/>
      <c r="K347" s="114" t="str">
        <f t="shared" si="60"/>
        <v/>
      </c>
      <c r="L347" s="24"/>
      <c r="M347" s="24"/>
      <c r="N347" s="24"/>
      <c r="O347" s="24"/>
      <c r="P347" s="97" t="str">
        <f t="shared" si="61"/>
        <v/>
      </c>
      <c r="Q347" s="113" t="str">
        <f t="shared" si="62"/>
        <v/>
      </c>
      <c r="R347" s="88"/>
      <c r="S347" s="24"/>
      <c r="T347" s="24"/>
      <c r="U347" s="78" t="str">
        <f t="shared" si="63"/>
        <v/>
      </c>
      <c r="V347" s="24"/>
      <c r="W347" s="24"/>
      <c r="X347" s="24"/>
      <c r="Y347" s="24"/>
      <c r="Z347" s="98" t="str">
        <f t="shared" si="64"/>
        <v/>
      </c>
      <c r="AA347" s="40" t="str">
        <f t="shared" si="70"/>
        <v/>
      </c>
      <c r="AB347" s="88"/>
      <c r="AC347" s="24"/>
      <c r="AD347" s="24"/>
      <c r="AE347" s="79" t="str">
        <f t="shared" si="65"/>
        <v/>
      </c>
      <c r="AF347" s="24"/>
      <c r="AG347" s="24"/>
      <c r="AH347" s="24"/>
      <c r="AI347" s="24"/>
      <c r="AJ347" s="99" t="str">
        <f t="shared" si="66"/>
        <v/>
      </c>
      <c r="AK347" s="31" t="str">
        <f t="shared" si="71"/>
        <v/>
      </c>
      <c r="AN347" s="139" t="str">
        <f>IF($K347="","",VLOOKUP($K347,'ORF Accuracy Value LookUp'!$G$4:$H$104,2,TRUE))</f>
        <v/>
      </c>
      <c r="AO347" s="94" t="str">
        <f t="shared" si="67"/>
        <v/>
      </c>
      <c r="AP347" s="47" t="str">
        <f>IF($U347="","",VLOOKUP($U347,'ORF Accuracy Value LookUp'!$G$4:$H$104,2,TRUE))</f>
        <v/>
      </c>
      <c r="AQ347" s="94" t="str">
        <f t="shared" si="68"/>
        <v/>
      </c>
      <c r="AR347" s="46" t="str">
        <f>IF($AE347="","",VLOOKUP($AE347,'ORF Accuracy Value LookUp'!$G$4:$H$104,2,TRUE))</f>
        <v/>
      </c>
      <c r="AS347" s="140" t="str">
        <f t="shared" si="69"/>
        <v/>
      </c>
    </row>
    <row r="348" spans="1:45">
      <c r="A348" s="10"/>
      <c r="B348" s="9"/>
      <c r="C348" s="9"/>
      <c r="D348" s="9"/>
      <c r="E348" s="10"/>
      <c r="F348" s="11"/>
      <c r="G348" s="15"/>
      <c r="H348" s="88"/>
      <c r="I348" s="24"/>
      <c r="J348" s="24"/>
      <c r="K348" s="114" t="str">
        <f t="shared" si="60"/>
        <v/>
      </c>
      <c r="L348" s="24"/>
      <c r="M348" s="24"/>
      <c r="N348" s="24"/>
      <c r="O348" s="24"/>
      <c r="P348" s="97" t="str">
        <f t="shared" si="61"/>
        <v/>
      </c>
      <c r="Q348" s="113" t="str">
        <f t="shared" si="62"/>
        <v/>
      </c>
      <c r="R348" s="88"/>
      <c r="S348" s="24"/>
      <c r="T348" s="24"/>
      <c r="U348" s="78" t="str">
        <f t="shared" si="63"/>
        <v/>
      </c>
      <c r="V348" s="24"/>
      <c r="W348" s="24"/>
      <c r="X348" s="24"/>
      <c r="Y348" s="24"/>
      <c r="Z348" s="98" t="str">
        <f t="shared" si="64"/>
        <v/>
      </c>
      <c r="AA348" s="40" t="str">
        <f t="shared" si="70"/>
        <v/>
      </c>
      <c r="AB348" s="88"/>
      <c r="AC348" s="24"/>
      <c r="AD348" s="24"/>
      <c r="AE348" s="79" t="str">
        <f t="shared" si="65"/>
        <v/>
      </c>
      <c r="AF348" s="24"/>
      <c r="AG348" s="24"/>
      <c r="AH348" s="24"/>
      <c r="AI348" s="24"/>
      <c r="AJ348" s="99" t="str">
        <f t="shared" si="66"/>
        <v/>
      </c>
      <c r="AK348" s="31" t="str">
        <f t="shared" si="71"/>
        <v/>
      </c>
      <c r="AN348" s="139" t="str">
        <f>IF($K348="","",VLOOKUP($K348,'ORF Accuracy Value LookUp'!$G$4:$H$104,2,TRUE))</f>
        <v/>
      </c>
      <c r="AO348" s="94" t="str">
        <f t="shared" si="67"/>
        <v/>
      </c>
      <c r="AP348" s="47" t="str">
        <f>IF($U348="","",VLOOKUP($U348,'ORF Accuracy Value LookUp'!$G$4:$H$104,2,TRUE))</f>
        <v/>
      </c>
      <c r="AQ348" s="94" t="str">
        <f t="shared" si="68"/>
        <v/>
      </c>
      <c r="AR348" s="46" t="str">
        <f>IF($AE348="","",VLOOKUP($AE348,'ORF Accuracy Value LookUp'!$G$4:$H$104,2,TRUE))</f>
        <v/>
      </c>
      <c r="AS348" s="140" t="str">
        <f t="shared" si="69"/>
        <v/>
      </c>
    </row>
    <row r="349" spans="1:45">
      <c r="A349" s="10"/>
      <c r="B349" s="9"/>
      <c r="C349" s="9"/>
      <c r="D349" s="9"/>
      <c r="E349" s="10"/>
      <c r="F349" s="11"/>
      <c r="G349" s="15"/>
      <c r="H349" s="88"/>
      <c r="I349" s="24"/>
      <c r="J349" s="24"/>
      <c r="K349" s="114" t="str">
        <f t="shared" si="60"/>
        <v/>
      </c>
      <c r="L349" s="24"/>
      <c r="M349" s="24"/>
      <c r="N349" s="24"/>
      <c r="O349" s="24"/>
      <c r="P349" s="97" t="str">
        <f t="shared" si="61"/>
        <v/>
      </c>
      <c r="Q349" s="113" t="str">
        <f t="shared" si="62"/>
        <v/>
      </c>
      <c r="R349" s="88"/>
      <c r="S349" s="24"/>
      <c r="T349" s="24"/>
      <c r="U349" s="78" t="str">
        <f t="shared" si="63"/>
        <v/>
      </c>
      <c r="V349" s="24"/>
      <c r="W349" s="24"/>
      <c r="X349" s="24"/>
      <c r="Y349" s="24"/>
      <c r="Z349" s="98" t="str">
        <f t="shared" si="64"/>
        <v/>
      </c>
      <c r="AA349" s="40" t="str">
        <f t="shared" si="70"/>
        <v/>
      </c>
      <c r="AB349" s="88"/>
      <c r="AC349" s="24"/>
      <c r="AD349" s="24"/>
      <c r="AE349" s="79" t="str">
        <f t="shared" si="65"/>
        <v/>
      </c>
      <c r="AF349" s="24"/>
      <c r="AG349" s="24"/>
      <c r="AH349" s="24"/>
      <c r="AI349" s="24"/>
      <c r="AJ349" s="99" t="str">
        <f t="shared" si="66"/>
        <v/>
      </c>
      <c r="AK349" s="31" t="str">
        <f t="shared" si="71"/>
        <v/>
      </c>
      <c r="AN349" s="139" t="str">
        <f>IF($K349="","",VLOOKUP($K349,'ORF Accuracy Value LookUp'!$G$4:$H$104,2,TRUE))</f>
        <v/>
      </c>
      <c r="AO349" s="94" t="str">
        <f t="shared" si="67"/>
        <v/>
      </c>
      <c r="AP349" s="47" t="str">
        <f>IF($U349="","",VLOOKUP($U349,'ORF Accuracy Value LookUp'!$G$4:$H$104,2,TRUE))</f>
        <v/>
      </c>
      <c r="AQ349" s="94" t="str">
        <f t="shared" si="68"/>
        <v/>
      </c>
      <c r="AR349" s="46" t="str">
        <f>IF($AE349="","",VLOOKUP($AE349,'ORF Accuracy Value LookUp'!$G$4:$H$104,2,TRUE))</f>
        <v/>
      </c>
      <c r="AS349" s="140" t="str">
        <f t="shared" si="69"/>
        <v/>
      </c>
    </row>
    <row r="350" spans="1:45">
      <c r="A350" s="10"/>
      <c r="B350" s="9"/>
      <c r="C350" s="9"/>
      <c r="D350" s="9"/>
      <c r="E350" s="10"/>
      <c r="F350" s="11"/>
      <c r="G350" s="15"/>
      <c r="H350" s="88"/>
      <c r="I350" s="24"/>
      <c r="J350" s="24"/>
      <c r="K350" s="114" t="str">
        <f t="shared" si="60"/>
        <v/>
      </c>
      <c r="L350" s="24"/>
      <c r="M350" s="24"/>
      <c r="N350" s="24"/>
      <c r="O350" s="24"/>
      <c r="P350" s="97" t="str">
        <f t="shared" si="61"/>
        <v/>
      </c>
      <c r="Q350" s="113" t="str">
        <f t="shared" si="62"/>
        <v/>
      </c>
      <c r="R350" s="88"/>
      <c r="S350" s="24"/>
      <c r="T350" s="24"/>
      <c r="U350" s="78" t="str">
        <f t="shared" si="63"/>
        <v/>
      </c>
      <c r="V350" s="24"/>
      <c r="W350" s="24"/>
      <c r="X350" s="24"/>
      <c r="Y350" s="24"/>
      <c r="Z350" s="98" t="str">
        <f t="shared" si="64"/>
        <v/>
      </c>
      <c r="AA350" s="40" t="str">
        <f t="shared" si="70"/>
        <v/>
      </c>
      <c r="AB350" s="88"/>
      <c r="AC350" s="24"/>
      <c r="AD350" s="24"/>
      <c r="AE350" s="79" t="str">
        <f t="shared" si="65"/>
        <v/>
      </c>
      <c r="AF350" s="24"/>
      <c r="AG350" s="24"/>
      <c r="AH350" s="24"/>
      <c r="AI350" s="24"/>
      <c r="AJ350" s="99" t="str">
        <f t="shared" si="66"/>
        <v/>
      </c>
      <c r="AK350" s="31" t="str">
        <f t="shared" si="71"/>
        <v/>
      </c>
      <c r="AN350" s="139" t="str">
        <f>IF($K350="","",VLOOKUP($K350,'ORF Accuracy Value LookUp'!$G$4:$H$104,2,TRUE))</f>
        <v/>
      </c>
      <c r="AO350" s="94" t="str">
        <f t="shared" si="67"/>
        <v/>
      </c>
      <c r="AP350" s="47" t="str">
        <f>IF($U350="","",VLOOKUP($U350,'ORF Accuracy Value LookUp'!$G$4:$H$104,2,TRUE))</f>
        <v/>
      </c>
      <c r="AQ350" s="94" t="str">
        <f t="shared" si="68"/>
        <v/>
      </c>
      <c r="AR350" s="46" t="str">
        <f>IF($AE350="","",VLOOKUP($AE350,'ORF Accuracy Value LookUp'!$G$4:$H$104,2,TRUE))</f>
        <v/>
      </c>
      <c r="AS350" s="140" t="str">
        <f t="shared" si="69"/>
        <v/>
      </c>
    </row>
    <row r="351" spans="1:45">
      <c r="A351" s="10"/>
      <c r="B351" s="9"/>
      <c r="C351" s="9"/>
      <c r="D351" s="9"/>
      <c r="E351" s="10"/>
      <c r="F351" s="11"/>
      <c r="G351" s="15"/>
      <c r="H351" s="88"/>
      <c r="I351" s="24"/>
      <c r="J351" s="24"/>
      <c r="K351" s="114" t="str">
        <f t="shared" si="60"/>
        <v/>
      </c>
      <c r="L351" s="24"/>
      <c r="M351" s="24"/>
      <c r="N351" s="24"/>
      <c r="O351" s="24"/>
      <c r="P351" s="97" t="str">
        <f t="shared" si="61"/>
        <v/>
      </c>
      <c r="Q351" s="113" t="str">
        <f t="shared" si="62"/>
        <v/>
      </c>
      <c r="R351" s="88"/>
      <c r="S351" s="24"/>
      <c r="T351" s="24"/>
      <c r="U351" s="78" t="str">
        <f t="shared" si="63"/>
        <v/>
      </c>
      <c r="V351" s="24"/>
      <c r="W351" s="24"/>
      <c r="X351" s="24"/>
      <c r="Y351" s="24"/>
      <c r="Z351" s="98" t="str">
        <f t="shared" si="64"/>
        <v/>
      </c>
      <c r="AA351" s="40" t="str">
        <f t="shared" si="70"/>
        <v/>
      </c>
      <c r="AB351" s="88"/>
      <c r="AC351" s="24"/>
      <c r="AD351" s="24"/>
      <c r="AE351" s="79" t="str">
        <f t="shared" si="65"/>
        <v/>
      </c>
      <c r="AF351" s="24"/>
      <c r="AG351" s="24"/>
      <c r="AH351" s="24"/>
      <c r="AI351" s="24"/>
      <c r="AJ351" s="99" t="str">
        <f t="shared" si="66"/>
        <v/>
      </c>
      <c r="AK351" s="31" t="str">
        <f t="shared" si="71"/>
        <v/>
      </c>
      <c r="AN351" s="139" t="str">
        <f>IF($K351="","",VLOOKUP($K351,'ORF Accuracy Value LookUp'!$G$4:$H$104,2,TRUE))</f>
        <v/>
      </c>
      <c r="AO351" s="94" t="str">
        <f t="shared" si="67"/>
        <v/>
      </c>
      <c r="AP351" s="47" t="str">
        <f>IF($U351="","",VLOOKUP($U351,'ORF Accuracy Value LookUp'!$G$4:$H$104,2,TRUE))</f>
        <v/>
      </c>
      <c r="AQ351" s="94" t="str">
        <f t="shared" si="68"/>
        <v/>
      </c>
      <c r="AR351" s="46" t="str">
        <f>IF($AE351="","",VLOOKUP($AE351,'ORF Accuracy Value LookUp'!$G$4:$H$104,2,TRUE))</f>
        <v/>
      </c>
      <c r="AS351" s="140" t="str">
        <f t="shared" si="69"/>
        <v/>
      </c>
    </row>
    <row r="352" spans="1:45">
      <c r="A352" s="10"/>
      <c r="B352" s="9"/>
      <c r="C352" s="9"/>
      <c r="D352" s="9"/>
      <c r="E352" s="10"/>
      <c r="F352" s="11"/>
      <c r="G352" s="15"/>
      <c r="H352" s="88"/>
      <c r="I352" s="24"/>
      <c r="J352" s="24"/>
      <c r="K352" s="114" t="str">
        <f t="shared" si="60"/>
        <v/>
      </c>
      <c r="L352" s="24"/>
      <c r="M352" s="24"/>
      <c r="N352" s="24"/>
      <c r="O352" s="24"/>
      <c r="P352" s="97" t="str">
        <f t="shared" si="61"/>
        <v/>
      </c>
      <c r="Q352" s="113" t="str">
        <f t="shared" si="62"/>
        <v/>
      </c>
      <c r="R352" s="88"/>
      <c r="S352" s="24"/>
      <c r="T352" s="24"/>
      <c r="U352" s="78" t="str">
        <f t="shared" si="63"/>
        <v/>
      </c>
      <c r="V352" s="24"/>
      <c r="W352" s="24"/>
      <c r="X352" s="24"/>
      <c r="Y352" s="24"/>
      <c r="Z352" s="98" t="str">
        <f t="shared" si="64"/>
        <v/>
      </c>
      <c r="AA352" s="40" t="str">
        <f t="shared" si="70"/>
        <v/>
      </c>
      <c r="AB352" s="88"/>
      <c r="AC352" s="24"/>
      <c r="AD352" s="24"/>
      <c r="AE352" s="79" t="str">
        <f t="shared" si="65"/>
        <v/>
      </c>
      <c r="AF352" s="24"/>
      <c r="AG352" s="24"/>
      <c r="AH352" s="24"/>
      <c r="AI352" s="24"/>
      <c r="AJ352" s="99" t="str">
        <f t="shared" si="66"/>
        <v/>
      </c>
      <c r="AK352" s="31" t="str">
        <f t="shared" si="71"/>
        <v/>
      </c>
      <c r="AN352" s="139" t="str">
        <f>IF($K352="","",VLOOKUP($K352,'ORF Accuracy Value LookUp'!$G$4:$H$104,2,TRUE))</f>
        <v/>
      </c>
      <c r="AO352" s="94" t="str">
        <f t="shared" si="67"/>
        <v/>
      </c>
      <c r="AP352" s="47" t="str">
        <f>IF($U352="","",VLOOKUP($U352,'ORF Accuracy Value LookUp'!$G$4:$H$104,2,TRUE))</f>
        <v/>
      </c>
      <c r="AQ352" s="94" t="str">
        <f t="shared" si="68"/>
        <v/>
      </c>
      <c r="AR352" s="46" t="str">
        <f>IF($AE352="","",VLOOKUP($AE352,'ORF Accuracy Value LookUp'!$G$4:$H$104,2,TRUE))</f>
        <v/>
      </c>
      <c r="AS352" s="140" t="str">
        <f t="shared" si="69"/>
        <v/>
      </c>
    </row>
    <row r="353" spans="1:45">
      <c r="A353" s="10"/>
      <c r="B353" s="9"/>
      <c r="C353" s="9"/>
      <c r="D353" s="9"/>
      <c r="E353" s="10"/>
      <c r="F353" s="11"/>
      <c r="G353" s="15"/>
      <c r="H353" s="88"/>
      <c r="I353" s="24"/>
      <c r="J353" s="24"/>
      <c r="K353" s="114" t="str">
        <f t="shared" si="60"/>
        <v/>
      </c>
      <c r="L353" s="24"/>
      <c r="M353" s="24"/>
      <c r="N353" s="24"/>
      <c r="O353" s="24"/>
      <c r="P353" s="97" t="str">
        <f t="shared" si="61"/>
        <v/>
      </c>
      <c r="Q353" s="113" t="str">
        <f t="shared" si="62"/>
        <v/>
      </c>
      <c r="R353" s="88"/>
      <c r="S353" s="24"/>
      <c r="T353" s="24"/>
      <c r="U353" s="78" t="str">
        <f t="shared" si="63"/>
        <v/>
      </c>
      <c r="V353" s="24"/>
      <c r="W353" s="24"/>
      <c r="X353" s="24"/>
      <c r="Y353" s="24"/>
      <c r="Z353" s="98" t="str">
        <f t="shared" si="64"/>
        <v/>
      </c>
      <c r="AA353" s="40" t="str">
        <f t="shared" si="70"/>
        <v/>
      </c>
      <c r="AB353" s="88"/>
      <c r="AC353" s="24"/>
      <c r="AD353" s="24"/>
      <c r="AE353" s="79" t="str">
        <f t="shared" si="65"/>
        <v/>
      </c>
      <c r="AF353" s="24"/>
      <c r="AG353" s="24"/>
      <c r="AH353" s="24"/>
      <c r="AI353" s="24"/>
      <c r="AJ353" s="99" t="str">
        <f t="shared" si="66"/>
        <v/>
      </c>
      <c r="AK353" s="31" t="str">
        <f t="shared" si="71"/>
        <v/>
      </c>
      <c r="AN353" s="139" t="str">
        <f>IF($K353="","",VLOOKUP($K353,'ORF Accuracy Value LookUp'!$G$4:$H$104,2,TRUE))</f>
        <v/>
      </c>
      <c r="AO353" s="94" t="str">
        <f t="shared" si="67"/>
        <v/>
      </c>
      <c r="AP353" s="47" t="str">
        <f>IF($U353="","",VLOOKUP($U353,'ORF Accuracy Value LookUp'!$G$4:$H$104,2,TRUE))</f>
        <v/>
      </c>
      <c r="AQ353" s="94" t="str">
        <f t="shared" si="68"/>
        <v/>
      </c>
      <c r="AR353" s="46" t="str">
        <f>IF($AE353="","",VLOOKUP($AE353,'ORF Accuracy Value LookUp'!$G$4:$H$104,2,TRUE))</f>
        <v/>
      </c>
      <c r="AS353" s="140" t="str">
        <f t="shared" si="69"/>
        <v/>
      </c>
    </row>
    <row r="354" spans="1:45">
      <c r="A354" s="10"/>
      <c r="B354" s="9"/>
      <c r="C354" s="9"/>
      <c r="D354" s="9"/>
      <c r="E354" s="10"/>
      <c r="F354" s="11"/>
      <c r="G354" s="15"/>
      <c r="H354" s="88"/>
      <c r="I354" s="24"/>
      <c r="J354" s="24"/>
      <c r="K354" s="114" t="str">
        <f t="shared" si="60"/>
        <v/>
      </c>
      <c r="L354" s="24"/>
      <c r="M354" s="24"/>
      <c r="N354" s="24"/>
      <c r="O354" s="24"/>
      <c r="P354" s="97" t="str">
        <f t="shared" si="61"/>
        <v/>
      </c>
      <c r="Q354" s="113" t="str">
        <f t="shared" si="62"/>
        <v/>
      </c>
      <c r="R354" s="88"/>
      <c r="S354" s="24"/>
      <c r="T354" s="24"/>
      <c r="U354" s="78" t="str">
        <f t="shared" si="63"/>
        <v/>
      </c>
      <c r="V354" s="24"/>
      <c r="W354" s="24"/>
      <c r="X354" s="24"/>
      <c r="Y354" s="24"/>
      <c r="Z354" s="98" t="str">
        <f t="shared" si="64"/>
        <v/>
      </c>
      <c r="AA354" s="40" t="str">
        <f t="shared" si="70"/>
        <v/>
      </c>
      <c r="AB354" s="88"/>
      <c r="AC354" s="24"/>
      <c r="AD354" s="24"/>
      <c r="AE354" s="79" t="str">
        <f t="shared" si="65"/>
        <v/>
      </c>
      <c r="AF354" s="24"/>
      <c r="AG354" s="24"/>
      <c r="AH354" s="24"/>
      <c r="AI354" s="24"/>
      <c r="AJ354" s="99" t="str">
        <f t="shared" si="66"/>
        <v/>
      </c>
      <c r="AK354" s="31" t="str">
        <f t="shared" si="71"/>
        <v/>
      </c>
      <c r="AN354" s="139" t="str">
        <f>IF($K354="","",VLOOKUP($K354,'ORF Accuracy Value LookUp'!$G$4:$H$104,2,TRUE))</f>
        <v/>
      </c>
      <c r="AO354" s="94" t="str">
        <f t="shared" si="67"/>
        <v/>
      </c>
      <c r="AP354" s="47" t="str">
        <f>IF($U354="","",VLOOKUP($U354,'ORF Accuracy Value LookUp'!$G$4:$H$104,2,TRUE))</f>
        <v/>
      </c>
      <c r="AQ354" s="94" t="str">
        <f t="shared" si="68"/>
        <v/>
      </c>
      <c r="AR354" s="46" t="str">
        <f>IF($AE354="","",VLOOKUP($AE354,'ORF Accuracy Value LookUp'!$G$4:$H$104,2,TRUE))</f>
        <v/>
      </c>
      <c r="AS354" s="140" t="str">
        <f t="shared" si="69"/>
        <v/>
      </c>
    </row>
    <row r="355" spans="1:45">
      <c r="A355" s="10"/>
      <c r="B355" s="9"/>
      <c r="C355" s="9"/>
      <c r="D355" s="9"/>
      <c r="E355" s="10"/>
      <c r="F355" s="11"/>
      <c r="G355" s="15"/>
      <c r="H355" s="88"/>
      <c r="I355" s="24"/>
      <c r="J355" s="24"/>
      <c r="K355" s="114" t="str">
        <f t="shared" si="60"/>
        <v/>
      </c>
      <c r="L355" s="24"/>
      <c r="M355" s="24"/>
      <c r="N355" s="24"/>
      <c r="O355" s="24"/>
      <c r="P355" s="97" t="str">
        <f t="shared" si="61"/>
        <v/>
      </c>
      <c r="Q355" s="113" t="str">
        <f t="shared" si="62"/>
        <v/>
      </c>
      <c r="R355" s="88"/>
      <c r="S355" s="24"/>
      <c r="T355" s="24"/>
      <c r="U355" s="78" t="str">
        <f t="shared" si="63"/>
        <v/>
      </c>
      <c r="V355" s="24"/>
      <c r="W355" s="24"/>
      <c r="X355" s="24"/>
      <c r="Y355" s="24"/>
      <c r="Z355" s="98" t="str">
        <f t="shared" si="64"/>
        <v/>
      </c>
      <c r="AA355" s="40" t="str">
        <f t="shared" si="70"/>
        <v/>
      </c>
      <c r="AB355" s="88"/>
      <c r="AC355" s="24"/>
      <c r="AD355" s="24"/>
      <c r="AE355" s="79" t="str">
        <f t="shared" si="65"/>
        <v/>
      </c>
      <c r="AF355" s="24"/>
      <c r="AG355" s="24"/>
      <c r="AH355" s="24"/>
      <c r="AI355" s="24"/>
      <c r="AJ355" s="99" t="str">
        <f t="shared" si="66"/>
        <v/>
      </c>
      <c r="AK355" s="31" t="str">
        <f t="shared" si="71"/>
        <v/>
      </c>
      <c r="AN355" s="139" t="str">
        <f>IF($K355="","",VLOOKUP($K355,'ORF Accuracy Value LookUp'!$G$4:$H$104,2,TRUE))</f>
        <v/>
      </c>
      <c r="AO355" s="94" t="str">
        <f t="shared" si="67"/>
        <v/>
      </c>
      <c r="AP355" s="47" t="str">
        <f>IF($U355="","",VLOOKUP($U355,'ORF Accuracy Value LookUp'!$G$4:$H$104,2,TRUE))</f>
        <v/>
      </c>
      <c r="AQ355" s="94" t="str">
        <f t="shared" si="68"/>
        <v/>
      </c>
      <c r="AR355" s="46" t="str">
        <f>IF($AE355="","",VLOOKUP($AE355,'ORF Accuracy Value LookUp'!$G$4:$H$104,2,TRUE))</f>
        <v/>
      </c>
      <c r="AS355" s="140" t="str">
        <f t="shared" si="69"/>
        <v/>
      </c>
    </row>
    <row r="356" spans="1:45">
      <c r="A356" s="10"/>
      <c r="B356" s="9"/>
      <c r="C356" s="9"/>
      <c r="D356" s="9"/>
      <c r="E356" s="10"/>
      <c r="F356" s="11"/>
      <c r="G356" s="15"/>
      <c r="H356" s="88"/>
      <c r="I356" s="24"/>
      <c r="J356" s="24"/>
      <c r="K356" s="114" t="str">
        <f t="shared" si="60"/>
        <v/>
      </c>
      <c r="L356" s="24"/>
      <c r="M356" s="24"/>
      <c r="N356" s="24"/>
      <c r="O356" s="24"/>
      <c r="P356" s="97" t="str">
        <f t="shared" si="61"/>
        <v/>
      </c>
      <c r="Q356" s="113" t="str">
        <f t="shared" si="62"/>
        <v/>
      </c>
      <c r="R356" s="88"/>
      <c r="S356" s="24"/>
      <c r="T356" s="24"/>
      <c r="U356" s="78" t="str">
        <f t="shared" si="63"/>
        <v/>
      </c>
      <c r="V356" s="24"/>
      <c r="W356" s="24"/>
      <c r="X356" s="24"/>
      <c r="Y356" s="24"/>
      <c r="Z356" s="98" t="str">
        <f t="shared" si="64"/>
        <v/>
      </c>
      <c r="AA356" s="40" t="str">
        <f t="shared" si="70"/>
        <v/>
      </c>
      <c r="AB356" s="88"/>
      <c r="AC356" s="24"/>
      <c r="AD356" s="24"/>
      <c r="AE356" s="79" t="str">
        <f t="shared" si="65"/>
        <v/>
      </c>
      <c r="AF356" s="24"/>
      <c r="AG356" s="24"/>
      <c r="AH356" s="24"/>
      <c r="AI356" s="24"/>
      <c r="AJ356" s="99" t="str">
        <f t="shared" si="66"/>
        <v/>
      </c>
      <c r="AK356" s="31" t="str">
        <f t="shared" si="71"/>
        <v/>
      </c>
      <c r="AN356" s="139" t="str">
        <f>IF($K356="","",VLOOKUP($K356,'ORF Accuracy Value LookUp'!$G$4:$H$104,2,TRUE))</f>
        <v/>
      </c>
      <c r="AO356" s="94" t="str">
        <f t="shared" si="67"/>
        <v/>
      </c>
      <c r="AP356" s="47" t="str">
        <f>IF($U356="","",VLOOKUP($U356,'ORF Accuracy Value LookUp'!$G$4:$H$104,2,TRUE))</f>
        <v/>
      </c>
      <c r="AQ356" s="94" t="str">
        <f t="shared" si="68"/>
        <v/>
      </c>
      <c r="AR356" s="46" t="str">
        <f>IF($AE356="","",VLOOKUP($AE356,'ORF Accuracy Value LookUp'!$G$4:$H$104,2,TRUE))</f>
        <v/>
      </c>
      <c r="AS356" s="140" t="str">
        <f t="shared" si="69"/>
        <v/>
      </c>
    </row>
    <row r="357" spans="1:45">
      <c r="A357" s="10"/>
      <c r="B357" s="9"/>
      <c r="C357" s="9"/>
      <c r="D357" s="9"/>
      <c r="E357" s="10"/>
      <c r="F357" s="11"/>
      <c r="G357" s="15"/>
      <c r="H357" s="88"/>
      <c r="I357" s="24"/>
      <c r="J357" s="24"/>
      <c r="K357" s="114" t="str">
        <f t="shared" si="60"/>
        <v/>
      </c>
      <c r="L357" s="24"/>
      <c r="M357" s="24"/>
      <c r="N357" s="24"/>
      <c r="O357" s="24"/>
      <c r="P357" s="97" t="str">
        <f t="shared" si="61"/>
        <v/>
      </c>
      <c r="Q357" s="113" t="str">
        <f t="shared" si="62"/>
        <v/>
      </c>
      <c r="R357" s="88"/>
      <c r="S357" s="24"/>
      <c r="T357" s="24"/>
      <c r="U357" s="78" t="str">
        <f t="shared" si="63"/>
        <v/>
      </c>
      <c r="V357" s="24"/>
      <c r="W357" s="24"/>
      <c r="X357" s="24"/>
      <c r="Y357" s="24"/>
      <c r="Z357" s="98" t="str">
        <f t="shared" si="64"/>
        <v/>
      </c>
      <c r="AA357" s="40" t="str">
        <f t="shared" si="70"/>
        <v/>
      </c>
      <c r="AB357" s="88"/>
      <c r="AC357" s="24"/>
      <c r="AD357" s="24"/>
      <c r="AE357" s="79" t="str">
        <f t="shared" si="65"/>
        <v/>
      </c>
      <c r="AF357" s="24"/>
      <c r="AG357" s="24"/>
      <c r="AH357" s="24"/>
      <c r="AI357" s="24"/>
      <c r="AJ357" s="99" t="str">
        <f t="shared" si="66"/>
        <v/>
      </c>
      <c r="AK357" s="31" t="str">
        <f t="shared" si="71"/>
        <v/>
      </c>
      <c r="AN357" s="139" t="str">
        <f>IF($K357="","",VLOOKUP($K357,'ORF Accuracy Value LookUp'!$G$4:$H$104,2,TRUE))</f>
        <v/>
      </c>
      <c r="AO357" s="94" t="str">
        <f t="shared" si="67"/>
        <v/>
      </c>
      <c r="AP357" s="47" t="str">
        <f>IF($U357="","",VLOOKUP($U357,'ORF Accuracy Value LookUp'!$G$4:$H$104,2,TRUE))</f>
        <v/>
      </c>
      <c r="AQ357" s="94" t="str">
        <f t="shared" si="68"/>
        <v/>
      </c>
      <c r="AR357" s="46" t="str">
        <f>IF($AE357="","",VLOOKUP($AE357,'ORF Accuracy Value LookUp'!$G$4:$H$104,2,TRUE))</f>
        <v/>
      </c>
      <c r="AS357" s="140" t="str">
        <f t="shared" si="69"/>
        <v/>
      </c>
    </row>
    <row r="358" spans="1:45">
      <c r="A358" s="10"/>
      <c r="B358" s="9"/>
      <c r="C358" s="9"/>
      <c r="D358" s="9"/>
      <c r="E358" s="10"/>
      <c r="F358" s="11"/>
      <c r="G358" s="15"/>
      <c r="H358" s="88"/>
      <c r="I358" s="24"/>
      <c r="J358" s="24"/>
      <c r="K358" s="114" t="str">
        <f t="shared" si="60"/>
        <v/>
      </c>
      <c r="L358" s="24"/>
      <c r="M358" s="24"/>
      <c r="N358" s="24"/>
      <c r="O358" s="24"/>
      <c r="P358" s="97" t="str">
        <f t="shared" si="61"/>
        <v/>
      </c>
      <c r="Q358" s="113" t="str">
        <f t="shared" si="62"/>
        <v/>
      </c>
      <c r="R358" s="88"/>
      <c r="S358" s="24"/>
      <c r="T358" s="24"/>
      <c r="U358" s="78" t="str">
        <f t="shared" si="63"/>
        <v/>
      </c>
      <c r="V358" s="24"/>
      <c r="W358" s="24"/>
      <c r="X358" s="24"/>
      <c r="Y358" s="24"/>
      <c r="Z358" s="98" t="str">
        <f t="shared" si="64"/>
        <v/>
      </c>
      <c r="AA358" s="40" t="str">
        <f t="shared" si="70"/>
        <v/>
      </c>
      <c r="AB358" s="88"/>
      <c r="AC358" s="24"/>
      <c r="AD358" s="24"/>
      <c r="AE358" s="79" t="str">
        <f t="shared" si="65"/>
        <v/>
      </c>
      <c r="AF358" s="24"/>
      <c r="AG358" s="24"/>
      <c r="AH358" s="24"/>
      <c r="AI358" s="24"/>
      <c r="AJ358" s="99" t="str">
        <f t="shared" si="66"/>
        <v/>
      </c>
      <c r="AK358" s="31" t="str">
        <f t="shared" si="71"/>
        <v/>
      </c>
      <c r="AN358" s="139" t="str">
        <f>IF($K358="","",VLOOKUP($K358,'ORF Accuracy Value LookUp'!$G$4:$H$104,2,TRUE))</f>
        <v/>
      </c>
      <c r="AO358" s="94" t="str">
        <f t="shared" si="67"/>
        <v/>
      </c>
      <c r="AP358" s="47" t="str">
        <f>IF($U358="","",VLOOKUP($U358,'ORF Accuracy Value LookUp'!$G$4:$H$104,2,TRUE))</f>
        <v/>
      </c>
      <c r="AQ358" s="94" t="str">
        <f t="shared" si="68"/>
        <v/>
      </c>
      <c r="AR358" s="46" t="str">
        <f>IF($AE358="","",VLOOKUP($AE358,'ORF Accuracy Value LookUp'!$G$4:$H$104,2,TRUE))</f>
        <v/>
      </c>
      <c r="AS358" s="140" t="str">
        <f t="shared" si="69"/>
        <v/>
      </c>
    </row>
    <row r="359" spans="1:45">
      <c r="A359" s="10"/>
      <c r="B359" s="9"/>
      <c r="C359" s="9"/>
      <c r="D359" s="9"/>
      <c r="E359" s="10"/>
      <c r="F359" s="11"/>
      <c r="G359" s="15"/>
      <c r="H359" s="88"/>
      <c r="I359" s="24"/>
      <c r="J359" s="24"/>
      <c r="K359" s="114" t="str">
        <f t="shared" si="60"/>
        <v/>
      </c>
      <c r="L359" s="24"/>
      <c r="M359" s="24"/>
      <c r="N359" s="24"/>
      <c r="O359" s="24"/>
      <c r="P359" s="97" t="str">
        <f t="shared" si="61"/>
        <v/>
      </c>
      <c r="Q359" s="113" t="str">
        <f t="shared" si="62"/>
        <v/>
      </c>
      <c r="R359" s="88"/>
      <c r="S359" s="24"/>
      <c r="T359" s="24"/>
      <c r="U359" s="78" t="str">
        <f t="shared" si="63"/>
        <v/>
      </c>
      <c r="V359" s="24"/>
      <c r="W359" s="24"/>
      <c r="X359" s="24"/>
      <c r="Y359" s="24"/>
      <c r="Z359" s="98" t="str">
        <f t="shared" si="64"/>
        <v/>
      </c>
      <c r="AA359" s="40" t="str">
        <f t="shared" si="70"/>
        <v/>
      </c>
      <c r="AB359" s="88"/>
      <c r="AC359" s="24"/>
      <c r="AD359" s="24"/>
      <c r="AE359" s="79" t="str">
        <f t="shared" si="65"/>
        <v/>
      </c>
      <c r="AF359" s="24"/>
      <c r="AG359" s="24"/>
      <c r="AH359" s="24"/>
      <c r="AI359" s="24"/>
      <c r="AJ359" s="99" t="str">
        <f t="shared" si="66"/>
        <v/>
      </c>
      <c r="AK359" s="31" t="str">
        <f t="shared" si="71"/>
        <v/>
      </c>
      <c r="AN359" s="139" t="str">
        <f>IF($K359="","",VLOOKUP($K359,'ORF Accuracy Value LookUp'!$G$4:$H$104,2,TRUE))</f>
        <v/>
      </c>
      <c r="AO359" s="94" t="str">
        <f t="shared" si="67"/>
        <v/>
      </c>
      <c r="AP359" s="47" t="str">
        <f>IF($U359="","",VLOOKUP($U359,'ORF Accuracy Value LookUp'!$G$4:$H$104,2,TRUE))</f>
        <v/>
      </c>
      <c r="AQ359" s="94" t="str">
        <f t="shared" si="68"/>
        <v/>
      </c>
      <c r="AR359" s="46" t="str">
        <f>IF($AE359="","",VLOOKUP($AE359,'ORF Accuracy Value LookUp'!$G$4:$H$104,2,TRUE))</f>
        <v/>
      </c>
      <c r="AS359" s="140" t="str">
        <f t="shared" si="69"/>
        <v/>
      </c>
    </row>
    <row r="360" spans="1:45">
      <c r="A360" s="10"/>
      <c r="B360" s="9"/>
      <c r="C360" s="9"/>
      <c r="D360" s="9"/>
      <c r="E360" s="10"/>
      <c r="F360" s="11"/>
      <c r="G360" s="15"/>
      <c r="H360" s="88"/>
      <c r="I360" s="24"/>
      <c r="J360" s="24"/>
      <c r="K360" s="114" t="str">
        <f t="shared" si="60"/>
        <v/>
      </c>
      <c r="L360" s="24"/>
      <c r="M360" s="24"/>
      <c r="N360" s="24"/>
      <c r="O360" s="24"/>
      <c r="P360" s="97" t="str">
        <f t="shared" si="61"/>
        <v/>
      </c>
      <c r="Q360" s="113" t="str">
        <f t="shared" si="62"/>
        <v/>
      </c>
      <c r="R360" s="88"/>
      <c r="S360" s="24"/>
      <c r="T360" s="24"/>
      <c r="U360" s="78" t="str">
        <f t="shared" si="63"/>
        <v/>
      </c>
      <c r="V360" s="24"/>
      <c r="W360" s="24"/>
      <c r="X360" s="24"/>
      <c r="Y360" s="24"/>
      <c r="Z360" s="98" t="str">
        <f t="shared" si="64"/>
        <v/>
      </c>
      <c r="AA360" s="40" t="str">
        <f t="shared" si="70"/>
        <v/>
      </c>
      <c r="AB360" s="88"/>
      <c r="AC360" s="24"/>
      <c r="AD360" s="24"/>
      <c r="AE360" s="79" t="str">
        <f t="shared" si="65"/>
        <v/>
      </c>
      <c r="AF360" s="24"/>
      <c r="AG360" s="24"/>
      <c r="AH360" s="24"/>
      <c r="AI360" s="24"/>
      <c r="AJ360" s="99" t="str">
        <f t="shared" si="66"/>
        <v/>
      </c>
      <c r="AK360" s="31" t="str">
        <f t="shared" si="71"/>
        <v/>
      </c>
      <c r="AN360" s="139" t="str">
        <f>IF($K360="","",VLOOKUP($K360,'ORF Accuracy Value LookUp'!$G$4:$H$104,2,TRUE))</f>
        <v/>
      </c>
      <c r="AO360" s="94" t="str">
        <f t="shared" si="67"/>
        <v/>
      </c>
      <c r="AP360" s="47" t="str">
        <f>IF($U360="","",VLOOKUP($U360,'ORF Accuracy Value LookUp'!$G$4:$H$104,2,TRUE))</f>
        <v/>
      </c>
      <c r="AQ360" s="94" t="str">
        <f t="shared" si="68"/>
        <v/>
      </c>
      <c r="AR360" s="46" t="str">
        <f>IF($AE360="","",VLOOKUP($AE360,'ORF Accuracy Value LookUp'!$G$4:$H$104,2,TRUE))</f>
        <v/>
      </c>
      <c r="AS360" s="140" t="str">
        <f t="shared" si="69"/>
        <v/>
      </c>
    </row>
    <row r="361" spans="1:45">
      <c r="A361" s="10"/>
      <c r="B361" s="9"/>
      <c r="C361" s="9"/>
      <c r="D361" s="9"/>
      <c r="E361" s="10"/>
      <c r="F361" s="11"/>
      <c r="G361" s="15"/>
      <c r="H361" s="88"/>
      <c r="I361" s="24"/>
      <c r="J361" s="24"/>
      <c r="K361" s="114" t="str">
        <f t="shared" si="60"/>
        <v/>
      </c>
      <c r="L361" s="24"/>
      <c r="M361" s="24"/>
      <c r="N361" s="24"/>
      <c r="O361" s="24"/>
      <c r="P361" s="97" t="str">
        <f t="shared" si="61"/>
        <v/>
      </c>
      <c r="Q361" s="113" t="str">
        <f t="shared" si="62"/>
        <v/>
      </c>
      <c r="R361" s="88"/>
      <c r="S361" s="24"/>
      <c r="T361" s="24"/>
      <c r="U361" s="78" t="str">
        <f t="shared" si="63"/>
        <v/>
      </c>
      <c r="V361" s="24"/>
      <c r="W361" s="24"/>
      <c r="X361" s="24"/>
      <c r="Y361" s="24"/>
      <c r="Z361" s="98" t="str">
        <f t="shared" si="64"/>
        <v/>
      </c>
      <c r="AA361" s="40" t="str">
        <f t="shared" si="70"/>
        <v/>
      </c>
      <c r="AB361" s="88"/>
      <c r="AC361" s="24"/>
      <c r="AD361" s="24"/>
      <c r="AE361" s="79" t="str">
        <f t="shared" si="65"/>
        <v/>
      </c>
      <c r="AF361" s="24"/>
      <c r="AG361" s="24"/>
      <c r="AH361" s="24"/>
      <c r="AI361" s="24"/>
      <c r="AJ361" s="99" t="str">
        <f t="shared" si="66"/>
        <v/>
      </c>
      <c r="AK361" s="31" t="str">
        <f t="shared" si="71"/>
        <v/>
      </c>
      <c r="AN361" s="139" t="str">
        <f>IF($K361="","",VLOOKUP($K361,'ORF Accuracy Value LookUp'!$G$4:$H$104,2,TRUE))</f>
        <v/>
      </c>
      <c r="AO361" s="94" t="str">
        <f t="shared" si="67"/>
        <v/>
      </c>
      <c r="AP361" s="47" t="str">
        <f>IF($U361="","",VLOOKUP($U361,'ORF Accuracy Value LookUp'!$G$4:$H$104,2,TRUE))</f>
        <v/>
      </c>
      <c r="AQ361" s="94" t="str">
        <f t="shared" si="68"/>
        <v/>
      </c>
      <c r="AR361" s="46" t="str">
        <f>IF($AE361="","",VLOOKUP($AE361,'ORF Accuracy Value LookUp'!$G$4:$H$104,2,TRUE))</f>
        <v/>
      </c>
      <c r="AS361" s="140" t="str">
        <f t="shared" si="69"/>
        <v/>
      </c>
    </row>
    <row r="362" spans="1:45">
      <c r="A362" s="10"/>
      <c r="B362" s="9"/>
      <c r="C362" s="9"/>
      <c r="D362" s="9"/>
      <c r="E362" s="10"/>
      <c r="F362" s="11"/>
      <c r="G362" s="15"/>
      <c r="H362" s="88"/>
      <c r="I362" s="24"/>
      <c r="J362" s="24"/>
      <c r="K362" s="114" t="str">
        <f t="shared" si="60"/>
        <v/>
      </c>
      <c r="L362" s="24"/>
      <c r="M362" s="24"/>
      <c r="N362" s="24"/>
      <c r="O362" s="24"/>
      <c r="P362" s="97" t="str">
        <f t="shared" si="61"/>
        <v/>
      </c>
      <c r="Q362" s="113" t="str">
        <f t="shared" si="62"/>
        <v/>
      </c>
      <c r="R362" s="88"/>
      <c r="S362" s="24"/>
      <c r="T362" s="24"/>
      <c r="U362" s="78" t="str">
        <f t="shared" si="63"/>
        <v/>
      </c>
      <c r="V362" s="24"/>
      <c r="W362" s="24"/>
      <c r="X362" s="24"/>
      <c r="Y362" s="24"/>
      <c r="Z362" s="98" t="str">
        <f t="shared" si="64"/>
        <v/>
      </c>
      <c r="AA362" s="40" t="str">
        <f t="shared" si="70"/>
        <v/>
      </c>
      <c r="AB362" s="88"/>
      <c r="AC362" s="24"/>
      <c r="AD362" s="24"/>
      <c r="AE362" s="79" t="str">
        <f t="shared" si="65"/>
        <v/>
      </c>
      <c r="AF362" s="24"/>
      <c r="AG362" s="24"/>
      <c r="AH362" s="24"/>
      <c r="AI362" s="24"/>
      <c r="AJ362" s="99" t="str">
        <f t="shared" si="66"/>
        <v/>
      </c>
      <c r="AK362" s="31" t="str">
        <f t="shared" si="71"/>
        <v/>
      </c>
      <c r="AN362" s="139" t="str">
        <f>IF($K362="","",VLOOKUP($K362,'ORF Accuracy Value LookUp'!$G$4:$H$104,2,TRUE))</f>
        <v/>
      </c>
      <c r="AO362" s="94" t="str">
        <f t="shared" si="67"/>
        <v/>
      </c>
      <c r="AP362" s="47" t="str">
        <f>IF($U362="","",VLOOKUP($U362,'ORF Accuracy Value LookUp'!$G$4:$H$104,2,TRUE))</f>
        <v/>
      </c>
      <c r="AQ362" s="94" t="str">
        <f t="shared" si="68"/>
        <v/>
      </c>
      <c r="AR362" s="46" t="str">
        <f>IF($AE362="","",VLOOKUP($AE362,'ORF Accuracy Value LookUp'!$G$4:$H$104,2,TRUE))</f>
        <v/>
      </c>
      <c r="AS362" s="140" t="str">
        <f t="shared" si="69"/>
        <v/>
      </c>
    </row>
    <row r="363" spans="1:45">
      <c r="A363" s="10"/>
      <c r="B363" s="9"/>
      <c r="C363" s="9"/>
      <c r="D363" s="9"/>
      <c r="E363" s="10"/>
      <c r="F363" s="11"/>
      <c r="G363" s="15"/>
      <c r="H363" s="88"/>
      <c r="I363" s="24"/>
      <c r="J363" s="24"/>
      <c r="K363" s="114" t="str">
        <f t="shared" si="60"/>
        <v/>
      </c>
      <c r="L363" s="24"/>
      <c r="M363" s="24"/>
      <c r="N363" s="24"/>
      <c r="O363" s="24"/>
      <c r="P363" s="97" t="str">
        <f t="shared" si="61"/>
        <v/>
      </c>
      <c r="Q363" s="113" t="str">
        <f t="shared" si="62"/>
        <v/>
      </c>
      <c r="R363" s="88"/>
      <c r="S363" s="24"/>
      <c r="T363" s="24"/>
      <c r="U363" s="78" t="str">
        <f t="shared" si="63"/>
        <v/>
      </c>
      <c r="V363" s="24"/>
      <c r="W363" s="24"/>
      <c r="X363" s="24"/>
      <c r="Y363" s="24"/>
      <c r="Z363" s="98" t="str">
        <f t="shared" si="64"/>
        <v/>
      </c>
      <c r="AA363" s="40" t="str">
        <f t="shared" si="70"/>
        <v/>
      </c>
      <c r="AB363" s="88"/>
      <c r="AC363" s="24"/>
      <c r="AD363" s="24"/>
      <c r="AE363" s="79" t="str">
        <f t="shared" si="65"/>
        <v/>
      </c>
      <c r="AF363" s="24"/>
      <c r="AG363" s="24"/>
      <c r="AH363" s="24"/>
      <c r="AI363" s="24"/>
      <c r="AJ363" s="99" t="str">
        <f t="shared" si="66"/>
        <v/>
      </c>
      <c r="AK363" s="31" t="str">
        <f t="shared" si="71"/>
        <v/>
      </c>
      <c r="AN363" s="139" t="str">
        <f>IF($K363="","",VLOOKUP($K363,'ORF Accuracy Value LookUp'!$G$4:$H$104,2,TRUE))</f>
        <v/>
      </c>
      <c r="AO363" s="94" t="str">
        <f t="shared" si="67"/>
        <v/>
      </c>
      <c r="AP363" s="47" t="str">
        <f>IF($U363="","",VLOOKUP($U363,'ORF Accuracy Value LookUp'!$G$4:$H$104,2,TRUE))</f>
        <v/>
      </c>
      <c r="AQ363" s="94" t="str">
        <f t="shared" si="68"/>
        <v/>
      </c>
      <c r="AR363" s="46" t="str">
        <f>IF($AE363="","",VLOOKUP($AE363,'ORF Accuracy Value LookUp'!$G$4:$H$104,2,TRUE))</f>
        <v/>
      </c>
      <c r="AS363" s="140" t="str">
        <f t="shared" si="69"/>
        <v/>
      </c>
    </row>
    <row r="364" spans="1:45">
      <c r="A364" s="10"/>
      <c r="B364" s="9"/>
      <c r="C364" s="9"/>
      <c r="D364" s="9"/>
      <c r="E364" s="10"/>
      <c r="F364" s="11"/>
      <c r="G364" s="15"/>
      <c r="H364" s="88"/>
      <c r="I364" s="24"/>
      <c r="J364" s="24"/>
      <c r="K364" s="114" t="str">
        <f t="shared" si="60"/>
        <v/>
      </c>
      <c r="L364" s="24"/>
      <c r="M364" s="24"/>
      <c r="N364" s="24"/>
      <c r="O364" s="24"/>
      <c r="P364" s="97" t="str">
        <f t="shared" si="61"/>
        <v/>
      </c>
      <c r="Q364" s="113" t="str">
        <f t="shared" si="62"/>
        <v/>
      </c>
      <c r="R364" s="88"/>
      <c r="S364" s="24"/>
      <c r="T364" s="24"/>
      <c r="U364" s="78" t="str">
        <f t="shared" si="63"/>
        <v/>
      </c>
      <c r="V364" s="24"/>
      <c r="W364" s="24"/>
      <c r="X364" s="24"/>
      <c r="Y364" s="24"/>
      <c r="Z364" s="98" t="str">
        <f t="shared" si="64"/>
        <v/>
      </c>
      <c r="AA364" s="40" t="str">
        <f t="shared" si="70"/>
        <v/>
      </c>
      <c r="AB364" s="88"/>
      <c r="AC364" s="24"/>
      <c r="AD364" s="24"/>
      <c r="AE364" s="79" t="str">
        <f t="shared" si="65"/>
        <v/>
      </c>
      <c r="AF364" s="24"/>
      <c r="AG364" s="24"/>
      <c r="AH364" s="24"/>
      <c r="AI364" s="24"/>
      <c r="AJ364" s="99" t="str">
        <f t="shared" si="66"/>
        <v/>
      </c>
      <c r="AK364" s="31" t="str">
        <f t="shared" si="71"/>
        <v/>
      </c>
      <c r="AN364" s="139" t="str">
        <f>IF($K364="","",VLOOKUP($K364,'ORF Accuracy Value LookUp'!$G$4:$H$104,2,TRUE))</f>
        <v/>
      </c>
      <c r="AO364" s="94" t="str">
        <f t="shared" si="67"/>
        <v/>
      </c>
      <c r="AP364" s="47" t="str">
        <f>IF($U364="","",VLOOKUP($U364,'ORF Accuracy Value LookUp'!$G$4:$H$104,2,TRUE))</f>
        <v/>
      </c>
      <c r="AQ364" s="94" t="str">
        <f t="shared" si="68"/>
        <v/>
      </c>
      <c r="AR364" s="46" t="str">
        <f>IF($AE364="","",VLOOKUP($AE364,'ORF Accuracy Value LookUp'!$G$4:$H$104,2,TRUE))</f>
        <v/>
      </c>
      <c r="AS364" s="140" t="str">
        <f t="shared" si="69"/>
        <v/>
      </c>
    </row>
    <row r="365" spans="1:45">
      <c r="A365" s="10"/>
      <c r="B365" s="9"/>
      <c r="C365" s="9"/>
      <c r="D365" s="9"/>
      <c r="E365" s="10"/>
      <c r="F365" s="11"/>
      <c r="G365" s="15"/>
      <c r="H365" s="88"/>
      <c r="I365" s="24"/>
      <c r="J365" s="24"/>
      <c r="K365" s="114" t="str">
        <f t="shared" si="60"/>
        <v/>
      </c>
      <c r="L365" s="24"/>
      <c r="M365" s="24"/>
      <c r="N365" s="24"/>
      <c r="O365" s="24"/>
      <c r="P365" s="97" t="str">
        <f t="shared" si="61"/>
        <v/>
      </c>
      <c r="Q365" s="113" t="str">
        <f t="shared" si="62"/>
        <v/>
      </c>
      <c r="R365" s="88"/>
      <c r="S365" s="24"/>
      <c r="T365" s="24"/>
      <c r="U365" s="78" t="str">
        <f t="shared" si="63"/>
        <v/>
      </c>
      <c r="V365" s="24"/>
      <c r="W365" s="24"/>
      <c r="X365" s="24"/>
      <c r="Y365" s="24"/>
      <c r="Z365" s="98" t="str">
        <f t="shared" si="64"/>
        <v/>
      </c>
      <c r="AA365" s="40" t="str">
        <f t="shared" si="70"/>
        <v/>
      </c>
      <c r="AB365" s="88"/>
      <c r="AC365" s="24"/>
      <c r="AD365" s="24"/>
      <c r="AE365" s="79" t="str">
        <f t="shared" si="65"/>
        <v/>
      </c>
      <c r="AF365" s="24"/>
      <c r="AG365" s="24"/>
      <c r="AH365" s="24"/>
      <c r="AI365" s="24"/>
      <c r="AJ365" s="99" t="str">
        <f t="shared" si="66"/>
        <v/>
      </c>
      <c r="AK365" s="31" t="str">
        <f t="shared" si="71"/>
        <v/>
      </c>
      <c r="AN365" s="139" t="str">
        <f>IF($K365="","",VLOOKUP($K365,'ORF Accuracy Value LookUp'!$G$4:$H$104,2,TRUE))</f>
        <v/>
      </c>
      <c r="AO365" s="94" t="str">
        <f t="shared" si="67"/>
        <v/>
      </c>
      <c r="AP365" s="47" t="str">
        <f>IF($U365="","",VLOOKUP($U365,'ORF Accuracy Value LookUp'!$G$4:$H$104,2,TRUE))</f>
        <v/>
      </c>
      <c r="AQ365" s="94" t="str">
        <f t="shared" si="68"/>
        <v/>
      </c>
      <c r="AR365" s="46" t="str">
        <f>IF($AE365="","",VLOOKUP($AE365,'ORF Accuracy Value LookUp'!$G$4:$H$104,2,TRUE))</f>
        <v/>
      </c>
      <c r="AS365" s="140" t="str">
        <f t="shared" si="69"/>
        <v/>
      </c>
    </row>
    <row r="366" spans="1:45">
      <c r="A366" s="10"/>
      <c r="B366" s="9"/>
      <c r="C366" s="9"/>
      <c r="D366" s="9"/>
      <c r="E366" s="10"/>
      <c r="F366" s="11"/>
      <c r="G366" s="15"/>
      <c r="H366" s="88"/>
      <c r="I366" s="24"/>
      <c r="J366" s="24"/>
      <c r="K366" s="114" t="str">
        <f t="shared" si="60"/>
        <v/>
      </c>
      <c r="L366" s="24"/>
      <c r="M366" s="24"/>
      <c r="N366" s="24"/>
      <c r="O366" s="24"/>
      <c r="P366" s="97" t="str">
        <f t="shared" si="61"/>
        <v/>
      </c>
      <c r="Q366" s="113" t="str">
        <f t="shared" si="62"/>
        <v/>
      </c>
      <c r="R366" s="88"/>
      <c r="S366" s="24"/>
      <c r="T366" s="24"/>
      <c r="U366" s="78" t="str">
        <f t="shared" si="63"/>
        <v/>
      </c>
      <c r="V366" s="24"/>
      <c r="W366" s="24"/>
      <c r="X366" s="24"/>
      <c r="Y366" s="24"/>
      <c r="Z366" s="98" t="str">
        <f t="shared" si="64"/>
        <v/>
      </c>
      <c r="AA366" s="40" t="str">
        <f t="shared" si="70"/>
        <v/>
      </c>
      <c r="AB366" s="88"/>
      <c r="AC366" s="24"/>
      <c r="AD366" s="24"/>
      <c r="AE366" s="79" t="str">
        <f t="shared" si="65"/>
        <v/>
      </c>
      <c r="AF366" s="24"/>
      <c r="AG366" s="24"/>
      <c r="AH366" s="24"/>
      <c r="AI366" s="24"/>
      <c r="AJ366" s="99" t="str">
        <f t="shared" si="66"/>
        <v/>
      </c>
      <c r="AK366" s="31" t="str">
        <f t="shared" si="71"/>
        <v/>
      </c>
      <c r="AN366" s="139" t="str">
        <f>IF($K366="","",VLOOKUP($K366,'ORF Accuracy Value LookUp'!$G$4:$H$104,2,TRUE))</f>
        <v/>
      </c>
      <c r="AO366" s="94" t="str">
        <f t="shared" si="67"/>
        <v/>
      </c>
      <c r="AP366" s="47" t="str">
        <f>IF($U366="","",VLOOKUP($U366,'ORF Accuracy Value LookUp'!$G$4:$H$104,2,TRUE))</f>
        <v/>
      </c>
      <c r="AQ366" s="94" t="str">
        <f t="shared" si="68"/>
        <v/>
      </c>
      <c r="AR366" s="46" t="str">
        <f>IF($AE366="","",VLOOKUP($AE366,'ORF Accuracy Value LookUp'!$G$4:$H$104,2,TRUE))</f>
        <v/>
      </c>
      <c r="AS366" s="140" t="str">
        <f t="shared" si="69"/>
        <v/>
      </c>
    </row>
    <row r="367" spans="1:45">
      <c r="A367" s="10"/>
      <c r="B367" s="9"/>
      <c r="C367" s="9"/>
      <c r="D367" s="9"/>
      <c r="E367" s="10"/>
      <c r="F367" s="11"/>
      <c r="G367" s="15"/>
      <c r="H367" s="88"/>
      <c r="I367" s="24"/>
      <c r="J367" s="24"/>
      <c r="K367" s="114" t="str">
        <f t="shared" si="60"/>
        <v/>
      </c>
      <c r="L367" s="24"/>
      <c r="M367" s="24"/>
      <c r="N367" s="24"/>
      <c r="O367" s="24"/>
      <c r="P367" s="97" t="str">
        <f t="shared" si="61"/>
        <v/>
      </c>
      <c r="Q367" s="113" t="str">
        <f t="shared" si="62"/>
        <v/>
      </c>
      <c r="R367" s="88"/>
      <c r="S367" s="24"/>
      <c r="T367" s="24"/>
      <c r="U367" s="78" t="str">
        <f t="shared" si="63"/>
        <v/>
      </c>
      <c r="V367" s="24"/>
      <c r="W367" s="24"/>
      <c r="X367" s="24"/>
      <c r="Y367" s="24"/>
      <c r="Z367" s="98" t="str">
        <f t="shared" si="64"/>
        <v/>
      </c>
      <c r="AA367" s="40" t="str">
        <f t="shared" si="70"/>
        <v/>
      </c>
      <c r="AB367" s="88"/>
      <c r="AC367" s="24"/>
      <c r="AD367" s="24"/>
      <c r="AE367" s="79" t="str">
        <f t="shared" si="65"/>
        <v/>
      </c>
      <c r="AF367" s="24"/>
      <c r="AG367" s="24"/>
      <c r="AH367" s="24"/>
      <c r="AI367" s="24"/>
      <c r="AJ367" s="99" t="str">
        <f t="shared" si="66"/>
        <v/>
      </c>
      <c r="AK367" s="31" t="str">
        <f t="shared" si="71"/>
        <v/>
      </c>
      <c r="AN367" s="139" t="str">
        <f>IF($K367="","",VLOOKUP($K367,'ORF Accuracy Value LookUp'!$G$4:$H$104,2,TRUE))</f>
        <v/>
      </c>
      <c r="AO367" s="94" t="str">
        <f t="shared" si="67"/>
        <v/>
      </c>
      <c r="AP367" s="47" t="str">
        <f>IF($U367="","",VLOOKUP($U367,'ORF Accuracy Value LookUp'!$G$4:$H$104,2,TRUE))</f>
        <v/>
      </c>
      <c r="AQ367" s="94" t="str">
        <f t="shared" si="68"/>
        <v/>
      </c>
      <c r="AR367" s="46" t="str">
        <f>IF($AE367="","",VLOOKUP($AE367,'ORF Accuracy Value LookUp'!$G$4:$H$104,2,TRUE))</f>
        <v/>
      </c>
      <c r="AS367" s="140" t="str">
        <f t="shared" si="69"/>
        <v/>
      </c>
    </row>
    <row r="368" spans="1:45">
      <c r="A368" s="10"/>
      <c r="B368" s="9"/>
      <c r="C368" s="9"/>
      <c r="D368" s="9"/>
      <c r="E368" s="10"/>
      <c r="F368" s="11"/>
      <c r="G368" s="15"/>
      <c r="H368" s="88"/>
      <c r="I368" s="24"/>
      <c r="J368" s="24"/>
      <c r="K368" s="114" t="str">
        <f t="shared" si="60"/>
        <v/>
      </c>
      <c r="L368" s="24"/>
      <c r="M368" s="24"/>
      <c r="N368" s="24"/>
      <c r="O368" s="24"/>
      <c r="P368" s="97" t="str">
        <f t="shared" si="61"/>
        <v/>
      </c>
      <c r="Q368" s="113" t="str">
        <f t="shared" si="62"/>
        <v/>
      </c>
      <c r="R368" s="88"/>
      <c r="S368" s="24"/>
      <c r="T368" s="24"/>
      <c r="U368" s="78" t="str">
        <f t="shared" si="63"/>
        <v/>
      </c>
      <c r="V368" s="24"/>
      <c r="W368" s="24"/>
      <c r="X368" s="24"/>
      <c r="Y368" s="24"/>
      <c r="Z368" s="98" t="str">
        <f t="shared" si="64"/>
        <v/>
      </c>
      <c r="AA368" s="40" t="str">
        <f t="shared" si="70"/>
        <v/>
      </c>
      <c r="AB368" s="88"/>
      <c r="AC368" s="24"/>
      <c r="AD368" s="24"/>
      <c r="AE368" s="79" t="str">
        <f t="shared" si="65"/>
        <v/>
      </c>
      <c r="AF368" s="24"/>
      <c r="AG368" s="24"/>
      <c r="AH368" s="24"/>
      <c r="AI368" s="24"/>
      <c r="AJ368" s="99" t="str">
        <f t="shared" si="66"/>
        <v/>
      </c>
      <c r="AK368" s="31" t="str">
        <f t="shared" si="71"/>
        <v/>
      </c>
      <c r="AN368" s="139" t="str">
        <f>IF($K368="","",VLOOKUP($K368,'ORF Accuracy Value LookUp'!$G$4:$H$104,2,TRUE))</f>
        <v/>
      </c>
      <c r="AO368" s="94" t="str">
        <f t="shared" si="67"/>
        <v/>
      </c>
      <c r="AP368" s="47" t="str">
        <f>IF($U368="","",VLOOKUP($U368,'ORF Accuracy Value LookUp'!$G$4:$H$104,2,TRUE))</f>
        <v/>
      </c>
      <c r="AQ368" s="94" t="str">
        <f t="shared" si="68"/>
        <v/>
      </c>
      <c r="AR368" s="46" t="str">
        <f>IF($AE368="","",VLOOKUP($AE368,'ORF Accuracy Value LookUp'!$G$4:$H$104,2,TRUE))</f>
        <v/>
      </c>
      <c r="AS368" s="140" t="str">
        <f t="shared" si="69"/>
        <v/>
      </c>
    </row>
    <row r="369" spans="1:45">
      <c r="A369" s="10"/>
      <c r="B369" s="9"/>
      <c r="C369" s="9"/>
      <c r="D369" s="9"/>
      <c r="E369" s="10"/>
      <c r="F369" s="11"/>
      <c r="G369" s="15"/>
      <c r="H369" s="88"/>
      <c r="I369" s="24"/>
      <c r="J369" s="24"/>
      <c r="K369" s="114" t="str">
        <f t="shared" si="60"/>
        <v/>
      </c>
      <c r="L369" s="24"/>
      <c r="M369" s="24"/>
      <c r="N369" s="24"/>
      <c r="O369" s="24"/>
      <c r="P369" s="97" t="str">
        <f t="shared" si="61"/>
        <v/>
      </c>
      <c r="Q369" s="113" t="str">
        <f t="shared" si="62"/>
        <v/>
      </c>
      <c r="R369" s="88"/>
      <c r="S369" s="24"/>
      <c r="T369" s="24"/>
      <c r="U369" s="78" t="str">
        <f t="shared" si="63"/>
        <v/>
      </c>
      <c r="V369" s="24"/>
      <c r="W369" s="24"/>
      <c r="X369" s="24"/>
      <c r="Y369" s="24"/>
      <c r="Z369" s="98" t="str">
        <f t="shared" si="64"/>
        <v/>
      </c>
      <c r="AA369" s="40" t="str">
        <f t="shared" si="70"/>
        <v/>
      </c>
      <c r="AB369" s="88"/>
      <c r="AC369" s="24"/>
      <c r="AD369" s="24"/>
      <c r="AE369" s="79" t="str">
        <f t="shared" si="65"/>
        <v/>
      </c>
      <c r="AF369" s="24"/>
      <c r="AG369" s="24"/>
      <c r="AH369" s="24"/>
      <c r="AI369" s="24"/>
      <c r="AJ369" s="99" t="str">
        <f t="shared" si="66"/>
        <v/>
      </c>
      <c r="AK369" s="31" t="str">
        <f t="shared" si="71"/>
        <v/>
      </c>
      <c r="AN369" s="139" t="str">
        <f>IF($K369="","",VLOOKUP($K369,'ORF Accuracy Value LookUp'!$G$4:$H$104,2,TRUE))</f>
        <v/>
      </c>
      <c r="AO369" s="94" t="str">
        <f t="shared" si="67"/>
        <v/>
      </c>
      <c r="AP369" s="47" t="str">
        <f>IF($U369="","",VLOOKUP($U369,'ORF Accuracy Value LookUp'!$G$4:$H$104,2,TRUE))</f>
        <v/>
      </c>
      <c r="AQ369" s="94" t="str">
        <f t="shared" si="68"/>
        <v/>
      </c>
      <c r="AR369" s="46" t="str">
        <f>IF($AE369="","",VLOOKUP($AE369,'ORF Accuracy Value LookUp'!$G$4:$H$104,2,TRUE))</f>
        <v/>
      </c>
      <c r="AS369" s="140" t="str">
        <f t="shared" si="69"/>
        <v/>
      </c>
    </row>
    <row r="370" spans="1:45">
      <c r="A370" s="10"/>
      <c r="B370" s="9"/>
      <c r="C370" s="9"/>
      <c r="D370" s="9"/>
      <c r="E370" s="10"/>
      <c r="F370" s="11"/>
      <c r="G370" s="15"/>
      <c r="H370" s="88"/>
      <c r="I370" s="24"/>
      <c r="J370" s="24"/>
      <c r="K370" s="114" t="str">
        <f t="shared" si="60"/>
        <v/>
      </c>
      <c r="L370" s="24"/>
      <c r="M370" s="24"/>
      <c r="N370" s="24"/>
      <c r="O370" s="24"/>
      <c r="P370" s="97" t="str">
        <f t="shared" si="61"/>
        <v/>
      </c>
      <c r="Q370" s="113" t="str">
        <f t="shared" si="62"/>
        <v/>
      </c>
      <c r="R370" s="88"/>
      <c r="S370" s="24"/>
      <c r="T370" s="24"/>
      <c r="U370" s="78" t="str">
        <f t="shared" si="63"/>
        <v/>
      </c>
      <c r="V370" s="24"/>
      <c r="W370" s="24"/>
      <c r="X370" s="24"/>
      <c r="Y370" s="24"/>
      <c r="Z370" s="98" t="str">
        <f t="shared" si="64"/>
        <v/>
      </c>
      <c r="AA370" s="40" t="str">
        <f t="shared" si="70"/>
        <v/>
      </c>
      <c r="AB370" s="88"/>
      <c r="AC370" s="24"/>
      <c r="AD370" s="24"/>
      <c r="AE370" s="79" t="str">
        <f t="shared" si="65"/>
        <v/>
      </c>
      <c r="AF370" s="24"/>
      <c r="AG370" s="24"/>
      <c r="AH370" s="24"/>
      <c r="AI370" s="24"/>
      <c r="AJ370" s="99" t="str">
        <f t="shared" si="66"/>
        <v/>
      </c>
      <c r="AK370" s="31" t="str">
        <f t="shared" si="71"/>
        <v/>
      </c>
      <c r="AN370" s="139" t="str">
        <f>IF($K370="","",VLOOKUP($K370,'ORF Accuracy Value LookUp'!$G$4:$H$104,2,TRUE))</f>
        <v/>
      </c>
      <c r="AO370" s="94" t="str">
        <f t="shared" si="67"/>
        <v/>
      </c>
      <c r="AP370" s="47" t="str">
        <f>IF($U370="","",VLOOKUP($U370,'ORF Accuracy Value LookUp'!$G$4:$H$104,2,TRUE))</f>
        <v/>
      </c>
      <c r="AQ370" s="94" t="str">
        <f t="shared" si="68"/>
        <v/>
      </c>
      <c r="AR370" s="46" t="str">
        <f>IF($AE370="","",VLOOKUP($AE370,'ORF Accuracy Value LookUp'!$G$4:$H$104,2,TRUE))</f>
        <v/>
      </c>
      <c r="AS370" s="140" t="str">
        <f t="shared" si="69"/>
        <v/>
      </c>
    </row>
    <row r="371" spans="1:45">
      <c r="A371" s="10"/>
      <c r="B371" s="9"/>
      <c r="C371" s="9"/>
      <c r="D371" s="9"/>
      <c r="E371" s="10"/>
      <c r="F371" s="11"/>
      <c r="G371" s="15"/>
      <c r="H371" s="88"/>
      <c r="I371" s="24"/>
      <c r="J371" s="24"/>
      <c r="K371" s="114" t="str">
        <f t="shared" si="60"/>
        <v/>
      </c>
      <c r="L371" s="24"/>
      <c r="M371" s="24"/>
      <c r="N371" s="24"/>
      <c r="O371" s="24"/>
      <c r="P371" s="97" t="str">
        <f t="shared" si="61"/>
        <v/>
      </c>
      <c r="Q371" s="113" t="str">
        <f t="shared" si="62"/>
        <v/>
      </c>
      <c r="R371" s="88"/>
      <c r="S371" s="24"/>
      <c r="T371" s="24"/>
      <c r="U371" s="78" t="str">
        <f t="shared" si="63"/>
        <v/>
      </c>
      <c r="V371" s="24"/>
      <c r="W371" s="24"/>
      <c r="X371" s="24"/>
      <c r="Y371" s="24"/>
      <c r="Z371" s="98" t="str">
        <f t="shared" si="64"/>
        <v/>
      </c>
      <c r="AA371" s="40" t="str">
        <f t="shared" si="70"/>
        <v/>
      </c>
      <c r="AB371" s="88"/>
      <c r="AC371" s="24"/>
      <c r="AD371" s="24"/>
      <c r="AE371" s="79" t="str">
        <f t="shared" si="65"/>
        <v/>
      </c>
      <c r="AF371" s="24"/>
      <c r="AG371" s="24"/>
      <c r="AH371" s="24"/>
      <c r="AI371" s="24"/>
      <c r="AJ371" s="99" t="str">
        <f t="shared" si="66"/>
        <v/>
      </c>
      <c r="AK371" s="31" t="str">
        <f t="shared" si="71"/>
        <v/>
      </c>
      <c r="AN371" s="139" t="str">
        <f>IF($K371="","",VLOOKUP($K371,'ORF Accuracy Value LookUp'!$G$4:$H$104,2,TRUE))</f>
        <v/>
      </c>
      <c r="AO371" s="94" t="str">
        <f t="shared" si="67"/>
        <v/>
      </c>
      <c r="AP371" s="47" t="str">
        <f>IF($U371="","",VLOOKUP($U371,'ORF Accuracy Value LookUp'!$G$4:$H$104,2,TRUE))</f>
        <v/>
      </c>
      <c r="AQ371" s="94" t="str">
        <f t="shared" si="68"/>
        <v/>
      </c>
      <c r="AR371" s="46" t="str">
        <f>IF($AE371="","",VLOOKUP($AE371,'ORF Accuracy Value LookUp'!$G$4:$H$104,2,TRUE))</f>
        <v/>
      </c>
      <c r="AS371" s="140" t="str">
        <f t="shared" si="69"/>
        <v/>
      </c>
    </row>
    <row r="372" spans="1:45">
      <c r="A372" s="10"/>
      <c r="B372" s="9"/>
      <c r="C372" s="9"/>
      <c r="D372" s="9"/>
      <c r="E372" s="10"/>
      <c r="F372" s="11"/>
      <c r="G372" s="15"/>
      <c r="H372" s="88"/>
      <c r="I372" s="24"/>
      <c r="J372" s="24"/>
      <c r="K372" s="114" t="str">
        <f t="shared" si="60"/>
        <v/>
      </c>
      <c r="L372" s="24"/>
      <c r="M372" s="24"/>
      <c r="N372" s="24"/>
      <c r="O372" s="24"/>
      <c r="P372" s="97" t="str">
        <f t="shared" si="61"/>
        <v/>
      </c>
      <c r="Q372" s="113" t="str">
        <f t="shared" si="62"/>
        <v/>
      </c>
      <c r="R372" s="88"/>
      <c r="S372" s="24"/>
      <c r="T372" s="24"/>
      <c r="U372" s="78" t="str">
        <f t="shared" si="63"/>
        <v/>
      </c>
      <c r="V372" s="24"/>
      <c r="W372" s="24"/>
      <c r="X372" s="24"/>
      <c r="Y372" s="24"/>
      <c r="Z372" s="98" t="str">
        <f t="shared" si="64"/>
        <v/>
      </c>
      <c r="AA372" s="40" t="str">
        <f t="shared" si="70"/>
        <v/>
      </c>
      <c r="AB372" s="88"/>
      <c r="AC372" s="24"/>
      <c r="AD372" s="24"/>
      <c r="AE372" s="79" t="str">
        <f t="shared" si="65"/>
        <v/>
      </c>
      <c r="AF372" s="24"/>
      <c r="AG372" s="24"/>
      <c r="AH372" s="24"/>
      <c r="AI372" s="24"/>
      <c r="AJ372" s="99" t="str">
        <f t="shared" si="66"/>
        <v/>
      </c>
      <c r="AK372" s="31" t="str">
        <f t="shared" si="71"/>
        <v/>
      </c>
      <c r="AN372" s="139" t="str">
        <f>IF($K372="","",VLOOKUP($K372,'ORF Accuracy Value LookUp'!$G$4:$H$104,2,TRUE))</f>
        <v/>
      </c>
      <c r="AO372" s="94" t="str">
        <f t="shared" si="67"/>
        <v/>
      </c>
      <c r="AP372" s="47" t="str">
        <f>IF($U372="","",VLOOKUP($U372,'ORF Accuracy Value LookUp'!$G$4:$H$104,2,TRUE))</f>
        <v/>
      </c>
      <c r="AQ372" s="94" t="str">
        <f t="shared" si="68"/>
        <v/>
      </c>
      <c r="AR372" s="46" t="str">
        <f>IF($AE372="","",VLOOKUP($AE372,'ORF Accuracy Value LookUp'!$G$4:$H$104,2,TRUE))</f>
        <v/>
      </c>
      <c r="AS372" s="140" t="str">
        <f t="shared" si="69"/>
        <v/>
      </c>
    </row>
    <row r="373" spans="1:45">
      <c r="A373" s="10"/>
      <c r="B373" s="9"/>
      <c r="C373" s="9"/>
      <c r="D373" s="9"/>
      <c r="E373" s="10"/>
      <c r="F373" s="11"/>
      <c r="G373" s="15"/>
      <c r="H373" s="88"/>
      <c r="I373" s="24"/>
      <c r="J373" s="24"/>
      <c r="K373" s="114" t="str">
        <f t="shared" si="60"/>
        <v/>
      </c>
      <c r="L373" s="24"/>
      <c r="M373" s="24"/>
      <c r="N373" s="24"/>
      <c r="O373" s="24"/>
      <c r="P373" s="97" t="str">
        <f t="shared" si="61"/>
        <v/>
      </c>
      <c r="Q373" s="113" t="str">
        <f t="shared" si="62"/>
        <v/>
      </c>
      <c r="R373" s="88"/>
      <c r="S373" s="24"/>
      <c r="T373" s="24"/>
      <c r="U373" s="78" t="str">
        <f t="shared" si="63"/>
        <v/>
      </c>
      <c r="V373" s="24"/>
      <c r="W373" s="24"/>
      <c r="X373" s="24"/>
      <c r="Y373" s="24"/>
      <c r="Z373" s="98" t="str">
        <f t="shared" si="64"/>
        <v/>
      </c>
      <c r="AA373" s="40" t="str">
        <f t="shared" si="70"/>
        <v/>
      </c>
      <c r="AB373" s="88"/>
      <c r="AC373" s="24"/>
      <c r="AD373" s="24"/>
      <c r="AE373" s="79" t="str">
        <f t="shared" si="65"/>
        <v/>
      </c>
      <c r="AF373" s="24"/>
      <c r="AG373" s="24"/>
      <c r="AH373" s="24"/>
      <c r="AI373" s="24"/>
      <c r="AJ373" s="99" t="str">
        <f t="shared" si="66"/>
        <v/>
      </c>
      <c r="AK373" s="31" t="str">
        <f t="shared" si="71"/>
        <v/>
      </c>
      <c r="AN373" s="139" t="str">
        <f>IF($K373="","",VLOOKUP($K373,'ORF Accuracy Value LookUp'!$G$4:$H$104,2,TRUE))</f>
        <v/>
      </c>
      <c r="AO373" s="94" t="str">
        <f t="shared" si="67"/>
        <v/>
      </c>
      <c r="AP373" s="47" t="str">
        <f>IF($U373="","",VLOOKUP($U373,'ORF Accuracy Value LookUp'!$G$4:$H$104,2,TRUE))</f>
        <v/>
      </c>
      <c r="AQ373" s="94" t="str">
        <f t="shared" si="68"/>
        <v/>
      </c>
      <c r="AR373" s="46" t="str">
        <f>IF($AE373="","",VLOOKUP($AE373,'ORF Accuracy Value LookUp'!$G$4:$H$104,2,TRUE))</f>
        <v/>
      </c>
      <c r="AS373" s="140" t="str">
        <f t="shared" si="69"/>
        <v/>
      </c>
    </row>
    <row r="374" spans="1:45">
      <c r="A374" s="10"/>
      <c r="B374" s="9"/>
      <c r="C374" s="9"/>
      <c r="D374" s="9"/>
      <c r="E374" s="10"/>
      <c r="F374" s="11"/>
      <c r="G374" s="15"/>
      <c r="H374" s="88"/>
      <c r="I374" s="24"/>
      <c r="J374" s="24"/>
      <c r="K374" s="114" t="str">
        <f t="shared" si="60"/>
        <v/>
      </c>
      <c r="L374" s="24"/>
      <c r="M374" s="24"/>
      <c r="N374" s="24"/>
      <c r="O374" s="24"/>
      <c r="P374" s="97" t="str">
        <f t="shared" si="61"/>
        <v/>
      </c>
      <c r="Q374" s="113" t="str">
        <f t="shared" si="62"/>
        <v/>
      </c>
      <c r="R374" s="88"/>
      <c r="S374" s="24"/>
      <c r="T374" s="24"/>
      <c r="U374" s="78" t="str">
        <f t="shared" si="63"/>
        <v/>
      </c>
      <c r="V374" s="24"/>
      <c r="W374" s="24"/>
      <c r="X374" s="24"/>
      <c r="Y374" s="24"/>
      <c r="Z374" s="98" t="str">
        <f t="shared" si="64"/>
        <v/>
      </c>
      <c r="AA374" s="40" t="str">
        <f t="shared" si="70"/>
        <v/>
      </c>
      <c r="AB374" s="88"/>
      <c r="AC374" s="24"/>
      <c r="AD374" s="24"/>
      <c r="AE374" s="79" t="str">
        <f t="shared" si="65"/>
        <v/>
      </c>
      <c r="AF374" s="24"/>
      <c r="AG374" s="24"/>
      <c r="AH374" s="24"/>
      <c r="AI374" s="24"/>
      <c r="AJ374" s="99" t="str">
        <f t="shared" si="66"/>
        <v/>
      </c>
      <c r="AK374" s="31" t="str">
        <f t="shared" si="71"/>
        <v/>
      </c>
      <c r="AN374" s="139" t="str">
        <f>IF($K374="","",VLOOKUP($K374,'ORF Accuracy Value LookUp'!$G$4:$H$104,2,TRUE))</f>
        <v/>
      </c>
      <c r="AO374" s="94" t="str">
        <f t="shared" si="67"/>
        <v/>
      </c>
      <c r="AP374" s="47" t="str">
        <f>IF($U374="","",VLOOKUP($U374,'ORF Accuracy Value LookUp'!$G$4:$H$104,2,TRUE))</f>
        <v/>
      </c>
      <c r="AQ374" s="94" t="str">
        <f t="shared" si="68"/>
        <v/>
      </c>
      <c r="AR374" s="46" t="str">
        <f>IF($AE374="","",VLOOKUP($AE374,'ORF Accuracy Value LookUp'!$G$4:$H$104,2,TRUE))</f>
        <v/>
      </c>
      <c r="AS374" s="140" t="str">
        <f t="shared" si="69"/>
        <v/>
      </c>
    </row>
    <row r="375" spans="1:45">
      <c r="A375" s="10"/>
      <c r="B375" s="9"/>
      <c r="C375" s="9"/>
      <c r="D375" s="9"/>
      <c r="E375" s="10"/>
      <c r="F375" s="11"/>
      <c r="G375" s="15"/>
      <c r="H375" s="88"/>
      <c r="I375" s="24"/>
      <c r="J375" s="24"/>
      <c r="K375" s="114" t="str">
        <f t="shared" si="60"/>
        <v/>
      </c>
      <c r="L375" s="24"/>
      <c r="M375" s="24"/>
      <c r="N375" s="24"/>
      <c r="O375" s="24"/>
      <c r="P375" s="97" t="str">
        <f t="shared" si="61"/>
        <v/>
      </c>
      <c r="Q375" s="113" t="str">
        <f t="shared" si="62"/>
        <v/>
      </c>
      <c r="R375" s="88"/>
      <c r="S375" s="24"/>
      <c r="T375" s="24"/>
      <c r="U375" s="78" t="str">
        <f t="shared" si="63"/>
        <v/>
      </c>
      <c r="V375" s="24"/>
      <c r="W375" s="24"/>
      <c r="X375" s="24"/>
      <c r="Y375" s="24"/>
      <c r="Z375" s="98" t="str">
        <f t="shared" si="64"/>
        <v/>
      </c>
      <c r="AA375" s="40" t="str">
        <f t="shared" si="70"/>
        <v/>
      </c>
      <c r="AB375" s="88"/>
      <c r="AC375" s="24"/>
      <c r="AD375" s="24"/>
      <c r="AE375" s="79" t="str">
        <f t="shared" si="65"/>
        <v/>
      </c>
      <c r="AF375" s="24"/>
      <c r="AG375" s="24"/>
      <c r="AH375" s="24"/>
      <c r="AI375" s="24"/>
      <c r="AJ375" s="99" t="str">
        <f t="shared" si="66"/>
        <v/>
      </c>
      <c r="AK375" s="31" t="str">
        <f t="shared" si="71"/>
        <v/>
      </c>
      <c r="AN375" s="139" t="str">
        <f>IF($K375="","",VLOOKUP($K375,'ORF Accuracy Value LookUp'!$G$4:$H$104,2,TRUE))</f>
        <v/>
      </c>
      <c r="AO375" s="94" t="str">
        <f t="shared" si="67"/>
        <v/>
      </c>
      <c r="AP375" s="47" t="str">
        <f>IF($U375="","",VLOOKUP($U375,'ORF Accuracy Value LookUp'!$G$4:$H$104,2,TRUE))</f>
        <v/>
      </c>
      <c r="AQ375" s="94" t="str">
        <f t="shared" si="68"/>
        <v/>
      </c>
      <c r="AR375" s="46" t="str">
        <f>IF($AE375="","",VLOOKUP($AE375,'ORF Accuracy Value LookUp'!$G$4:$H$104,2,TRUE))</f>
        <v/>
      </c>
      <c r="AS375" s="140" t="str">
        <f t="shared" si="69"/>
        <v/>
      </c>
    </row>
    <row r="376" spans="1:45">
      <c r="A376" s="10"/>
      <c r="B376" s="9"/>
      <c r="C376" s="9"/>
      <c r="D376" s="9"/>
      <c r="E376" s="10"/>
      <c r="F376" s="11"/>
      <c r="G376" s="15"/>
      <c r="H376" s="88"/>
      <c r="I376" s="24"/>
      <c r="J376" s="24"/>
      <c r="K376" s="114" t="str">
        <f t="shared" si="60"/>
        <v/>
      </c>
      <c r="L376" s="24"/>
      <c r="M376" s="24"/>
      <c r="N376" s="24"/>
      <c r="O376" s="24"/>
      <c r="P376" s="97" t="str">
        <f t="shared" si="61"/>
        <v/>
      </c>
      <c r="Q376" s="113" t="str">
        <f t="shared" si="62"/>
        <v/>
      </c>
      <c r="R376" s="88"/>
      <c r="S376" s="24"/>
      <c r="T376" s="24"/>
      <c r="U376" s="78" t="str">
        <f t="shared" si="63"/>
        <v/>
      </c>
      <c r="V376" s="24"/>
      <c r="W376" s="24"/>
      <c r="X376" s="24"/>
      <c r="Y376" s="24"/>
      <c r="Z376" s="98" t="str">
        <f t="shared" si="64"/>
        <v/>
      </c>
      <c r="AA376" s="40" t="str">
        <f t="shared" si="70"/>
        <v/>
      </c>
      <c r="AB376" s="88"/>
      <c r="AC376" s="24"/>
      <c r="AD376" s="24"/>
      <c r="AE376" s="79" t="str">
        <f t="shared" si="65"/>
        <v/>
      </c>
      <c r="AF376" s="24"/>
      <c r="AG376" s="24"/>
      <c r="AH376" s="24"/>
      <c r="AI376" s="24"/>
      <c r="AJ376" s="99" t="str">
        <f t="shared" si="66"/>
        <v/>
      </c>
      <c r="AK376" s="31" t="str">
        <f t="shared" si="71"/>
        <v/>
      </c>
      <c r="AN376" s="139" t="str">
        <f>IF($K376="","",VLOOKUP($K376,'ORF Accuracy Value LookUp'!$G$4:$H$104,2,TRUE))</f>
        <v/>
      </c>
      <c r="AO376" s="94" t="str">
        <f t="shared" si="67"/>
        <v/>
      </c>
      <c r="AP376" s="47" t="str">
        <f>IF($U376="","",VLOOKUP($U376,'ORF Accuracy Value LookUp'!$G$4:$H$104,2,TRUE))</f>
        <v/>
      </c>
      <c r="AQ376" s="94" t="str">
        <f t="shared" si="68"/>
        <v/>
      </c>
      <c r="AR376" s="46" t="str">
        <f>IF($AE376="","",VLOOKUP($AE376,'ORF Accuracy Value LookUp'!$G$4:$H$104,2,TRUE))</f>
        <v/>
      </c>
      <c r="AS376" s="140" t="str">
        <f t="shared" si="69"/>
        <v/>
      </c>
    </row>
    <row r="377" spans="1:45">
      <c r="A377" s="10"/>
      <c r="B377" s="9"/>
      <c r="C377" s="9"/>
      <c r="D377" s="9"/>
      <c r="E377" s="10"/>
      <c r="F377" s="11"/>
      <c r="G377" s="15"/>
      <c r="H377" s="88"/>
      <c r="I377" s="24"/>
      <c r="J377" s="24"/>
      <c r="K377" s="114" t="str">
        <f t="shared" si="60"/>
        <v/>
      </c>
      <c r="L377" s="24"/>
      <c r="M377" s="24"/>
      <c r="N377" s="24"/>
      <c r="O377" s="24"/>
      <c r="P377" s="97" t="str">
        <f t="shared" si="61"/>
        <v/>
      </c>
      <c r="Q377" s="113" t="str">
        <f t="shared" si="62"/>
        <v/>
      </c>
      <c r="R377" s="88"/>
      <c r="S377" s="24"/>
      <c r="T377" s="24"/>
      <c r="U377" s="78" t="str">
        <f t="shared" si="63"/>
        <v/>
      </c>
      <c r="V377" s="24"/>
      <c r="W377" s="24"/>
      <c r="X377" s="24"/>
      <c r="Y377" s="24"/>
      <c r="Z377" s="98" t="str">
        <f t="shared" si="64"/>
        <v/>
      </c>
      <c r="AA377" s="40" t="str">
        <f t="shared" si="70"/>
        <v/>
      </c>
      <c r="AB377" s="88"/>
      <c r="AC377" s="24"/>
      <c r="AD377" s="24"/>
      <c r="AE377" s="79" t="str">
        <f t="shared" si="65"/>
        <v/>
      </c>
      <c r="AF377" s="24"/>
      <c r="AG377" s="24"/>
      <c r="AH377" s="24"/>
      <c r="AI377" s="24"/>
      <c r="AJ377" s="99" t="str">
        <f t="shared" si="66"/>
        <v/>
      </c>
      <c r="AK377" s="31" t="str">
        <f t="shared" si="71"/>
        <v/>
      </c>
      <c r="AN377" s="139" t="str">
        <f>IF($K377="","",VLOOKUP($K377,'ORF Accuracy Value LookUp'!$G$4:$H$104,2,TRUE))</f>
        <v/>
      </c>
      <c r="AO377" s="94" t="str">
        <f t="shared" si="67"/>
        <v/>
      </c>
      <c r="AP377" s="47" t="str">
        <f>IF($U377="","",VLOOKUP($U377,'ORF Accuracy Value LookUp'!$G$4:$H$104,2,TRUE))</f>
        <v/>
      </c>
      <c r="AQ377" s="94" t="str">
        <f t="shared" si="68"/>
        <v/>
      </c>
      <c r="AR377" s="46" t="str">
        <f>IF($AE377="","",VLOOKUP($AE377,'ORF Accuracy Value LookUp'!$G$4:$H$104,2,TRUE))</f>
        <v/>
      </c>
      <c r="AS377" s="140" t="str">
        <f t="shared" si="69"/>
        <v/>
      </c>
    </row>
    <row r="378" spans="1:45">
      <c r="A378" s="10"/>
      <c r="B378" s="9"/>
      <c r="C378" s="9"/>
      <c r="D378" s="9"/>
      <c r="E378" s="10"/>
      <c r="F378" s="11"/>
      <c r="G378" s="15"/>
      <c r="H378" s="88"/>
      <c r="I378" s="24"/>
      <c r="J378" s="24"/>
      <c r="K378" s="114" t="str">
        <f t="shared" si="60"/>
        <v/>
      </c>
      <c r="L378" s="24"/>
      <c r="M378" s="24"/>
      <c r="N378" s="24"/>
      <c r="O378" s="24"/>
      <c r="P378" s="97" t="str">
        <f t="shared" si="61"/>
        <v/>
      </c>
      <c r="Q378" s="113" t="str">
        <f t="shared" si="62"/>
        <v/>
      </c>
      <c r="R378" s="88"/>
      <c r="S378" s="24"/>
      <c r="T378" s="24"/>
      <c r="U378" s="78" t="str">
        <f t="shared" si="63"/>
        <v/>
      </c>
      <c r="V378" s="24"/>
      <c r="W378" s="24"/>
      <c r="X378" s="24"/>
      <c r="Y378" s="24"/>
      <c r="Z378" s="98" t="str">
        <f t="shared" si="64"/>
        <v/>
      </c>
      <c r="AA378" s="40" t="str">
        <f t="shared" si="70"/>
        <v/>
      </c>
      <c r="AB378" s="88"/>
      <c r="AC378" s="24"/>
      <c r="AD378" s="24"/>
      <c r="AE378" s="79" t="str">
        <f t="shared" si="65"/>
        <v/>
      </c>
      <c r="AF378" s="24"/>
      <c r="AG378" s="24"/>
      <c r="AH378" s="24"/>
      <c r="AI378" s="24"/>
      <c r="AJ378" s="99" t="str">
        <f t="shared" si="66"/>
        <v/>
      </c>
      <c r="AK378" s="31" t="str">
        <f t="shared" si="71"/>
        <v/>
      </c>
      <c r="AN378" s="139" t="str">
        <f>IF($K378="","",VLOOKUP($K378,'ORF Accuracy Value LookUp'!$G$4:$H$104,2,TRUE))</f>
        <v/>
      </c>
      <c r="AO378" s="94" t="str">
        <f t="shared" si="67"/>
        <v/>
      </c>
      <c r="AP378" s="47" t="str">
        <f>IF($U378="","",VLOOKUP($U378,'ORF Accuracy Value LookUp'!$G$4:$H$104,2,TRUE))</f>
        <v/>
      </c>
      <c r="AQ378" s="94" t="str">
        <f t="shared" si="68"/>
        <v/>
      </c>
      <c r="AR378" s="46" t="str">
        <f>IF($AE378="","",VLOOKUP($AE378,'ORF Accuracy Value LookUp'!$G$4:$H$104,2,TRUE))</f>
        <v/>
      </c>
      <c r="AS378" s="140" t="str">
        <f t="shared" si="69"/>
        <v/>
      </c>
    </row>
    <row r="379" spans="1:45">
      <c r="A379" s="10"/>
      <c r="B379" s="9"/>
      <c r="C379" s="9"/>
      <c r="D379" s="9"/>
      <c r="E379" s="10"/>
      <c r="F379" s="11"/>
      <c r="G379" s="15"/>
      <c r="H379" s="88"/>
      <c r="I379" s="24"/>
      <c r="J379" s="24"/>
      <c r="K379" s="114" t="str">
        <f t="shared" si="60"/>
        <v/>
      </c>
      <c r="L379" s="24"/>
      <c r="M379" s="24"/>
      <c r="N379" s="24"/>
      <c r="O379" s="24"/>
      <c r="P379" s="97" t="str">
        <f t="shared" si="61"/>
        <v/>
      </c>
      <c r="Q379" s="113" t="str">
        <f t="shared" si="62"/>
        <v/>
      </c>
      <c r="R379" s="88"/>
      <c r="S379" s="24"/>
      <c r="T379" s="24"/>
      <c r="U379" s="78" t="str">
        <f t="shared" si="63"/>
        <v/>
      </c>
      <c r="V379" s="24"/>
      <c r="W379" s="24"/>
      <c r="X379" s="24"/>
      <c r="Y379" s="24"/>
      <c r="Z379" s="98" t="str">
        <f t="shared" si="64"/>
        <v/>
      </c>
      <c r="AA379" s="40" t="str">
        <f t="shared" si="70"/>
        <v/>
      </c>
      <c r="AB379" s="88"/>
      <c r="AC379" s="24"/>
      <c r="AD379" s="24"/>
      <c r="AE379" s="79" t="str">
        <f t="shared" si="65"/>
        <v/>
      </c>
      <c r="AF379" s="24"/>
      <c r="AG379" s="24"/>
      <c r="AH379" s="24"/>
      <c r="AI379" s="24"/>
      <c r="AJ379" s="99" t="str">
        <f t="shared" si="66"/>
        <v/>
      </c>
      <c r="AK379" s="31" t="str">
        <f t="shared" si="71"/>
        <v/>
      </c>
      <c r="AN379" s="139" t="str">
        <f>IF($K379="","",VLOOKUP($K379,'ORF Accuracy Value LookUp'!$G$4:$H$104,2,TRUE))</f>
        <v/>
      </c>
      <c r="AO379" s="94" t="str">
        <f t="shared" si="67"/>
        <v/>
      </c>
      <c r="AP379" s="47" t="str">
        <f>IF($U379="","",VLOOKUP($U379,'ORF Accuracy Value LookUp'!$G$4:$H$104,2,TRUE))</f>
        <v/>
      </c>
      <c r="AQ379" s="94" t="str">
        <f t="shared" si="68"/>
        <v/>
      </c>
      <c r="AR379" s="46" t="str">
        <f>IF($AE379="","",VLOOKUP($AE379,'ORF Accuracy Value LookUp'!$G$4:$H$104,2,TRUE))</f>
        <v/>
      </c>
      <c r="AS379" s="140" t="str">
        <f t="shared" si="69"/>
        <v/>
      </c>
    </row>
    <row r="380" spans="1:45">
      <c r="A380" s="10"/>
      <c r="B380" s="9"/>
      <c r="C380" s="9"/>
      <c r="D380" s="9"/>
      <c r="E380" s="10"/>
      <c r="F380" s="11"/>
      <c r="G380" s="15"/>
      <c r="H380" s="88"/>
      <c r="I380" s="24"/>
      <c r="J380" s="24"/>
      <c r="K380" s="114" t="str">
        <f t="shared" si="60"/>
        <v/>
      </c>
      <c r="L380" s="24"/>
      <c r="M380" s="24"/>
      <c r="N380" s="24"/>
      <c r="O380" s="24"/>
      <c r="P380" s="97" t="str">
        <f t="shared" si="61"/>
        <v/>
      </c>
      <c r="Q380" s="113" t="str">
        <f t="shared" si="62"/>
        <v/>
      </c>
      <c r="R380" s="88"/>
      <c r="S380" s="24"/>
      <c r="T380" s="24"/>
      <c r="U380" s="78" t="str">
        <f t="shared" si="63"/>
        <v/>
      </c>
      <c r="V380" s="24"/>
      <c r="W380" s="24"/>
      <c r="X380" s="24"/>
      <c r="Y380" s="24"/>
      <c r="Z380" s="98" t="str">
        <f t="shared" si="64"/>
        <v/>
      </c>
      <c r="AA380" s="40" t="str">
        <f t="shared" si="70"/>
        <v/>
      </c>
      <c r="AB380" s="88"/>
      <c r="AC380" s="24"/>
      <c r="AD380" s="24"/>
      <c r="AE380" s="79" t="str">
        <f t="shared" si="65"/>
        <v/>
      </c>
      <c r="AF380" s="24"/>
      <c r="AG380" s="24"/>
      <c r="AH380" s="24"/>
      <c r="AI380" s="24"/>
      <c r="AJ380" s="99" t="str">
        <f t="shared" si="66"/>
        <v/>
      </c>
      <c r="AK380" s="31" t="str">
        <f t="shared" si="71"/>
        <v/>
      </c>
      <c r="AN380" s="139" t="str">
        <f>IF($K380="","",VLOOKUP($K380,'ORF Accuracy Value LookUp'!$G$4:$H$104,2,TRUE))</f>
        <v/>
      </c>
      <c r="AO380" s="94" t="str">
        <f t="shared" si="67"/>
        <v/>
      </c>
      <c r="AP380" s="47" t="str">
        <f>IF($U380="","",VLOOKUP($U380,'ORF Accuracy Value LookUp'!$G$4:$H$104,2,TRUE))</f>
        <v/>
      </c>
      <c r="AQ380" s="94" t="str">
        <f t="shared" si="68"/>
        <v/>
      </c>
      <c r="AR380" s="46" t="str">
        <f>IF($AE380="","",VLOOKUP($AE380,'ORF Accuracy Value LookUp'!$G$4:$H$104,2,TRUE))</f>
        <v/>
      </c>
      <c r="AS380" s="140" t="str">
        <f t="shared" si="69"/>
        <v/>
      </c>
    </row>
    <row r="381" spans="1:45">
      <c r="A381" s="10"/>
      <c r="B381" s="9"/>
      <c r="C381" s="9"/>
      <c r="D381" s="9"/>
      <c r="E381" s="10"/>
      <c r="F381" s="11"/>
      <c r="G381" s="15"/>
      <c r="H381" s="88"/>
      <c r="I381" s="24"/>
      <c r="J381" s="24"/>
      <c r="K381" s="114" t="str">
        <f t="shared" si="60"/>
        <v/>
      </c>
      <c r="L381" s="24"/>
      <c r="M381" s="24"/>
      <c r="N381" s="24"/>
      <c r="O381" s="24"/>
      <c r="P381" s="97" t="str">
        <f t="shared" si="61"/>
        <v/>
      </c>
      <c r="Q381" s="113" t="str">
        <f t="shared" si="62"/>
        <v/>
      </c>
      <c r="R381" s="88"/>
      <c r="S381" s="24"/>
      <c r="T381" s="24"/>
      <c r="U381" s="78" t="str">
        <f t="shared" si="63"/>
        <v/>
      </c>
      <c r="V381" s="24"/>
      <c r="W381" s="24"/>
      <c r="X381" s="24"/>
      <c r="Y381" s="24"/>
      <c r="Z381" s="98" t="str">
        <f t="shared" si="64"/>
        <v/>
      </c>
      <c r="AA381" s="40" t="str">
        <f t="shared" si="70"/>
        <v/>
      </c>
      <c r="AB381" s="88"/>
      <c r="AC381" s="24"/>
      <c r="AD381" s="24"/>
      <c r="AE381" s="79" t="str">
        <f t="shared" si="65"/>
        <v/>
      </c>
      <c r="AF381" s="24"/>
      <c r="AG381" s="24"/>
      <c r="AH381" s="24"/>
      <c r="AI381" s="24"/>
      <c r="AJ381" s="99" t="str">
        <f t="shared" si="66"/>
        <v/>
      </c>
      <c r="AK381" s="31" t="str">
        <f t="shared" si="71"/>
        <v/>
      </c>
      <c r="AN381" s="139" t="str">
        <f>IF($K381="","",VLOOKUP($K381,'ORF Accuracy Value LookUp'!$G$4:$H$104,2,TRUE))</f>
        <v/>
      </c>
      <c r="AO381" s="94" t="str">
        <f t="shared" si="67"/>
        <v/>
      </c>
      <c r="AP381" s="47" t="str">
        <f>IF($U381="","",VLOOKUP($U381,'ORF Accuracy Value LookUp'!$G$4:$H$104,2,TRUE))</f>
        <v/>
      </c>
      <c r="AQ381" s="94" t="str">
        <f t="shared" si="68"/>
        <v/>
      </c>
      <c r="AR381" s="46" t="str">
        <f>IF($AE381="","",VLOOKUP($AE381,'ORF Accuracy Value LookUp'!$G$4:$H$104,2,TRUE))</f>
        <v/>
      </c>
      <c r="AS381" s="140" t="str">
        <f t="shared" si="69"/>
        <v/>
      </c>
    </row>
    <row r="382" spans="1:45">
      <c r="A382" s="10"/>
      <c r="B382" s="9"/>
      <c r="C382" s="9"/>
      <c r="D382" s="9"/>
      <c r="E382" s="10"/>
      <c r="F382" s="11"/>
      <c r="G382" s="15"/>
      <c r="H382" s="88"/>
      <c r="I382" s="24"/>
      <c r="J382" s="24"/>
      <c r="K382" s="114" t="str">
        <f t="shared" si="60"/>
        <v/>
      </c>
      <c r="L382" s="24"/>
      <c r="M382" s="24"/>
      <c r="N382" s="24"/>
      <c r="O382" s="24"/>
      <c r="P382" s="97" t="str">
        <f t="shared" si="61"/>
        <v/>
      </c>
      <c r="Q382" s="113" t="str">
        <f t="shared" si="62"/>
        <v/>
      </c>
      <c r="R382" s="88"/>
      <c r="S382" s="24"/>
      <c r="T382" s="24"/>
      <c r="U382" s="78" t="str">
        <f t="shared" si="63"/>
        <v/>
      </c>
      <c r="V382" s="24"/>
      <c r="W382" s="24"/>
      <c r="X382" s="24"/>
      <c r="Y382" s="24"/>
      <c r="Z382" s="98" t="str">
        <f t="shared" si="64"/>
        <v/>
      </c>
      <c r="AA382" s="40" t="str">
        <f t="shared" si="70"/>
        <v/>
      </c>
      <c r="AB382" s="88"/>
      <c r="AC382" s="24"/>
      <c r="AD382" s="24"/>
      <c r="AE382" s="79" t="str">
        <f t="shared" si="65"/>
        <v/>
      </c>
      <c r="AF382" s="24"/>
      <c r="AG382" s="24"/>
      <c r="AH382" s="24"/>
      <c r="AI382" s="24"/>
      <c r="AJ382" s="99" t="str">
        <f t="shared" si="66"/>
        <v/>
      </c>
      <c r="AK382" s="31" t="str">
        <f t="shared" si="71"/>
        <v/>
      </c>
      <c r="AN382" s="139" t="str">
        <f>IF($K382="","",VLOOKUP($K382,'ORF Accuracy Value LookUp'!$G$4:$H$104,2,TRUE))</f>
        <v/>
      </c>
      <c r="AO382" s="94" t="str">
        <f t="shared" si="67"/>
        <v/>
      </c>
      <c r="AP382" s="47" t="str">
        <f>IF($U382="","",VLOOKUP($U382,'ORF Accuracy Value LookUp'!$G$4:$H$104,2,TRUE))</f>
        <v/>
      </c>
      <c r="AQ382" s="94" t="str">
        <f t="shared" si="68"/>
        <v/>
      </c>
      <c r="AR382" s="46" t="str">
        <f>IF($AE382="","",VLOOKUP($AE382,'ORF Accuracy Value LookUp'!$G$4:$H$104,2,TRUE))</f>
        <v/>
      </c>
      <c r="AS382" s="140" t="str">
        <f t="shared" si="69"/>
        <v/>
      </c>
    </row>
    <row r="383" spans="1:45">
      <c r="A383" s="10"/>
      <c r="B383" s="9"/>
      <c r="C383" s="9"/>
      <c r="D383" s="9"/>
      <c r="E383" s="10"/>
      <c r="F383" s="11"/>
      <c r="G383" s="15"/>
      <c r="H383" s="88"/>
      <c r="I383" s="24"/>
      <c r="J383" s="24"/>
      <c r="K383" s="114" t="str">
        <f t="shared" si="60"/>
        <v/>
      </c>
      <c r="L383" s="24"/>
      <c r="M383" s="24"/>
      <c r="N383" s="24"/>
      <c r="O383" s="24"/>
      <c r="P383" s="97" t="str">
        <f t="shared" si="61"/>
        <v/>
      </c>
      <c r="Q383" s="113" t="str">
        <f t="shared" si="62"/>
        <v/>
      </c>
      <c r="R383" s="88"/>
      <c r="S383" s="24"/>
      <c r="T383" s="24"/>
      <c r="U383" s="78" t="str">
        <f t="shared" si="63"/>
        <v/>
      </c>
      <c r="V383" s="24"/>
      <c r="W383" s="24"/>
      <c r="X383" s="24"/>
      <c r="Y383" s="24"/>
      <c r="Z383" s="98" t="str">
        <f t="shared" si="64"/>
        <v/>
      </c>
      <c r="AA383" s="40" t="str">
        <f t="shared" si="70"/>
        <v/>
      </c>
      <c r="AB383" s="88"/>
      <c r="AC383" s="24"/>
      <c r="AD383" s="24"/>
      <c r="AE383" s="79" t="str">
        <f t="shared" si="65"/>
        <v/>
      </c>
      <c r="AF383" s="24"/>
      <c r="AG383" s="24"/>
      <c r="AH383" s="24"/>
      <c r="AI383" s="24"/>
      <c r="AJ383" s="99" t="str">
        <f t="shared" si="66"/>
        <v/>
      </c>
      <c r="AK383" s="31" t="str">
        <f t="shared" si="71"/>
        <v/>
      </c>
      <c r="AN383" s="139" t="str">
        <f>IF($K383="","",VLOOKUP($K383,'ORF Accuracy Value LookUp'!$G$4:$H$104,2,TRUE))</f>
        <v/>
      </c>
      <c r="AO383" s="94" t="str">
        <f t="shared" si="67"/>
        <v/>
      </c>
      <c r="AP383" s="47" t="str">
        <f>IF($U383="","",VLOOKUP($U383,'ORF Accuracy Value LookUp'!$G$4:$H$104,2,TRUE))</f>
        <v/>
      </c>
      <c r="AQ383" s="94" t="str">
        <f t="shared" si="68"/>
        <v/>
      </c>
      <c r="AR383" s="46" t="str">
        <f>IF($AE383="","",VLOOKUP($AE383,'ORF Accuracy Value LookUp'!$G$4:$H$104,2,TRUE))</f>
        <v/>
      </c>
      <c r="AS383" s="140" t="str">
        <f t="shared" si="69"/>
        <v/>
      </c>
    </row>
    <row r="384" spans="1:45">
      <c r="A384" s="10"/>
      <c r="B384" s="9"/>
      <c r="C384" s="9"/>
      <c r="D384" s="9"/>
      <c r="E384" s="10"/>
      <c r="F384" s="11"/>
      <c r="G384" s="15"/>
      <c r="H384" s="88"/>
      <c r="I384" s="24"/>
      <c r="J384" s="24"/>
      <c r="K384" s="114" t="str">
        <f t="shared" si="60"/>
        <v/>
      </c>
      <c r="L384" s="24"/>
      <c r="M384" s="24"/>
      <c r="N384" s="24"/>
      <c r="O384" s="24"/>
      <c r="P384" s="97" t="str">
        <f t="shared" si="61"/>
        <v/>
      </c>
      <c r="Q384" s="113" t="str">
        <f t="shared" si="62"/>
        <v/>
      </c>
      <c r="R384" s="88"/>
      <c r="S384" s="24"/>
      <c r="T384" s="24"/>
      <c r="U384" s="78" t="str">
        <f t="shared" si="63"/>
        <v/>
      </c>
      <c r="V384" s="24"/>
      <c r="W384" s="24"/>
      <c r="X384" s="24"/>
      <c r="Y384" s="24"/>
      <c r="Z384" s="98" t="str">
        <f t="shared" si="64"/>
        <v/>
      </c>
      <c r="AA384" s="40" t="str">
        <f t="shared" si="70"/>
        <v/>
      </c>
      <c r="AB384" s="88"/>
      <c r="AC384" s="24"/>
      <c r="AD384" s="24"/>
      <c r="AE384" s="79" t="str">
        <f t="shared" si="65"/>
        <v/>
      </c>
      <c r="AF384" s="24"/>
      <c r="AG384" s="24"/>
      <c r="AH384" s="24"/>
      <c r="AI384" s="24"/>
      <c r="AJ384" s="99" t="str">
        <f t="shared" si="66"/>
        <v/>
      </c>
      <c r="AK384" s="31" t="str">
        <f t="shared" si="71"/>
        <v/>
      </c>
      <c r="AN384" s="139" t="str">
        <f>IF($K384="","",VLOOKUP($K384,'ORF Accuracy Value LookUp'!$G$4:$H$104,2,TRUE))</f>
        <v/>
      </c>
      <c r="AO384" s="94" t="str">
        <f t="shared" si="67"/>
        <v/>
      </c>
      <c r="AP384" s="47" t="str">
        <f>IF($U384="","",VLOOKUP($U384,'ORF Accuracy Value LookUp'!$G$4:$H$104,2,TRUE))</f>
        <v/>
      </c>
      <c r="AQ384" s="94" t="str">
        <f t="shared" si="68"/>
        <v/>
      </c>
      <c r="AR384" s="46" t="str">
        <f>IF($AE384="","",VLOOKUP($AE384,'ORF Accuracy Value LookUp'!$G$4:$H$104,2,TRUE))</f>
        <v/>
      </c>
      <c r="AS384" s="140" t="str">
        <f t="shared" si="69"/>
        <v/>
      </c>
    </row>
    <row r="385" spans="1:45">
      <c r="A385" s="10"/>
      <c r="B385" s="9"/>
      <c r="C385" s="9"/>
      <c r="D385" s="9"/>
      <c r="E385" s="10"/>
      <c r="F385" s="11"/>
      <c r="G385" s="15"/>
      <c r="H385" s="88"/>
      <c r="I385" s="24"/>
      <c r="J385" s="24"/>
      <c r="K385" s="114" t="str">
        <f t="shared" si="60"/>
        <v/>
      </c>
      <c r="L385" s="24"/>
      <c r="M385" s="24"/>
      <c r="N385" s="24"/>
      <c r="O385" s="24"/>
      <c r="P385" s="97" t="str">
        <f t="shared" si="61"/>
        <v/>
      </c>
      <c r="Q385" s="113" t="str">
        <f t="shared" si="62"/>
        <v/>
      </c>
      <c r="R385" s="88"/>
      <c r="S385" s="24"/>
      <c r="T385" s="24"/>
      <c r="U385" s="78" t="str">
        <f t="shared" si="63"/>
        <v/>
      </c>
      <c r="V385" s="24"/>
      <c r="W385" s="24"/>
      <c r="X385" s="24"/>
      <c r="Y385" s="24"/>
      <c r="Z385" s="98" t="str">
        <f t="shared" si="64"/>
        <v/>
      </c>
      <c r="AA385" s="40" t="str">
        <f t="shared" si="70"/>
        <v/>
      </c>
      <c r="AB385" s="88"/>
      <c r="AC385" s="24"/>
      <c r="AD385" s="24"/>
      <c r="AE385" s="79" t="str">
        <f t="shared" si="65"/>
        <v/>
      </c>
      <c r="AF385" s="24"/>
      <c r="AG385" s="24"/>
      <c r="AH385" s="24"/>
      <c r="AI385" s="24"/>
      <c r="AJ385" s="99" t="str">
        <f t="shared" si="66"/>
        <v/>
      </c>
      <c r="AK385" s="31" t="str">
        <f t="shared" si="71"/>
        <v/>
      </c>
      <c r="AN385" s="139" t="str">
        <f>IF($K385="","",VLOOKUP($K385,'ORF Accuracy Value LookUp'!$G$4:$H$104,2,TRUE))</f>
        <v/>
      </c>
      <c r="AO385" s="94" t="str">
        <f t="shared" si="67"/>
        <v/>
      </c>
      <c r="AP385" s="47" t="str">
        <f>IF($U385="","",VLOOKUP($U385,'ORF Accuracy Value LookUp'!$G$4:$H$104,2,TRUE))</f>
        <v/>
      </c>
      <c r="AQ385" s="94" t="str">
        <f t="shared" si="68"/>
        <v/>
      </c>
      <c r="AR385" s="46" t="str">
        <f>IF($AE385="","",VLOOKUP($AE385,'ORF Accuracy Value LookUp'!$G$4:$H$104,2,TRUE))</f>
        <v/>
      </c>
      <c r="AS385" s="140" t="str">
        <f t="shared" si="69"/>
        <v/>
      </c>
    </row>
    <row r="386" spans="1:45">
      <c r="A386" s="10"/>
      <c r="B386" s="9"/>
      <c r="C386" s="9"/>
      <c r="D386" s="9"/>
      <c r="E386" s="10"/>
      <c r="F386" s="11"/>
      <c r="G386" s="15"/>
      <c r="H386" s="88"/>
      <c r="I386" s="24"/>
      <c r="J386" s="24"/>
      <c r="K386" s="114" t="str">
        <f t="shared" si="60"/>
        <v/>
      </c>
      <c r="L386" s="24"/>
      <c r="M386" s="24"/>
      <c r="N386" s="24"/>
      <c r="O386" s="24"/>
      <c r="P386" s="97" t="str">
        <f t="shared" si="61"/>
        <v/>
      </c>
      <c r="Q386" s="113" t="str">
        <f t="shared" si="62"/>
        <v/>
      </c>
      <c r="R386" s="88"/>
      <c r="S386" s="24"/>
      <c r="T386" s="24"/>
      <c r="U386" s="78" t="str">
        <f t="shared" si="63"/>
        <v/>
      </c>
      <c r="V386" s="24"/>
      <c r="W386" s="24"/>
      <c r="X386" s="24"/>
      <c r="Y386" s="24"/>
      <c r="Z386" s="98" t="str">
        <f t="shared" si="64"/>
        <v/>
      </c>
      <c r="AA386" s="40" t="str">
        <f t="shared" si="70"/>
        <v/>
      </c>
      <c r="AB386" s="88"/>
      <c r="AC386" s="24"/>
      <c r="AD386" s="24"/>
      <c r="AE386" s="79" t="str">
        <f t="shared" si="65"/>
        <v/>
      </c>
      <c r="AF386" s="24"/>
      <c r="AG386" s="24"/>
      <c r="AH386" s="24"/>
      <c r="AI386" s="24"/>
      <c r="AJ386" s="99" t="str">
        <f t="shared" si="66"/>
        <v/>
      </c>
      <c r="AK386" s="31" t="str">
        <f t="shared" si="71"/>
        <v/>
      </c>
      <c r="AN386" s="139" t="str">
        <f>IF($K386="","",VLOOKUP($K386,'ORF Accuracy Value LookUp'!$G$4:$H$104,2,TRUE))</f>
        <v/>
      </c>
      <c r="AO386" s="94" t="str">
        <f t="shared" si="67"/>
        <v/>
      </c>
      <c r="AP386" s="47" t="str">
        <f>IF($U386="","",VLOOKUP($U386,'ORF Accuracy Value LookUp'!$G$4:$H$104,2,TRUE))</f>
        <v/>
      </c>
      <c r="AQ386" s="94" t="str">
        <f t="shared" si="68"/>
        <v/>
      </c>
      <c r="AR386" s="46" t="str">
        <f>IF($AE386="","",VLOOKUP($AE386,'ORF Accuracy Value LookUp'!$G$4:$H$104,2,TRUE))</f>
        <v/>
      </c>
      <c r="AS386" s="140" t="str">
        <f t="shared" si="69"/>
        <v/>
      </c>
    </row>
    <row r="387" spans="1:45">
      <c r="A387" s="10"/>
      <c r="B387" s="9"/>
      <c r="C387" s="9"/>
      <c r="D387" s="9"/>
      <c r="E387" s="10"/>
      <c r="F387" s="11"/>
      <c r="G387" s="15"/>
      <c r="H387" s="88"/>
      <c r="I387" s="24"/>
      <c r="J387" s="24"/>
      <c r="K387" s="114" t="str">
        <f t="shared" si="60"/>
        <v/>
      </c>
      <c r="L387" s="24"/>
      <c r="M387" s="24"/>
      <c r="N387" s="24"/>
      <c r="O387" s="24"/>
      <c r="P387" s="97" t="str">
        <f t="shared" si="61"/>
        <v/>
      </c>
      <c r="Q387" s="113" t="str">
        <f t="shared" si="62"/>
        <v/>
      </c>
      <c r="R387" s="88"/>
      <c r="S387" s="24"/>
      <c r="T387" s="24"/>
      <c r="U387" s="78" t="str">
        <f t="shared" si="63"/>
        <v/>
      </c>
      <c r="V387" s="24"/>
      <c r="W387" s="24"/>
      <c r="X387" s="24"/>
      <c r="Y387" s="24"/>
      <c r="Z387" s="98" t="str">
        <f t="shared" si="64"/>
        <v/>
      </c>
      <c r="AA387" s="40" t="str">
        <f t="shared" si="70"/>
        <v/>
      </c>
      <c r="AB387" s="88"/>
      <c r="AC387" s="24"/>
      <c r="AD387" s="24"/>
      <c r="AE387" s="79" t="str">
        <f t="shared" si="65"/>
        <v/>
      </c>
      <c r="AF387" s="24"/>
      <c r="AG387" s="24"/>
      <c r="AH387" s="24"/>
      <c r="AI387" s="24"/>
      <c r="AJ387" s="99" t="str">
        <f t="shared" si="66"/>
        <v/>
      </c>
      <c r="AK387" s="31" t="str">
        <f t="shared" si="71"/>
        <v/>
      </c>
      <c r="AN387" s="139" t="str">
        <f>IF($K387="","",VLOOKUP($K387,'ORF Accuracy Value LookUp'!$G$4:$H$104,2,TRUE))</f>
        <v/>
      </c>
      <c r="AO387" s="94" t="str">
        <f t="shared" si="67"/>
        <v/>
      </c>
      <c r="AP387" s="47" t="str">
        <f>IF($U387="","",VLOOKUP($U387,'ORF Accuracy Value LookUp'!$G$4:$H$104,2,TRUE))</f>
        <v/>
      </c>
      <c r="AQ387" s="94" t="str">
        <f t="shared" si="68"/>
        <v/>
      </c>
      <c r="AR387" s="46" t="str">
        <f>IF($AE387="","",VLOOKUP($AE387,'ORF Accuracy Value LookUp'!$G$4:$H$104,2,TRUE))</f>
        <v/>
      </c>
      <c r="AS387" s="140" t="str">
        <f t="shared" si="69"/>
        <v/>
      </c>
    </row>
    <row r="388" spans="1:45">
      <c r="A388" s="10"/>
      <c r="B388" s="9"/>
      <c r="C388" s="9"/>
      <c r="D388" s="9"/>
      <c r="E388" s="10"/>
      <c r="F388" s="11"/>
      <c r="G388" s="15"/>
      <c r="H388" s="88"/>
      <c r="I388" s="24"/>
      <c r="J388" s="24"/>
      <c r="K388" s="114" t="str">
        <f t="shared" si="60"/>
        <v/>
      </c>
      <c r="L388" s="24"/>
      <c r="M388" s="24"/>
      <c r="N388" s="24"/>
      <c r="O388" s="24"/>
      <c r="P388" s="97" t="str">
        <f t="shared" si="61"/>
        <v/>
      </c>
      <c r="Q388" s="113" t="str">
        <f t="shared" si="62"/>
        <v/>
      </c>
      <c r="R388" s="88"/>
      <c r="S388" s="24"/>
      <c r="T388" s="24"/>
      <c r="U388" s="78" t="str">
        <f t="shared" si="63"/>
        <v/>
      </c>
      <c r="V388" s="24"/>
      <c r="W388" s="24"/>
      <c r="X388" s="24"/>
      <c r="Y388" s="24"/>
      <c r="Z388" s="98" t="str">
        <f t="shared" si="64"/>
        <v/>
      </c>
      <c r="AA388" s="40" t="str">
        <f t="shared" si="70"/>
        <v/>
      </c>
      <c r="AB388" s="88"/>
      <c r="AC388" s="24"/>
      <c r="AD388" s="24"/>
      <c r="AE388" s="79" t="str">
        <f t="shared" si="65"/>
        <v/>
      </c>
      <c r="AF388" s="24"/>
      <c r="AG388" s="24"/>
      <c r="AH388" s="24"/>
      <c r="AI388" s="24"/>
      <c r="AJ388" s="99" t="str">
        <f t="shared" si="66"/>
        <v/>
      </c>
      <c r="AK388" s="31" t="str">
        <f t="shared" si="71"/>
        <v/>
      </c>
      <c r="AN388" s="139" t="str">
        <f>IF($K388="","",VLOOKUP($K388,'ORF Accuracy Value LookUp'!$G$4:$H$104,2,TRUE))</f>
        <v/>
      </c>
      <c r="AO388" s="94" t="str">
        <f t="shared" si="67"/>
        <v/>
      </c>
      <c r="AP388" s="47" t="str">
        <f>IF($U388="","",VLOOKUP($U388,'ORF Accuracy Value LookUp'!$G$4:$H$104,2,TRUE))</f>
        <v/>
      </c>
      <c r="AQ388" s="94" t="str">
        <f t="shared" si="68"/>
        <v/>
      </c>
      <c r="AR388" s="46" t="str">
        <f>IF($AE388="","",VLOOKUP($AE388,'ORF Accuracy Value LookUp'!$G$4:$H$104,2,TRUE))</f>
        <v/>
      </c>
      <c r="AS388" s="140" t="str">
        <f t="shared" si="69"/>
        <v/>
      </c>
    </row>
    <row r="389" spans="1:45">
      <c r="A389" s="10"/>
      <c r="B389" s="9"/>
      <c r="C389" s="9"/>
      <c r="D389" s="9"/>
      <c r="E389" s="10"/>
      <c r="F389" s="11"/>
      <c r="G389" s="15"/>
      <c r="H389" s="88"/>
      <c r="I389" s="24"/>
      <c r="J389" s="24"/>
      <c r="K389" s="114" t="str">
        <f t="shared" si="60"/>
        <v/>
      </c>
      <c r="L389" s="24"/>
      <c r="M389" s="24"/>
      <c r="N389" s="24"/>
      <c r="O389" s="24"/>
      <c r="P389" s="97" t="str">
        <f t="shared" si="61"/>
        <v/>
      </c>
      <c r="Q389" s="113" t="str">
        <f t="shared" si="62"/>
        <v/>
      </c>
      <c r="R389" s="88"/>
      <c r="S389" s="24"/>
      <c r="T389" s="24"/>
      <c r="U389" s="78" t="str">
        <f t="shared" si="63"/>
        <v/>
      </c>
      <c r="V389" s="24"/>
      <c r="W389" s="24"/>
      <c r="X389" s="24"/>
      <c r="Y389" s="24"/>
      <c r="Z389" s="98" t="str">
        <f t="shared" si="64"/>
        <v/>
      </c>
      <c r="AA389" s="40" t="str">
        <f t="shared" si="70"/>
        <v/>
      </c>
      <c r="AB389" s="88"/>
      <c r="AC389" s="24"/>
      <c r="AD389" s="24"/>
      <c r="AE389" s="79" t="str">
        <f t="shared" si="65"/>
        <v/>
      </c>
      <c r="AF389" s="24"/>
      <c r="AG389" s="24"/>
      <c r="AH389" s="24"/>
      <c r="AI389" s="24"/>
      <c r="AJ389" s="99" t="str">
        <f t="shared" si="66"/>
        <v/>
      </c>
      <c r="AK389" s="31" t="str">
        <f t="shared" si="71"/>
        <v/>
      </c>
      <c r="AN389" s="139" t="str">
        <f>IF($K389="","",VLOOKUP($K389,'ORF Accuracy Value LookUp'!$G$4:$H$104,2,TRUE))</f>
        <v/>
      </c>
      <c r="AO389" s="94" t="str">
        <f t="shared" si="67"/>
        <v/>
      </c>
      <c r="AP389" s="47" t="str">
        <f>IF($U389="","",VLOOKUP($U389,'ORF Accuracy Value LookUp'!$G$4:$H$104,2,TRUE))</f>
        <v/>
      </c>
      <c r="AQ389" s="94" t="str">
        <f t="shared" si="68"/>
        <v/>
      </c>
      <c r="AR389" s="46" t="str">
        <f>IF($AE389="","",VLOOKUP($AE389,'ORF Accuracy Value LookUp'!$G$4:$H$104,2,TRUE))</f>
        <v/>
      </c>
      <c r="AS389" s="140" t="str">
        <f t="shared" si="69"/>
        <v/>
      </c>
    </row>
    <row r="390" spans="1:45">
      <c r="A390" s="10"/>
      <c r="B390" s="9"/>
      <c r="C390" s="9"/>
      <c r="D390" s="9"/>
      <c r="E390" s="10"/>
      <c r="F390" s="11"/>
      <c r="G390" s="15"/>
      <c r="H390" s="88"/>
      <c r="I390" s="24"/>
      <c r="J390" s="24"/>
      <c r="K390" s="114" t="str">
        <f t="shared" si="60"/>
        <v/>
      </c>
      <c r="L390" s="24"/>
      <c r="M390" s="24"/>
      <c r="N390" s="24"/>
      <c r="O390" s="24"/>
      <c r="P390" s="97" t="str">
        <f t="shared" si="61"/>
        <v/>
      </c>
      <c r="Q390" s="113" t="str">
        <f t="shared" si="62"/>
        <v/>
      </c>
      <c r="R390" s="88"/>
      <c r="S390" s="24"/>
      <c r="T390" s="24"/>
      <c r="U390" s="78" t="str">
        <f t="shared" si="63"/>
        <v/>
      </c>
      <c r="V390" s="24"/>
      <c r="W390" s="24"/>
      <c r="X390" s="24"/>
      <c r="Y390" s="24"/>
      <c r="Z390" s="98" t="str">
        <f t="shared" si="64"/>
        <v/>
      </c>
      <c r="AA390" s="40" t="str">
        <f t="shared" si="70"/>
        <v/>
      </c>
      <c r="AB390" s="88"/>
      <c r="AC390" s="24"/>
      <c r="AD390" s="24"/>
      <c r="AE390" s="79" t="str">
        <f t="shared" si="65"/>
        <v/>
      </c>
      <c r="AF390" s="24"/>
      <c r="AG390" s="24"/>
      <c r="AH390" s="24"/>
      <c r="AI390" s="24"/>
      <c r="AJ390" s="99" t="str">
        <f t="shared" si="66"/>
        <v/>
      </c>
      <c r="AK390" s="31" t="str">
        <f t="shared" si="71"/>
        <v/>
      </c>
      <c r="AN390" s="139" t="str">
        <f>IF($K390="","",VLOOKUP($K390,'ORF Accuracy Value LookUp'!$G$4:$H$104,2,TRUE))</f>
        <v/>
      </c>
      <c r="AO390" s="94" t="str">
        <f t="shared" si="67"/>
        <v/>
      </c>
      <c r="AP390" s="47" t="str">
        <f>IF($U390="","",VLOOKUP($U390,'ORF Accuracy Value LookUp'!$G$4:$H$104,2,TRUE))</f>
        <v/>
      </c>
      <c r="AQ390" s="94" t="str">
        <f t="shared" si="68"/>
        <v/>
      </c>
      <c r="AR390" s="46" t="str">
        <f>IF($AE390="","",VLOOKUP($AE390,'ORF Accuracy Value LookUp'!$G$4:$H$104,2,TRUE))</f>
        <v/>
      </c>
      <c r="AS390" s="140" t="str">
        <f t="shared" si="69"/>
        <v/>
      </c>
    </row>
    <row r="391" spans="1:45">
      <c r="A391" s="10"/>
      <c r="B391" s="9"/>
      <c r="C391" s="9"/>
      <c r="D391" s="9"/>
      <c r="E391" s="10"/>
      <c r="F391" s="11"/>
      <c r="G391" s="15"/>
      <c r="H391" s="88"/>
      <c r="I391" s="24"/>
      <c r="J391" s="24"/>
      <c r="K391" s="114" t="str">
        <f t="shared" si="60"/>
        <v/>
      </c>
      <c r="L391" s="24"/>
      <c r="M391" s="24"/>
      <c r="N391" s="24"/>
      <c r="O391" s="24"/>
      <c r="P391" s="97" t="str">
        <f t="shared" si="61"/>
        <v/>
      </c>
      <c r="Q391" s="113" t="str">
        <f t="shared" si="62"/>
        <v/>
      </c>
      <c r="R391" s="88"/>
      <c r="S391" s="24"/>
      <c r="T391" s="24"/>
      <c r="U391" s="78" t="str">
        <f t="shared" si="63"/>
        <v/>
      </c>
      <c r="V391" s="24"/>
      <c r="W391" s="24"/>
      <c r="X391" s="24"/>
      <c r="Y391" s="24"/>
      <c r="Z391" s="98" t="str">
        <f t="shared" si="64"/>
        <v/>
      </c>
      <c r="AA391" s="40" t="str">
        <f t="shared" si="70"/>
        <v/>
      </c>
      <c r="AB391" s="88"/>
      <c r="AC391" s="24"/>
      <c r="AD391" s="24"/>
      <c r="AE391" s="79" t="str">
        <f t="shared" si="65"/>
        <v/>
      </c>
      <c r="AF391" s="24"/>
      <c r="AG391" s="24"/>
      <c r="AH391" s="24"/>
      <c r="AI391" s="24"/>
      <c r="AJ391" s="99" t="str">
        <f t="shared" si="66"/>
        <v/>
      </c>
      <c r="AK391" s="31" t="str">
        <f t="shared" si="71"/>
        <v/>
      </c>
      <c r="AN391" s="139" t="str">
        <f>IF($K391="","",VLOOKUP($K391,'ORF Accuracy Value LookUp'!$G$4:$H$104,2,TRUE))</f>
        <v/>
      </c>
      <c r="AO391" s="94" t="str">
        <f t="shared" si="67"/>
        <v/>
      </c>
      <c r="AP391" s="47" t="str">
        <f>IF($U391="","",VLOOKUP($U391,'ORF Accuracy Value LookUp'!$G$4:$H$104,2,TRUE))</f>
        <v/>
      </c>
      <c r="AQ391" s="94" t="str">
        <f t="shared" si="68"/>
        <v/>
      </c>
      <c r="AR391" s="46" t="str">
        <f>IF($AE391="","",VLOOKUP($AE391,'ORF Accuracy Value LookUp'!$G$4:$H$104,2,TRUE))</f>
        <v/>
      </c>
      <c r="AS391" s="140" t="str">
        <f t="shared" si="69"/>
        <v/>
      </c>
    </row>
    <row r="392" spans="1:45">
      <c r="A392" s="10"/>
      <c r="B392" s="9"/>
      <c r="C392" s="9"/>
      <c r="D392" s="9"/>
      <c r="E392" s="10"/>
      <c r="F392" s="11"/>
      <c r="G392" s="15"/>
      <c r="H392" s="88"/>
      <c r="I392" s="24"/>
      <c r="J392" s="24"/>
      <c r="K392" s="114" t="str">
        <f t="shared" ref="K392:K400" si="72">IF($I392="","",SUM($I392/($I392+$J392)))</f>
        <v/>
      </c>
      <c r="L392" s="24"/>
      <c r="M392" s="24"/>
      <c r="N392" s="24"/>
      <c r="O392" s="24"/>
      <c r="P392" s="97" t="str">
        <f t="shared" ref="P392:P400" si="73">IF($AO392&gt;0,$AO392,0)</f>
        <v/>
      </c>
      <c r="Q392" s="113" t="str">
        <f t="shared" ref="Q392:Q400" si="74">IF($B392="","",SUM($I392+$AN392+($L392*2)+($P392*2)))</f>
        <v/>
      </c>
      <c r="R392" s="88"/>
      <c r="S392" s="24"/>
      <c r="T392" s="24"/>
      <c r="U392" s="78" t="str">
        <f t="shared" ref="U392:U400" si="75">IF($S392="","",SUM($S392/($S392+$T392)))</f>
        <v/>
      </c>
      <c r="V392" s="24"/>
      <c r="W392" s="24"/>
      <c r="X392" s="24"/>
      <c r="Y392" s="24"/>
      <c r="Z392" s="98" t="str">
        <f t="shared" ref="Z392:Z400" si="76">IF($AQ392&gt;0,$AQ392,0)</f>
        <v/>
      </c>
      <c r="AA392" s="40" t="str">
        <f t="shared" si="70"/>
        <v/>
      </c>
      <c r="AB392" s="88"/>
      <c r="AC392" s="24"/>
      <c r="AD392" s="24"/>
      <c r="AE392" s="79" t="str">
        <f t="shared" ref="AE392:AE400" si="77">IF($AC392="","",SUM($AC392/($AC392+$AD392)))</f>
        <v/>
      </c>
      <c r="AF392" s="24"/>
      <c r="AG392" s="24"/>
      <c r="AH392" s="24"/>
      <c r="AI392" s="24"/>
      <c r="AJ392" s="99" t="str">
        <f t="shared" ref="AJ392:AJ400" si="78">IF($AS392&gt;0,$AS392,0)</f>
        <v/>
      </c>
      <c r="AK392" s="31" t="str">
        <f t="shared" si="71"/>
        <v/>
      </c>
      <c r="AN392" s="139" t="str">
        <f>IF($K392="","",VLOOKUP($K392,'ORF Accuracy Value LookUp'!$G$4:$H$104,2,TRUE))</f>
        <v/>
      </c>
      <c r="AO392" s="94" t="str">
        <f t="shared" ref="AO392:AO400" si="79">IF($N392="","",($N392-($O392/2)))</f>
        <v/>
      </c>
      <c r="AP392" s="47" t="str">
        <f>IF($U392="","",VLOOKUP($U392,'ORF Accuracy Value LookUp'!$G$4:$H$104,2,TRUE))</f>
        <v/>
      </c>
      <c r="AQ392" s="94" t="str">
        <f t="shared" ref="AQ392:AQ400" si="80">IF($X392="","",$X392-($Y392/2))</f>
        <v/>
      </c>
      <c r="AR392" s="46" t="str">
        <f>IF($AE392="","",VLOOKUP($AE392,'ORF Accuracy Value LookUp'!$G$4:$H$104,2,TRUE))</f>
        <v/>
      </c>
      <c r="AS392" s="140" t="str">
        <f t="shared" ref="AS392:AS400" si="81">IF($AH392="","",$AH392-($AI392/2))</f>
        <v/>
      </c>
    </row>
    <row r="393" spans="1:45">
      <c r="A393" s="10"/>
      <c r="B393" s="9"/>
      <c r="C393" s="9"/>
      <c r="D393" s="9"/>
      <c r="E393" s="10"/>
      <c r="F393" s="11"/>
      <c r="G393" s="15"/>
      <c r="H393" s="88"/>
      <c r="I393" s="24"/>
      <c r="J393" s="24"/>
      <c r="K393" s="114" t="str">
        <f t="shared" si="72"/>
        <v/>
      </c>
      <c r="L393" s="24"/>
      <c r="M393" s="24"/>
      <c r="N393" s="24"/>
      <c r="O393" s="24"/>
      <c r="P393" s="97" t="str">
        <f t="shared" si="73"/>
        <v/>
      </c>
      <c r="Q393" s="113" t="str">
        <f t="shared" si="74"/>
        <v/>
      </c>
      <c r="R393" s="88"/>
      <c r="S393" s="24"/>
      <c r="T393" s="24"/>
      <c r="U393" s="78" t="str">
        <f t="shared" si="75"/>
        <v/>
      </c>
      <c r="V393" s="24"/>
      <c r="W393" s="24"/>
      <c r="X393" s="24"/>
      <c r="Y393" s="24"/>
      <c r="Z393" s="98" t="str">
        <f t="shared" si="76"/>
        <v/>
      </c>
      <c r="AA393" s="40" t="str">
        <f t="shared" ref="AA393:AA400" si="82">IF($R393="","",SUM($S393+$AP393+($V393*2)+($Z393*4)))</f>
        <v/>
      </c>
      <c r="AB393" s="88"/>
      <c r="AC393" s="24"/>
      <c r="AD393" s="24"/>
      <c r="AE393" s="79" t="str">
        <f t="shared" si="77"/>
        <v/>
      </c>
      <c r="AF393" s="24"/>
      <c r="AG393" s="24"/>
      <c r="AH393" s="24"/>
      <c r="AI393" s="24"/>
      <c r="AJ393" s="99" t="str">
        <f t="shared" si="78"/>
        <v/>
      </c>
      <c r="AK393" s="31" t="str">
        <f t="shared" ref="AK393:AK400" si="83">IF($AB393="","",SUM($AC393+$AR393+($AF393*2)+($AJ393*4)))</f>
        <v/>
      </c>
      <c r="AN393" s="139" t="str">
        <f>IF($K393="","",VLOOKUP($K393,'ORF Accuracy Value LookUp'!$G$4:$H$104,2,TRUE))</f>
        <v/>
      </c>
      <c r="AO393" s="94" t="str">
        <f t="shared" si="79"/>
        <v/>
      </c>
      <c r="AP393" s="47" t="str">
        <f>IF($U393="","",VLOOKUP($U393,'ORF Accuracy Value LookUp'!$G$4:$H$104,2,TRUE))</f>
        <v/>
      </c>
      <c r="AQ393" s="94" t="str">
        <f t="shared" si="80"/>
        <v/>
      </c>
      <c r="AR393" s="46" t="str">
        <f>IF($AE393="","",VLOOKUP($AE393,'ORF Accuracy Value LookUp'!$G$4:$H$104,2,TRUE))</f>
        <v/>
      </c>
      <c r="AS393" s="140" t="str">
        <f t="shared" si="81"/>
        <v/>
      </c>
    </row>
    <row r="394" spans="1:45">
      <c r="A394" s="10"/>
      <c r="B394" s="9"/>
      <c r="C394" s="9"/>
      <c r="D394" s="9"/>
      <c r="E394" s="10"/>
      <c r="F394" s="11"/>
      <c r="G394" s="15"/>
      <c r="H394" s="88"/>
      <c r="I394" s="24"/>
      <c r="J394" s="24"/>
      <c r="K394" s="114" t="str">
        <f t="shared" si="72"/>
        <v/>
      </c>
      <c r="L394" s="24"/>
      <c r="M394" s="24"/>
      <c r="N394" s="24"/>
      <c r="O394" s="24"/>
      <c r="P394" s="97" t="str">
        <f t="shared" si="73"/>
        <v/>
      </c>
      <c r="Q394" s="113" t="str">
        <f t="shared" si="74"/>
        <v/>
      </c>
      <c r="R394" s="88"/>
      <c r="S394" s="24"/>
      <c r="T394" s="24"/>
      <c r="U394" s="78" t="str">
        <f t="shared" si="75"/>
        <v/>
      </c>
      <c r="V394" s="24"/>
      <c r="W394" s="24"/>
      <c r="X394" s="24"/>
      <c r="Y394" s="24"/>
      <c r="Z394" s="98" t="str">
        <f t="shared" si="76"/>
        <v/>
      </c>
      <c r="AA394" s="40" t="str">
        <f t="shared" si="82"/>
        <v/>
      </c>
      <c r="AB394" s="88"/>
      <c r="AC394" s="24"/>
      <c r="AD394" s="24"/>
      <c r="AE394" s="79" t="str">
        <f t="shared" si="77"/>
        <v/>
      </c>
      <c r="AF394" s="24"/>
      <c r="AG394" s="24"/>
      <c r="AH394" s="24"/>
      <c r="AI394" s="24"/>
      <c r="AJ394" s="99" t="str">
        <f t="shared" si="78"/>
        <v/>
      </c>
      <c r="AK394" s="31" t="str">
        <f t="shared" si="83"/>
        <v/>
      </c>
      <c r="AN394" s="139" t="str">
        <f>IF($K394="","",VLOOKUP($K394,'ORF Accuracy Value LookUp'!$G$4:$H$104,2,TRUE))</f>
        <v/>
      </c>
      <c r="AO394" s="94" t="str">
        <f t="shared" si="79"/>
        <v/>
      </c>
      <c r="AP394" s="47" t="str">
        <f>IF($U394="","",VLOOKUP($U394,'ORF Accuracy Value LookUp'!$G$4:$H$104,2,TRUE))</f>
        <v/>
      </c>
      <c r="AQ394" s="94" t="str">
        <f t="shared" si="80"/>
        <v/>
      </c>
      <c r="AR394" s="46" t="str">
        <f>IF($AE394="","",VLOOKUP($AE394,'ORF Accuracy Value LookUp'!$G$4:$H$104,2,TRUE))</f>
        <v/>
      </c>
      <c r="AS394" s="140" t="str">
        <f t="shared" si="81"/>
        <v/>
      </c>
    </row>
    <row r="395" spans="1:45">
      <c r="A395" s="10"/>
      <c r="B395" s="9"/>
      <c r="C395" s="9"/>
      <c r="D395" s="9"/>
      <c r="E395" s="10"/>
      <c r="F395" s="11"/>
      <c r="G395" s="15"/>
      <c r="H395" s="88"/>
      <c r="I395" s="24"/>
      <c r="J395" s="24"/>
      <c r="K395" s="114" t="str">
        <f t="shared" si="72"/>
        <v/>
      </c>
      <c r="L395" s="24"/>
      <c r="M395" s="24"/>
      <c r="N395" s="24"/>
      <c r="O395" s="24"/>
      <c r="P395" s="97" t="str">
        <f t="shared" si="73"/>
        <v/>
      </c>
      <c r="Q395" s="113" t="str">
        <f t="shared" si="74"/>
        <v/>
      </c>
      <c r="R395" s="88"/>
      <c r="S395" s="24"/>
      <c r="T395" s="24"/>
      <c r="U395" s="78" t="str">
        <f t="shared" si="75"/>
        <v/>
      </c>
      <c r="V395" s="24"/>
      <c r="W395" s="24"/>
      <c r="X395" s="24"/>
      <c r="Y395" s="24"/>
      <c r="Z395" s="98" t="str">
        <f t="shared" si="76"/>
        <v/>
      </c>
      <c r="AA395" s="40" t="str">
        <f t="shared" si="82"/>
        <v/>
      </c>
      <c r="AB395" s="88"/>
      <c r="AC395" s="24"/>
      <c r="AD395" s="24"/>
      <c r="AE395" s="79" t="str">
        <f t="shared" si="77"/>
        <v/>
      </c>
      <c r="AF395" s="24"/>
      <c r="AG395" s="24"/>
      <c r="AH395" s="24"/>
      <c r="AI395" s="24"/>
      <c r="AJ395" s="99" t="str">
        <f t="shared" si="78"/>
        <v/>
      </c>
      <c r="AK395" s="31" t="str">
        <f t="shared" si="83"/>
        <v/>
      </c>
      <c r="AN395" s="139" t="str">
        <f>IF($K395="","",VLOOKUP($K395,'ORF Accuracy Value LookUp'!$G$4:$H$104,2,TRUE))</f>
        <v/>
      </c>
      <c r="AO395" s="94" t="str">
        <f t="shared" si="79"/>
        <v/>
      </c>
      <c r="AP395" s="47" t="str">
        <f>IF($U395="","",VLOOKUP($U395,'ORF Accuracy Value LookUp'!$G$4:$H$104,2,TRUE))</f>
        <v/>
      </c>
      <c r="AQ395" s="94" t="str">
        <f t="shared" si="80"/>
        <v/>
      </c>
      <c r="AR395" s="46" t="str">
        <f>IF($AE395="","",VLOOKUP($AE395,'ORF Accuracy Value LookUp'!$G$4:$H$104,2,TRUE))</f>
        <v/>
      </c>
      <c r="AS395" s="140" t="str">
        <f t="shared" si="81"/>
        <v/>
      </c>
    </row>
    <row r="396" spans="1:45">
      <c r="A396" s="10"/>
      <c r="B396" s="9"/>
      <c r="C396" s="9"/>
      <c r="D396" s="9"/>
      <c r="E396" s="10"/>
      <c r="F396" s="11"/>
      <c r="G396" s="15"/>
      <c r="H396" s="88"/>
      <c r="I396" s="24"/>
      <c r="J396" s="24"/>
      <c r="K396" s="114" t="str">
        <f t="shared" si="72"/>
        <v/>
      </c>
      <c r="L396" s="24"/>
      <c r="M396" s="24"/>
      <c r="N396" s="24"/>
      <c r="O396" s="24"/>
      <c r="P396" s="97" t="str">
        <f t="shared" si="73"/>
        <v/>
      </c>
      <c r="Q396" s="113" t="str">
        <f t="shared" si="74"/>
        <v/>
      </c>
      <c r="R396" s="88"/>
      <c r="S396" s="24"/>
      <c r="T396" s="24"/>
      <c r="U396" s="78" t="str">
        <f t="shared" si="75"/>
        <v/>
      </c>
      <c r="V396" s="24"/>
      <c r="W396" s="24"/>
      <c r="X396" s="24"/>
      <c r="Y396" s="24"/>
      <c r="Z396" s="98" t="str">
        <f t="shared" si="76"/>
        <v/>
      </c>
      <c r="AA396" s="40" t="str">
        <f t="shared" si="82"/>
        <v/>
      </c>
      <c r="AB396" s="88"/>
      <c r="AC396" s="24"/>
      <c r="AD396" s="24"/>
      <c r="AE396" s="79" t="str">
        <f t="shared" si="77"/>
        <v/>
      </c>
      <c r="AF396" s="24"/>
      <c r="AG396" s="24"/>
      <c r="AH396" s="24"/>
      <c r="AI396" s="24"/>
      <c r="AJ396" s="99" t="str">
        <f t="shared" si="78"/>
        <v/>
      </c>
      <c r="AK396" s="31" t="str">
        <f t="shared" si="83"/>
        <v/>
      </c>
      <c r="AN396" s="139" t="str">
        <f>IF($K396="","",VLOOKUP($K396,'ORF Accuracy Value LookUp'!$G$4:$H$104,2,TRUE))</f>
        <v/>
      </c>
      <c r="AO396" s="94" t="str">
        <f t="shared" si="79"/>
        <v/>
      </c>
      <c r="AP396" s="47" t="str">
        <f>IF($U396="","",VLOOKUP($U396,'ORF Accuracy Value LookUp'!$G$4:$H$104,2,TRUE))</f>
        <v/>
      </c>
      <c r="AQ396" s="94" t="str">
        <f t="shared" si="80"/>
        <v/>
      </c>
      <c r="AR396" s="46" t="str">
        <f>IF($AE396="","",VLOOKUP($AE396,'ORF Accuracy Value LookUp'!$G$4:$H$104,2,TRUE))</f>
        <v/>
      </c>
      <c r="AS396" s="140" t="str">
        <f t="shared" si="81"/>
        <v/>
      </c>
    </row>
    <row r="397" spans="1:45">
      <c r="A397" s="10"/>
      <c r="B397" s="9"/>
      <c r="C397" s="9"/>
      <c r="D397" s="9"/>
      <c r="E397" s="10"/>
      <c r="F397" s="11"/>
      <c r="G397" s="15"/>
      <c r="H397" s="88"/>
      <c r="I397" s="24"/>
      <c r="J397" s="24"/>
      <c r="K397" s="114" t="str">
        <f t="shared" si="72"/>
        <v/>
      </c>
      <c r="L397" s="24"/>
      <c r="M397" s="24"/>
      <c r="N397" s="24"/>
      <c r="O397" s="24"/>
      <c r="P397" s="97" t="str">
        <f t="shared" si="73"/>
        <v/>
      </c>
      <c r="Q397" s="113" t="str">
        <f t="shared" si="74"/>
        <v/>
      </c>
      <c r="R397" s="88"/>
      <c r="S397" s="24"/>
      <c r="T397" s="24"/>
      <c r="U397" s="78" t="str">
        <f t="shared" si="75"/>
        <v/>
      </c>
      <c r="V397" s="24"/>
      <c r="W397" s="24"/>
      <c r="X397" s="24"/>
      <c r="Y397" s="24"/>
      <c r="Z397" s="98" t="str">
        <f t="shared" si="76"/>
        <v/>
      </c>
      <c r="AA397" s="40" t="str">
        <f t="shared" si="82"/>
        <v/>
      </c>
      <c r="AB397" s="88"/>
      <c r="AC397" s="24"/>
      <c r="AD397" s="24"/>
      <c r="AE397" s="79" t="str">
        <f t="shared" si="77"/>
        <v/>
      </c>
      <c r="AF397" s="24"/>
      <c r="AG397" s="24"/>
      <c r="AH397" s="24"/>
      <c r="AI397" s="24"/>
      <c r="AJ397" s="99" t="str">
        <f t="shared" si="78"/>
        <v/>
      </c>
      <c r="AK397" s="31" t="str">
        <f t="shared" si="83"/>
        <v/>
      </c>
      <c r="AN397" s="139" t="str">
        <f>IF($K397="","",VLOOKUP($K397,'ORF Accuracy Value LookUp'!$G$4:$H$104,2,TRUE))</f>
        <v/>
      </c>
      <c r="AO397" s="94" t="str">
        <f t="shared" si="79"/>
        <v/>
      </c>
      <c r="AP397" s="47" t="str">
        <f>IF($U397="","",VLOOKUP($U397,'ORF Accuracy Value LookUp'!$G$4:$H$104,2,TRUE))</f>
        <v/>
      </c>
      <c r="AQ397" s="94" t="str">
        <f t="shared" si="80"/>
        <v/>
      </c>
      <c r="AR397" s="46" t="str">
        <f>IF($AE397="","",VLOOKUP($AE397,'ORF Accuracy Value LookUp'!$G$4:$H$104,2,TRUE))</f>
        <v/>
      </c>
      <c r="AS397" s="140" t="str">
        <f t="shared" si="81"/>
        <v/>
      </c>
    </row>
    <row r="398" spans="1:45">
      <c r="A398" s="10"/>
      <c r="B398" s="9"/>
      <c r="C398" s="9"/>
      <c r="D398" s="9"/>
      <c r="E398" s="10"/>
      <c r="F398" s="11"/>
      <c r="G398" s="15"/>
      <c r="H398" s="88"/>
      <c r="I398" s="24"/>
      <c r="J398" s="24"/>
      <c r="K398" s="114" t="str">
        <f t="shared" si="72"/>
        <v/>
      </c>
      <c r="L398" s="24"/>
      <c r="M398" s="24"/>
      <c r="N398" s="24"/>
      <c r="O398" s="24"/>
      <c r="P398" s="97" t="str">
        <f t="shared" si="73"/>
        <v/>
      </c>
      <c r="Q398" s="113" t="str">
        <f t="shared" si="74"/>
        <v/>
      </c>
      <c r="R398" s="88"/>
      <c r="S398" s="24"/>
      <c r="T398" s="24"/>
      <c r="U398" s="78" t="str">
        <f t="shared" si="75"/>
        <v/>
      </c>
      <c r="V398" s="24"/>
      <c r="W398" s="24"/>
      <c r="X398" s="24"/>
      <c r="Y398" s="24"/>
      <c r="Z398" s="98" t="str">
        <f t="shared" si="76"/>
        <v/>
      </c>
      <c r="AA398" s="40" t="str">
        <f t="shared" si="82"/>
        <v/>
      </c>
      <c r="AB398" s="88"/>
      <c r="AC398" s="24"/>
      <c r="AD398" s="24"/>
      <c r="AE398" s="79" t="str">
        <f t="shared" si="77"/>
        <v/>
      </c>
      <c r="AF398" s="24"/>
      <c r="AG398" s="24"/>
      <c r="AH398" s="24"/>
      <c r="AI398" s="24"/>
      <c r="AJ398" s="99" t="str">
        <f t="shared" si="78"/>
        <v/>
      </c>
      <c r="AK398" s="31" t="str">
        <f t="shared" si="83"/>
        <v/>
      </c>
      <c r="AN398" s="139" t="str">
        <f>IF($K398="","",VLOOKUP($K398,'ORF Accuracy Value LookUp'!$G$4:$H$104,2,TRUE))</f>
        <v/>
      </c>
      <c r="AO398" s="94" t="str">
        <f t="shared" si="79"/>
        <v/>
      </c>
      <c r="AP398" s="47" t="str">
        <f>IF($U398="","",VLOOKUP($U398,'ORF Accuracy Value LookUp'!$G$4:$H$104,2,TRUE))</f>
        <v/>
      </c>
      <c r="AQ398" s="94" t="str">
        <f t="shared" si="80"/>
        <v/>
      </c>
      <c r="AR398" s="46" t="str">
        <f>IF($AE398="","",VLOOKUP($AE398,'ORF Accuracy Value LookUp'!$G$4:$H$104,2,TRUE))</f>
        <v/>
      </c>
      <c r="AS398" s="140" t="str">
        <f t="shared" si="81"/>
        <v/>
      </c>
    </row>
    <row r="399" spans="1:45">
      <c r="A399" s="10"/>
      <c r="B399" s="9"/>
      <c r="C399" s="9"/>
      <c r="D399" s="9"/>
      <c r="E399" s="10"/>
      <c r="F399" s="11"/>
      <c r="G399" s="15"/>
      <c r="H399" s="88"/>
      <c r="I399" s="24"/>
      <c r="J399" s="24"/>
      <c r="K399" s="114" t="str">
        <f t="shared" si="72"/>
        <v/>
      </c>
      <c r="L399" s="24"/>
      <c r="M399" s="24"/>
      <c r="N399" s="24"/>
      <c r="O399" s="24"/>
      <c r="P399" s="97" t="str">
        <f t="shared" si="73"/>
        <v/>
      </c>
      <c r="Q399" s="113" t="str">
        <f t="shared" si="74"/>
        <v/>
      </c>
      <c r="R399" s="88"/>
      <c r="S399" s="24"/>
      <c r="T399" s="24"/>
      <c r="U399" s="78" t="str">
        <f t="shared" si="75"/>
        <v/>
      </c>
      <c r="V399" s="24"/>
      <c r="W399" s="24"/>
      <c r="X399" s="24"/>
      <c r="Y399" s="24"/>
      <c r="Z399" s="98" t="str">
        <f t="shared" si="76"/>
        <v/>
      </c>
      <c r="AA399" s="40" t="str">
        <f t="shared" si="82"/>
        <v/>
      </c>
      <c r="AB399" s="88"/>
      <c r="AC399" s="24"/>
      <c r="AD399" s="24"/>
      <c r="AE399" s="79" t="str">
        <f t="shared" si="77"/>
        <v/>
      </c>
      <c r="AF399" s="24"/>
      <c r="AG399" s="24"/>
      <c r="AH399" s="24"/>
      <c r="AI399" s="24"/>
      <c r="AJ399" s="99" t="str">
        <f t="shared" si="78"/>
        <v/>
      </c>
      <c r="AK399" s="31" t="str">
        <f t="shared" si="83"/>
        <v/>
      </c>
      <c r="AN399" s="139" t="str">
        <f>IF($K399="","",VLOOKUP($K399,'ORF Accuracy Value LookUp'!$G$4:$H$104,2,TRUE))</f>
        <v/>
      </c>
      <c r="AO399" s="94" t="str">
        <f t="shared" si="79"/>
        <v/>
      </c>
      <c r="AP399" s="47" t="str">
        <f>IF($U399="","",VLOOKUP($U399,'ORF Accuracy Value LookUp'!$G$4:$H$104,2,TRUE))</f>
        <v/>
      </c>
      <c r="AQ399" s="94" t="str">
        <f t="shared" si="80"/>
        <v/>
      </c>
      <c r="AR399" s="46" t="str">
        <f>IF($AE399="","",VLOOKUP($AE399,'ORF Accuracy Value LookUp'!$G$4:$H$104,2,TRUE))</f>
        <v/>
      </c>
      <c r="AS399" s="140" t="str">
        <f t="shared" si="81"/>
        <v/>
      </c>
    </row>
    <row r="400" spans="1:45" ht="15.75" thickBot="1">
      <c r="A400" s="10"/>
      <c r="B400" s="9"/>
      <c r="C400" s="9"/>
      <c r="D400" s="9"/>
      <c r="E400" s="10"/>
      <c r="F400" s="11"/>
      <c r="G400" s="15"/>
      <c r="H400" s="89"/>
      <c r="I400" s="26"/>
      <c r="J400" s="26"/>
      <c r="K400" s="129" t="str">
        <f t="shared" si="72"/>
        <v/>
      </c>
      <c r="L400" s="26"/>
      <c r="M400" s="26"/>
      <c r="N400" s="26"/>
      <c r="O400" s="26"/>
      <c r="P400" s="130" t="str">
        <f t="shared" si="73"/>
        <v/>
      </c>
      <c r="Q400" s="131" t="str">
        <f t="shared" si="74"/>
        <v/>
      </c>
      <c r="R400" s="89"/>
      <c r="S400" s="26"/>
      <c r="T400" s="26"/>
      <c r="U400" s="128" t="str">
        <f t="shared" si="75"/>
        <v/>
      </c>
      <c r="V400" s="26"/>
      <c r="W400" s="26"/>
      <c r="X400" s="26"/>
      <c r="Y400" s="26"/>
      <c r="Z400" s="132" t="str">
        <f t="shared" si="76"/>
        <v/>
      </c>
      <c r="AA400" s="40" t="str">
        <f t="shared" si="82"/>
        <v/>
      </c>
      <c r="AB400" s="89"/>
      <c r="AC400" s="26"/>
      <c r="AD400" s="26"/>
      <c r="AE400" s="112" t="str">
        <f t="shared" si="77"/>
        <v/>
      </c>
      <c r="AF400" s="26"/>
      <c r="AG400" s="26"/>
      <c r="AH400" s="26"/>
      <c r="AI400" s="26"/>
      <c r="AJ400" s="133" t="str">
        <f t="shared" si="78"/>
        <v/>
      </c>
      <c r="AK400" s="31" t="str">
        <f t="shared" si="83"/>
        <v/>
      </c>
      <c r="AN400" s="141" t="str">
        <f>IF($K400="","",VLOOKUP($K400,'ORF Accuracy Value LookUp'!$G$4:$H$104,2,TRUE))</f>
        <v/>
      </c>
      <c r="AO400" s="142" t="str">
        <f t="shared" si="79"/>
        <v/>
      </c>
      <c r="AP400" s="143" t="str">
        <f>IF($U400="","",VLOOKUP($U400,'ORF Accuracy Value LookUp'!$G$4:$H$104,2,TRUE))</f>
        <v/>
      </c>
      <c r="AQ400" s="142" t="str">
        <f t="shared" si="80"/>
        <v/>
      </c>
      <c r="AR400" s="144" t="str">
        <f>IF($AE400="","",VLOOKUP($AE400,'ORF Accuracy Value LookUp'!$G$4:$H$104,2,TRUE))</f>
        <v/>
      </c>
      <c r="AS400" s="145" t="str">
        <f t="shared" si="81"/>
        <v/>
      </c>
    </row>
    <row r="401" spans="1:45">
      <c r="A401" s="6"/>
      <c r="B401" s="7"/>
      <c r="C401" s="7"/>
      <c r="D401" s="7"/>
      <c r="E401" s="6"/>
      <c r="F401" s="8"/>
      <c r="G401" s="6"/>
      <c r="I401" s="6"/>
      <c r="J401" s="6"/>
      <c r="K401" s="77"/>
      <c r="L401" s="6"/>
      <c r="M401" s="6"/>
      <c r="N401" s="6"/>
      <c r="O401" s="6"/>
      <c r="P401" s="95"/>
      <c r="Q401" s="6"/>
      <c r="S401" s="6"/>
      <c r="T401" s="6"/>
      <c r="U401" s="77"/>
      <c r="V401" s="6"/>
      <c r="W401" s="6"/>
      <c r="X401" s="6"/>
      <c r="Y401" s="6"/>
      <c r="Z401" s="95"/>
      <c r="AA401" s="6"/>
      <c r="AC401" s="6"/>
      <c r="AD401" s="6"/>
      <c r="AE401" s="77"/>
      <c r="AF401" s="6"/>
      <c r="AG401" s="6"/>
      <c r="AH401" s="6"/>
      <c r="AI401" s="6"/>
      <c r="AJ401" s="95"/>
      <c r="AK401" s="6"/>
      <c r="AN401" s="6"/>
      <c r="AO401" s="95"/>
      <c r="AP401" s="6"/>
      <c r="AQ401" s="95"/>
      <c r="AR401" s="6"/>
      <c r="AS401" s="95"/>
    </row>
    <row r="402" spans="1:45">
      <c r="A402" s="6"/>
      <c r="B402" s="7"/>
      <c r="C402" s="7"/>
      <c r="D402" s="7"/>
      <c r="E402" s="6"/>
      <c r="F402" s="8"/>
      <c r="G402" s="6"/>
      <c r="I402" s="6"/>
      <c r="J402" s="6"/>
      <c r="K402" s="77"/>
      <c r="L402" s="6"/>
      <c r="M402" s="6"/>
      <c r="N402" s="6"/>
      <c r="O402" s="6"/>
      <c r="P402" s="95"/>
      <c r="Q402" s="6"/>
      <c r="S402" s="6"/>
      <c r="T402" s="6"/>
      <c r="U402" s="77"/>
      <c r="V402" s="6"/>
      <c r="W402" s="6"/>
      <c r="X402" s="6"/>
      <c r="Y402" s="6"/>
      <c r="Z402" s="95"/>
      <c r="AA402" s="6"/>
      <c r="AC402" s="6"/>
      <c r="AD402" s="6"/>
      <c r="AE402" s="77"/>
      <c r="AF402" s="6"/>
      <c r="AG402" s="6"/>
      <c r="AH402" s="6"/>
      <c r="AI402" s="6"/>
      <c r="AJ402" s="95"/>
      <c r="AK402" s="6"/>
      <c r="AN402" s="6"/>
      <c r="AO402" s="95"/>
      <c r="AP402" s="6"/>
      <c r="AQ402" s="95"/>
      <c r="AR402" s="6"/>
      <c r="AS402" s="95"/>
    </row>
    <row r="403" spans="1:45">
      <c r="A403" s="6"/>
      <c r="B403" s="7"/>
      <c r="C403" s="7"/>
      <c r="D403" s="7"/>
      <c r="E403" s="6"/>
      <c r="F403" s="8"/>
      <c r="G403" s="6"/>
      <c r="I403" s="6"/>
      <c r="J403" s="6"/>
      <c r="K403" s="77"/>
      <c r="L403" s="6"/>
      <c r="M403" s="6"/>
      <c r="N403" s="6"/>
      <c r="O403" s="6"/>
      <c r="P403" s="95"/>
      <c r="Q403" s="6"/>
      <c r="S403" s="6"/>
      <c r="T403" s="6"/>
      <c r="U403" s="77"/>
      <c r="V403" s="6"/>
      <c r="W403" s="6"/>
      <c r="X403" s="6"/>
      <c r="Y403" s="6"/>
      <c r="Z403" s="95"/>
      <c r="AA403" s="6"/>
      <c r="AC403" s="6"/>
      <c r="AD403" s="6"/>
      <c r="AE403" s="77"/>
      <c r="AF403" s="6"/>
      <c r="AG403" s="6"/>
      <c r="AH403" s="6"/>
      <c r="AI403" s="6"/>
      <c r="AJ403" s="95"/>
      <c r="AK403" s="6"/>
      <c r="AN403" s="6"/>
      <c r="AO403" s="95"/>
      <c r="AP403" s="6"/>
      <c r="AQ403" s="95"/>
      <c r="AR403" s="6"/>
      <c r="AS403" s="95"/>
    </row>
    <row r="404" spans="1:45">
      <c r="A404" s="6"/>
      <c r="B404" s="7"/>
      <c r="C404" s="7"/>
      <c r="D404" s="7"/>
      <c r="E404" s="6"/>
      <c r="F404" s="8"/>
      <c r="G404" s="6"/>
      <c r="I404" s="6"/>
      <c r="J404" s="6"/>
      <c r="K404" s="77"/>
      <c r="L404" s="6"/>
      <c r="M404" s="6"/>
      <c r="N404" s="6"/>
      <c r="O404" s="6"/>
      <c r="P404" s="95"/>
      <c r="Q404" s="6"/>
      <c r="S404" s="6"/>
      <c r="T404" s="6"/>
      <c r="U404" s="77"/>
      <c r="V404" s="6"/>
      <c r="W404" s="6"/>
      <c r="X404" s="6"/>
      <c r="Y404" s="6"/>
      <c r="Z404" s="95"/>
      <c r="AA404" s="6"/>
      <c r="AC404" s="6"/>
      <c r="AD404" s="6"/>
      <c r="AE404" s="77"/>
      <c r="AF404" s="6"/>
      <c r="AG404" s="6"/>
      <c r="AH404" s="6"/>
      <c r="AI404" s="6"/>
      <c r="AJ404" s="95"/>
      <c r="AK404" s="6"/>
      <c r="AN404" s="6"/>
      <c r="AO404" s="95"/>
      <c r="AP404" s="6"/>
      <c r="AQ404" s="95"/>
      <c r="AR404" s="6"/>
      <c r="AS404" s="95"/>
    </row>
    <row r="405" spans="1:45">
      <c r="A405" s="6"/>
      <c r="B405" s="7"/>
      <c r="C405" s="7"/>
      <c r="D405" s="7"/>
      <c r="E405" s="6"/>
      <c r="F405" s="8"/>
      <c r="G405" s="6"/>
      <c r="I405" s="6"/>
      <c r="J405" s="6"/>
      <c r="K405" s="77"/>
      <c r="L405" s="6"/>
      <c r="M405" s="6"/>
      <c r="N405" s="6"/>
      <c r="O405" s="6"/>
      <c r="P405" s="95"/>
      <c r="Q405" s="6"/>
      <c r="S405" s="6"/>
      <c r="T405" s="6"/>
      <c r="U405" s="77"/>
      <c r="V405" s="6"/>
      <c r="W405" s="6"/>
      <c r="X405" s="6"/>
      <c r="Y405" s="6"/>
      <c r="Z405" s="95"/>
      <c r="AA405" s="6"/>
      <c r="AC405" s="6"/>
      <c r="AD405" s="6"/>
      <c r="AE405" s="77"/>
      <c r="AF405" s="6"/>
      <c r="AG405" s="6"/>
      <c r="AH405" s="6"/>
      <c r="AI405" s="6"/>
      <c r="AJ405" s="95"/>
      <c r="AK405" s="6"/>
      <c r="AN405" s="6"/>
      <c r="AO405" s="95"/>
      <c r="AP405" s="6"/>
      <c r="AQ405" s="95"/>
      <c r="AR405" s="6"/>
      <c r="AS405" s="95"/>
    </row>
    <row r="406" spans="1:45">
      <c r="A406" s="6"/>
      <c r="B406" s="7"/>
      <c r="C406" s="7"/>
      <c r="D406" s="7"/>
      <c r="E406" s="6"/>
      <c r="F406" s="8"/>
      <c r="G406" s="6"/>
      <c r="I406" s="6"/>
      <c r="J406" s="6"/>
      <c r="K406" s="77"/>
      <c r="L406" s="6"/>
      <c r="M406" s="6"/>
      <c r="N406" s="6"/>
      <c r="O406" s="6"/>
      <c r="P406" s="95"/>
      <c r="Q406" s="6"/>
      <c r="S406" s="6"/>
      <c r="T406" s="6"/>
      <c r="U406" s="77"/>
      <c r="V406" s="6"/>
      <c r="W406" s="6"/>
      <c r="X406" s="6"/>
      <c r="Y406" s="6"/>
      <c r="Z406" s="95"/>
      <c r="AA406" s="6"/>
      <c r="AC406" s="6"/>
      <c r="AD406" s="6"/>
      <c r="AE406" s="77"/>
      <c r="AF406" s="6"/>
      <c r="AG406" s="6"/>
      <c r="AH406" s="6"/>
      <c r="AI406" s="6"/>
      <c r="AJ406" s="95"/>
      <c r="AK406" s="6"/>
      <c r="AN406" s="6"/>
      <c r="AO406" s="95"/>
      <c r="AP406" s="6"/>
      <c r="AQ406" s="95"/>
      <c r="AR406" s="6"/>
      <c r="AS406" s="95"/>
    </row>
    <row r="407" spans="1:45">
      <c r="A407" s="6"/>
      <c r="B407" s="7"/>
      <c r="C407" s="7"/>
      <c r="D407" s="7"/>
      <c r="E407" s="6"/>
      <c r="F407" s="8"/>
      <c r="G407" s="6"/>
      <c r="I407" s="6"/>
      <c r="J407" s="6"/>
      <c r="K407" s="77"/>
      <c r="L407" s="6"/>
      <c r="M407" s="6"/>
      <c r="N407" s="6"/>
      <c r="O407" s="6"/>
      <c r="P407" s="95"/>
      <c r="Q407" s="6"/>
      <c r="S407" s="6"/>
      <c r="T407" s="6"/>
      <c r="U407" s="77"/>
      <c r="V407" s="6"/>
      <c r="W407" s="6"/>
      <c r="X407" s="6"/>
      <c r="Y407" s="6"/>
      <c r="Z407" s="95"/>
      <c r="AA407" s="6"/>
      <c r="AC407" s="6"/>
      <c r="AD407" s="6"/>
      <c r="AE407" s="77"/>
      <c r="AF407" s="6"/>
      <c r="AG407" s="6"/>
      <c r="AH407" s="6"/>
      <c r="AI407" s="6"/>
      <c r="AJ407" s="95"/>
      <c r="AK407" s="6"/>
      <c r="AN407" s="6"/>
      <c r="AO407" s="95"/>
      <c r="AP407" s="6"/>
      <c r="AQ407" s="95"/>
      <c r="AR407" s="6"/>
      <c r="AS407" s="95"/>
    </row>
    <row r="408" spans="1:45">
      <c r="A408" s="6"/>
      <c r="B408" s="7"/>
      <c r="C408" s="7"/>
      <c r="D408" s="7"/>
      <c r="E408" s="6"/>
      <c r="F408" s="8"/>
      <c r="G408" s="6"/>
      <c r="I408" s="6"/>
      <c r="J408" s="6"/>
      <c r="K408" s="77"/>
      <c r="L408" s="6"/>
      <c r="M408" s="6"/>
      <c r="N408" s="6"/>
      <c r="O408" s="6"/>
      <c r="P408" s="95"/>
      <c r="Q408" s="6"/>
      <c r="S408" s="6"/>
      <c r="T408" s="6"/>
      <c r="U408" s="77"/>
      <c r="V408" s="6"/>
      <c r="W408" s="6"/>
      <c r="X408" s="6"/>
      <c r="Y408" s="6"/>
      <c r="Z408" s="95"/>
      <c r="AA408" s="6"/>
      <c r="AC408" s="6"/>
      <c r="AD408" s="6"/>
      <c r="AE408" s="77"/>
      <c r="AF408" s="6"/>
      <c r="AG408" s="6"/>
      <c r="AH408" s="6"/>
      <c r="AI408" s="6"/>
      <c r="AJ408" s="95"/>
      <c r="AK408" s="6"/>
      <c r="AN408" s="6"/>
      <c r="AO408" s="95"/>
      <c r="AP408" s="6"/>
      <c r="AQ408" s="95"/>
      <c r="AR408" s="6"/>
      <c r="AS408" s="95"/>
    </row>
    <row r="409" spans="1:45">
      <c r="A409" s="6"/>
      <c r="B409" s="7"/>
      <c r="C409" s="7"/>
      <c r="D409" s="7"/>
      <c r="E409" s="6"/>
      <c r="F409" s="8"/>
      <c r="G409" s="6"/>
      <c r="I409" s="6"/>
      <c r="J409" s="6"/>
      <c r="K409" s="77"/>
      <c r="L409" s="6"/>
      <c r="M409" s="6"/>
      <c r="N409" s="6"/>
      <c r="O409" s="6"/>
      <c r="P409" s="95"/>
      <c r="Q409" s="6"/>
      <c r="S409" s="6"/>
      <c r="T409" s="6"/>
      <c r="U409" s="77"/>
      <c r="V409" s="6"/>
      <c r="W409" s="6"/>
      <c r="X409" s="6"/>
      <c r="Y409" s="6"/>
      <c r="Z409" s="95"/>
      <c r="AA409" s="6"/>
      <c r="AC409" s="6"/>
      <c r="AD409" s="6"/>
      <c r="AE409" s="77"/>
      <c r="AF409" s="6"/>
      <c r="AG409" s="6"/>
      <c r="AH409" s="6"/>
      <c r="AI409" s="6"/>
      <c r="AJ409" s="95"/>
      <c r="AK409" s="6"/>
      <c r="AN409" s="6"/>
      <c r="AO409" s="95"/>
      <c r="AP409" s="6"/>
      <c r="AQ409" s="95"/>
      <c r="AR409" s="6"/>
      <c r="AS409" s="95"/>
    </row>
  </sheetData>
  <mergeCells count="17">
    <mergeCell ref="AB5:AK5"/>
    <mergeCell ref="I6:M6"/>
    <mergeCell ref="A1:G2"/>
    <mergeCell ref="I1:Z2"/>
    <mergeCell ref="H5:Q5"/>
    <mergeCell ref="R5:AA5"/>
    <mergeCell ref="H3:Q3"/>
    <mergeCell ref="R3:AA3"/>
    <mergeCell ref="AB3:AK3"/>
    <mergeCell ref="AR6:AS6"/>
    <mergeCell ref="AH6:AJ6"/>
    <mergeCell ref="AN6:AO6"/>
    <mergeCell ref="AP6:AQ6"/>
    <mergeCell ref="N6:P6"/>
    <mergeCell ref="X6:Z6"/>
    <mergeCell ref="AC6:AG6"/>
    <mergeCell ref="S6:W6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38E7-D595-464D-BB61-2289A1124CBA}">
  <dimension ref="A1:AS409"/>
  <sheetViews>
    <sheetView topLeftCell="A7" zoomScaleNormal="100" workbookViewId="0">
      <pane xSplit="7" topLeftCell="H1" activePane="topRight" state="frozen"/>
      <selection pane="topRight" activeCell="H8" sqref="H8:AK18"/>
    </sheetView>
  </sheetViews>
  <sheetFormatPr defaultColWidth="10" defaultRowHeight="15"/>
  <cols>
    <col min="1" max="1" width="7.85546875" customWidth="1"/>
    <col min="2" max="2" width="10" customWidth="1"/>
    <col min="3" max="5" width="8.7109375" customWidth="1"/>
    <col min="6" max="6" width="13" customWidth="1"/>
    <col min="7" max="7" width="8.7109375" customWidth="1"/>
    <col min="8" max="8" width="12" customWidth="1"/>
    <col min="9" max="9" width="10.85546875" customWidth="1"/>
    <col min="10" max="10" width="6.85546875" bestFit="1" customWidth="1"/>
    <col min="11" max="11" width="11.42578125" style="90" bestFit="1" customWidth="1"/>
    <col min="12" max="12" width="8.7109375" bestFit="1" customWidth="1"/>
    <col min="13" max="13" width="9.42578125" customWidth="1"/>
    <col min="14" max="14" width="8.7109375" bestFit="1" customWidth="1"/>
    <col min="15" max="15" width="6.85546875" bestFit="1" customWidth="1"/>
    <col min="16" max="16" width="9.28515625" style="92" bestFit="1" customWidth="1"/>
    <col min="17" max="17" width="10.28515625" customWidth="1"/>
    <col min="18" max="18" width="12.42578125" customWidth="1"/>
    <col min="19" max="19" width="11.28515625" customWidth="1"/>
    <col min="20" max="20" width="6.85546875" bestFit="1" customWidth="1"/>
    <col min="21" max="21" width="11.42578125" style="90" bestFit="1" customWidth="1"/>
    <col min="22" max="22" width="8.7109375" bestFit="1" customWidth="1"/>
    <col min="23" max="23" width="10" customWidth="1"/>
    <col min="24" max="24" width="8.7109375" bestFit="1" customWidth="1"/>
    <col min="25" max="25" width="6.85546875" bestFit="1" customWidth="1"/>
    <col min="26" max="26" width="9.28515625" style="92" bestFit="1" customWidth="1"/>
    <col min="27" max="27" width="10.42578125" customWidth="1"/>
    <col min="28" max="28" width="12.28515625" customWidth="1"/>
    <col min="29" max="29" width="11" customWidth="1"/>
    <col min="30" max="30" width="6.85546875" bestFit="1" customWidth="1"/>
    <col min="31" max="31" width="11.42578125" style="90" bestFit="1" customWidth="1"/>
    <col min="32" max="32" width="8.7109375" bestFit="1" customWidth="1"/>
    <col min="33" max="33" width="10.140625" customWidth="1"/>
    <col min="34" max="34" width="8.7109375" bestFit="1" customWidth="1"/>
    <col min="35" max="35" width="6.85546875" bestFit="1" customWidth="1"/>
    <col min="36" max="36" width="9.28515625" style="92" bestFit="1" customWidth="1"/>
    <col min="37" max="37" width="10.42578125" customWidth="1"/>
    <col min="40" max="40" width="9.42578125" customWidth="1"/>
    <col min="41" max="41" width="11.42578125" style="92" customWidth="1"/>
    <col min="42" max="42" width="9.42578125" customWidth="1"/>
    <col min="43" max="43" width="10.42578125" style="92" customWidth="1"/>
    <col min="44" max="44" width="9.7109375" customWidth="1"/>
    <col min="45" max="45" width="11.42578125" style="92" customWidth="1"/>
  </cols>
  <sheetData>
    <row r="1" spans="1:45" ht="36" customHeight="1">
      <c r="A1" s="244" t="s">
        <v>27</v>
      </c>
      <c r="B1" s="244"/>
      <c r="C1" s="244"/>
      <c r="D1" s="244"/>
      <c r="E1" s="244"/>
      <c r="F1" s="244"/>
      <c r="G1" s="244"/>
      <c r="H1" s="35"/>
      <c r="I1" s="260" t="s">
        <v>45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B1" s="35"/>
    </row>
    <row r="2" spans="1:45" ht="29.25" customHeight="1">
      <c r="A2" s="244"/>
      <c r="B2" s="244"/>
      <c r="C2" s="244"/>
      <c r="D2" s="244"/>
      <c r="E2" s="244"/>
      <c r="F2" s="244"/>
      <c r="G2" s="244"/>
      <c r="H2" s="35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B2" s="35"/>
    </row>
    <row r="3" spans="1:45" ht="15" customHeight="1">
      <c r="H3" s="283" t="s">
        <v>48</v>
      </c>
      <c r="I3" s="283"/>
      <c r="J3" s="283"/>
      <c r="K3" s="283"/>
      <c r="L3" s="283"/>
      <c r="M3" s="283"/>
      <c r="N3" s="283"/>
      <c r="O3" s="283"/>
      <c r="P3" s="283"/>
      <c r="Q3" s="283"/>
      <c r="R3" s="283" t="s">
        <v>48</v>
      </c>
      <c r="S3" s="283"/>
      <c r="T3" s="283"/>
      <c r="U3" s="283"/>
      <c r="V3" s="283"/>
      <c r="W3" s="283"/>
      <c r="X3" s="283"/>
      <c r="Y3" s="283"/>
      <c r="Z3" s="283"/>
      <c r="AA3" s="283"/>
      <c r="AB3" s="283" t="s">
        <v>48</v>
      </c>
      <c r="AC3" s="283"/>
      <c r="AD3" s="283"/>
      <c r="AE3" s="283"/>
      <c r="AF3" s="283"/>
      <c r="AG3" s="283"/>
      <c r="AH3" s="283"/>
      <c r="AI3" s="283"/>
      <c r="AJ3" s="283"/>
      <c r="AK3" s="283"/>
    </row>
    <row r="4" spans="1:45" s="36" customFormat="1" ht="15.75" thickBot="1">
      <c r="A4" s="37" t="s">
        <v>4</v>
      </c>
      <c r="B4" s="37" t="s">
        <v>4</v>
      </c>
      <c r="C4" s="37" t="s">
        <v>4</v>
      </c>
      <c r="D4" s="37" t="s">
        <v>4</v>
      </c>
      <c r="E4" s="48" t="s">
        <v>3</v>
      </c>
      <c r="F4" s="37" t="s">
        <v>4</v>
      </c>
      <c r="G4" s="38" t="s">
        <v>3</v>
      </c>
      <c r="H4" s="37" t="s">
        <v>4</v>
      </c>
      <c r="I4" s="37" t="s">
        <v>4</v>
      </c>
      <c r="J4" s="48" t="s">
        <v>3</v>
      </c>
      <c r="K4" s="91" t="s">
        <v>4</v>
      </c>
      <c r="L4" s="37" t="s">
        <v>4</v>
      </c>
      <c r="M4" s="48" t="s">
        <v>3</v>
      </c>
      <c r="N4" s="48" t="s">
        <v>3</v>
      </c>
      <c r="O4" s="48" t="s">
        <v>3</v>
      </c>
      <c r="P4" s="96" t="s">
        <v>4</v>
      </c>
      <c r="Q4" s="37"/>
      <c r="R4" s="37" t="s">
        <v>4</v>
      </c>
      <c r="S4" s="37" t="s">
        <v>4</v>
      </c>
      <c r="T4" s="48" t="s">
        <v>3</v>
      </c>
      <c r="U4" s="91" t="s">
        <v>4</v>
      </c>
      <c r="V4" s="39" t="s">
        <v>4</v>
      </c>
      <c r="W4" s="48" t="s">
        <v>3</v>
      </c>
      <c r="X4" s="48" t="s">
        <v>3</v>
      </c>
      <c r="Y4" s="48" t="s">
        <v>3</v>
      </c>
      <c r="Z4" s="96" t="s">
        <v>4</v>
      </c>
      <c r="AA4" s="37"/>
      <c r="AB4" s="37" t="s">
        <v>4</v>
      </c>
      <c r="AC4" s="37" t="s">
        <v>4</v>
      </c>
      <c r="AD4" s="48" t="s">
        <v>3</v>
      </c>
      <c r="AE4" s="91" t="s">
        <v>4</v>
      </c>
      <c r="AF4" s="39" t="s">
        <v>4</v>
      </c>
      <c r="AG4" s="48" t="s">
        <v>3</v>
      </c>
      <c r="AH4" s="48" t="s">
        <v>3</v>
      </c>
      <c r="AI4" s="48" t="s">
        <v>3</v>
      </c>
      <c r="AJ4" s="96" t="s">
        <v>4</v>
      </c>
      <c r="AK4" s="37"/>
      <c r="AN4" s="117"/>
      <c r="AO4" s="117"/>
      <c r="AP4" s="117"/>
      <c r="AQ4" s="117"/>
      <c r="AR4" s="117"/>
      <c r="AS4" s="117"/>
    </row>
    <row r="5" spans="1:45" s="1" customFormat="1" ht="30.95" customHeight="1" thickBot="1">
      <c r="A5" s="157"/>
      <c r="B5" s="157"/>
      <c r="C5" s="157"/>
      <c r="D5" s="157"/>
      <c r="E5" s="158"/>
      <c r="F5" s="157"/>
      <c r="G5" s="158"/>
      <c r="H5" s="285" t="s">
        <v>23</v>
      </c>
      <c r="I5" s="286"/>
      <c r="J5" s="286"/>
      <c r="K5" s="286"/>
      <c r="L5" s="286"/>
      <c r="M5" s="286"/>
      <c r="N5" s="286"/>
      <c r="O5" s="286"/>
      <c r="P5" s="286"/>
      <c r="Q5" s="287"/>
      <c r="R5" s="290" t="s">
        <v>24</v>
      </c>
      <c r="S5" s="291"/>
      <c r="T5" s="291"/>
      <c r="U5" s="291"/>
      <c r="V5" s="291"/>
      <c r="W5" s="291"/>
      <c r="X5" s="291"/>
      <c r="Y5" s="291"/>
      <c r="Z5" s="291"/>
      <c r="AA5" s="292"/>
      <c r="AB5" s="293" t="s">
        <v>25</v>
      </c>
      <c r="AC5" s="294"/>
      <c r="AD5" s="294"/>
      <c r="AE5" s="294"/>
      <c r="AF5" s="294"/>
      <c r="AG5" s="294"/>
      <c r="AH5" s="294"/>
      <c r="AI5" s="294"/>
      <c r="AJ5" s="294"/>
      <c r="AK5" s="295"/>
      <c r="AN5" s="116"/>
      <c r="AO5" s="116"/>
      <c r="AP5" s="116"/>
      <c r="AQ5" s="116"/>
      <c r="AR5" s="116"/>
      <c r="AS5" s="116"/>
    </row>
    <row r="6" spans="1:45" s="1" customFormat="1" ht="33" customHeight="1" thickBot="1">
      <c r="A6" s="154"/>
      <c r="B6" s="155"/>
      <c r="C6" s="154"/>
      <c r="D6" s="155"/>
      <c r="E6" s="156"/>
      <c r="F6" s="155"/>
      <c r="G6" s="161"/>
      <c r="H6" s="177"/>
      <c r="I6" s="252" t="s">
        <v>10</v>
      </c>
      <c r="J6" s="252"/>
      <c r="K6" s="252"/>
      <c r="L6" s="252"/>
      <c r="M6" s="300"/>
      <c r="N6" s="288" t="s">
        <v>13</v>
      </c>
      <c r="O6" s="289"/>
      <c r="P6" s="289"/>
      <c r="Q6" s="177"/>
      <c r="R6" s="178"/>
      <c r="S6" s="265" t="s">
        <v>10</v>
      </c>
      <c r="T6" s="265"/>
      <c r="U6" s="265"/>
      <c r="V6" s="265"/>
      <c r="W6" s="284"/>
      <c r="X6" s="296" t="s">
        <v>13</v>
      </c>
      <c r="Y6" s="297"/>
      <c r="Z6" s="297"/>
      <c r="AA6" s="178"/>
      <c r="AB6" s="179"/>
      <c r="AC6" s="270" t="s">
        <v>10</v>
      </c>
      <c r="AD6" s="270"/>
      <c r="AE6" s="270"/>
      <c r="AF6" s="270"/>
      <c r="AG6" s="255"/>
      <c r="AH6" s="298" t="s">
        <v>13</v>
      </c>
      <c r="AI6" s="299"/>
      <c r="AJ6" s="299"/>
      <c r="AK6" s="179"/>
      <c r="AN6" s="301" t="s">
        <v>23</v>
      </c>
      <c r="AO6" s="302"/>
      <c r="AP6" s="264" t="s">
        <v>24</v>
      </c>
      <c r="AQ6" s="284"/>
      <c r="AR6" s="269" t="s">
        <v>25</v>
      </c>
      <c r="AS6" s="255"/>
    </row>
    <row r="7" spans="1:45" s="16" customFormat="1" ht="90.75" thickBot="1">
      <c r="A7" s="159" t="s">
        <v>38</v>
      </c>
      <c r="B7" s="159" t="s">
        <v>0</v>
      </c>
      <c r="C7" s="159" t="s">
        <v>39</v>
      </c>
      <c r="D7" s="159" t="s">
        <v>43</v>
      </c>
      <c r="E7" s="160" t="s">
        <v>1</v>
      </c>
      <c r="F7" s="159" t="s">
        <v>6</v>
      </c>
      <c r="G7" s="162" t="s">
        <v>2</v>
      </c>
      <c r="H7" s="183" t="s">
        <v>5</v>
      </c>
      <c r="I7" s="149" t="s">
        <v>14</v>
      </c>
      <c r="J7" s="193" t="s">
        <v>15</v>
      </c>
      <c r="K7" s="204" t="s">
        <v>36</v>
      </c>
      <c r="L7" s="34" t="s">
        <v>28</v>
      </c>
      <c r="M7" s="205" t="s">
        <v>29</v>
      </c>
      <c r="N7" s="205" t="s">
        <v>32</v>
      </c>
      <c r="O7" s="193" t="s">
        <v>33</v>
      </c>
      <c r="P7" s="206" t="s">
        <v>34</v>
      </c>
      <c r="Q7" s="207" t="s">
        <v>8</v>
      </c>
      <c r="R7" s="171" t="s">
        <v>5</v>
      </c>
      <c r="S7" s="148" t="s">
        <v>14</v>
      </c>
      <c r="T7" s="193" t="s">
        <v>15</v>
      </c>
      <c r="U7" s="210" t="s">
        <v>36</v>
      </c>
      <c r="V7" s="29" t="s">
        <v>28</v>
      </c>
      <c r="W7" s="205" t="s">
        <v>29</v>
      </c>
      <c r="X7" s="205" t="s">
        <v>32</v>
      </c>
      <c r="Y7" s="193" t="s">
        <v>33</v>
      </c>
      <c r="Z7" s="211" t="s">
        <v>34</v>
      </c>
      <c r="AA7" s="209" t="s">
        <v>8</v>
      </c>
      <c r="AB7" s="172" t="s">
        <v>5</v>
      </c>
      <c r="AC7" s="100" t="s">
        <v>14</v>
      </c>
      <c r="AD7" s="193" t="s">
        <v>15</v>
      </c>
      <c r="AE7" s="203" t="s">
        <v>36</v>
      </c>
      <c r="AF7" s="30" t="s">
        <v>28</v>
      </c>
      <c r="AG7" s="205" t="s">
        <v>29</v>
      </c>
      <c r="AH7" s="205" t="s">
        <v>32</v>
      </c>
      <c r="AI7" s="193" t="s">
        <v>33</v>
      </c>
      <c r="AJ7" s="208" t="s">
        <v>34</v>
      </c>
      <c r="AK7" s="172" t="s">
        <v>8</v>
      </c>
      <c r="AN7" s="34" t="s">
        <v>26</v>
      </c>
      <c r="AO7" s="93" t="s">
        <v>35</v>
      </c>
      <c r="AP7" s="29" t="s">
        <v>26</v>
      </c>
      <c r="AQ7" s="93" t="s">
        <v>35</v>
      </c>
      <c r="AR7" s="30" t="s">
        <v>26</v>
      </c>
      <c r="AS7" s="93" t="s">
        <v>35</v>
      </c>
    </row>
    <row r="8" spans="1:45">
      <c r="A8" s="153">
        <v>3</v>
      </c>
      <c r="B8" s="70" t="s">
        <v>49</v>
      </c>
      <c r="C8" s="70" t="s">
        <v>50</v>
      </c>
      <c r="D8" s="70" t="s">
        <v>51</v>
      </c>
      <c r="E8" s="70" t="s">
        <v>52</v>
      </c>
      <c r="F8" s="304">
        <v>40959</v>
      </c>
      <c r="G8" s="305" t="s">
        <v>53</v>
      </c>
      <c r="H8" s="180">
        <v>45376</v>
      </c>
      <c r="I8" s="24">
        <v>17</v>
      </c>
      <c r="J8" s="24">
        <v>1</v>
      </c>
      <c r="K8" s="114">
        <v>0.94444444444444442</v>
      </c>
      <c r="L8" s="24">
        <v>1</v>
      </c>
      <c r="M8" s="24">
        <v>2</v>
      </c>
      <c r="N8" s="24">
        <v>1</v>
      </c>
      <c r="O8" s="24">
        <v>1</v>
      </c>
      <c r="P8" s="97">
        <v>0.5</v>
      </c>
      <c r="Q8" s="113">
        <v>92</v>
      </c>
      <c r="R8" s="180">
        <v>45441</v>
      </c>
      <c r="S8" s="24">
        <v>19</v>
      </c>
      <c r="T8" s="24">
        <v>1</v>
      </c>
      <c r="U8" s="78">
        <v>0.95</v>
      </c>
      <c r="V8" s="24">
        <v>1</v>
      </c>
      <c r="W8" s="24">
        <v>2</v>
      </c>
      <c r="X8" s="24">
        <v>1</v>
      </c>
      <c r="Y8" s="24">
        <v>1</v>
      </c>
      <c r="Z8" s="98">
        <v>0.5</v>
      </c>
      <c r="AA8" s="40">
        <v>103</v>
      </c>
      <c r="AB8" s="180">
        <v>45580</v>
      </c>
      <c r="AC8" s="24">
        <v>22</v>
      </c>
      <c r="AD8" s="24">
        <v>1</v>
      </c>
      <c r="AE8" s="79">
        <v>0.95652173913043481</v>
      </c>
      <c r="AF8" s="24">
        <v>2</v>
      </c>
      <c r="AG8" s="24">
        <v>2</v>
      </c>
      <c r="AH8" s="24">
        <v>1</v>
      </c>
      <c r="AI8" s="24">
        <v>1</v>
      </c>
      <c r="AJ8" s="99">
        <v>0.5</v>
      </c>
      <c r="AK8" s="31">
        <v>108</v>
      </c>
      <c r="AN8" s="134">
        <f>IF($K8="","",VLOOKUP($K8,'ORF Accuracy Value LookUp'!$G$4:$H$104,2,TRUE))</f>
        <v>72</v>
      </c>
      <c r="AO8" s="135">
        <f t="shared" ref="AO8:AO71" si="0">IF($N8="","",($N8-($O8/2)))</f>
        <v>0.5</v>
      </c>
      <c r="AP8" s="136">
        <f>IF($U8="","",VLOOKUP($U8,'ORF Accuracy Value LookUp'!$G$4:$H$104,2,TRUE))</f>
        <v>80</v>
      </c>
      <c r="AQ8" s="135">
        <f t="shared" ref="AQ8:AQ71" si="1">IF($X8="","",$X8-($Y8/2))</f>
        <v>0.5</v>
      </c>
      <c r="AR8" s="137">
        <f>IF($AE8="","",VLOOKUP($AE8,'ORF Accuracy Value LookUp'!$G$4:$H$104,2,TRUE))</f>
        <v>80</v>
      </c>
      <c r="AS8" s="138">
        <f t="shared" ref="AS8:AS71" si="2">IF($AH8="","",$AH8-($AI8/2))</f>
        <v>0.5</v>
      </c>
    </row>
    <row r="9" spans="1:45">
      <c r="A9" s="58">
        <v>3</v>
      </c>
      <c r="B9" s="61" t="s">
        <v>54</v>
      </c>
      <c r="C9" s="61" t="s">
        <v>55</v>
      </c>
      <c r="D9" s="61" t="s">
        <v>56</v>
      </c>
      <c r="E9" s="61" t="s">
        <v>57</v>
      </c>
      <c r="F9" s="306">
        <v>40960</v>
      </c>
      <c r="G9" s="307" t="s">
        <v>53</v>
      </c>
      <c r="H9" s="87">
        <v>45376</v>
      </c>
      <c r="I9" s="24">
        <v>59</v>
      </c>
      <c r="J9" s="24">
        <v>3</v>
      </c>
      <c r="K9" s="114">
        <v>0.95161290322580649</v>
      </c>
      <c r="L9" s="24">
        <v>13</v>
      </c>
      <c r="M9" s="24">
        <v>2</v>
      </c>
      <c r="N9" s="24">
        <v>10</v>
      </c>
      <c r="O9" s="24">
        <v>3</v>
      </c>
      <c r="P9" s="97">
        <v>8.5</v>
      </c>
      <c r="Q9" s="113">
        <v>182</v>
      </c>
      <c r="R9" s="87">
        <v>45441</v>
      </c>
      <c r="S9" s="24">
        <v>61</v>
      </c>
      <c r="T9" s="24">
        <v>3</v>
      </c>
      <c r="U9" s="78">
        <v>0.953125</v>
      </c>
      <c r="V9" s="24">
        <v>14</v>
      </c>
      <c r="W9" s="24">
        <v>2</v>
      </c>
      <c r="X9" s="24">
        <v>8</v>
      </c>
      <c r="Y9" s="24">
        <v>3</v>
      </c>
      <c r="Z9" s="98">
        <v>6.5</v>
      </c>
      <c r="AA9" s="40">
        <v>195</v>
      </c>
      <c r="AB9" s="87">
        <v>45580</v>
      </c>
      <c r="AC9" s="24">
        <v>65</v>
      </c>
      <c r="AD9" s="24">
        <v>3</v>
      </c>
      <c r="AE9" s="79">
        <v>0.95588235294117652</v>
      </c>
      <c r="AF9" s="24">
        <v>16</v>
      </c>
      <c r="AG9" s="24">
        <v>2</v>
      </c>
      <c r="AH9" s="24">
        <v>9</v>
      </c>
      <c r="AI9" s="24">
        <v>3</v>
      </c>
      <c r="AJ9" s="99">
        <v>7.5</v>
      </c>
      <c r="AK9" s="31">
        <v>207</v>
      </c>
      <c r="AN9" s="139">
        <f>IF($K9="","",VLOOKUP($K9,'ORF Accuracy Value LookUp'!$G$4:$H$104,2,TRUE))</f>
        <v>80</v>
      </c>
      <c r="AO9" s="94">
        <f t="shared" si="0"/>
        <v>8.5</v>
      </c>
      <c r="AP9" s="47">
        <f>IF($U9="","",VLOOKUP($U9,'ORF Accuracy Value LookUp'!$G$4:$H$104,2,TRUE))</f>
        <v>80</v>
      </c>
      <c r="AQ9" s="94">
        <f t="shared" si="1"/>
        <v>6.5</v>
      </c>
      <c r="AR9" s="46">
        <f>IF($AE9="","",VLOOKUP($AE9,'ORF Accuracy Value LookUp'!$G$4:$H$104,2,TRUE))</f>
        <v>80</v>
      </c>
      <c r="AS9" s="140">
        <f t="shared" si="2"/>
        <v>7.5</v>
      </c>
    </row>
    <row r="10" spans="1:45">
      <c r="A10" s="153">
        <v>3</v>
      </c>
      <c r="B10" s="61" t="s">
        <v>58</v>
      </c>
      <c r="C10" s="61" t="s">
        <v>59</v>
      </c>
      <c r="D10" s="61" t="s">
        <v>60</v>
      </c>
      <c r="E10" s="61" t="s">
        <v>52</v>
      </c>
      <c r="F10" s="306">
        <v>40961</v>
      </c>
      <c r="G10" s="307" t="s">
        <v>53</v>
      </c>
      <c r="H10" s="87">
        <v>45376</v>
      </c>
      <c r="I10" s="24">
        <v>82</v>
      </c>
      <c r="J10" s="24">
        <v>3</v>
      </c>
      <c r="K10" s="114">
        <v>0.96470588235294119</v>
      </c>
      <c r="L10" s="24">
        <v>18</v>
      </c>
      <c r="M10" s="24">
        <v>2</v>
      </c>
      <c r="N10" s="24">
        <v>14</v>
      </c>
      <c r="O10" s="24">
        <v>3</v>
      </c>
      <c r="P10" s="97">
        <v>12.5</v>
      </c>
      <c r="Q10" s="113">
        <v>231</v>
      </c>
      <c r="R10" s="87">
        <v>45441</v>
      </c>
      <c r="S10" s="24">
        <v>80</v>
      </c>
      <c r="T10" s="24">
        <v>3</v>
      </c>
      <c r="U10" s="78">
        <v>0.96385542168674698</v>
      </c>
      <c r="V10" s="24">
        <v>20</v>
      </c>
      <c r="W10" s="24">
        <v>2</v>
      </c>
      <c r="X10" s="24">
        <v>13</v>
      </c>
      <c r="Y10" s="24">
        <v>3</v>
      </c>
      <c r="Z10" s="98">
        <v>11.5</v>
      </c>
      <c r="AA10" s="40">
        <v>254</v>
      </c>
      <c r="AB10" s="87">
        <v>45580</v>
      </c>
      <c r="AC10" s="24">
        <v>85</v>
      </c>
      <c r="AD10" s="24">
        <v>3</v>
      </c>
      <c r="AE10" s="79">
        <v>0.96590909090909094</v>
      </c>
      <c r="AF10" s="24">
        <v>22</v>
      </c>
      <c r="AG10" s="24">
        <v>2</v>
      </c>
      <c r="AH10" s="24">
        <v>13</v>
      </c>
      <c r="AI10" s="24">
        <v>3</v>
      </c>
      <c r="AJ10" s="99">
        <v>11.5</v>
      </c>
      <c r="AK10" s="31">
        <v>263</v>
      </c>
      <c r="AN10" s="139">
        <f>IF($K10="","",VLOOKUP($K10,'ORF Accuracy Value LookUp'!$G$4:$H$104,2,TRUE))</f>
        <v>88</v>
      </c>
      <c r="AO10" s="94">
        <f t="shared" si="0"/>
        <v>12.5</v>
      </c>
      <c r="AP10" s="47">
        <f>IF($U10="","",VLOOKUP($U10,'ORF Accuracy Value LookUp'!$G$4:$H$104,2,TRUE))</f>
        <v>88</v>
      </c>
      <c r="AQ10" s="94">
        <f t="shared" si="1"/>
        <v>11.5</v>
      </c>
      <c r="AR10" s="46">
        <f>IF($AE10="","",VLOOKUP($AE10,'ORF Accuracy Value LookUp'!$G$4:$H$104,2,TRUE))</f>
        <v>88</v>
      </c>
      <c r="AS10" s="140">
        <f t="shared" si="2"/>
        <v>11.5</v>
      </c>
    </row>
    <row r="11" spans="1:45">
      <c r="A11" s="58">
        <v>3</v>
      </c>
      <c r="B11" s="61" t="s">
        <v>61</v>
      </c>
      <c r="C11" s="61" t="s">
        <v>62</v>
      </c>
      <c r="D11" s="61" t="s">
        <v>63</v>
      </c>
      <c r="E11" s="61" t="s">
        <v>52</v>
      </c>
      <c r="F11" s="306">
        <v>40962</v>
      </c>
      <c r="G11" s="307" t="s">
        <v>53</v>
      </c>
      <c r="H11" s="87">
        <v>45376</v>
      </c>
      <c r="I11" s="24">
        <v>93</v>
      </c>
      <c r="J11" s="24">
        <v>4</v>
      </c>
      <c r="K11" s="114">
        <v>0.95876288659793818</v>
      </c>
      <c r="L11" s="24">
        <v>22</v>
      </c>
      <c r="M11" s="24">
        <v>1</v>
      </c>
      <c r="N11" s="24">
        <v>17</v>
      </c>
      <c r="O11" s="24">
        <v>4</v>
      </c>
      <c r="P11" s="97">
        <v>15</v>
      </c>
      <c r="Q11" s="113">
        <v>247</v>
      </c>
      <c r="R11" s="87">
        <v>45441</v>
      </c>
      <c r="S11" s="24">
        <v>90</v>
      </c>
      <c r="T11" s="24">
        <v>4</v>
      </c>
      <c r="U11" s="78">
        <v>0.95744680851063835</v>
      </c>
      <c r="V11" s="24">
        <v>24</v>
      </c>
      <c r="W11" s="24">
        <v>1</v>
      </c>
      <c r="X11" s="24">
        <v>16</v>
      </c>
      <c r="Y11" s="24">
        <v>4</v>
      </c>
      <c r="Z11" s="98">
        <v>14</v>
      </c>
      <c r="AA11" s="40">
        <v>274</v>
      </c>
      <c r="AB11" s="87">
        <v>45580</v>
      </c>
      <c r="AC11" s="24">
        <v>98</v>
      </c>
      <c r="AD11" s="24">
        <v>4</v>
      </c>
      <c r="AE11" s="79">
        <v>0.96078431372549022</v>
      </c>
      <c r="AF11" s="24">
        <v>26</v>
      </c>
      <c r="AG11" s="24">
        <v>1</v>
      </c>
      <c r="AH11" s="24">
        <v>16</v>
      </c>
      <c r="AI11" s="24">
        <v>4</v>
      </c>
      <c r="AJ11" s="99">
        <v>14</v>
      </c>
      <c r="AK11" s="31">
        <v>294</v>
      </c>
      <c r="AN11" s="139">
        <f>IF($K11="","",VLOOKUP($K11,'ORF Accuracy Value LookUp'!$G$4:$H$104,2,TRUE))</f>
        <v>80</v>
      </c>
      <c r="AO11" s="94">
        <f t="shared" si="0"/>
        <v>15</v>
      </c>
      <c r="AP11" s="47">
        <f>IF($U11="","",VLOOKUP($U11,'ORF Accuracy Value LookUp'!$G$4:$H$104,2,TRUE))</f>
        <v>80</v>
      </c>
      <c r="AQ11" s="94">
        <f t="shared" si="1"/>
        <v>14</v>
      </c>
      <c r="AR11" s="46">
        <f>IF($AE11="","",VLOOKUP($AE11,'ORF Accuracy Value LookUp'!$G$4:$H$104,2,TRUE))</f>
        <v>88</v>
      </c>
      <c r="AS11" s="140">
        <f t="shared" si="2"/>
        <v>14</v>
      </c>
    </row>
    <row r="12" spans="1:45">
      <c r="A12" s="153">
        <v>3</v>
      </c>
      <c r="B12" s="61" t="s">
        <v>64</v>
      </c>
      <c r="C12" s="61" t="s">
        <v>65</v>
      </c>
      <c r="D12" s="61" t="s">
        <v>66</v>
      </c>
      <c r="E12" s="61" t="s">
        <v>57</v>
      </c>
      <c r="F12" s="306">
        <v>40970</v>
      </c>
      <c r="G12" s="307" t="s">
        <v>67</v>
      </c>
      <c r="H12" s="87">
        <v>45376</v>
      </c>
      <c r="I12" s="24">
        <v>100</v>
      </c>
      <c r="J12" s="24">
        <v>3</v>
      </c>
      <c r="K12" s="114">
        <v>0.970873786407767</v>
      </c>
      <c r="L12" s="24">
        <v>25</v>
      </c>
      <c r="M12" s="24">
        <v>0</v>
      </c>
      <c r="N12" s="24">
        <v>18</v>
      </c>
      <c r="O12" s="24">
        <v>3</v>
      </c>
      <c r="P12" s="97">
        <v>16.5</v>
      </c>
      <c r="Q12" s="113">
        <v>279</v>
      </c>
      <c r="R12" s="87">
        <v>45441</v>
      </c>
      <c r="S12" s="24">
        <v>98</v>
      </c>
      <c r="T12" s="24">
        <v>3</v>
      </c>
      <c r="U12" s="78">
        <v>0.97029702970297027</v>
      </c>
      <c r="V12" s="24">
        <v>27</v>
      </c>
      <c r="W12" s="24">
        <v>0</v>
      </c>
      <c r="X12" s="24">
        <v>18</v>
      </c>
      <c r="Y12" s="24">
        <v>3</v>
      </c>
      <c r="Z12" s="98">
        <v>16.5</v>
      </c>
      <c r="AA12" s="40">
        <v>314</v>
      </c>
      <c r="AB12" s="87">
        <v>45580</v>
      </c>
      <c r="AC12" s="24">
        <v>108</v>
      </c>
      <c r="AD12" s="24">
        <v>3</v>
      </c>
      <c r="AE12" s="79">
        <v>0.97297297297297303</v>
      </c>
      <c r="AF12" s="24">
        <v>30</v>
      </c>
      <c r="AG12" s="24">
        <v>0</v>
      </c>
      <c r="AH12" s="24">
        <v>18</v>
      </c>
      <c r="AI12" s="24">
        <v>3</v>
      </c>
      <c r="AJ12" s="99">
        <v>16.5</v>
      </c>
      <c r="AK12" s="31">
        <v>330</v>
      </c>
      <c r="AN12" s="139">
        <f>IF($K12="","",VLOOKUP($K12,'ORF Accuracy Value LookUp'!$G$4:$H$104,2,TRUE))</f>
        <v>96</v>
      </c>
      <c r="AO12" s="94">
        <f t="shared" si="0"/>
        <v>16.5</v>
      </c>
      <c r="AP12" s="47">
        <f>IF($U12="","",VLOOKUP($U12,'ORF Accuracy Value LookUp'!$G$4:$H$104,2,TRUE))</f>
        <v>96</v>
      </c>
      <c r="AQ12" s="94">
        <f t="shared" si="1"/>
        <v>16.5</v>
      </c>
      <c r="AR12" s="46">
        <f>IF($AE12="","",VLOOKUP($AE12,'ORF Accuracy Value LookUp'!$G$4:$H$104,2,TRUE))</f>
        <v>96</v>
      </c>
      <c r="AS12" s="140">
        <f t="shared" si="2"/>
        <v>16.5</v>
      </c>
    </row>
    <row r="13" spans="1:45">
      <c r="A13" s="58">
        <v>3</v>
      </c>
      <c r="B13" s="308" t="s">
        <v>68</v>
      </c>
      <c r="C13" s="308" t="s">
        <v>69</v>
      </c>
      <c r="D13" s="309" t="s">
        <v>70</v>
      </c>
      <c r="E13" s="309" t="s">
        <v>57</v>
      </c>
      <c r="F13" s="310">
        <v>40963</v>
      </c>
      <c r="G13" s="311" t="s">
        <v>53</v>
      </c>
      <c r="H13" s="87">
        <v>45376</v>
      </c>
      <c r="I13" s="24">
        <v>106</v>
      </c>
      <c r="J13" s="24">
        <v>4</v>
      </c>
      <c r="K13" s="114">
        <v>0.96363636363636362</v>
      </c>
      <c r="L13" s="24">
        <v>28</v>
      </c>
      <c r="M13" s="24">
        <v>0</v>
      </c>
      <c r="N13" s="24">
        <v>19</v>
      </c>
      <c r="O13" s="24">
        <v>4</v>
      </c>
      <c r="P13" s="97">
        <v>17</v>
      </c>
      <c r="Q13" s="113">
        <v>284</v>
      </c>
      <c r="R13" s="87">
        <v>45441</v>
      </c>
      <c r="S13" s="24">
        <v>105</v>
      </c>
      <c r="T13" s="24">
        <v>4</v>
      </c>
      <c r="U13" s="78">
        <v>0.96330275229357798</v>
      </c>
      <c r="V13" s="24">
        <v>30</v>
      </c>
      <c r="W13" s="24">
        <v>0</v>
      </c>
      <c r="X13" s="24">
        <v>20</v>
      </c>
      <c r="Y13" s="24">
        <v>4</v>
      </c>
      <c r="Z13" s="98">
        <v>18</v>
      </c>
      <c r="AA13" s="40">
        <v>325</v>
      </c>
      <c r="AB13" s="87">
        <v>45580</v>
      </c>
      <c r="AC13" s="24">
        <v>114</v>
      </c>
      <c r="AD13" s="24">
        <v>4</v>
      </c>
      <c r="AE13" s="79">
        <v>0.96610169491525422</v>
      </c>
      <c r="AF13" s="24">
        <v>33</v>
      </c>
      <c r="AG13" s="24">
        <v>0</v>
      </c>
      <c r="AH13" s="24">
        <v>20</v>
      </c>
      <c r="AI13" s="24">
        <v>4</v>
      </c>
      <c r="AJ13" s="99">
        <v>18</v>
      </c>
      <c r="AK13" s="31">
        <v>340</v>
      </c>
      <c r="AN13" s="139">
        <f>IF($K13="","",VLOOKUP($K13,'ORF Accuracy Value LookUp'!$G$4:$H$104,2,TRUE))</f>
        <v>88</v>
      </c>
      <c r="AO13" s="94">
        <f t="shared" si="0"/>
        <v>17</v>
      </c>
      <c r="AP13" s="47">
        <f>IF($U13="","",VLOOKUP($U13,'ORF Accuracy Value LookUp'!$G$4:$H$104,2,TRUE))</f>
        <v>88</v>
      </c>
      <c r="AQ13" s="94">
        <f t="shared" si="1"/>
        <v>18</v>
      </c>
      <c r="AR13" s="46">
        <f>IF($AE13="","",VLOOKUP($AE13,'ORF Accuracy Value LookUp'!$G$4:$H$104,2,TRUE))</f>
        <v>88</v>
      </c>
      <c r="AS13" s="140">
        <f t="shared" si="2"/>
        <v>18</v>
      </c>
    </row>
    <row r="14" spans="1:45">
      <c r="A14" s="153">
        <v>3</v>
      </c>
      <c r="B14" s="308" t="s">
        <v>71</v>
      </c>
      <c r="C14" s="308" t="s">
        <v>72</v>
      </c>
      <c r="D14" s="309" t="s">
        <v>73</v>
      </c>
      <c r="E14" s="309" t="s">
        <v>52</v>
      </c>
      <c r="F14" s="310">
        <v>40964</v>
      </c>
      <c r="G14" s="311" t="s">
        <v>67</v>
      </c>
      <c r="H14" s="87">
        <v>45376</v>
      </c>
      <c r="I14" s="24">
        <v>111</v>
      </c>
      <c r="J14" s="24">
        <v>1</v>
      </c>
      <c r="K14" s="114">
        <v>0.9910714285714286</v>
      </c>
      <c r="L14" s="24">
        <v>30</v>
      </c>
      <c r="M14" s="24">
        <v>2</v>
      </c>
      <c r="N14" s="24">
        <v>20</v>
      </c>
      <c r="O14" s="24">
        <v>1</v>
      </c>
      <c r="P14" s="97">
        <v>19.5</v>
      </c>
      <c r="Q14" s="113">
        <v>322</v>
      </c>
      <c r="R14" s="87">
        <v>45441</v>
      </c>
      <c r="S14" s="24">
        <v>110</v>
      </c>
      <c r="T14" s="24">
        <v>1</v>
      </c>
      <c r="U14" s="78">
        <v>0.99099099099099097</v>
      </c>
      <c r="V14" s="24">
        <v>33</v>
      </c>
      <c r="W14" s="24">
        <v>2</v>
      </c>
      <c r="X14" s="24">
        <v>21</v>
      </c>
      <c r="Y14" s="24">
        <v>1</v>
      </c>
      <c r="Z14" s="98">
        <v>20.5</v>
      </c>
      <c r="AA14" s="40">
        <v>370</v>
      </c>
      <c r="AB14" s="87">
        <v>45580</v>
      </c>
      <c r="AC14" s="24">
        <v>120</v>
      </c>
      <c r="AD14" s="24">
        <v>1</v>
      </c>
      <c r="AE14" s="79">
        <v>0.99173553719008267</v>
      </c>
      <c r="AF14" s="24">
        <v>35</v>
      </c>
      <c r="AG14" s="24">
        <v>2</v>
      </c>
      <c r="AH14" s="24">
        <v>22</v>
      </c>
      <c r="AI14" s="24">
        <v>1</v>
      </c>
      <c r="AJ14" s="99">
        <v>21.5</v>
      </c>
      <c r="AK14" s="31">
        <v>388</v>
      </c>
      <c r="AN14" s="139">
        <f>IF($K14="","",VLOOKUP($K14,'ORF Accuracy Value LookUp'!$G$4:$H$104,2,TRUE))</f>
        <v>112</v>
      </c>
      <c r="AO14" s="94">
        <f t="shared" si="0"/>
        <v>19.5</v>
      </c>
      <c r="AP14" s="47">
        <f>IF($U14="","",VLOOKUP($U14,'ORF Accuracy Value LookUp'!$G$4:$H$104,2,TRUE))</f>
        <v>112</v>
      </c>
      <c r="AQ14" s="94">
        <f t="shared" si="1"/>
        <v>20.5</v>
      </c>
      <c r="AR14" s="46">
        <f>IF($AE14="","",VLOOKUP($AE14,'ORF Accuracy Value LookUp'!$G$4:$H$104,2,TRUE))</f>
        <v>112</v>
      </c>
      <c r="AS14" s="140">
        <f t="shared" si="2"/>
        <v>21.5</v>
      </c>
    </row>
    <row r="15" spans="1:45">
      <c r="A15" s="58">
        <v>3</v>
      </c>
      <c r="B15" s="308" t="s">
        <v>74</v>
      </c>
      <c r="C15" s="308" t="s">
        <v>75</v>
      </c>
      <c r="D15" s="309" t="s">
        <v>76</v>
      </c>
      <c r="E15" s="309" t="s">
        <v>57</v>
      </c>
      <c r="F15" s="310">
        <v>40965</v>
      </c>
      <c r="G15" s="311" t="s">
        <v>67</v>
      </c>
      <c r="H15" s="87">
        <v>45376</v>
      </c>
      <c r="I15" s="24">
        <v>115</v>
      </c>
      <c r="J15" s="24">
        <v>2</v>
      </c>
      <c r="K15" s="114">
        <v>0.98290598290598286</v>
      </c>
      <c r="L15" s="24">
        <v>33</v>
      </c>
      <c r="M15" s="24">
        <v>1</v>
      </c>
      <c r="N15" s="24">
        <v>21</v>
      </c>
      <c r="O15" s="24">
        <v>2</v>
      </c>
      <c r="P15" s="97">
        <v>20</v>
      </c>
      <c r="Q15" s="113">
        <v>325</v>
      </c>
      <c r="R15" s="87">
        <v>45441</v>
      </c>
      <c r="S15" s="24">
        <v>116</v>
      </c>
      <c r="T15" s="24">
        <v>2</v>
      </c>
      <c r="U15" s="78">
        <v>0.98305084745762716</v>
      </c>
      <c r="V15" s="24">
        <v>36</v>
      </c>
      <c r="W15" s="24">
        <v>1</v>
      </c>
      <c r="X15" s="24">
        <v>23</v>
      </c>
      <c r="Y15" s="24">
        <v>2</v>
      </c>
      <c r="Z15" s="98">
        <v>22</v>
      </c>
      <c r="AA15" s="40">
        <v>380</v>
      </c>
      <c r="AB15" s="87">
        <v>45580</v>
      </c>
      <c r="AC15" s="24">
        <v>126</v>
      </c>
      <c r="AD15" s="24">
        <v>2</v>
      </c>
      <c r="AE15" s="79">
        <v>0.984375</v>
      </c>
      <c r="AF15" s="24">
        <v>38</v>
      </c>
      <c r="AG15" s="24">
        <v>1</v>
      </c>
      <c r="AH15" s="24">
        <v>23</v>
      </c>
      <c r="AI15" s="24">
        <v>2</v>
      </c>
      <c r="AJ15" s="99">
        <v>22</v>
      </c>
      <c r="AK15" s="31">
        <v>394</v>
      </c>
      <c r="AN15" s="139">
        <f>IF($K15="","",VLOOKUP($K15,'ORF Accuracy Value LookUp'!$G$4:$H$104,2,TRUE))</f>
        <v>104</v>
      </c>
      <c r="AO15" s="94">
        <f t="shared" si="0"/>
        <v>20</v>
      </c>
      <c r="AP15" s="47">
        <f>IF($U15="","",VLOOKUP($U15,'ORF Accuracy Value LookUp'!$G$4:$H$104,2,TRUE))</f>
        <v>104</v>
      </c>
      <c r="AQ15" s="94">
        <f t="shared" si="1"/>
        <v>22</v>
      </c>
      <c r="AR15" s="46">
        <f>IF($AE15="","",VLOOKUP($AE15,'ORF Accuracy Value LookUp'!$G$4:$H$104,2,TRUE))</f>
        <v>104</v>
      </c>
      <c r="AS15" s="140">
        <f t="shared" si="2"/>
        <v>22</v>
      </c>
    </row>
    <row r="16" spans="1:45">
      <c r="A16" s="153">
        <v>3</v>
      </c>
      <c r="B16" s="308" t="s">
        <v>77</v>
      </c>
      <c r="C16" s="308" t="s">
        <v>78</v>
      </c>
      <c r="D16" s="309" t="s">
        <v>79</v>
      </c>
      <c r="E16" s="309" t="s">
        <v>52</v>
      </c>
      <c r="F16" s="310">
        <v>40966</v>
      </c>
      <c r="G16" s="311" t="s">
        <v>67</v>
      </c>
      <c r="H16" s="87">
        <v>45376</v>
      </c>
      <c r="I16" s="24">
        <v>120</v>
      </c>
      <c r="J16" s="24">
        <v>2</v>
      </c>
      <c r="K16" s="114">
        <v>0.98360655737704916</v>
      </c>
      <c r="L16" s="24">
        <v>35</v>
      </c>
      <c r="M16" s="24">
        <v>2</v>
      </c>
      <c r="N16" s="24">
        <v>23</v>
      </c>
      <c r="O16" s="24">
        <v>2</v>
      </c>
      <c r="P16" s="97">
        <v>22</v>
      </c>
      <c r="Q16" s="113">
        <v>338</v>
      </c>
      <c r="R16" s="87">
        <v>45441</v>
      </c>
      <c r="S16" s="24">
        <v>120</v>
      </c>
      <c r="T16" s="24">
        <v>2</v>
      </c>
      <c r="U16" s="78">
        <v>0.98360655737704916</v>
      </c>
      <c r="V16" s="24">
        <v>38</v>
      </c>
      <c r="W16" s="24">
        <v>2</v>
      </c>
      <c r="X16" s="24">
        <v>24</v>
      </c>
      <c r="Y16" s="24">
        <v>2</v>
      </c>
      <c r="Z16" s="98">
        <v>23</v>
      </c>
      <c r="AA16" s="40">
        <v>392</v>
      </c>
      <c r="AB16" s="87">
        <v>45580</v>
      </c>
      <c r="AC16" s="24">
        <v>132</v>
      </c>
      <c r="AD16" s="24">
        <v>2</v>
      </c>
      <c r="AE16" s="79">
        <v>0.9850746268656716</v>
      </c>
      <c r="AF16" s="24">
        <v>41</v>
      </c>
      <c r="AG16" s="24">
        <v>2</v>
      </c>
      <c r="AH16" s="24">
        <v>24</v>
      </c>
      <c r="AI16" s="24">
        <v>2</v>
      </c>
      <c r="AJ16" s="99">
        <v>23</v>
      </c>
      <c r="AK16" s="31">
        <v>410</v>
      </c>
      <c r="AN16" s="139">
        <f>IF($K16="","",VLOOKUP($K16,'ORF Accuracy Value LookUp'!$G$4:$H$104,2,TRUE))</f>
        <v>104</v>
      </c>
      <c r="AO16" s="94">
        <f t="shared" si="0"/>
        <v>22</v>
      </c>
      <c r="AP16" s="47">
        <f>IF($U16="","",VLOOKUP($U16,'ORF Accuracy Value LookUp'!$G$4:$H$104,2,TRUE))</f>
        <v>104</v>
      </c>
      <c r="AQ16" s="94">
        <f t="shared" si="1"/>
        <v>23</v>
      </c>
      <c r="AR16" s="46">
        <f>IF($AE16="","",VLOOKUP($AE16,'ORF Accuracy Value LookUp'!$G$4:$H$104,2,TRUE))</f>
        <v>104</v>
      </c>
      <c r="AS16" s="140">
        <f t="shared" si="2"/>
        <v>23</v>
      </c>
    </row>
    <row r="17" spans="1:45">
      <c r="A17" s="58">
        <v>3</v>
      </c>
      <c r="B17" s="308" t="s">
        <v>80</v>
      </c>
      <c r="C17" s="308" t="s">
        <v>81</v>
      </c>
      <c r="D17" s="309" t="s">
        <v>82</v>
      </c>
      <c r="E17" s="309" t="s">
        <v>52</v>
      </c>
      <c r="F17" s="310">
        <v>40967</v>
      </c>
      <c r="G17" s="311" t="s">
        <v>67</v>
      </c>
      <c r="H17" s="87">
        <v>45376</v>
      </c>
      <c r="I17" s="24">
        <v>125</v>
      </c>
      <c r="J17" s="24">
        <v>1</v>
      </c>
      <c r="K17" s="114">
        <v>0.99206349206349209</v>
      </c>
      <c r="L17" s="24">
        <v>37</v>
      </c>
      <c r="M17" s="24">
        <v>1</v>
      </c>
      <c r="N17" s="24">
        <v>24</v>
      </c>
      <c r="O17" s="24">
        <v>1</v>
      </c>
      <c r="P17" s="97">
        <v>23.5</v>
      </c>
      <c r="Q17" s="113">
        <v>358</v>
      </c>
      <c r="R17" s="87">
        <v>45441</v>
      </c>
      <c r="S17" s="24">
        <v>125</v>
      </c>
      <c r="T17" s="24">
        <v>1</v>
      </c>
      <c r="U17" s="78">
        <v>0.99206349206349209</v>
      </c>
      <c r="V17" s="24">
        <v>41</v>
      </c>
      <c r="W17" s="24">
        <v>1</v>
      </c>
      <c r="X17" s="24">
        <v>26</v>
      </c>
      <c r="Y17" s="24">
        <v>1</v>
      </c>
      <c r="Z17" s="98">
        <v>25.5</v>
      </c>
      <c r="AA17" s="40">
        <v>421</v>
      </c>
      <c r="AB17" s="87">
        <v>45580</v>
      </c>
      <c r="AC17" s="24">
        <v>135</v>
      </c>
      <c r="AD17" s="24">
        <v>1</v>
      </c>
      <c r="AE17" s="79">
        <v>0.99264705882352944</v>
      </c>
      <c r="AF17" s="24">
        <v>43</v>
      </c>
      <c r="AG17" s="24">
        <v>1</v>
      </c>
      <c r="AH17" s="24">
        <v>26</v>
      </c>
      <c r="AI17" s="24">
        <v>1</v>
      </c>
      <c r="AJ17" s="99">
        <v>25.5</v>
      </c>
      <c r="AK17" s="31">
        <v>435</v>
      </c>
      <c r="AN17" s="139">
        <f>IF($K17="","",VLOOKUP($K17,'ORF Accuracy Value LookUp'!$G$4:$H$104,2,TRUE))</f>
        <v>112</v>
      </c>
      <c r="AO17" s="94">
        <f t="shared" si="0"/>
        <v>23.5</v>
      </c>
      <c r="AP17" s="47">
        <f>IF($U17="","",VLOOKUP($U17,'ORF Accuracy Value LookUp'!$G$4:$H$104,2,TRUE))</f>
        <v>112</v>
      </c>
      <c r="AQ17" s="94">
        <f t="shared" si="1"/>
        <v>25.5</v>
      </c>
      <c r="AR17" s="46">
        <f>IF($AE17="","",VLOOKUP($AE17,'ORF Accuracy Value LookUp'!$G$4:$H$104,2,TRUE))</f>
        <v>112</v>
      </c>
      <c r="AS17" s="140">
        <f t="shared" si="2"/>
        <v>25.5</v>
      </c>
    </row>
    <row r="18" spans="1:45">
      <c r="A18" s="153">
        <v>3</v>
      </c>
      <c r="B18" s="308" t="s">
        <v>83</v>
      </c>
      <c r="C18" s="308" t="s">
        <v>84</v>
      </c>
      <c r="D18" s="309" t="s">
        <v>85</v>
      </c>
      <c r="E18" s="309" t="s">
        <v>52</v>
      </c>
      <c r="F18" s="310">
        <v>40968</v>
      </c>
      <c r="G18" s="311" t="s">
        <v>67</v>
      </c>
      <c r="H18" s="87">
        <v>45376</v>
      </c>
      <c r="I18" s="24">
        <v>130</v>
      </c>
      <c r="J18" s="24">
        <v>1</v>
      </c>
      <c r="K18" s="114">
        <v>0.99236641221374045</v>
      </c>
      <c r="L18" s="24">
        <v>40</v>
      </c>
      <c r="M18" s="24">
        <v>1</v>
      </c>
      <c r="N18" s="24">
        <v>25</v>
      </c>
      <c r="O18" s="24">
        <v>1</v>
      </c>
      <c r="P18" s="97">
        <v>24.5</v>
      </c>
      <c r="Q18" s="113">
        <v>371</v>
      </c>
      <c r="R18" s="87">
        <v>45441</v>
      </c>
      <c r="S18" s="24">
        <v>130</v>
      </c>
      <c r="T18" s="24">
        <v>1</v>
      </c>
      <c r="U18" s="78">
        <v>0.99236641221374045</v>
      </c>
      <c r="V18" s="24">
        <v>43</v>
      </c>
      <c r="W18" s="24">
        <v>1</v>
      </c>
      <c r="X18" s="24">
        <v>27</v>
      </c>
      <c r="Y18" s="24">
        <v>1</v>
      </c>
      <c r="Z18" s="98">
        <v>26.5</v>
      </c>
      <c r="AA18" s="40">
        <v>434</v>
      </c>
      <c r="AB18" s="87">
        <v>45580</v>
      </c>
      <c r="AC18" s="24">
        <v>140</v>
      </c>
      <c r="AD18" s="24">
        <v>1</v>
      </c>
      <c r="AE18" s="79">
        <v>0.99290780141843971</v>
      </c>
      <c r="AF18" s="24">
        <v>46</v>
      </c>
      <c r="AG18" s="24">
        <v>1</v>
      </c>
      <c r="AH18" s="24">
        <v>27</v>
      </c>
      <c r="AI18" s="24">
        <v>1</v>
      </c>
      <c r="AJ18" s="99">
        <v>26.5</v>
      </c>
      <c r="AK18" s="31">
        <v>450</v>
      </c>
      <c r="AN18" s="139">
        <f>IF($K18="","",VLOOKUP($K18,'ORF Accuracy Value LookUp'!$G$4:$H$104,2,TRUE))</f>
        <v>112</v>
      </c>
      <c r="AO18" s="94">
        <f t="shared" si="0"/>
        <v>24.5</v>
      </c>
      <c r="AP18" s="47">
        <f>IF($U18="","",VLOOKUP($U18,'ORF Accuracy Value LookUp'!$G$4:$H$104,2,TRUE))</f>
        <v>112</v>
      </c>
      <c r="AQ18" s="94">
        <f t="shared" si="1"/>
        <v>26.5</v>
      </c>
      <c r="AR18" s="46">
        <f>IF($AE18="","",VLOOKUP($AE18,'ORF Accuracy Value LookUp'!$G$4:$H$104,2,TRUE))</f>
        <v>112</v>
      </c>
      <c r="AS18" s="140">
        <f t="shared" si="2"/>
        <v>26.5</v>
      </c>
    </row>
    <row r="19" spans="1:45">
      <c r="A19" s="10"/>
      <c r="B19" s="12"/>
      <c r="C19" s="13"/>
      <c r="D19" s="14"/>
      <c r="E19" s="10"/>
      <c r="F19" s="11"/>
      <c r="G19" s="15"/>
      <c r="H19" s="87"/>
      <c r="I19" s="24"/>
      <c r="J19" s="24"/>
      <c r="K19" s="114" t="str">
        <f t="shared" ref="K8:K71" si="3">IF($I19="","",SUM($I19/($I19+$J19)))</f>
        <v/>
      </c>
      <c r="L19" s="24"/>
      <c r="M19" s="24"/>
      <c r="N19" s="24"/>
      <c r="O19" s="24"/>
      <c r="P19" s="97" t="str">
        <f t="shared" ref="P8:P71" si="4">IF($AO19&gt;0,$AO19,0)</f>
        <v/>
      </c>
      <c r="Q19" s="113" t="str">
        <f t="shared" ref="Q8:Q71" si="5">IF($B19="","",SUM($I19+$AN19+($L19*2)+($P19*2)))</f>
        <v/>
      </c>
      <c r="R19" s="87"/>
      <c r="S19" s="24"/>
      <c r="T19" s="24"/>
      <c r="U19" s="78" t="str">
        <f t="shared" ref="U8:U71" si="6">IF($S19="","",SUM($S19/($S19+$T19)))</f>
        <v/>
      </c>
      <c r="V19" s="24"/>
      <c r="W19" s="24"/>
      <c r="X19" s="24"/>
      <c r="Y19" s="24"/>
      <c r="Z19" s="98" t="str">
        <f t="shared" ref="Z8:Z71" si="7">IF($AQ19&gt;0,$AQ19,0)</f>
        <v/>
      </c>
      <c r="AA19" s="40" t="str">
        <f t="shared" ref="AA9:AA72" si="8">IF($R19="","",SUM($S19+$AP19+($V19*2)+($Z19*4)))</f>
        <v/>
      </c>
      <c r="AB19" s="87"/>
      <c r="AC19" s="24"/>
      <c r="AD19" s="24"/>
      <c r="AE19" s="79" t="str">
        <f t="shared" ref="AE8:AE71" si="9">IF($AC19="","",SUM($AC19/($AC19+$AD19)))</f>
        <v/>
      </c>
      <c r="AF19" s="24"/>
      <c r="AG19" s="24"/>
      <c r="AH19" s="24"/>
      <c r="AI19" s="24"/>
      <c r="AJ19" s="99" t="str">
        <f t="shared" ref="AJ8:AJ71" si="10">IF($AS19&gt;0,$AS19,0)</f>
        <v/>
      </c>
      <c r="AK19" s="31" t="str">
        <f t="shared" ref="AK9:AK72" si="11">IF($AB19="","",SUM($AC19+$AR19+($AF19*2)+($AJ19*4)))</f>
        <v/>
      </c>
      <c r="AN19" s="139" t="str">
        <f>IF($K19="","",VLOOKUP($K19,'ORF Accuracy Value LookUp'!$G$4:$H$104,2,TRUE))</f>
        <v/>
      </c>
      <c r="AO19" s="94" t="str">
        <f t="shared" si="0"/>
        <v/>
      </c>
      <c r="AP19" s="47" t="str">
        <f>IF($U19="","",VLOOKUP($U19,'ORF Accuracy Value LookUp'!$G$4:$H$104,2,TRUE))</f>
        <v/>
      </c>
      <c r="AQ19" s="94" t="str">
        <f t="shared" si="1"/>
        <v/>
      </c>
      <c r="AR19" s="46" t="str">
        <f>IF($AE19="","",VLOOKUP($AE19,'ORF Accuracy Value LookUp'!$G$4:$H$104,2,TRUE))</f>
        <v/>
      </c>
      <c r="AS19" s="140" t="str">
        <f t="shared" si="2"/>
        <v/>
      </c>
    </row>
    <row r="20" spans="1:45">
      <c r="A20" s="10"/>
      <c r="B20" s="12"/>
      <c r="C20" s="13"/>
      <c r="D20" s="14"/>
      <c r="E20" s="10"/>
      <c r="F20" s="11"/>
      <c r="G20" s="15"/>
      <c r="H20" s="87"/>
      <c r="I20" s="24"/>
      <c r="J20" s="24"/>
      <c r="K20" s="114" t="str">
        <f t="shared" si="3"/>
        <v/>
      </c>
      <c r="L20" s="24"/>
      <c r="M20" s="24"/>
      <c r="N20" s="24"/>
      <c r="O20" s="24"/>
      <c r="P20" s="97" t="str">
        <f t="shared" si="4"/>
        <v/>
      </c>
      <c r="Q20" s="113" t="str">
        <f t="shared" si="5"/>
        <v/>
      </c>
      <c r="R20" s="87"/>
      <c r="S20" s="24"/>
      <c r="T20" s="24"/>
      <c r="U20" s="78" t="str">
        <f t="shared" si="6"/>
        <v/>
      </c>
      <c r="V20" s="24"/>
      <c r="W20" s="24"/>
      <c r="X20" s="24"/>
      <c r="Y20" s="24"/>
      <c r="Z20" s="98" t="str">
        <f t="shared" si="7"/>
        <v/>
      </c>
      <c r="AA20" s="40" t="str">
        <f t="shared" si="8"/>
        <v/>
      </c>
      <c r="AB20" s="87"/>
      <c r="AC20" s="24"/>
      <c r="AD20" s="24"/>
      <c r="AE20" s="79" t="str">
        <f t="shared" si="9"/>
        <v/>
      </c>
      <c r="AF20" s="24"/>
      <c r="AG20" s="24"/>
      <c r="AH20" s="24"/>
      <c r="AI20" s="24"/>
      <c r="AJ20" s="99" t="str">
        <f t="shared" si="10"/>
        <v/>
      </c>
      <c r="AK20" s="31" t="str">
        <f t="shared" si="11"/>
        <v/>
      </c>
      <c r="AN20" s="139" t="str">
        <f>IF($K20="","",VLOOKUP($K20,'ORF Accuracy Value LookUp'!$G$4:$H$104,2,TRUE))</f>
        <v/>
      </c>
      <c r="AO20" s="94" t="str">
        <f t="shared" si="0"/>
        <v/>
      </c>
      <c r="AP20" s="47" t="str">
        <f>IF($U20="","",VLOOKUP($U20,'ORF Accuracy Value LookUp'!$G$4:$H$104,2,TRUE))</f>
        <v/>
      </c>
      <c r="AQ20" s="94" t="str">
        <f t="shared" si="1"/>
        <v/>
      </c>
      <c r="AR20" s="46" t="str">
        <f>IF($AE20="","",VLOOKUP($AE20,'ORF Accuracy Value LookUp'!$G$4:$H$104,2,TRUE))</f>
        <v/>
      </c>
      <c r="AS20" s="140" t="str">
        <f t="shared" si="2"/>
        <v/>
      </c>
    </row>
    <row r="21" spans="1:45">
      <c r="A21" s="10"/>
      <c r="B21" s="12"/>
      <c r="C21" s="13"/>
      <c r="D21" s="14"/>
      <c r="E21" s="10"/>
      <c r="F21" s="11"/>
      <c r="G21" s="15"/>
      <c r="H21" s="87"/>
      <c r="I21" s="24"/>
      <c r="J21" s="24"/>
      <c r="K21" s="114" t="str">
        <f t="shared" si="3"/>
        <v/>
      </c>
      <c r="L21" s="24"/>
      <c r="M21" s="24"/>
      <c r="N21" s="24"/>
      <c r="O21" s="24"/>
      <c r="P21" s="97" t="str">
        <f t="shared" si="4"/>
        <v/>
      </c>
      <c r="Q21" s="113" t="str">
        <f t="shared" si="5"/>
        <v/>
      </c>
      <c r="R21" s="87"/>
      <c r="S21" s="24"/>
      <c r="T21" s="24"/>
      <c r="U21" s="78" t="str">
        <f t="shared" si="6"/>
        <v/>
      </c>
      <c r="V21" s="24"/>
      <c r="W21" s="24"/>
      <c r="X21" s="24"/>
      <c r="Y21" s="24"/>
      <c r="Z21" s="98" t="str">
        <f t="shared" si="7"/>
        <v/>
      </c>
      <c r="AA21" s="40" t="str">
        <f t="shared" si="8"/>
        <v/>
      </c>
      <c r="AB21" s="87"/>
      <c r="AC21" s="24"/>
      <c r="AD21" s="24"/>
      <c r="AE21" s="79" t="str">
        <f t="shared" si="9"/>
        <v/>
      </c>
      <c r="AF21" s="24"/>
      <c r="AG21" s="24"/>
      <c r="AH21" s="24"/>
      <c r="AI21" s="24"/>
      <c r="AJ21" s="99" t="str">
        <f t="shared" si="10"/>
        <v/>
      </c>
      <c r="AK21" s="31" t="str">
        <f t="shared" si="11"/>
        <v/>
      </c>
      <c r="AN21" s="139" t="str">
        <f>IF($K21="","",VLOOKUP($K21,'ORF Accuracy Value LookUp'!$G$4:$H$104,2,TRUE))</f>
        <v/>
      </c>
      <c r="AO21" s="94" t="str">
        <f t="shared" si="0"/>
        <v/>
      </c>
      <c r="AP21" s="47" t="str">
        <f>IF($U21="","",VLOOKUP($U21,'ORF Accuracy Value LookUp'!$G$4:$H$104,2,TRUE))</f>
        <v/>
      </c>
      <c r="AQ21" s="94" t="str">
        <f t="shared" si="1"/>
        <v/>
      </c>
      <c r="AR21" s="46" t="str">
        <f>IF($AE21="","",VLOOKUP($AE21,'ORF Accuracy Value LookUp'!$G$4:$H$104,2,TRUE))</f>
        <v/>
      </c>
      <c r="AS21" s="140" t="str">
        <f t="shared" si="2"/>
        <v/>
      </c>
    </row>
    <row r="22" spans="1:45">
      <c r="A22" s="10"/>
      <c r="B22" s="12"/>
      <c r="C22" s="13"/>
      <c r="D22" s="14"/>
      <c r="E22" s="10"/>
      <c r="F22" s="11"/>
      <c r="G22" s="15"/>
      <c r="H22" s="87"/>
      <c r="I22" s="24"/>
      <c r="J22" s="24"/>
      <c r="K22" s="114" t="str">
        <f t="shared" si="3"/>
        <v/>
      </c>
      <c r="L22" s="24"/>
      <c r="M22" s="24"/>
      <c r="N22" s="24"/>
      <c r="O22" s="24"/>
      <c r="P22" s="97" t="str">
        <f t="shared" si="4"/>
        <v/>
      </c>
      <c r="Q22" s="113" t="str">
        <f t="shared" si="5"/>
        <v/>
      </c>
      <c r="R22" s="87"/>
      <c r="S22" s="24"/>
      <c r="T22" s="24"/>
      <c r="U22" s="78" t="str">
        <f t="shared" si="6"/>
        <v/>
      </c>
      <c r="V22" s="24"/>
      <c r="W22" s="24"/>
      <c r="X22" s="24"/>
      <c r="Y22" s="24"/>
      <c r="Z22" s="98" t="str">
        <f t="shared" si="7"/>
        <v/>
      </c>
      <c r="AA22" s="40" t="str">
        <f t="shared" si="8"/>
        <v/>
      </c>
      <c r="AB22" s="87"/>
      <c r="AC22" s="24"/>
      <c r="AD22" s="24"/>
      <c r="AE22" s="79" t="str">
        <f t="shared" si="9"/>
        <v/>
      </c>
      <c r="AF22" s="24"/>
      <c r="AG22" s="24"/>
      <c r="AH22" s="24"/>
      <c r="AI22" s="24"/>
      <c r="AJ22" s="99" t="str">
        <f t="shared" si="10"/>
        <v/>
      </c>
      <c r="AK22" s="31" t="str">
        <f t="shared" si="11"/>
        <v/>
      </c>
      <c r="AN22" s="139" t="str">
        <f>IF($K22="","",VLOOKUP($K22,'ORF Accuracy Value LookUp'!$G$4:$H$104,2,TRUE))</f>
        <v/>
      </c>
      <c r="AO22" s="94" t="str">
        <f t="shared" si="0"/>
        <v/>
      </c>
      <c r="AP22" s="47" t="str">
        <f>IF($U22="","",VLOOKUP($U22,'ORF Accuracy Value LookUp'!$G$4:$H$104,2,TRUE))</f>
        <v/>
      </c>
      <c r="AQ22" s="94" t="str">
        <f t="shared" si="1"/>
        <v/>
      </c>
      <c r="AR22" s="46" t="str">
        <f>IF($AE22="","",VLOOKUP($AE22,'ORF Accuracy Value LookUp'!$G$4:$H$104,2,TRUE))</f>
        <v/>
      </c>
      <c r="AS22" s="140" t="str">
        <f t="shared" si="2"/>
        <v/>
      </c>
    </row>
    <row r="23" spans="1:45">
      <c r="A23" s="10"/>
      <c r="B23" s="12"/>
      <c r="C23" s="13"/>
      <c r="D23" s="14"/>
      <c r="E23" s="10"/>
      <c r="F23" s="11"/>
      <c r="G23" s="15"/>
      <c r="H23" s="87"/>
      <c r="I23" s="24"/>
      <c r="J23" s="24"/>
      <c r="K23" s="114" t="str">
        <f t="shared" si="3"/>
        <v/>
      </c>
      <c r="L23" s="24"/>
      <c r="M23" s="24"/>
      <c r="N23" s="24"/>
      <c r="O23" s="24"/>
      <c r="P23" s="97" t="str">
        <f t="shared" si="4"/>
        <v/>
      </c>
      <c r="Q23" s="113" t="str">
        <f t="shared" si="5"/>
        <v/>
      </c>
      <c r="R23" s="87"/>
      <c r="S23" s="24"/>
      <c r="T23" s="24"/>
      <c r="U23" s="78" t="str">
        <f t="shared" si="6"/>
        <v/>
      </c>
      <c r="V23" s="24"/>
      <c r="W23" s="24"/>
      <c r="X23" s="24"/>
      <c r="Y23" s="24"/>
      <c r="Z23" s="98" t="str">
        <f t="shared" si="7"/>
        <v/>
      </c>
      <c r="AA23" s="40" t="str">
        <f t="shared" si="8"/>
        <v/>
      </c>
      <c r="AB23" s="87"/>
      <c r="AC23" s="24"/>
      <c r="AD23" s="24"/>
      <c r="AE23" s="79" t="str">
        <f t="shared" si="9"/>
        <v/>
      </c>
      <c r="AF23" s="24"/>
      <c r="AG23" s="24"/>
      <c r="AH23" s="24"/>
      <c r="AI23" s="24"/>
      <c r="AJ23" s="99" t="str">
        <f t="shared" si="10"/>
        <v/>
      </c>
      <c r="AK23" s="31" t="str">
        <f t="shared" si="11"/>
        <v/>
      </c>
      <c r="AN23" s="139" t="str">
        <f>IF($K23="","",VLOOKUP($K23,'ORF Accuracy Value LookUp'!$G$4:$H$104,2,TRUE))</f>
        <v/>
      </c>
      <c r="AO23" s="94" t="str">
        <f t="shared" si="0"/>
        <v/>
      </c>
      <c r="AP23" s="47" t="str">
        <f>IF($U23="","",VLOOKUP($U23,'ORF Accuracy Value LookUp'!$G$4:$H$104,2,TRUE))</f>
        <v/>
      </c>
      <c r="AQ23" s="94" t="str">
        <f t="shared" si="1"/>
        <v/>
      </c>
      <c r="AR23" s="46" t="str">
        <f>IF($AE23="","",VLOOKUP($AE23,'ORF Accuracy Value LookUp'!$G$4:$H$104,2,TRUE))</f>
        <v/>
      </c>
      <c r="AS23" s="140" t="str">
        <f t="shared" si="2"/>
        <v/>
      </c>
    </row>
    <row r="24" spans="1:45">
      <c r="A24" s="10"/>
      <c r="B24" s="12"/>
      <c r="C24" s="13"/>
      <c r="D24" s="14"/>
      <c r="E24" s="10"/>
      <c r="F24" s="11"/>
      <c r="G24" s="15"/>
      <c r="H24" s="87"/>
      <c r="I24" s="24"/>
      <c r="J24" s="24"/>
      <c r="K24" s="114" t="str">
        <f t="shared" si="3"/>
        <v/>
      </c>
      <c r="L24" s="24"/>
      <c r="M24" s="24"/>
      <c r="N24" s="24"/>
      <c r="O24" s="24"/>
      <c r="P24" s="97" t="str">
        <f t="shared" si="4"/>
        <v/>
      </c>
      <c r="Q24" s="113" t="str">
        <f t="shared" si="5"/>
        <v/>
      </c>
      <c r="R24" s="87"/>
      <c r="S24" s="24"/>
      <c r="T24" s="24"/>
      <c r="U24" s="78" t="str">
        <f t="shared" si="6"/>
        <v/>
      </c>
      <c r="V24" s="24"/>
      <c r="W24" s="24"/>
      <c r="X24" s="24"/>
      <c r="Y24" s="24"/>
      <c r="Z24" s="98" t="str">
        <f t="shared" si="7"/>
        <v/>
      </c>
      <c r="AA24" s="40" t="str">
        <f t="shared" si="8"/>
        <v/>
      </c>
      <c r="AB24" s="87"/>
      <c r="AC24" s="24"/>
      <c r="AD24" s="24"/>
      <c r="AE24" s="79" t="str">
        <f t="shared" si="9"/>
        <v/>
      </c>
      <c r="AF24" s="24"/>
      <c r="AG24" s="24"/>
      <c r="AH24" s="24"/>
      <c r="AI24" s="24"/>
      <c r="AJ24" s="99" t="str">
        <f t="shared" si="10"/>
        <v/>
      </c>
      <c r="AK24" s="31" t="str">
        <f t="shared" si="11"/>
        <v/>
      </c>
      <c r="AN24" s="139" t="str">
        <f>IF($K24="","",VLOOKUP($K24,'ORF Accuracy Value LookUp'!$G$4:$H$104,2,TRUE))</f>
        <v/>
      </c>
      <c r="AO24" s="94" t="str">
        <f t="shared" si="0"/>
        <v/>
      </c>
      <c r="AP24" s="47" t="str">
        <f>IF($U24="","",VLOOKUP($U24,'ORF Accuracy Value LookUp'!$G$4:$H$104,2,TRUE))</f>
        <v/>
      </c>
      <c r="AQ24" s="94" t="str">
        <f t="shared" si="1"/>
        <v/>
      </c>
      <c r="AR24" s="46" t="str">
        <f>IF($AE24="","",VLOOKUP($AE24,'ORF Accuracy Value LookUp'!$G$4:$H$104,2,TRUE))</f>
        <v/>
      </c>
      <c r="AS24" s="140" t="str">
        <f t="shared" si="2"/>
        <v/>
      </c>
    </row>
    <row r="25" spans="1:45">
      <c r="A25" s="10"/>
      <c r="B25" s="12"/>
      <c r="C25" s="13"/>
      <c r="D25" s="14"/>
      <c r="E25" s="10"/>
      <c r="F25" s="11"/>
      <c r="G25" s="15"/>
      <c r="H25" s="87"/>
      <c r="I25" s="24"/>
      <c r="J25" s="24"/>
      <c r="K25" s="114" t="str">
        <f t="shared" si="3"/>
        <v/>
      </c>
      <c r="L25" s="24"/>
      <c r="M25" s="24"/>
      <c r="N25" s="24"/>
      <c r="O25" s="24"/>
      <c r="P25" s="97" t="str">
        <f t="shared" si="4"/>
        <v/>
      </c>
      <c r="Q25" s="113" t="str">
        <f t="shared" si="5"/>
        <v/>
      </c>
      <c r="R25" s="87"/>
      <c r="S25" s="24"/>
      <c r="T25" s="24"/>
      <c r="U25" s="78" t="str">
        <f t="shared" si="6"/>
        <v/>
      </c>
      <c r="V25" s="24"/>
      <c r="W25" s="24"/>
      <c r="X25" s="24"/>
      <c r="Y25" s="24"/>
      <c r="Z25" s="98" t="str">
        <f t="shared" si="7"/>
        <v/>
      </c>
      <c r="AA25" s="40" t="str">
        <f t="shared" si="8"/>
        <v/>
      </c>
      <c r="AB25" s="87"/>
      <c r="AC25" s="24"/>
      <c r="AD25" s="24"/>
      <c r="AE25" s="79" t="str">
        <f t="shared" si="9"/>
        <v/>
      </c>
      <c r="AF25" s="24"/>
      <c r="AG25" s="24"/>
      <c r="AH25" s="24"/>
      <c r="AI25" s="24"/>
      <c r="AJ25" s="99" t="str">
        <f t="shared" si="10"/>
        <v/>
      </c>
      <c r="AK25" s="31" t="str">
        <f t="shared" si="11"/>
        <v/>
      </c>
      <c r="AN25" s="139" t="str">
        <f>IF($K25="","",VLOOKUP($K25,'ORF Accuracy Value LookUp'!$G$4:$H$104,2,TRUE))</f>
        <v/>
      </c>
      <c r="AO25" s="94" t="str">
        <f t="shared" si="0"/>
        <v/>
      </c>
      <c r="AP25" s="47" t="str">
        <f>IF($U25="","",VLOOKUP($U25,'ORF Accuracy Value LookUp'!$G$4:$H$104,2,TRUE))</f>
        <v/>
      </c>
      <c r="AQ25" s="94" t="str">
        <f t="shared" si="1"/>
        <v/>
      </c>
      <c r="AR25" s="46" t="str">
        <f>IF($AE25="","",VLOOKUP($AE25,'ORF Accuracy Value LookUp'!$G$4:$H$104,2,TRUE))</f>
        <v/>
      </c>
      <c r="AS25" s="140" t="str">
        <f t="shared" si="2"/>
        <v/>
      </c>
    </row>
    <row r="26" spans="1:45">
      <c r="A26" s="10"/>
      <c r="B26" s="12"/>
      <c r="C26" s="13"/>
      <c r="D26" s="14"/>
      <c r="E26" s="10"/>
      <c r="F26" s="11"/>
      <c r="G26" s="15"/>
      <c r="H26" s="87"/>
      <c r="I26" s="24"/>
      <c r="J26" s="24"/>
      <c r="K26" s="114" t="str">
        <f t="shared" si="3"/>
        <v/>
      </c>
      <c r="L26" s="24"/>
      <c r="M26" s="24"/>
      <c r="N26" s="24"/>
      <c r="O26" s="24"/>
      <c r="P26" s="97" t="str">
        <f t="shared" si="4"/>
        <v/>
      </c>
      <c r="Q26" s="113" t="str">
        <f t="shared" si="5"/>
        <v/>
      </c>
      <c r="R26" s="87"/>
      <c r="S26" s="24"/>
      <c r="T26" s="24"/>
      <c r="U26" s="78" t="str">
        <f t="shared" si="6"/>
        <v/>
      </c>
      <c r="V26" s="24"/>
      <c r="W26" s="24"/>
      <c r="X26" s="24"/>
      <c r="Y26" s="24"/>
      <c r="Z26" s="98" t="str">
        <f t="shared" si="7"/>
        <v/>
      </c>
      <c r="AA26" s="40" t="str">
        <f t="shared" si="8"/>
        <v/>
      </c>
      <c r="AB26" s="87"/>
      <c r="AC26" s="24"/>
      <c r="AD26" s="24"/>
      <c r="AE26" s="79" t="str">
        <f t="shared" si="9"/>
        <v/>
      </c>
      <c r="AF26" s="24"/>
      <c r="AG26" s="24"/>
      <c r="AH26" s="24"/>
      <c r="AI26" s="24"/>
      <c r="AJ26" s="99" t="str">
        <f t="shared" si="10"/>
        <v/>
      </c>
      <c r="AK26" s="31" t="str">
        <f t="shared" si="11"/>
        <v/>
      </c>
      <c r="AN26" s="139" t="str">
        <f>IF($K26="","",VLOOKUP($K26,'ORF Accuracy Value LookUp'!$G$4:$H$104,2,TRUE))</f>
        <v/>
      </c>
      <c r="AO26" s="94" t="str">
        <f t="shared" si="0"/>
        <v/>
      </c>
      <c r="AP26" s="47" t="str">
        <f>IF($U26="","",VLOOKUP($U26,'ORF Accuracy Value LookUp'!$G$4:$H$104,2,TRUE))</f>
        <v/>
      </c>
      <c r="AQ26" s="94" t="str">
        <f t="shared" si="1"/>
        <v/>
      </c>
      <c r="AR26" s="46" t="str">
        <f>IF($AE26="","",VLOOKUP($AE26,'ORF Accuracy Value LookUp'!$G$4:$H$104,2,TRUE))</f>
        <v/>
      </c>
      <c r="AS26" s="140" t="str">
        <f t="shared" si="2"/>
        <v/>
      </c>
    </row>
    <row r="27" spans="1:45">
      <c r="A27" s="10"/>
      <c r="B27" s="12"/>
      <c r="C27" s="13"/>
      <c r="D27" s="14"/>
      <c r="E27" s="10"/>
      <c r="F27" s="11"/>
      <c r="G27" s="15"/>
      <c r="H27" s="87"/>
      <c r="I27" s="24"/>
      <c r="J27" s="24"/>
      <c r="K27" s="114" t="str">
        <f t="shared" si="3"/>
        <v/>
      </c>
      <c r="L27" s="24"/>
      <c r="M27" s="24"/>
      <c r="N27" s="24"/>
      <c r="O27" s="24"/>
      <c r="P27" s="97" t="str">
        <f t="shared" si="4"/>
        <v/>
      </c>
      <c r="Q27" s="113" t="str">
        <f t="shared" si="5"/>
        <v/>
      </c>
      <c r="R27" s="87"/>
      <c r="S27" s="24"/>
      <c r="T27" s="24"/>
      <c r="U27" s="78" t="str">
        <f t="shared" si="6"/>
        <v/>
      </c>
      <c r="V27" s="24"/>
      <c r="W27" s="24"/>
      <c r="X27" s="24"/>
      <c r="Y27" s="24"/>
      <c r="Z27" s="98" t="str">
        <f t="shared" si="7"/>
        <v/>
      </c>
      <c r="AA27" s="40" t="str">
        <f t="shared" si="8"/>
        <v/>
      </c>
      <c r="AB27" s="87"/>
      <c r="AC27" s="24"/>
      <c r="AD27" s="24"/>
      <c r="AE27" s="79" t="str">
        <f t="shared" si="9"/>
        <v/>
      </c>
      <c r="AF27" s="24"/>
      <c r="AG27" s="24"/>
      <c r="AH27" s="24"/>
      <c r="AI27" s="24"/>
      <c r="AJ27" s="99" t="str">
        <f t="shared" si="10"/>
        <v/>
      </c>
      <c r="AK27" s="31" t="str">
        <f t="shared" si="11"/>
        <v/>
      </c>
      <c r="AN27" s="139" t="str">
        <f>IF($K27="","",VLOOKUP($K27,'ORF Accuracy Value LookUp'!$G$4:$H$104,2,TRUE))</f>
        <v/>
      </c>
      <c r="AO27" s="94" t="str">
        <f t="shared" si="0"/>
        <v/>
      </c>
      <c r="AP27" s="47" t="str">
        <f>IF($U27="","",VLOOKUP($U27,'ORF Accuracy Value LookUp'!$G$4:$H$104,2,TRUE))</f>
        <v/>
      </c>
      <c r="AQ27" s="94" t="str">
        <f t="shared" si="1"/>
        <v/>
      </c>
      <c r="AR27" s="46" t="str">
        <f>IF($AE27="","",VLOOKUP($AE27,'ORF Accuracy Value LookUp'!$G$4:$H$104,2,TRUE))</f>
        <v/>
      </c>
      <c r="AS27" s="140" t="str">
        <f t="shared" si="2"/>
        <v/>
      </c>
    </row>
    <row r="28" spans="1:45">
      <c r="A28" s="10"/>
      <c r="B28" s="12"/>
      <c r="C28" s="13"/>
      <c r="D28" s="14"/>
      <c r="E28" s="10"/>
      <c r="F28" s="11"/>
      <c r="G28" s="15"/>
      <c r="H28" s="87"/>
      <c r="I28" s="24"/>
      <c r="J28" s="24"/>
      <c r="K28" s="114" t="str">
        <f t="shared" si="3"/>
        <v/>
      </c>
      <c r="L28" s="24"/>
      <c r="M28" s="24"/>
      <c r="N28" s="24"/>
      <c r="O28" s="24"/>
      <c r="P28" s="97" t="str">
        <f t="shared" si="4"/>
        <v/>
      </c>
      <c r="Q28" s="113" t="str">
        <f t="shared" si="5"/>
        <v/>
      </c>
      <c r="R28" s="87"/>
      <c r="S28" s="24"/>
      <c r="T28" s="24"/>
      <c r="U28" s="78" t="str">
        <f t="shared" si="6"/>
        <v/>
      </c>
      <c r="V28" s="24"/>
      <c r="W28" s="24"/>
      <c r="X28" s="24"/>
      <c r="Y28" s="24"/>
      <c r="Z28" s="98" t="str">
        <f t="shared" si="7"/>
        <v/>
      </c>
      <c r="AA28" s="40" t="str">
        <f t="shared" si="8"/>
        <v/>
      </c>
      <c r="AB28" s="87"/>
      <c r="AC28" s="24"/>
      <c r="AD28" s="24"/>
      <c r="AE28" s="79" t="str">
        <f t="shared" si="9"/>
        <v/>
      </c>
      <c r="AF28" s="24"/>
      <c r="AG28" s="24"/>
      <c r="AH28" s="24"/>
      <c r="AI28" s="24"/>
      <c r="AJ28" s="99" t="str">
        <f t="shared" si="10"/>
        <v/>
      </c>
      <c r="AK28" s="31" t="str">
        <f t="shared" si="11"/>
        <v/>
      </c>
      <c r="AN28" s="139" t="str">
        <f>IF($K28="","",VLOOKUP($K28,'ORF Accuracy Value LookUp'!$G$4:$H$104,2,TRUE))</f>
        <v/>
      </c>
      <c r="AO28" s="94" t="str">
        <f t="shared" si="0"/>
        <v/>
      </c>
      <c r="AP28" s="47" t="str">
        <f>IF($U28="","",VLOOKUP($U28,'ORF Accuracy Value LookUp'!$G$4:$H$104,2,TRUE))</f>
        <v/>
      </c>
      <c r="AQ28" s="94" t="str">
        <f t="shared" si="1"/>
        <v/>
      </c>
      <c r="AR28" s="46" t="str">
        <f>IF($AE28="","",VLOOKUP($AE28,'ORF Accuracy Value LookUp'!$G$4:$H$104,2,TRUE))</f>
        <v/>
      </c>
      <c r="AS28" s="140" t="str">
        <f t="shared" si="2"/>
        <v/>
      </c>
    </row>
    <row r="29" spans="1:45">
      <c r="A29" s="10"/>
      <c r="B29" s="12"/>
      <c r="C29" s="13"/>
      <c r="D29" s="14"/>
      <c r="E29" s="10"/>
      <c r="F29" s="11"/>
      <c r="G29" s="15"/>
      <c r="H29" s="87"/>
      <c r="I29" s="24"/>
      <c r="J29" s="24"/>
      <c r="K29" s="114" t="str">
        <f t="shared" si="3"/>
        <v/>
      </c>
      <c r="L29" s="24"/>
      <c r="M29" s="24"/>
      <c r="N29" s="24"/>
      <c r="O29" s="24"/>
      <c r="P29" s="97" t="str">
        <f t="shared" si="4"/>
        <v/>
      </c>
      <c r="Q29" s="113" t="str">
        <f t="shared" si="5"/>
        <v/>
      </c>
      <c r="R29" s="87"/>
      <c r="S29" s="24"/>
      <c r="T29" s="24"/>
      <c r="U29" s="78" t="str">
        <f t="shared" si="6"/>
        <v/>
      </c>
      <c r="V29" s="24"/>
      <c r="W29" s="24"/>
      <c r="X29" s="24"/>
      <c r="Y29" s="24"/>
      <c r="Z29" s="98" t="str">
        <f t="shared" si="7"/>
        <v/>
      </c>
      <c r="AA29" s="40" t="str">
        <f t="shared" si="8"/>
        <v/>
      </c>
      <c r="AB29" s="87"/>
      <c r="AC29" s="24"/>
      <c r="AD29" s="24"/>
      <c r="AE29" s="79" t="str">
        <f t="shared" si="9"/>
        <v/>
      </c>
      <c r="AF29" s="24"/>
      <c r="AG29" s="24"/>
      <c r="AH29" s="24"/>
      <c r="AI29" s="24"/>
      <c r="AJ29" s="99" t="str">
        <f t="shared" si="10"/>
        <v/>
      </c>
      <c r="AK29" s="31" t="str">
        <f t="shared" si="11"/>
        <v/>
      </c>
      <c r="AN29" s="139" t="str">
        <f>IF($K29="","",VLOOKUP($K29,'ORF Accuracy Value LookUp'!$G$4:$H$104,2,TRUE))</f>
        <v/>
      </c>
      <c r="AO29" s="94" t="str">
        <f t="shared" si="0"/>
        <v/>
      </c>
      <c r="AP29" s="47" t="str">
        <f>IF($U29="","",VLOOKUP($U29,'ORF Accuracy Value LookUp'!$G$4:$H$104,2,TRUE))</f>
        <v/>
      </c>
      <c r="AQ29" s="94" t="str">
        <f t="shared" si="1"/>
        <v/>
      </c>
      <c r="AR29" s="46" t="str">
        <f>IF($AE29="","",VLOOKUP($AE29,'ORF Accuracy Value LookUp'!$G$4:$H$104,2,TRUE))</f>
        <v/>
      </c>
      <c r="AS29" s="140" t="str">
        <f t="shared" si="2"/>
        <v/>
      </c>
    </row>
    <row r="30" spans="1:45">
      <c r="A30" s="10"/>
      <c r="B30" s="12"/>
      <c r="C30" s="13"/>
      <c r="D30" s="14"/>
      <c r="E30" s="10"/>
      <c r="F30" s="11"/>
      <c r="G30" s="15"/>
      <c r="H30" s="87"/>
      <c r="I30" s="24"/>
      <c r="J30" s="24"/>
      <c r="K30" s="114" t="str">
        <f t="shared" si="3"/>
        <v/>
      </c>
      <c r="L30" s="24"/>
      <c r="M30" s="24"/>
      <c r="N30" s="24"/>
      <c r="O30" s="24"/>
      <c r="P30" s="97" t="str">
        <f t="shared" si="4"/>
        <v/>
      </c>
      <c r="Q30" s="113" t="str">
        <f t="shared" si="5"/>
        <v/>
      </c>
      <c r="R30" s="87"/>
      <c r="S30" s="24"/>
      <c r="T30" s="24"/>
      <c r="U30" s="78" t="str">
        <f t="shared" si="6"/>
        <v/>
      </c>
      <c r="V30" s="24"/>
      <c r="W30" s="24"/>
      <c r="X30" s="24"/>
      <c r="Y30" s="24"/>
      <c r="Z30" s="98" t="str">
        <f t="shared" si="7"/>
        <v/>
      </c>
      <c r="AA30" s="40" t="str">
        <f t="shared" si="8"/>
        <v/>
      </c>
      <c r="AB30" s="87"/>
      <c r="AC30" s="24"/>
      <c r="AD30" s="24"/>
      <c r="AE30" s="79" t="str">
        <f t="shared" si="9"/>
        <v/>
      </c>
      <c r="AF30" s="24"/>
      <c r="AG30" s="24"/>
      <c r="AH30" s="24"/>
      <c r="AI30" s="24"/>
      <c r="AJ30" s="99" t="str">
        <f t="shared" si="10"/>
        <v/>
      </c>
      <c r="AK30" s="31" t="str">
        <f t="shared" si="11"/>
        <v/>
      </c>
      <c r="AN30" s="139" t="str">
        <f>IF($K30="","",VLOOKUP($K30,'ORF Accuracy Value LookUp'!$G$4:$H$104,2,TRUE))</f>
        <v/>
      </c>
      <c r="AO30" s="94" t="str">
        <f t="shared" si="0"/>
        <v/>
      </c>
      <c r="AP30" s="47" t="str">
        <f>IF($U30="","",VLOOKUP($U30,'ORF Accuracy Value LookUp'!$G$4:$H$104,2,TRUE))</f>
        <v/>
      </c>
      <c r="AQ30" s="94" t="str">
        <f t="shared" si="1"/>
        <v/>
      </c>
      <c r="AR30" s="46" t="str">
        <f>IF($AE30="","",VLOOKUP($AE30,'ORF Accuracy Value LookUp'!$G$4:$H$104,2,TRUE))</f>
        <v/>
      </c>
      <c r="AS30" s="140" t="str">
        <f t="shared" si="2"/>
        <v/>
      </c>
    </row>
    <row r="31" spans="1:45">
      <c r="A31" s="10"/>
      <c r="B31" s="12"/>
      <c r="C31" s="13"/>
      <c r="D31" s="14"/>
      <c r="E31" s="10"/>
      <c r="F31" s="11"/>
      <c r="G31" s="15"/>
      <c r="H31" s="87"/>
      <c r="I31" s="24"/>
      <c r="J31" s="24"/>
      <c r="K31" s="114" t="str">
        <f t="shared" si="3"/>
        <v/>
      </c>
      <c r="L31" s="24"/>
      <c r="M31" s="24"/>
      <c r="N31" s="24"/>
      <c r="O31" s="24"/>
      <c r="P31" s="97" t="str">
        <f t="shared" si="4"/>
        <v/>
      </c>
      <c r="Q31" s="113" t="str">
        <f t="shared" si="5"/>
        <v/>
      </c>
      <c r="R31" s="87"/>
      <c r="S31" s="24"/>
      <c r="T31" s="24"/>
      <c r="U31" s="78" t="str">
        <f t="shared" si="6"/>
        <v/>
      </c>
      <c r="V31" s="24"/>
      <c r="W31" s="24"/>
      <c r="X31" s="24"/>
      <c r="Y31" s="24"/>
      <c r="Z31" s="98" t="str">
        <f t="shared" si="7"/>
        <v/>
      </c>
      <c r="AA31" s="40" t="str">
        <f t="shared" si="8"/>
        <v/>
      </c>
      <c r="AB31" s="87"/>
      <c r="AC31" s="24"/>
      <c r="AD31" s="24"/>
      <c r="AE31" s="79" t="str">
        <f t="shared" si="9"/>
        <v/>
      </c>
      <c r="AF31" s="24"/>
      <c r="AG31" s="24"/>
      <c r="AH31" s="24"/>
      <c r="AI31" s="24"/>
      <c r="AJ31" s="99" t="str">
        <f t="shared" si="10"/>
        <v/>
      </c>
      <c r="AK31" s="31" t="str">
        <f t="shared" si="11"/>
        <v/>
      </c>
      <c r="AN31" s="139" t="str">
        <f>IF($K31="","",VLOOKUP($K31,'ORF Accuracy Value LookUp'!$G$4:$H$104,2,TRUE))</f>
        <v/>
      </c>
      <c r="AO31" s="94" t="str">
        <f t="shared" si="0"/>
        <v/>
      </c>
      <c r="AP31" s="47" t="str">
        <f>IF($U31="","",VLOOKUP($U31,'ORF Accuracy Value LookUp'!$G$4:$H$104,2,TRUE))</f>
        <v/>
      </c>
      <c r="AQ31" s="94" t="str">
        <f t="shared" si="1"/>
        <v/>
      </c>
      <c r="AR31" s="46" t="str">
        <f>IF($AE31="","",VLOOKUP($AE31,'ORF Accuracy Value LookUp'!$G$4:$H$104,2,TRUE))</f>
        <v/>
      </c>
      <c r="AS31" s="140" t="str">
        <f t="shared" si="2"/>
        <v/>
      </c>
    </row>
    <row r="32" spans="1:45">
      <c r="A32" s="10"/>
      <c r="B32" s="12"/>
      <c r="C32" s="13"/>
      <c r="D32" s="14"/>
      <c r="E32" s="10"/>
      <c r="F32" s="11"/>
      <c r="G32" s="15"/>
      <c r="H32" s="87"/>
      <c r="I32" s="24"/>
      <c r="J32" s="24"/>
      <c r="K32" s="114" t="str">
        <f t="shared" si="3"/>
        <v/>
      </c>
      <c r="L32" s="24"/>
      <c r="M32" s="24"/>
      <c r="N32" s="24"/>
      <c r="O32" s="24"/>
      <c r="P32" s="97" t="str">
        <f t="shared" si="4"/>
        <v/>
      </c>
      <c r="Q32" s="113" t="str">
        <f t="shared" si="5"/>
        <v/>
      </c>
      <c r="R32" s="87"/>
      <c r="S32" s="24"/>
      <c r="T32" s="24"/>
      <c r="U32" s="78" t="str">
        <f t="shared" si="6"/>
        <v/>
      </c>
      <c r="V32" s="24"/>
      <c r="W32" s="24"/>
      <c r="X32" s="24"/>
      <c r="Y32" s="24"/>
      <c r="Z32" s="98" t="str">
        <f t="shared" si="7"/>
        <v/>
      </c>
      <c r="AA32" s="40" t="str">
        <f t="shared" si="8"/>
        <v/>
      </c>
      <c r="AB32" s="87"/>
      <c r="AC32" s="24"/>
      <c r="AD32" s="24"/>
      <c r="AE32" s="79" t="str">
        <f t="shared" si="9"/>
        <v/>
      </c>
      <c r="AF32" s="24"/>
      <c r="AG32" s="24"/>
      <c r="AH32" s="24"/>
      <c r="AI32" s="24"/>
      <c r="AJ32" s="99" t="str">
        <f t="shared" si="10"/>
        <v/>
      </c>
      <c r="AK32" s="31" t="str">
        <f t="shared" si="11"/>
        <v/>
      </c>
      <c r="AN32" s="139" t="str">
        <f>IF($K32="","",VLOOKUP($K32,'ORF Accuracy Value LookUp'!$G$4:$H$104,2,TRUE))</f>
        <v/>
      </c>
      <c r="AO32" s="94" t="str">
        <f t="shared" si="0"/>
        <v/>
      </c>
      <c r="AP32" s="47" t="str">
        <f>IF($U32="","",VLOOKUP($U32,'ORF Accuracy Value LookUp'!$G$4:$H$104,2,TRUE))</f>
        <v/>
      </c>
      <c r="AQ32" s="94" t="str">
        <f t="shared" si="1"/>
        <v/>
      </c>
      <c r="AR32" s="46" t="str">
        <f>IF($AE32="","",VLOOKUP($AE32,'ORF Accuracy Value LookUp'!$G$4:$H$104,2,TRUE))</f>
        <v/>
      </c>
      <c r="AS32" s="140" t="str">
        <f t="shared" si="2"/>
        <v/>
      </c>
    </row>
    <row r="33" spans="1:45">
      <c r="A33" s="10"/>
      <c r="B33" s="12"/>
      <c r="C33" s="13"/>
      <c r="D33" s="14"/>
      <c r="E33" s="10"/>
      <c r="F33" s="11"/>
      <c r="G33" s="15"/>
      <c r="H33" s="87"/>
      <c r="I33" s="24"/>
      <c r="J33" s="24"/>
      <c r="K33" s="114" t="str">
        <f t="shared" si="3"/>
        <v/>
      </c>
      <c r="L33" s="24"/>
      <c r="M33" s="24"/>
      <c r="N33" s="24"/>
      <c r="O33" s="24"/>
      <c r="P33" s="97" t="str">
        <f t="shared" si="4"/>
        <v/>
      </c>
      <c r="Q33" s="113" t="str">
        <f t="shared" si="5"/>
        <v/>
      </c>
      <c r="R33" s="87"/>
      <c r="S33" s="24"/>
      <c r="T33" s="24"/>
      <c r="U33" s="78" t="str">
        <f t="shared" si="6"/>
        <v/>
      </c>
      <c r="V33" s="24"/>
      <c r="W33" s="24"/>
      <c r="X33" s="24"/>
      <c r="Y33" s="24"/>
      <c r="Z33" s="98" t="str">
        <f t="shared" si="7"/>
        <v/>
      </c>
      <c r="AA33" s="40" t="str">
        <f t="shared" si="8"/>
        <v/>
      </c>
      <c r="AB33" s="87"/>
      <c r="AC33" s="24"/>
      <c r="AD33" s="24"/>
      <c r="AE33" s="79" t="str">
        <f t="shared" si="9"/>
        <v/>
      </c>
      <c r="AF33" s="24"/>
      <c r="AG33" s="24"/>
      <c r="AH33" s="24"/>
      <c r="AI33" s="24"/>
      <c r="AJ33" s="99" t="str">
        <f t="shared" si="10"/>
        <v/>
      </c>
      <c r="AK33" s="31" t="str">
        <f t="shared" si="11"/>
        <v/>
      </c>
      <c r="AN33" s="139" t="str">
        <f>IF($K33="","",VLOOKUP($K33,'ORF Accuracy Value LookUp'!$G$4:$H$104,2,TRUE))</f>
        <v/>
      </c>
      <c r="AO33" s="94" t="str">
        <f t="shared" si="0"/>
        <v/>
      </c>
      <c r="AP33" s="47" t="str">
        <f>IF($U33="","",VLOOKUP($U33,'ORF Accuracy Value LookUp'!$G$4:$H$104,2,TRUE))</f>
        <v/>
      </c>
      <c r="AQ33" s="94" t="str">
        <f t="shared" si="1"/>
        <v/>
      </c>
      <c r="AR33" s="46" t="str">
        <f>IF($AE33="","",VLOOKUP($AE33,'ORF Accuracy Value LookUp'!$G$4:$H$104,2,TRUE))</f>
        <v/>
      </c>
      <c r="AS33" s="140" t="str">
        <f t="shared" si="2"/>
        <v/>
      </c>
    </row>
    <row r="34" spans="1:45">
      <c r="A34" s="10"/>
      <c r="B34" s="12"/>
      <c r="C34" s="13"/>
      <c r="D34" s="14"/>
      <c r="E34" s="10"/>
      <c r="F34" s="11"/>
      <c r="G34" s="15"/>
      <c r="H34" s="87"/>
      <c r="I34" s="24"/>
      <c r="J34" s="24"/>
      <c r="K34" s="114" t="str">
        <f t="shared" si="3"/>
        <v/>
      </c>
      <c r="L34" s="24"/>
      <c r="M34" s="24"/>
      <c r="N34" s="24"/>
      <c r="O34" s="24"/>
      <c r="P34" s="97" t="str">
        <f t="shared" si="4"/>
        <v/>
      </c>
      <c r="Q34" s="113" t="str">
        <f t="shared" si="5"/>
        <v/>
      </c>
      <c r="R34" s="87"/>
      <c r="S34" s="24"/>
      <c r="T34" s="24"/>
      <c r="U34" s="78" t="str">
        <f t="shared" si="6"/>
        <v/>
      </c>
      <c r="V34" s="24"/>
      <c r="W34" s="24"/>
      <c r="X34" s="24"/>
      <c r="Y34" s="24"/>
      <c r="Z34" s="98" t="str">
        <f t="shared" si="7"/>
        <v/>
      </c>
      <c r="AA34" s="40" t="str">
        <f t="shared" si="8"/>
        <v/>
      </c>
      <c r="AB34" s="87"/>
      <c r="AC34" s="24"/>
      <c r="AD34" s="24"/>
      <c r="AE34" s="79" t="str">
        <f t="shared" si="9"/>
        <v/>
      </c>
      <c r="AF34" s="24"/>
      <c r="AG34" s="24"/>
      <c r="AH34" s="24"/>
      <c r="AI34" s="24"/>
      <c r="AJ34" s="99" t="str">
        <f t="shared" si="10"/>
        <v/>
      </c>
      <c r="AK34" s="31" t="str">
        <f t="shared" si="11"/>
        <v/>
      </c>
      <c r="AN34" s="139" t="str">
        <f>IF($K34="","",VLOOKUP($K34,'ORF Accuracy Value LookUp'!$G$4:$H$104,2,TRUE))</f>
        <v/>
      </c>
      <c r="AO34" s="94" t="str">
        <f t="shared" si="0"/>
        <v/>
      </c>
      <c r="AP34" s="47" t="str">
        <f>IF($U34="","",VLOOKUP($U34,'ORF Accuracy Value LookUp'!$G$4:$H$104,2,TRUE))</f>
        <v/>
      </c>
      <c r="AQ34" s="94" t="str">
        <f t="shared" si="1"/>
        <v/>
      </c>
      <c r="AR34" s="46" t="str">
        <f>IF($AE34="","",VLOOKUP($AE34,'ORF Accuracy Value LookUp'!$G$4:$H$104,2,TRUE))</f>
        <v/>
      </c>
      <c r="AS34" s="140" t="str">
        <f t="shared" si="2"/>
        <v/>
      </c>
    </row>
    <row r="35" spans="1:45">
      <c r="A35" s="10"/>
      <c r="B35" s="12"/>
      <c r="C35" s="13"/>
      <c r="D35" s="14"/>
      <c r="E35" s="10"/>
      <c r="F35" s="11"/>
      <c r="G35" s="15"/>
      <c r="H35" s="87"/>
      <c r="I35" s="24"/>
      <c r="J35" s="24"/>
      <c r="K35" s="114" t="str">
        <f t="shared" si="3"/>
        <v/>
      </c>
      <c r="L35" s="24"/>
      <c r="M35" s="24"/>
      <c r="N35" s="24"/>
      <c r="O35" s="24"/>
      <c r="P35" s="97" t="str">
        <f t="shared" si="4"/>
        <v/>
      </c>
      <c r="Q35" s="113" t="str">
        <f t="shared" si="5"/>
        <v/>
      </c>
      <c r="R35" s="87"/>
      <c r="S35" s="24"/>
      <c r="T35" s="24"/>
      <c r="U35" s="78" t="str">
        <f t="shared" si="6"/>
        <v/>
      </c>
      <c r="V35" s="24"/>
      <c r="W35" s="24"/>
      <c r="X35" s="24"/>
      <c r="Y35" s="24"/>
      <c r="Z35" s="98" t="str">
        <f t="shared" si="7"/>
        <v/>
      </c>
      <c r="AA35" s="40" t="str">
        <f t="shared" si="8"/>
        <v/>
      </c>
      <c r="AB35" s="87"/>
      <c r="AC35" s="24"/>
      <c r="AD35" s="24"/>
      <c r="AE35" s="79" t="str">
        <f t="shared" si="9"/>
        <v/>
      </c>
      <c r="AF35" s="24"/>
      <c r="AG35" s="24"/>
      <c r="AH35" s="24"/>
      <c r="AI35" s="24"/>
      <c r="AJ35" s="99" t="str">
        <f t="shared" si="10"/>
        <v/>
      </c>
      <c r="AK35" s="31" t="str">
        <f t="shared" si="11"/>
        <v/>
      </c>
      <c r="AN35" s="139" t="str">
        <f>IF($K35="","",VLOOKUP($K35,'ORF Accuracy Value LookUp'!$G$4:$H$104,2,TRUE))</f>
        <v/>
      </c>
      <c r="AO35" s="94" t="str">
        <f t="shared" si="0"/>
        <v/>
      </c>
      <c r="AP35" s="47" t="str">
        <f>IF($U35="","",VLOOKUP($U35,'ORF Accuracy Value LookUp'!$G$4:$H$104,2,TRUE))</f>
        <v/>
      </c>
      <c r="AQ35" s="94" t="str">
        <f t="shared" si="1"/>
        <v/>
      </c>
      <c r="AR35" s="46" t="str">
        <f>IF($AE35="","",VLOOKUP($AE35,'ORF Accuracy Value LookUp'!$G$4:$H$104,2,TRUE))</f>
        <v/>
      </c>
      <c r="AS35" s="140" t="str">
        <f t="shared" si="2"/>
        <v/>
      </c>
    </row>
    <row r="36" spans="1:45">
      <c r="A36" s="10"/>
      <c r="B36" s="12"/>
      <c r="C36" s="13"/>
      <c r="D36" s="14"/>
      <c r="E36" s="10"/>
      <c r="F36" s="11"/>
      <c r="G36" s="15"/>
      <c r="H36" s="87"/>
      <c r="I36" s="24"/>
      <c r="J36" s="24"/>
      <c r="K36" s="114" t="str">
        <f t="shared" si="3"/>
        <v/>
      </c>
      <c r="L36" s="24"/>
      <c r="M36" s="24"/>
      <c r="N36" s="24"/>
      <c r="O36" s="24"/>
      <c r="P36" s="97" t="str">
        <f t="shared" si="4"/>
        <v/>
      </c>
      <c r="Q36" s="113" t="str">
        <f t="shared" si="5"/>
        <v/>
      </c>
      <c r="R36" s="87"/>
      <c r="S36" s="24"/>
      <c r="T36" s="24"/>
      <c r="U36" s="78" t="str">
        <f t="shared" si="6"/>
        <v/>
      </c>
      <c r="V36" s="24"/>
      <c r="W36" s="24"/>
      <c r="X36" s="24"/>
      <c r="Y36" s="24"/>
      <c r="Z36" s="98" t="str">
        <f t="shared" si="7"/>
        <v/>
      </c>
      <c r="AA36" s="40" t="str">
        <f t="shared" si="8"/>
        <v/>
      </c>
      <c r="AB36" s="87"/>
      <c r="AC36" s="24"/>
      <c r="AD36" s="24"/>
      <c r="AE36" s="79" t="str">
        <f t="shared" si="9"/>
        <v/>
      </c>
      <c r="AF36" s="24"/>
      <c r="AG36" s="24"/>
      <c r="AH36" s="24"/>
      <c r="AI36" s="24"/>
      <c r="AJ36" s="99" t="str">
        <f t="shared" si="10"/>
        <v/>
      </c>
      <c r="AK36" s="31" t="str">
        <f t="shared" si="11"/>
        <v/>
      </c>
      <c r="AN36" s="139" t="str">
        <f>IF($K36="","",VLOOKUP($K36,'ORF Accuracy Value LookUp'!$G$4:$H$104,2,TRUE))</f>
        <v/>
      </c>
      <c r="AO36" s="94" t="str">
        <f t="shared" si="0"/>
        <v/>
      </c>
      <c r="AP36" s="47" t="str">
        <f>IF($U36="","",VLOOKUP($U36,'ORF Accuracy Value LookUp'!$G$4:$H$104,2,TRUE))</f>
        <v/>
      </c>
      <c r="AQ36" s="94" t="str">
        <f t="shared" si="1"/>
        <v/>
      </c>
      <c r="AR36" s="46" t="str">
        <f>IF($AE36="","",VLOOKUP($AE36,'ORF Accuracy Value LookUp'!$G$4:$H$104,2,TRUE))</f>
        <v/>
      </c>
      <c r="AS36" s="140" t="str">
        <f t="shared" si="2"/>
        <v/>
      </c>
    </row>
    <row r="37" spans="1:45">
      <c r="A37" s="10"/>
      <c r="B37" s="12"/>
      <c r="C37" s="13"/>
      <c r="D37" s="14"/>
      <c r="E37" s="10"/>
      <c r="F37" s="11"/>
      <c r="G37" s="15"/>
      <c r="H37" s="87"/>
      <c r="I37" s="24"/>
      <c r="J37" s="24"/>
      <c r="K37" s="114" t="str">
        <f t="shared" si="3"/>
        <v/>
      </c>
      <c r="L37" s="24"/>
      <c r="M37" s="24"/>
      <c r="N37" s="24"/>
      <c r="O37" s="24"/>
      <c r="P37" s="97" t="str">
        <f t="shared" si="4"/>
        <v/>
      </c>
      <c r="Q37" s="113" t="str">
        <f t="shared" si="5"/>
        <v/>
      </c>
      <c r="R37" s="87"/>
      <c r="S37" s="24"/>
      <c r="T37" s="24"/>
      <c r="U37" s="78" t="str">
        <f t="shared" si="6"/>
        <v/>
      </c>
      <c r="V37" s="24"/>
      <c r="W37" s="24"/>
      <c r="X37" s="24"/>
      <c r="Y37" s="24"/>
      <c r="Z37" s="98" t="str">
        <f t="shared" si="7"/>
        <v/>
      </c>
      <c r="AA37" s="40" t="str">
        <f t="shared" si="8"/>
        <v/>
      </c>
      <c r="AB37" s="87"/>
      <c r="AC37" s="24"/>
      <c r="AD37" s="24"/>
      <c r="AE37" s="79" t="str">
        <f t="shared" si="9"/>
        <v/>
      </c>
      <c r="AF37" s="24"/>
      <c r="AG37" s="24"/>
      <c r="AH37" s="24"/>
      <c r="AI37" s="24"/>
      <c r="AJ37" s="99" t="str">
        <f t="shared" si="10"/>
        <v/>
      </c>
      <c r="AK37" s="31" t="str">
        <f t="shared" si="11"/>
        <v/>
      </c>
      <c r="AN37" s="139" t="str">
        <f>IF($K37="","",VLOOKUP($K37,'ORF Accuracy Value LookUp'!$G$4:$H$104,2,TRUE))</f>
        <v/>
      </c>
      <c r="AO37" s="94" t="str">
        <f t="shared" si="0"/>
        <v/>
      </c>
      <c r="AP37" s="47" t="str">
        <f>IF($U37="","",VLOOKUP($U37,'ORF Accuracy Value LookUp'!$G$4:$H$104,2,TRUE))</f>
        <v/>
      </c>
      <c r="AQ37" s="94" t="str">
        <f t="shared" si="1"/>
        <v/>
      </c>
      <c r="AR37" s="46" t="str">
        <f>IF($AE37="","",VLOOKUP($AE37,'ORF Accuracy Value LookUp'!$G$4:$H$104,2,TRUE))</f>
        <v/>
      </c>
      <c r="AS37" s="140" t="str">
        <f t="shared" si="2"/>
        <v/>
      </c>
    </row>
    <row r="38" spans="1:45">
      <c r="A38" s="10"/>
      <c r="B38" s="12"/>
      <c r="C38" s="13"/>
      <c r="D38" s="14"/>
      <c r="E38" s="10"/>
      <c r="F38" s="11"/>
      <c r="G38" s="15"/>
      <c r="H38" s="87"/>
      <c r="I38" s="24"/>
      <c r="J38" s="24"/>
      <c r="K38" s="114" t="str">
        <f t="shared" si="3"/>
        <v/>
      </c>
      <c r="L38" s="24"/>
      <c r="M38" s="24"/>
      <c r="N38" s="24"/>
      <c r="O38" s="24"/>
      <c r="P38" s="97" t="str">
        <f t="shared" si="4"/>
        <v/>
      </c>
      <c r="Q38" s="113" t="str">
        <f t="shared" si="5"/>
        <v/>
      </c>
      <c r="R38" s="87"/>
      <c r="S38" s="24"/>
      <c r="T38" s="24"/>
      <c r="U38" s="78" t="str">
        <f t="shared" si="6"/>
        <v/>
      </c>
      <c r="V38" s="24"/>
      <c r="W38" s="24"/>
      <c r="X38" s="24"/>
      <c r="Y38" s="24"/>
      <c r="Z38" s="98" t="str">
        <f t="shared" si="7"/>
        <v/>
      </c>
      <c r="AA38" s="40" t="str">
        <f t="shared" si="8"/>
        <v/>
      </c>
      <c r="AB38" s="87"/>
      <c r="AC38" s="24"/>
      <c r="AD38" s="24"/>
      <c r="AE38" s="79" t="str">
        <f t="shared" si="9"/>
        <v/>
      </c>
      <c r="AF38" s="24"/>
      <c r="AG38" s="24"/>
      <c r="AH38" s="24"/>
      <c r="AI38" s="24"/>
      <c r="AJ38" s="99" t="str">
        <f t="shared" si="10"/>
        <v/>
      </c>
      <c r="AK38" s="31" t="str">
        <f t="shared" si="11"/>
        <v/>
      </c>
      <c r="AN38" s="139" t="str">
        <f>IF($K38="","",VLOOKUP($K38,'ORF Accuracy Value LookUp'!$G$4:$H$104,2,TRUE))</f>
        <v/>
      </c>
      <c r="AO38" s="94" t="str">
        <f t="shared" si="0"/>
        <v/>
      </c>
      <c r="AP38" s="47" t="str">
        <f>IF($U38="","",VLOOKUP($U38,'ORF Accuracy Value LookUp'!$G$4:$H$104,2,TRUE))</f>
        <v/>
      </c>
      <c r="AQ38" s="94" t="str">
        <f t="shared" si="1"/>
        <v/>
      </c>
      <c r="AR38" s="46" t="str">
        <f>IF($AE38="","",VLOOKUP($AE38,'ORF Accuracy Value LookUp'!$G$4:$H$104,2,TRUE))</f>
        <v/>
      </c>
      <c r="AS38" s="140" t="str">
        <f t="shared" si="2"/>
        <v/>
      </c>
    </row>
    <row r="39" spans="1:45">
      <c r="A39" s="10"/>
      <c r="B39" s="12"/>
      <c r="C39" s="13"/>
      <c r="D39" s="14"/>
      <c r="E39" s="10"/>
      <c r="F39" s="11"/>
      <c r="G39" s="15"/>
      <c r="H39" s="87"/>
      <c r="I39" s="24"/>
      <c r="J39" s="24"/>
      <c r="K39" s="114" t="str">
        <f t="shared" si="3"/>
        <v/>
      </c>
      <c r="L39" s="24"/>
      <c r="M39" s="24"/>
      <c r="N39" s="24"/>
      <c r="O39" s="24"/>
      <c r="P39" s="97" t="str">
        <f t="shared" si="4"/>
        <v/>
      </c>
      <c r="Q39" s="113" t="str">
        <f t="shared" si="5"/>
        <v/>
      </c>
      <c r="R39" s="87"/>
      <c r="S39" s="24"/>
      <c r="T39" s="24"/>
      <c r="U39" s="78" t="str">
        <f t="shared" si="6"/>
        <v/>
      </c>
      <c r="V39" s="24"/>
      <c r="W39" s="24"/>
      <c r="X39" s="24"/>
      <c r="Y39" s="24"/>
      <c r="Z39" s="98" t="str">
        <f t="shared" si="7"/>
        <v/>
      </c>
      <c r="AA39" s="40" t="str">
        <f t="shared" si="8"/>
        <v/>
      </c>
      <c r="AB39" s="87"/>
      <c r="AC39" s="24"/>
      <c r="AD39" s="24"/>
      <c r="AE39" s="79" t="str">
        <f t="shared" si="9"/>
        <v/>
      </c>
      <c r="AF39" s="24"/>
      <c r="AG39" s="24"/>
      <c r="AH39" s="24"/>
      <c r="AI39" s="24"/>
      <c r="AJ39" s="99" t="str">
        <f t="shared" si="10"/>
        <v/>
      </c>
      <c r="AK39" s="31" t="str">
        <f t="shared" si="11"/>
        <v/>
      </c>
      <c r="AN39" s="139" t="str">
        <f>IF($K39="","",VLOOKUP($K39,'ORF Accuracy Value LookUp'!$G$4:$H$104,2,TRUE))</f>
        <v/>
      </c>
      <c r="AO39" s="94" t="str">
        <f t="shared" si="0"/>
        <v/>
      </c>
      <c r="AP39" s="47" t="str">
        <f>IF($U39="","",VLOOKUP($U39,'ORF Accuracy Value LookUp'!$G$4:$H$104,2,TRUE))</f>
        <v/>
      </c>
      <c r="AQ39" s="94" t="str">
        <f t="shared" si="1"/>
        <v/>
      </c>
      <c r="AR39" s="46" t="str">
        <f>IF($AE39="","",VLOOKUP($AE39,'ORF Accuracy Value LookUp'!$G$4:$H$104,2,TRUE))</f>
        <v/>
      </c>
      <c r="AS39" s="140" t="str">
        <f t="shared" si="2"/>
        <v/>
      </c>
    </row>
    <row r="40" spans="1:45">
      <c r="A40" s="10"/>
      <c r="B40" s="12"/>
      <c r="C40" s="13"/>
      <c r="D40" s="14"/>
      <c r="E40" s="10"/>
      <c r="F40" s="11"/>
      <c r="G40" s="15"/>
      <c r="H40" s="87"/>
      <c r="I40" s="24"/>
      <c r="J40" s="24"/>
      <c r="K40" s="114" t="str">
        <f t="shared" si="3"/>
        <v/>
      </c>
      <c r="L40" s="24"/>
      <c r="M40" s="24"/>
      <c r="N40" s="24"/>
      <c r="O40" s="24"/>
      <c r="P40" s="97" t="str">
        <f t="shared" si="4"/>
        <v/>
      </c>
      <c r="Q40" s="113" t="str">
        <f t="shared" si="5"/>
        <v/>
      </c>
      <c r="R40" s="87"/>
      <c r="S40" s="24"/>
      <c r="T40" s="24"/>
      <c r="U40" s="78" t="str">
        <f t="shared" si="6"/>
        <v/>
      </c>
      <c r="V40" s="24"/>
      <c r="W40" s="24"/>
      <c r="X40" s="24"/>
      <c r="Y40" s="24"/>
      <c r="Z40" s="98" t="str">
        <f t="shared" si="7"/>
        <v/>
      </c>
      <c r="AA40" s="40" t="str">
        <f t="shared" si="8"/>
        <v/>
      </c>
      <c r="AB40" s="87"/>
      <c r="AC40" s="24"/>
      <c r="AD40" s="24"/>
      <c r="AE40" s="79" t="str">
        <f t="shared" si="9"/>
        <v/>
      </c>
      <c r="AF40" s="24"/>
      <c r="AG40" s="24"/>
      <c r="AH40" s="24"/>
      <c r="AI40" s="24"/>
      <c r="AJ40" s="99" t="str">
        <f t="shared" si="10"/>
        <v/>
      </c>
      <c r="AK40" s="31" t="str">
        <f t="shared" si="11"/>
        <v/>
      </c>
      <c r="AN40" s="139" t="str">
        <f>IF($K40="","",VLOOKUP($K40,'ORF Accuracy Value LookUp'!$G$4:$H$104,2,TRUE))</f>
        <v/>
      </c>
      <c r="AO40" s="94" t="str">
        <f t="shared" si="0"/>
        <v/>
      </c>
      <c r="AP40" s="47" t="str">
        <f>IF($U40="","",VLOOKUP($U40,'ORF Accuracy Value LookUp'!$G$4:$H$104,2,TRUE))</f>
        <v/>
      </c>
      <c r="AQ40" s="94" t="str">
        <f t="shared" si="1"/>
        <v/>
      </c>
      <c r="AR40" s="46" t="str">
        <f>IF($AE40="","",VLOOKUP($AE40,'ORF Accuracy Value LookUp'!$G$4:$H$104,2,TRUE))</f>
        <v/>
      </c>
      <c r="AS40" s="140" t="str">
        <f t="shared" si="2"/>
        <v/>
      </c>
    </row>
    <row r="41" spans="1:45">
      <c r="A41" s="10"/>
      <c r="B41" s="12"/>
      <c r="C41" s="13"/>
      <c r="D41" s="14"/>
      <c r="E41" s="10"/>
      <c r="F41" s="11"/>
      <c r="G41" s="15"/>
      <c r="H41" s="87"/>
      <c r="I41" s="24"/>
      <c r="J41" s="24"/>
      <c r="K41" s="114" t="str">
        <f t="shared" si="3"/>
        <v/>
      </c>
      <c r="L41" s="24"/>
      <c r="M41" s="24"/>
      <c r="N41" s="24"/>
      <c r="O41" s="24"/>
      <c r="P41" s="97" t="str">
        <f t="shared" si="4"/>
        <v/>
      </c>
      <c r="Q41" s="113" t="str">
        <f t="shared" si="5"/>
        <v/>
      </c>
      <c r="R41" s="87"/>
      <c r="S41" s="24"/>
      <c r="T41" s="24"/>
      <c r="U41" s="78" t="str">
        <f t="shared" si="6"/>
        <v/>
      </c>
      <c r="V41" s="24"/>
      <c r="W41" s="24"/>
      <c r="X41" s="24"/>
      <c r="Y41" s="24"/>
      <c r="Z41" s="98" t="str">
        <f t="shared" si="7"/>
        <v/>
      </c>
      <c r="AA41" s="40" t="str">
        <f t="shared" si="8"/>
        <v/>
      </c>
      <c r="AB41" s="87"/>
      <c r="AC41" s="24"/>
      <c r="AD41" s="24"/>
      <c r="AE41" s="79" t="str">
        <f t="shared" si="9"/>
        <v/>
      </c>
      <c r="AF41" s="24"/>
      <c r="AG41" s="24"/>
      <c r="AH41" s="24"/>
      <c r="AI41" s="24"/>
      <c r="AJ41" s="99" t="str">
        <f t="shared" si="10"/>
        <v/>
      </c>
      <c r="AK41" s="31" t="str">
        <f t="shared" si="11"/>
        <v/>
      </c>
      <c r="AN41" s="139" t="str">
        <f>IF($K41="","",VLOOKUP($K41,'ORF Accuracy Value LookUp'!$G$4:$H$104,2,TRUE))</f>
        <v/>
      </c>
      <c r="AO41" s="94" t="str">
        <f t="shared" si="0"/>
        <v/>
      </c>
      <c r="AP41" s="47" t="str">
        <f>IF($U41="","",VLOOKUP($U41,'ORF Accuracy Value LookUp'!$G$4:$H$104,2,TRUE))</f>
        <v/>
      </c>
      <c r="AQ41" s="94" t="str">
        <f t="shared" si="1"/>
        <v/>
      </c>
      <c r="AR41" s="46" t="str">
        <f>IF($AE41="","",VLOOKUP($AE41,'ORF Accuracy Value LookUp'!$G$4:$H$104,2,TRUE))</f>
        <v/>
      </c>
      <c r="AS41" s="140" t="str">
        <f t="shared" si="2"/>
        <v/>
      </c>
    </row>
    <row r="42" spans="1:45">
      <c r="A42" s="10"/>
      <c r="B42" s="12"/>
      <c r="C42" s="13"/>
      <c r="D42" s="14"/>
      <c r="E42" s="10"/>
      <c r="F42" s="11"/>
      <c r="G42" s="15"/>
      <c r="H42" s="87"/>
      <c r="I42" s="24"/>
      <c r="J42" s="24"/>
      <c r="K42" s="114" t="str">
        <f t="shared" si="3"/>
        <v/>
      </c>
      <c r="L42" s="24"/>
      <c r="M42" s="24"/>
      <c r="N42" s="24"/>
      <c r="O42" s="24"/>
      <c r="P42" s="97" t="str">
        <f t="shared" si="4"/>
        <v/>
      </c>
      <c r="Q42" s="113" t="str">
        <f t="shared" si="5"/>
        <v/>
      </c>
      <c r="R42" s="87"/>
      <c r="S42" s="24"/>
      <c r="T42" s="24"/>
      <c r="U42" s="78" t="str">
        <f t="shared" si="6"/>
        <v/>
      </c>
      <c r="V42" s="24"/>
      <c r="W42" s="24"/>
      <c r="X42" s="24"/>
      <c r="Y42" s="24"/>
      <c r="Z42" s="98" t="str">
        <f t="shared" si="7"/>
        <v/>
      </c>
      <c r="AA42" s="40" t="str">
        <f t="shared" si="8"/>
        <v/>
      </c>
      <c r="AB42" s="87"/>
      <c r="AC42" s="24"/>
      <c r="AD42" s="24"/>
      <c r="AE42" s="79" t="str">
        <f t="shared" si="9"/>
        <v/>
      </c>
      <c r="AF42" s="24"/>
      <c r="AG42" s="24"/>
      <c r="AH42" s="24"/>
      <c r="AI42" s="24"/>
      <c r="AJ42" s="99" t="str">
        <f t="shared" si="10"/>
        <v/>
      </c>
      <c r="AK42" s="31" t="str">
        <f t="shared" si="11"/>
        <v/>
      </c>
      <c r="AN42" s="139" t="str">
        <f>IF($K42="","",VLOOKUP($K42,'ORF Accuracy Value LookUp'!$G$4:$H$104,2,TRUE))</f>
        <v/>
      </c>
      <c r="AO42" s="94" t="str">
        <f t="shared" si="0"/>
        <v/>
      </c>
      <c r="AP42" s="47" t="str">
        <f>IF($U42="","",VLOOKUP($U42,'ORF Accuracy Value LookUp'!$G$4:$H$104,2,TRUE))</f>
        <v/>
      </c>
      <c r="AQ42" s="94" t="str">
        <f t="shared" si="1"/>
        <v/>
      </c>
      <c r="AR42" s="46" t="str">
        <f>IF($AE42="","",VLOOKUP($AE42,'ORF Accuracy Value LookUp'!$G$4:$H$104,2,TRUE))</f>
        <v/>
      </c>
      <c r="AS42" s="140" t="str">
        <f t="shared" si="2"/>
        <v/>
      </c>
    </row>
    <row r="43" spans="1:45">
      <c r="A43" s="10"/>
      <c r="B43" s="12"/>
      <c r="C43" s="13"/>
      <c r="D43" s="14"/>
      <c r="E43" s="10"/>
      <c r="F43" s="11"/>
      <c r="G43" s="15"/>
      <c r="H43" s="87"/>
      <c r="I43" s="24"/>
      <c r="J43" s="24"/>
      <c r="K43" s="114" t="str">
        <f t="shared" si="3"/>
        <v/>
      </c>
      <c r="L43" s="24"/>
      <c r="M43" s="24"/>
      <c r="N43" s="24"/>
      <c r="O43" s="24"/>
      <c r="P43" s="97" t="str">
        <f t="shared" si="4"/>
        <v/>
      </c>
      <c r="Q43" s="113" t="str">
        <f t="shared" si="5"/>
        <v/>
      </c>
      <c r="R43" s="87"/>
      <c r="S43" s="24"/>
      <c r="T43" s="24"/>
      <c r="U43" s="78" t="str">
        <f t="shared" si="6"/>
        <v/>
      </c>
      <c r="V43" s="24"/>
      <c r="W43" s="24"/>
      <c r="X43" s="24"/>
      <c r="Y43" s="24"/>
      <c r="Z43" s="98" t="str">
        <f t="shared" si="7"/>
        <v/>
      </c>
      <c r="AA43" s="40" t="str">
        <f t="shared" si="8"/>
        <v/>
      </c>
      <c r="AB43" s="87"/>
      <c r="AC43" s="24"/>
      <c r="AD43" s="24"/>
      <c r="AE43" s="79" t="str">
        <f t="shared" si="9"/>
        <v/>
      </c>
      <c r="AF43" s="24"/>
      <c r="AG43" s="24"/>
      <c r="AH43" s="24"/>
      <c r="AI43" s="24"/>
      <c r="AJ43" s="99" t="str">
        <f t="shared" si="10"/>
        <v/>
      </c>
      <c r="AK43" s="31" t="str">
        <f t="shared" si="11"/>
        <v/>
      </c>
      <c r="AN43" s="139" t="str">
        <f>IF($K43="","",VLOOKUP($K43,'ORF Accuracy Value LookUp'!$G$4:$H$104,2,TRUE))</f>
        <v/>
      </c>
      <c r="AO43" s="94" t="str">
        <f t="shared" si="0"/>
        <v/>
      </c>
      <c r="AP43" s="47" t="str">
        <f>IF($U43="","",VLOOKUP($U43,'ORF Accuracy Value LookUp'!$G$4:$H$104,2,TRUE))</f>
        <v/>
      </c>
      <c r="AQ43" s="94" t="str">
        <f t="shared" si="1"/>
        <v/>
      </c>
      <c r="AR43" s="46" t="str">
        <f>IF($AE43="","",VLOOKUP($AE43,'ORF Accuracy Value LookUp'!$G$4:$H$104,2,TRUE))</f>
        <v/>
      </c>
      <c r="AS43" s="140" t="str">
        <f t="shared" si="2"/>
        <v/>
      </c>
    </row>
    <row r="44" spans="1:45">
      <c r="A44" s="10"/>
      <c r="B44" s="12"/>
      <c r="C44" s="13"/>
      <c r="D44" s="14"/>
      <c r="E44" s="10"/>
      <c r="F44" s="11"/>
      <c r="G44" s="15"/>
      <c r="H44" s="87"/>
      <c r="I44" s="24"/>
      <c r="J44" s="24"/>
      <c r="K44" s="114" t="str">
        <f t="shared" si="3"/>
        <v/>
      </c>
      <c r="L44" s="24"/>
      <c r="M44" s="24"/>
      <c r="N44" s="24"/>
      <c r="O44" s="24"/>
      <c r="P44" s="97" t="str">
        <f t="shared" si="4"/>
        <v/>
      </c>
      <c r="Q44" s="113" t="str">
        <f t="shared" si="5"/>
        <v/>
      </c>
      <c r="R44" s="87"/>
      <c r="S44" s="24"/>
      <c r="T44" s="24"/>
      <c r="U44" s="78" t="str">
        <f t="shared" si="6"/>
        <v/>
      </c>
      <c r="V44" s="24"/>
      <c r="W44" s="24"/>
      <c r="X44" s="24"/>
      <c r="Y44" s="24"/>
      <c r="Z44" s="98" t="str">
        <f t="shared" si="7"/>
        <v/>
      </c>
      <c r="AA44" s="40" t="str">
        <f t="shared" si="8"/>
        <v/>
      </c>
      <c r="AB44" s="87"/>
      <c r="AC44" s="24"/>
      <c r="AD44" s="24"/>
      <c r="AE44" s="79" t="str">
        <f t="shared" si="9"/>
        <v/>
      </c>
      <c r="AF44" s="24"/>
      <c r="AG44" s="24"/>
      <c r="AH44" s="24"/>
      <c r="AI44" s="24"/>
      <c r="AJ44" s="99" t="str">
        <f t="shared" si="10"/>
        <v/>
      </c>
      <c r="AK44" s="31" t="str">
        <f t="shared" si="11"/>
        <v/>
      </c>
      <c r="AN44" s="139" t="str">
        <f>IF($K44="","",VLOOKUP($K44,'ORF Accuracy Value LookUp'!$G$4:$H$104,2,TRUE))</f>
        <v/>
      </c>
      <c r="AO44" s="94" t="str">
        <f t="shared" si="0"/>
        <v/>
      </c>
      <c r="AP44" s="47" t="str">
        <f>IF($U44="","",VLOOKUP($U44,'ORF Accuracy Value LookUp'!$G$4:$H$104,2,TRUE))</f>
        <v/>
      </c>
      <c r="AQ44" s="94" t="str">
        <f t="shared" si="1"/>
        <v/>
      </c>
      <c r="AR44" s="46" t="str">
        <f>IF($AE44="","",VLOOKUP($AE44,'ORF Accuracy Value LookUp'!$G$4:$H$104,2,TRUE))</f>
        <v/>
      </c>
      <c r="AS44" s="140" t="str">
        <f t="shared" si="2"/>
        <v/>
      </c>
    </row>
    <row r="45" spans="1:45">
      <c r="A45" s="10"/>
      <c r="B45" s="12"/>
      <c r="C45" s="13"/>
      <c r="D45" s="14"/>
      <c r="E45" s="10"/>
      <c r="F45" s="11"/>
      <c r="G45" s="15"/>
      <c r="H45" s="87"/>
      <c r="I45" s="24"/>
      <c r="J45" s="24"/>
      <c r="K45" s="114" t="str">
        <f t="shared" si="3"/>
        <v/>
      </c>
      <c r="L45" s="24"/>
      <c r="M45" s="24"/>
      <c r="N45" s="24"/>
      <c r="O45" s="24"/>
      <c r="P45" s="97" t="str">
        <f t="shared" si="4"/>
        <v/>
      </c>
      <c r="Q45" s="113" t="str">
        <f t="shared" si="5"/>
        <v/>
      </c>
      <c r="R45" s="87"/>
      <c r="S45" s="24"/>
      <c r="T45" s="24"/>
      <c r="U45" s="78" t="str">
        <f t="shared" si="6"/>
        <v/>
      </c>
      <c r="V45" s="24"/>
      <c r="W45" s="24"/>
      <c r="X45" s="24"/>
      <c r="Y45" s="24"/>
      <c r="Z45" s="98" t="str">
        <f t="shared" si="7"/>
        <v/>
      </c>
      <c r="AA45" s="40" t="str">
        <f t="shared" si="8"/>
        <v/>
      </c>
      <c r="AB45" s="87"/>
      <c r="AC45" s="24"/>
      <c r="AD45" s="24"/>
      <c r="AE45" s="79" t="str">
        <f t="shared" si="9"/>
        <v/>
      </c>
      <c r="AF45" s="24"/>
      <c r="AG45" s="24"/>
      <c r="AH45" s="24"/>
      <c r="AI45" s="24"/>
      <c r="AJ45" s="99" t="str">
        <f t="shared" si="10"/>
        <v/>
      </c>
      <c r="AK45" s="31" t="str">
        <f t="shared" si="11"/>
        <v/>
      </c>
      <c r="AN45" s="139" t="str">
        <f>IF($K45="","",VLOOKUP($K45,'ORF Accuracy Value LookUp'!$G$4:$H$104,2,TRUE))</f>
        <v/>
      </c>
      <c r="AO45" s="94" t="str">
        <f t="shared" si="0"/>
        <v/>
      </c>
      <c r="AP45" s="47" t="str">
        <f>IF($U45="","",VLOOKUP($U45,'ORF Accuracy Value LookUp'!$G$4:$H$104,2,TRUE))</f>
        <v/>
      </c>
      <c r="AQ45" s="94" t="str">
        <f t="shared" si="1"/>
        <v/>
      </c>
      <c r="AR45" s="46" t="str">
        <f>IF($AE45="","",VLOOKUP($AE45,'ORF Accuracy Value LookUp'!$G$4:$H$104,2,TRUE))</f>
        <v/>
      </c>
      <c r="AS45" s="140" t="str">
        <f t="shared" si="2"/>
        <v/>
      </c>
    </row>
    <row r="46" spans="1:45">
      <c r="A46" s="10"/>
      <c r="B46" s="12"/>
      <c r="C46" s="13"/>
      <c r="D46" s="14"/>
      <c r="E46" s="10"/>
      <c r="F46" s="11"/>
      <c r="G46" s="15"/>
      <c r="H46" s="87"/>
      <c r="I46" s="24"/>
      <c r="J46" s="24"/>
      <c r="K46" s="114" t="str">
        <f t="shared" si="3"/>
        <v/>
      </c>
      <c r="L46" s="24"/>
      <c r="M46" s="24"/>
      <c r="N46" s="24"/>
      <c r="O46" s="24"/>
      <c r="P46" s="97" t="str">
        <f t="shared" si="4"/>
        <v/>
      </c>
      <c r="Q46" s="113" t="str">
        <f t="shared" si="5"/>
        <v/>
      </c>
      <c r="R46" s="87"/>
      <c r="S46" s="24"/>
      <c r="T46" s="24"/>
      <c r="U46" s="78" t="str">
        <f t="shared" si="6"/>
        <v/>
      </c>
      <c r="V46" s="24"/>
      <c r="W46" s="24"/>
      <c r="X46" s="24"/>
      <c r="Y46" s="24"/>
      <c r="Z46" s="98" t="str">
        <f t="shared" si="7"/>
        <v/>
      </c>
      <c r="AA46" s="40" t="str">
        <f t="shared" si="8"/>
        <v/>
      </c>
      <c r="AB46" s="87"/>
      <c r="AC46" s="24"/>
      <c r="AD46" s="24"/>
      <c r="AE46" s="79" t="str">
        <f t="shared" si="9"/>
        <v/>
      </c>
      <c r="AF46" s="24"/>
      <c r="AG46" s="24"/>
      <c r="AH46" s="24"/>
      <c r="AI46" s="24"/>
      <c r="AJ46" s="99" t="str">
        <f t="shared" si="10"/>
        <v/>
      </c>
      <c r="AK46" s="31" t="str">
        <f t="shared" si="11"/>
        <v/>
      </c>
      <c r="AN46" s="139" t="str">
        <f>IF($K46="","",VLOOKUP($K46,'ORF Accuracy Value LookUp'!$G$4:$H$104,2,TRUE))</f>
        <v/>
      </c>
      <c r="AO46" s="94" t="str">
        <f t="shared" si="0"/>
        <v/>
      </c>
      <c r="AP46" s="47" t="str">
        <f>IF($U46="","",VLOOKUP($U46,'ORF Accuracy Value LookUp'!$G$4:$H$104,2,TRUE))</f>
        <v/>
      </c>
      <c r="AQ46" s="94" t="str">
        <f t="shared" si="1"/>
        <v/>
      </c>
      <c r="AR46" s="46" t="str">
        <f>IF($AE46="","",VLOOKUP($AE46,'ORF Accuracy Value LookUp'!$G$4:$H$104,2,TRUE))</f>
        <v/>
      </c>
      <c r="AS46" s="140" t="str">
        <f t="shared" si="2"/>
        <v/>
      </c>
    </row>
    <row r="47" spans="1:45">
      <c r="A47" s="10"/>
      <c r="B47" s="12"/>
      <c r="C47" s="13"/>
      <c r="D47" s="14"/>
      <c r="E47" s="10"/>
      <c r="F47" s="11"/>
      <c r="G47" s="15"/>
      <c r="H47" s="87"/>
      <c r="I47" s="24"/>
      <c r="J47" s="24"/>
      <c r="K47" s="114" t="str">
        <f t="shared" si="3"/>
        <v/>
      </c>
      <c r="L47" s="24"/>
      <c r="M47" s="24"/>
      <c r="N47" s="24"/>
      <c r="O47" s="24"/>
      <c r="P47" s="97" t="str">
        <f t="shared" si="4"/>
        <v/>
      </c>
      <c r="Q47" s="113" t="str">
        <f t="shared" si="5"/>
        <v/>
      </c>
      <c r="R47" s="87"/>
      <c r="S47" s="24"/>
      <c r="T47" s="24"/>
      <c r="U47" s="78" t="str">
        <f t="shared" si="6"/>
        <v/>
      </c>
      <c r="V47" s="24"/>
      <c r="W47" s="24"/>
      <c r="X47" s="24"/>
      <c r="Y47" s="24"/>
      <c r="Z47" s="98" t="str">
        <f t="shared" si="7"/>
        <v/>
      </c>
      <c r="AA47" s="40" t="str">
        <f t="shared" si="8"/>
        <v/>
      </c>
      <c r="AB47" s="87"/>
      <c r="AC47" s="24"/>
      <c r="AD47" s="24"/>
      <c r="AE47" s="79" t="str">
        <f t="shared" si="9"/>
        <v/>
      </c>
      <c r="AF47" s="24"/>
      <c r="AG47" s="24"/>
      <c r="AH47" s="24"/>
      <c r="AI47" s="24"/>
      <c r="AJ47" s="99" t="str">
        <f t="shared" si="10"/>
        <v/>
      </c>
      <c r="AK47" s="31" t="str">
        <f t="shared" si="11"/>
        <v/>
      </c>
      <c r="AN47" s="139" t="str">
        <f>IF($K47="","",VLOOKUP($K47,'ORF Accuracy Value LookUp'!$G$4:$H$104,2,TRUE))</f>
        <v/>
      </c>
      <c r="AO47" s="94" t="str">
        <f t="shared" si="0"/>
        <v/>
      </c>
      <c r="AP47" s="47" t="str">
        <f>IF($U47="","",VLOOKUP($U47,'ORF Accuracy Value LookUp'!$G$4:$H$104,2,TRUE))</f>
        <v/>
      </c>
      <c r="AQ47" s="94" t="str">
        <f t="shared" si="1"/>
        <v/>
      </c>
      <c r="AR47" s="46" t="str">
        <f>IF($AE47="","",VLOOKUP($AE47,'ORF Accuracy Value LookUp'!$G$4:$H$104,2,TRUE))</f>
        <v/>
      </c>
      <c r="AS47" s="140" t="str">
        <f t="shared" si="2"/>
        <v/>
      </c>
    </row>
    <row r="48" spans="1:45">
      <c r="A48" s="10"/>
      <c r="B48" s="12"/>
      <c r="C48" s="13"/>
      <c r="D48" s="14"/>
      <c r="E48" s="10"/>
      <c r="F48" s="11"/>
      <c r="G48" s="15"/>
      <c r="H48" s="87"/>
      <c r="I48" s="24"/>
      <c r="J48" s="24"/>
      <c r="K48" s="114" t="str">
        <f t="shared" si="3"/>
        <v/>
      </c>
      <c r="L48" s="24"/>
      <c r="M48" s="24"/>
      <c r="N48" s="24"/>
      <c r="O48" s="24"/>
      <c r="P48" s="97" t="str">
        <f t="shared" si="4"/>
        <v/>
      </c>
      <c r="Q48" s="113" t="str">
        <f t="shared" si="5"/>
        <v/>
      </c>
      <c r="R48" s="87"/>
      <c r="S48" s="24"/>
      <c r="T48" s="24"/>
      <c r="U48" s="78" t="str">
        <f t="shared" si="6"/>
        <v/>
      </c>
      <c r="V48" s="24"/>
      <c r="W48" s="24"/>
      <c r="X48" s="24"/>
      <c r="Y48" s="24"/>
      <c r="Z48" s="98" t="str">
        <f t="shared" si="7"/>
        <v/>
      </c>
      <c r="AA48" s="40" t="str">
        <f t="shared" si="8"/>
        <v/>
      </c>
      <c r="AB48" s="87"/>
      <c r="AC48" s="24"/>
      <c r="AD48" s="24"/>
      <c r="AE48" s="79" t="str">
        <f t="shared" si="9"/>
        <v/>
      </c>
      <c r="AF48" s="24"/>
      <c r="AG48" s="24"/>
      <c r="AH48" s="24"/>
      <c r="AI48" s="24"/>
      <c r="AJ48" s="99" t="str">
        <f t="shared" si="10"/>
        <v/>
      </c>
      <c r="AK48" s="31" t="str">
        <f t="shared" si="11"/>
        <v/>
      </c>
      <c r="AN48" s="139" t="str">
        <f>IF($K48="","",VLOOKUP($K48,'ORF Accuracy Value LookUp'!$G$4:$H$104,2,TRUE))</f>
        <v/>
      </c>
      <c r="AO48" s="94" t="str">
        <f t="shared" si="0"/>
        <v/>
      </c>
      <c r="AP48" s="47" t="str">
        <f>IF($U48="","",VLOOKUP($U48,'ORF Accuracy Value LookUp'!$G$4:$H$104,2,TRUE))</f>
        <v/>
      </c>
      <c r="AQ48" s="94" t="str">
        <f t="shared" si="1"/>
        <v/>
      </c>
      <c r="AR48" s="46" t="str">
        <f>IF($AE48="","",VLOOKUP($AE48,'ORF Accuracy Value LookUp'!$G$4:$H$104,2,TRUE))</f>
        <v/>
      </c>
      <c r="AS48" s="140" t="str">
        <f t="shared" si="2"/>
        <v/>
      </c>
    </row>
    <row r="49" spans="1:45">
      <c r="A49" s="10"/>
      <c r="B49" s="12"/>
      <c r="C49" s="13"/>
      <c r="D49" s="14"/>
      <c r="E49" s="10"/>
      <c r="F49" s="11"/>
      <c r="G49" s="15"/>
      <c r="H49" s="87"/>
      <c r="I49" s="24"/>
      <c r="J49" s="24"/>
      <c r="K49" s="114" t="str">
        <f t="shared" si="3"/>
        <v/>
      </c>
      <c r="L49" s="24"/>
      <c r="M49" s="24"/>
      <c r="N49" s="24"/>
      <c r="O49" s="24"/>
      <c r="P49" s="97" t="str">
        <f t="shared" si="4"/>
        <v/>
      </c>
      <c r="Q49" s="113" t="str">
        <f t="shared" si="5"/>
        <v/>
      </c>
      <c r="R49" s="87"/>
      <c r="S49" s="24"/>
      <c r="T49" s="24"/>
      <c r="U49" s="78" t="str">
        <f t="shared" si="6"/>
        <v/>
      </c>
      <c r="V49" s="24"/>
      <c r="W49" s="24"/>
      <c r="X49" s="24"/>
      <c r="Y49" s="24"/>
      <c r="Z49" s="98" t="str">
        <f t="shared" si="7"/>
        <v/>
      </c>
      <c r="AA49" s="40" t="str">
        <f t="shared" si="8"/>
        <v/>
      </c>
      <c r="AB49" s="87"/>
      <c r="AC49" s="24"/>
      <c r="AD49" s="24"/>
      <c r="AE49" s="79" t="str">
        <f t="shared" si="9"/>
        <v/>
      </c>
      <c r="AF49" s="24"/>
      <c r="AG49" s="24"/>
      <c r="AH49" s="24"/>
      <c r="AI49" s="24"/>
      <c r="AJ49" s="99" t="str">
        <f t="shared" si="10"/>
        <v/>
      </c>
      <c r="AK49" s="31" t="str">
        <f t="shared" si="11"/>
        <v/>
      </c>
      <c r="AN49" s="139" t="str">
        <f>IF($K49="","",VLOOKUP($K49,'ORF Accuracy Value LookUp'!$G$4:$H$104,2,TRUE))</f>
        <v/>
      </c>
      <c r="AO49" s="94" t="str">
        <f t="shared" si="0"/>
        <v/>
      </c>
      <c r="AP49" s="47" t="str">
        <f>IF($U49="","",VLOOKUP($U49,'ORF Accuracy Value LookUp'!$G$4:$H$104,2,TRUE))</f>
        <v/>
      </c>
      <c r="AQ49" s="94" t="str">
        <f t="shared" si="1"/>
        <v/>
      </c>
      <c r="AR49" s="46" t="str">
        <f>IF($AE49="","",VLOOKUP($AE49,'ORF Accuracy Value LookUp'!$G$4:$H$104,2,TRUE))</f>
        <v/>
      </c>
      <c r="AS49" s="140" t="str">
        <f t="shared" si="2"/>
        <v/>
      </c>
    </row>
    <row r="50" spans="1:45">
      <c r="A50" s="10"/>
      <c r="B50" s="12"/>
      <c r="C50" s="13"/>
      <c r="D50" s="14"/>
      <c r="E50" s="10"/>
      <c r="F50" s="11"/>
      <c r="G50" s="15"/>
      <c r="H50" s="87"/>
      <c r="I50" s="24"/>
      <c r="J50" s="24"/>
      <c r="K50" s="114" t="str">
        <f t="shared" si="3"/>
        <v/>
      </c>
      <c r="L50" s="24"/>
      <c r="M50" s="24"/>
      <c r="N50" s="24"/>
      <c r="O50" s="24"/>
      <c r="P50" s="97" t="str">
        <f t="shared" si="4"/>
        <v/>
      </c>
      <c r="Q50" s="113" t="str">
        <f t="shared" si="5"/>
        <v/>
      </c>
      <c r="R50" s="87"/>
      <c r="S50" s="24"/>
      <c r="T50" s="24"/>
      <c r="U50" s="78" t="str">
        <f t="shared" si="6"/>
        <v/>
      </c>
      <c r="V50" s="24"/>
      <c r="W50" s="24"/>
      <c r="X50" s="24"/>
      <c r="Y50" s="24"/>
      <c r="Z50" s="98" t="str">
        <f t="shared" si="7"/>
        <v/>
      </c>
      <c r="AA50" s="40" t="str">
        <f t="shared" si="8"/>
        <v/>
      </c>
      <c r="AB50" s="87"/>
      <c r="AC50" s="24"/>
      <c r="AD50" s="24"/>
      <c r="AE50" s="79" t="str">
        <f t="shared" si="9"/>
        <v/>
      </c>
      <c r="AF50" s="24"/>
      <c r="AG50" s="24"/>
      <c r="AH50" s="24"/>
      <c r="AI50" s="24"/>
      <c r="AJ50" s="99" t="str">
        <f t="shared" si="10"/>
        <v/>
      </c>
      <c r="AK50" s="31" t="str">
        <f t="shared" si="11"/>
        <v/>
      </c>
      <c r="AN50" s="139" t="str">
        <f>IF($K50="","",VLOOKUP($K50,'ORF Accuracy Value LookUp'!$G$4:$H$104,2,TRUE))</f>
        <v/>
      </c>
      <c r="AO50" s="94" t="str">
        <f t="shared" si="0"/>
        <v/>
      </c>
      <c r="AP50" s="47" t="str">
        <f>IF($U50="","",VLOOKUP($U50,'ORF Accuracy Value LookUp'!$G$4:$H$104,2,TRUE))</f>
        <v/>
      </c>
      <c r="AQ50" s="94" t="str">
        <f t="shared" si="1"/>
        <v/>
      </c>
      <c r="AR50" s="46" t="str">
        <f>IF($AE50="","",VLOOKUP($AE50,'ORF Accuracy Value LookUp'!$G$4:$H$104,2,TRUE))</f>
        <v/>
      </c>
      <c r="AS50" s="140" t="str">
        <f t="shared" si="2"/>
        <v/>
      </c>
    </row>
    <row r="51" spans="1:45">
      <c r="A51" s="10"/>
      <c r="B51" s="12"/>
      <c r="C51" s="13"/>
      <c r="D51" s="14"/>
      <c r="E51" s="10"/>
      <c r="F51" s="11"/>
      <c r="G51" s="15"/>
      <c r="H51" s="87"/>
      <c r="I51" s="24"/>
      <c r="J51" s="24"/>
      <c r="K51" s="114" t="str">
        <f t="shared" si="3"/>
        <v/>
      </c>
      <c r="L51" s="24"/>
      <c r="M51" s="24"/>
      <c r="N51" s="24"/>
      <c r="O51" s="24"/>
      <c r="P51" s="97" t="str">
        <f t="shared" si="4"/>
        <v/>
      </c>
      <c r="Q51" s="113" t="str">
        <f t="shared" si="5"/>
        <v/>
      </c>
      <c r="R51" s="87"/>
      <c r="S51" s="24"/>
      <c r="T51" s="24"/>
      <c r="U51" s="78" t="str">
        <f t="shared" si="6"/>
        <v/>
      </c>
      <c r="V51" s="24"/>
      <c r="W51" s="24"/>
      <c r="X51" s="24"/>
      <c r="Y51" s="24"/>
      <c r="Z51" s="98" t="str">
        <f t="shared" si="7"/>
        <v/>
      </c>
      <c r="AA51" s="40" t="str">
        <f t="shared" si="8"/>
        <v/>
      </c>
      <c r="AB51" s="87"/>
      <c r="AC51" s="24"/>
      <c r="AD51" s="24"/>
      <c r="AE51" s="79" t="str">
        <f t="shared" si="9"/>
        <v/>
      </c>
      <c r="AF51" s="24"/>
      <c r="AG51" s="24"/>
      <c r="AH51" s="24"/>
      <c r="AI51" s="24"/>
      <c r="AJ51" s="99" t="str">
        <f t="shared" si="10"/>
        <v/>
      </c>
      <c r="AK51" s="31" t="str">
        <f t="shared" si="11"/>
        <v/>
      </c>
      <c r="AN51" s="139" t="str">
        <f>IF($K51="","",VLOOKUP($K51,'ORF Accuracy Value LookUp'!$G$4:$H$104,2,TRUE))</f>
        <v/>
      </c>
      <c r="AO51" s="94" t="str">
        <f t="shared" si="0"/>
        <v/>
      </c>
      <c r="AP51" s="47" t="str">
        <f>IF($U51="","",VLOOKUP($U51,'ORF Accuracy Value LookUp'!$G$4:$H$104,2,TRUE))</f>
        <v/>
      </c>
      <c r="AQ51" s="94" t="str">
        <f t="shared" si="1"/>
        <v/>
      </c>
      <c r="AR51" s="46" t="str">
        <f>IF($AE51="","",VLOOKUP($AE51,'ORF Accuracy Value LookUp'!$G$4:$H$104,2,TRUE))</f>
        <v/>
      </c>
      <c r="AS51" s="140" t="str">
        <f t="shared" si="2"/>
        <v/>
      </c>
    </row>
    <row r="52" spans="1:45">
      <c r="A52" s="10"/>
      <c r="B52" s="12"/>
      <c r="C52" s="13"/>
      <c r="D52" s="14"/>
      <c r="E52" s="10"/>
      <c r="F52" s="11"/>
      <c r="G52" s="15"/>
      <c r="H52" s="87"/>
      <c r="I52" s="24"/>
      <c r="J52" s="24"/>
      <c r="K52" s="114" t="str">
        <f t="shared" si="3"/>
        <v/>
      </c>
      <c r="L52" s="24"/>
      <c r="M52" s="24"/>
      <c r="N52" s="24"/>
      <c r="O52" s="24"/>
      <c r="P52" s="97" t="str">
        <f t="shared" si="4"/>
        <v/>
      </c>
      <c r="Q52" s="113" t="str">
        <f t="shared" si="5"/>
        <v/>
      </c>
      <c r="R52" s="87"/>
      <c r="S52" s="24"/>
      <c r="T52" s="24"/>
      <c r="U52" s="78" t="str">
        <f t="shared" si="6"/>
        <v/>
      </c>
      <c r="V52" s="24"/>
      <c r="W52" s="24"/>
      <c r="X52" s="24"/>
      <c r="Y52" s="24"/>
      <c r="Z52" s="98" t="str">
        <f t="shared" si="7"/>
        <v/>
      </c>
      <c r="AA52" s="40" t="str">
        <f t="shared" si="8"/>
        <v/>
      </c>
      <c r="AB52" s="87"/>
      <c r="AC52" s="24"/>
      <c r="AD52" s="24"/>
      <c r="AE52" s="79" t="str">
        <f t="shared" si="9"/>
        <v/>
      </c>
      <c r="AF52" s="24"/>
      <c r="AG52" s="24"/>
      <c r="AH52" s="24"/>
      <c r="AI52" s="24"/>
      <c r="AJ52" s="99" t="str">
        <f t="shared" si="10"/>
        <v/>
      </c>
      <c r="AK52" s="31" t="str">
        <f t="shared" si="11"/>
        <v/>
      </c>
      <c r="AN52" s="139" t="str">
        <f>IF($K52="","",VLOOKUP($K52,'ORF Accuracy Value LookUp'!$G$4:$H$104,2,TRUE))</f>
        <v/>
      </c>
      <c r="AO52" s="94" t="str">
        <f t="shared" si="0"/>
        <v/>
      </c>
      <c r="AP52" s="47" t="str">
        <f>IF($U52="","",VLOOKUP($U52,'ORF Accuracy Value LookUp'!$G$4:$H$104,2,TRUE))</f>
        <v/>
      </c>
      <c r="AQ52" s="94" t="str">
        <f t="shared" si="1"/>
        <v/>
      </c>
      <c r="AR52" s="46" t="str">
        <f>IF($AE52="","",VLOOKUP($AE52,'ORF Accuracy Value LookUp'!$G$4:$H$104,2,TRUE))</f>
        <v/>
      </c>
      <c r="AS52" s="140" t="str">
        <f t="shared" si="2"/>
        <v/>
      </c>
    </row>
    <row r="53" spans="1:45">
      <c r="A53" s="10"/>
      <c r="B53" s="12"/>
      <c r="C53" s="13"/>
      <c r="D53" s="14"/>
      <c r="E53" s="10"/>
      <c r="F53" s="11"/>
      <c r="G53" s="15"/>
      <c r="H53" s="87"/>
      <c r="I53" s="24"/>
      <c r="J53" s="24"/>
      <c r="K53" s="114" t="str">
        <f t="shared" si="3"/>
        <v/>
      </c>
      <c r="L53" s="24"/>
      <c r="M53" s="24"/>
      <c r="N53" s="24"/>
      <c r="O53" s="24"/>
      <c r="P53" s="97" t="str">
        <f t="shared" si="4"/>
        <v/>
      </c>
      <c r="Q53" s="113" t="str">
        <f t="shared" si="5"/>
        <v/>
      </c>
      <c r="R53" s="87"/>
      <c r="S53" s="24"/>
      <c r="T53" s="24"/>
      <c r="U53" s="78" t="str">
        <f t="shared" si="6"/>
        <v/>
      </c>
      <c r="V53" s="24"/>
      <c r="W53" s="24"/>
      <c r="X53" s="24"/>
      <c r="Y53" s="24"/>
      <c r="Z53" s="98" t="str">
        <f t="shared" si="7"/>
        <v/>
      </c>
      <c r="AA53" s="40" t="str">
        <f t="shared" si="8"/>
        <v/>
      </c>
      <c r="AB53" s="87"/>
      <c r="AC53" s="24"/>
      <c r="AD53" s="24"/>
      <c r="AE53" s="79" t="str">
        <f t="shared" si="9"/>
        <v/>
      </c>
      <c r="AF53" s="24"/>
      <c r="AG53" s="24"/>
      <c r="AH53" s="24"/>
      <c r="AI53" s="24"/>
      <c r="AJ53" s="99" t="str">
        <f t="shared" si="10"/>
        <v/>
      </c>
      <c r="AK53" s="31" t="str">
        <f t="shared" si="11"/>
        <v/>
      </c>
      <c r="AN53" s="139" t="str">
        <f>IF($K53="","",VLOOKUP($K53,'ORF Accuracy Value LookUp'!$G$4:$H$104,2,TRUE))</f>
        <v/>
      </c>
      <c r="AO53" s="94" t="str">
        <f t="shared" si="0"/>
        <v/>
      </c>
      <c r="AP53" s="47" t="str">
        <f>IF($U53="","",VLOOKUP($U53,'ORF Accuracy Value LookUp'!$G$4:$H$104,2,TRUE))</f>
        <v/>
      </c>
      <c r="AQ53" s="94" t="str">
        <f t="shared" si="1"/>
        <v/>
      </c>
      <c r="AR53" s="46" t="str">
        <f>IF($AE53="","",VLOOKUP($AE53,'ORF Accuracy Value LookUp'!$G$4:$H$104,2,TRUE))</f>
        <v/>
      </c>
      <c r="AS53" s="140" t="str">
        <f t="shared" si="2"/>
        <v/>
      </c>
    </row>
    <row r="54" spans="1:45">
      <c r="A54" s="10"/>
      <c r="B54" s="12"/>
      <c r="C54" s="13"/>
      <c r="D54" s="14"/>
      <c r="E54" s="10"/>
      <c r="F54" s="11"/>
      <c r="G54" s="15"/>
      <c r="H54" s="87"/>
      <c r="I54" s="24"/>
      <c r="J54" s="24"/>
      <c r="K54" s="114" t="str">
        <f t="shared" si="3"/>
        <v/>
      </c>
      <c r="L54" s="24"/>
      <c r="M54" s="24"/>
      <c r="N54" s="24"/>
      <c r="O54" s="24"/>
      <c r="P54" s="97" t="str">
        <f t="shared" si="4"/>
        <v/>
      </c>
      <c r="Q54" s="113" t="str">
        <f t="shared" si="5"/>
        <v/>
      </c>
      <c r="R54" s="87"/>
      <c r="S54" s="24"/>
      <c r="T54" s="24"/>
      <c r="U54" s="78" t="str">
        <f t="shared" si="6"/>
        <v/>
      </c>
      <c r="V54" s="24"/>
      <c r="W54" s="24"/>
      <c r="X54" s="24"/>
      <c r="Y54" s="24"/>
      <c r="Z54" s="98" t="str">
        <f t="shared" si="7"/>
        <v/>
      </c>
      <c r="AA54" s="40" t="str">
        <f t="shared" si="8"/>
        <v/>
      </c>
      <c r="AB54" s="87"/>
      <c r="AC54" s="24"/>
      <c r="AD54" s="24"/>
      <c r="AE54" s="79" t="str">
        <f t="shared" si="9"/>
        <v/>
      </c>
      <c r="AF54" s="24"/>
      <c r="AG54" s="24"/>
      <c r="AH54" s="24"/>
      <c r="AI54" s="24"/>
      <c r="AJ54" s="99" t="str">
        <f t="shared" si="10"/>
        <v/>
      </c>
      <c r="AK54" s="31" t="str">
        <f t="shared" si="11"/>
        <v/>
      </c>
      <c r="AN54" s="139" t="str">
        <f>IF($K54="","",VLOOKUP($K54,'ORF Accuracy Value LookUp'!$G$4:$H$104,2,TRUE))</f>
        <v/>
      </c>
      <c r="AO54" s="94" t="str">
        <f t="shared" si="0"/>
        <v/>
      </c>
      <c r="AP54" s="47" t="str">
        <f>IF($U54="","",VLOOKUP($U54,'ORF Accuracy Value LookUp'!$G$4:$H$104,2,TRUE))</f>
        <v/>
      </c>
      <c r="AQ54" s="94" t="str">
        <f t="shared" si="1"/>
        <v/>
      </c>
      <c r="AR54" s="46" t="str">
        <f>IF($AE54="","",VLOOKUP($AE54,'ORF Accuracy Value LookUp'!$G$4:$H$104,2,TRUE))</f>
        <v/>
      </c>
      <c r="AS54" s="140" t="str">
        <f t="shared" si="2"/>
        <v/>
      </c>
    </row>
    <row r="55" spans="1:45">
      <c r="A55" s="10"/>
      <c r="B55" s="12"/>
      <c r="C55" s="13"/>
      <c r="D55" s="14"/>
      <c r="E55" s="10"/>
      <c r="F55" s="11"/>
      <c r="G55" s="15"/>
      <c r="H55" s="87"/>
      <c r="I55" s="24"/>
      <c r="J55" s="24"/>
      <c r="K55" s="114" t="str">
        <f t="shared" si="3"/>
        <v/>
      </c>
      <c r="L55" s="24"/>
      <c r="M55" s="24"/>
      <c r="N55" s="24"/>
      <c r="O55" s="24"/>
      <c r="P55" s="97" t="str">
        <f t="shared" si="4"/>
        <v/>
      </c>
      <c r="Q55" s="113" t="str">
        <f t="shared" si="5"/>
        <v/>
      </c>
      <c r="R55" s="87"/>
      <c r="S55" s="24"/>
      <c r="T55" s="24"/>
      <c r="U55" s="78" t="str">
        <f t="shared" si="6"/>
        <v/>
      </c>
      <c r="V55" s="24"/>
      <c r="W55" s="24"/>
      <c r="X55" s="24"/>
      <c r="Y55" s="24"/>
      <c r="Z55" s="98" t="str">
        <f t="shared" si="7"/>
        <v/>
      </c>
      <c r="AA55" s="40" t="str">
        <f t="shared" si="8"/>
        <v/>
      </c>
      <c r="AB55" s="87"/>
      <c r="AC55" s="24"/>
      <c r="AD55" s="24"/>
      <c r="AE55" s="79" t="str">
        <f t="shared" si="9"/>
        <v/>
      </c>
      <c r="AF55" s="24"/>
      <c r="AG55" s="24"/>
      <c r="AH55" s="24"/>
      <c r="AI55" s="24"/>
      <c r="AJ55" s="99" t="str">
        <f t="shared" si="10"/>
        <v/>
      </c>
      <c r="AK55" s="31" t="str">
        <f t="shared" si="11"/>
        <v/>
      </c>
      <c r="AN55" s="139" t="str">
        <f>IF($K55="","",VLOOKUP($K55,'ORF Accuracy Value LookUp'!$G$4:$H$104,2,TRUE))</f>
        <v/>
      </c>
      <c r="AO55" s="94" t="str">
        <f t="shared" si="0"/>
        <v/>
      </c>
      <c r="AP55" s="47" t="str">
        <f>IF($U55="","",VLOOKUP($U55,'ORF Accuracy Value LookUp'!$G$4:$H$104,2,TRUE))</f>
        <v/>
      </c>
      <c r="AQ55" s="94" t="str">
        <f t="shared" si="1"/>
        <v/>
      </c>
      <c r="AR55" s="46" t="str">
        <f>IF($AE55="","",VLOOKUP($AE55,'ORF Accuracy Value LookUp'!$G$4:$H$104,2,TRUE))</f>
        <v/>
      </c>
      <c r="AS55" s="140" t="str">
        <f t="shared" si="2"/>
        <v/>
      </c>
    </row>
    <row r="56" spans="1:45">
      <c r="A56" s="10"/>
      <c r="B56" s="12"/>
      <c r="C56" s="13"/>
      <c r="D56" s="14"/>
      <c r="E56" s="10"/>
      <c r="F56" s="11"/>
      <c r="G56" s="15"/>
      <c r="H56" s="87"/>
      <c r="I56" s="24"/>
      <c r="J56" s="24"/>
      <c r="K56" s="114" t="str">
        <f t="shared" si="3"/>
        <v/>
      </c>
      <c r="L56" s="24"/>
      <c r="M56" s="24"/>
      <c r="N56" s="24"/>
      <c r="O56" s="24"/>
      <c r="P56" s="97" t="str">
        <f t="shared" si="4"/>
        <v/>
      </c>
      <c r="Q56" s="113" t="str">
        <f t="shared" si="5"/>
        <v/>
      </c>
      <c r="R56" s="87"/>
      <c r="S56" s="24"/>
      <c r="T56" s="24"/>
      <c r="U56" s="78" t="str">
        <f t="shared" si="6"/>
        <v/>
      </c>
      <c r="V56" s="24"/>
      <c r="W56" s="24"/>
      <c r="X56" s="24"/>
      <c r="Y56" s="24"/>
      <c r="Z56" s="98" t="str">
        <f t="shared" si="7"/>
        <v/>
      </c>
      <c r="AA56" s="40" t="str">
        <f t="shared" si="8"/>
        <v/>
      </c>
      <c r="AB56" s="87"/>
      <c r="AC56" s="24"/>
      <c r="AD56" s="24"/>
      <c r="AE56" s="79" t="str">
        <f t="shared" si="9"/>
        <v/>
      </c>
      <c r="AF56" s="24"/>
      <c r="AG56" s="24"/>
      <c r="AH56" s="24"/>
      <c r="AI56" s="24"/>
      <c r="AJ56" s="99" t="str">
        <f t="shared" si="10"/>
        <v/>
      </c>
      <c r="AK56" s="31" t="str">
        <f t="shared" si="11"/>
        <v/>
      </c>
      <c r="AN56" s="139" t="str">
        <f>IF($K56="","",VLOOKUP($K56,'ORF Accuracy Value LookUp'!$G$4:$H$104,2,TRUE))</f>
        <v/>
      </c>
      <c r="AO56" s="94" t="str">
        <f t="shared" si="0"/>
        <v/>
      </c>
      <c r="AP56" s="47" t="str">
        <f>IF($U56="","",VLOOKUP($U56,'ORF Accuracy Value LookUp'!$G$4:$H$104,2,TRUE))</f>
        <v/>
      </c>
      <c r="AQ56" s="94" t="str">
        <f t="shared" si="1"/>
        <v/>
      </c>
      <c r="AR56" s="46" t="str">
        <f>IF($AE56="","",VLOOKUP($AE56,'ORF Accuracy Value LookUp'!$G$4:$H$104,2,TRUE))</f>
        <v/>
      </c>
      <c r="AS56" s="140" t="str">
        <f t="shared" si="2"/>
        <v/>
      </c>
    </row>
    <row r="57" spans="1:45">
      <c r="A57" s="10"/>
      <c r="B57" s="12"/>
      <c r="C57" s="13"/>
      <c r="D57" s="14"/>
      <c r="E57" s="10"/>
      <c r="F57" s="11"/>
      <c r="G57" s="15"/>
      <c r="H57" s="87"/>
      <c r="I57" s="24"/>
      <c r="J57" s="24"/>
      <c r="K57" s="114" t="str">
        <f t="shared" si="3"/>
        <v/>
      </c>
      <c r="L57" s="24"/>
      <c r="M57" s="24"/>
      <c r="N57" s="24"/>
      <c r="O57" s="24"/>
      <c r="P57" s="97" t="str">
        <f t="shared" si="4"/>
        <v/>
      </c>
      <c r="Q57" s="113" t="str">
        <f t="shared" si="5"/>
        <v/>
      </c>
      <c r="R57" s="87"/>
      <c r="S57" s="24"/>
      <c r="T57" s="24"/>
      <c r="U57" s="78" t="str">
        <f t="shared" si="6"/>
        <v/>
      </c>
      <c r="V57" s="24"/>
      <c r="W57" s="24"/>
      <c r="X57" s="24"/>
      <c r="Y57" s="24"/>
      <c r="Z57" s="98" t="str">
        <f t="shared" si="7"/>
        <v/>
      </c>
      <c r="AA57" s="40" t="str">
        <f t="shared" si="8"/>
        <v/>
      </c>
      <c r="AB57" s="87"/>
      <c r="AC57" s="24"/>
      <c r="AD57" s="24"/>
      <c r="AE57" s="79" t="str">
        <f t="shared" si="9"/>
        <v/>
      </c>
      <c r="AF57" s="24"/>
      <c r="AG57" s="24"/>
      <c r="AH57" s="24"/>
      <c r="AI57" s="24"/>
      <c r="AJ57" s="99" t="str">
        <f t="shared" si="10"/>
        <v/>
      </c>
      <c r="AK57" s="31" t="str">
        <f t="shared" si="11"/>
        <v/>
      </c>
      <c r="AN57" s="139" t="str">
        <f>IF($K57="","",VLOOKUP($K57,'ORF Accuracy Value LookUp'!$G$4:$H$104,2,TRUE))</f>
        <v/>
      </c>
      <c r="AO57" s="94" t="str">
        <f t="shared" si="0"/>
        <v/>
      </c>
      <c r="AP57" s="47" t="str">
        <f>IF($U57="","",VLOOKUP($U57,'ORF Accuracy Value LookUp'!$G$4:$H$104,2,TRUE))</f>
        <v/>
      </c>
      <c r="AQ57" s="94" t="str">
        <f t="shared" si="1"/>
        <v/>
      </c>
      <c r="AR57" s="46" t="str">
        <f>IF($AE57="","",VLOOKUP($AE57,'ORF Accuracy Value LookUp'!$G$4:$H$104,2,TRUE))</f>
        <v/>
      </c>
      <c r="AS57" s="140" t="str">
        <f t="shared" si="2"/>
        <v/>
      </c>
    </row>
    <row r="58" spans="1:45">
      <c r="A58" s="10"/>
      <c r="B58" s="12"/>
      <c r="C58" s="13"/>
      <c r="D58" s="14"/>
      <c r="E58" s="10"/>
      <c r="F58" s="11"/>
      <c r="G58" s="15"/>
      <c r="H58" s="87"/>
      <c r="I58" s="24"/>
      <c r="J58" s="24"/>
      <c r="K58" s="114" t="str">
        <f t="shared" si="3"/>
        <v/>
      </c>
      <c r="L58" s="24"/>
      <c r="M58" s="24"/>
      <c r="N58" s="24"/>
      <c r="O58" s="24"/>
      <c r="P58" s="97" t="str">
        <f t="shared" si="4"/>
        <v/>
      </c>
      <c r="Q58" s="113" t="str">
        <f t="shared" si="5"/>
        <v/>
      </c>
      <c r="R58" s="87"/>
      <c r="S58" s="24"/>
      <c r="T58" s="24"/>
      <c r="U58" s="78" t="str">
        <f t="shared" si="6"/>
        <v/>
      </c>
      <c r="V58" s="24"/>
      <c r="W58" s="24"/>
      <c r="X58" s="24"/>
      <c r="Y58" s="24"/>
      <c r="Z58" s="98" t="str">
        <f t="shared" si="7"/>
        <v/>
      </c>
      <c r="AA58" s="40" t="str">
        <f t="shared" si="8"/>
        <v/>
      </c>
      <c r="AB58" s="87"/>
      <c r="AC58" s="24"/>
      <c r="AD58" s="24"/>
      <c r="AE58" s="79" t="str">
        <f t="shared" si="9"/>
        <v/>
      </c>
      <c r="AF58" s="24"/>
      <c r="AG58" s="24"/>
      <c r="AH58" s="24"/>
      <c r="AI58" s="24"/>
      <c r="AJ58" s="99" t="str">
        <f t="shared" si="10"/>
        <v/>
      </c>
      <c r="AK58" s="31" t="str">
        <f t="shared" si="11"/>
        <v/>
      </c>
      <c r="AN58" s="139" t="str">
        <f>IF($K58="","",VLOOKUP($K58,'ORF Accuracy Value LookUp'!$G$4:$H$104,2,TRUE))</f>
        <v/>
      </c>
      <c r="AO58" s="94" t="str">
        <f t="shared" si="0"/>
        <v/>
      </c>
      <c r="AP58" s="47" t="str">
        <f>IF($U58="","",VLOOKUP($U58,'ORF Accuracy Value LookUp'!$G$4:$H$104,2,TRUE))</f>
        <v/>
      </c>
      <c r="AQ58" s="94" t="str">
        <f t="shared" si="1"/>
        <v/>
      </c>
      <c r="AR58" s="46" t="str">
        <f>IF($AE58="","",VLOOKUP($AE58,'ORF Accuracy Value LookUp'!$G$4:$H$104,2,TRUE))</f>
        <v/>
      </c>
      <c r="AS58" s="140" t="str">
        <f t="shared" si="2"/>
        <v/>
      </c>
    </row>
    <row r="59" spans="1:45">
      <c r="A59" s="10"/>
      <c r="B59" s="12"/>
      <c r="C59" s="13"/>
      <c r="D59" s="14"/>
      <c r="E59" s="10"/>
      <c r="F59" s="11"/>
      <c r="G59" s="15"/>
      <c r="H59" s="87"/>
      <c r="I59" s="24"/>
      <c r="J59" s="24"/>
      <c r="K59" s="114" t="str">
        <f t="shared" si="3"/>
        <v/>
      </c>
      <c r="L59" s="24"/>
      <c r="M59" s="24"/>
      <c r="N59" s="24"/>
      <c r="O59" s="24"/>
      <c r="P59" s="97" t="str">
        <f t="shared" si="4"/>
        <v/>
      </c>
      <c r="Q59" s="113" t="str">
        <f t="shared" si="5"/>
        <v/>
      </c>
      <c r="R59" s="87"/>
      <c r="S59" s="24"/>
      <c r="T59" s="24"/>
      <c r="U59" s="78" t="str">
        <f t="shared" si="6"/>
        <v/>
      </c>
      <c r="V59" s="24"/>
      <c r="W59" s="24"/>
      <c r="X59" s="24"/>
      <c r="Y59" s="24"/>
      <c r="Z59" s="98" t="str">
        <f t="shared" si="7"/>
        <v/>
      </c>
      <c r="AA59" s="40" t="str">
        <f t="shared" si="8"/>
        <v/>
      </c>
      <c r="AB59" s="87"/>
      <c r="AC59" s="24"/>
      <c r="AD59" s="24"/>
      <c r="AE59" s="79" t="str">
        <f t="shared" si="9"/>
        <v/>
      </c>
      <c r="AF59" s="24"/>
      <c r="AG59" s="24"/>
      <c r="AH59" s="24"/>
      <c r="AI59" s="24"/>
      <c r="AJ59" s="99" t="str">
        <f t="shared" si="10"/>
        <v/>
      </c>
      <c r="AK59" s="31" t="str">
        <f t="shared" si="11"/>
        <v/>
      </c>
      <c r="AN59" s="139" t="str">
        <f>IF($K59="","",VLOOKUP($K59,'ORF Accuracy Value LookUp'!$G$4:$H$104,2,TRUE))</f>
        <v/>
      </c>
      <c r="AO59" s="94" t="str">
        <f t="shared" si="0"/>
        <v/>
      </c>
      <c r="AP59" s="47" t="str">
        <f>IF($U59="","",VLOOKUP($U59,'ORF Accuracy Value LookUp'!$G$4:$H$104,2,TRUE))</f>
        <v/>
      </c>
      <c r="AQ59" s="94" t="str">
        <f t="shared" si="1"/>
        <v/>
      </c>
      <c r="AR59" s="46" t="str">
        <f>IF($AE59="","",VLOOKUP($AE59,'ORF Accuracy Value LookUp'!$G$4:$H$104,2,TRUE))</f>
        <v/>
      </c>
      <c r="AS59" s="140" t="str">
        <f t="shared" si="2"/>
        <v/>
      </c>
    </row>
    <row r="60" spans="1:45">
      <c r="A60" s="10"/>
      <c r="B60" s="12"/>
      <c r="C60" s="13"/>
      <c r="D60" s="14"/>
      <c r="E60" s="10"/>
      <c r="F60" s="11"/>
      <c r="G60" s="15"/>
      <c r="H60" s="87"/>
      <c r="I60" s="24"/>
      <c r="J60" s="24"/>
      <c r="K60" s="114" t="str">
        <f t="shared" si="3"/>
        <v/>
      </c>
      <c r="L60" s="24"/>
      <c r="M60" s="24"/>
      <c r="N60" s="24"/>
      <c r="O60" s="24"/>
      <c r="P60" s="97" t="str">
        <f t="shared" si="4"/>
        <v/>
      </c>
      <c r="Q60" s="113" t="str">
        <f t="shared" si="5"/>
        <v/>
      </c>
      <c r="R60" s="87"/>
      <c r="S60" s="24"/>
      <c r="T60" s="24"/>
      <c r="U60" s="78" t="str">
        <f t="shared" si="6"/>
        <v/>
      </c>
      <c r="V60" s="24"/>
      <c r="W60" s="24"/>
      <c r="X60" s="24"/>
      <c r="Y60" s="24"/>
      <c r="Z60" s="98" t="str">
        <f t="shared" si="7"/>
        <v/>
      </c>
      <c r="AA60" s="40" t="str">
        <f t="shared" si="8"/>
        <v/>
      </c>
      <c r="AB60" s="87"/>
      <c r="AC60" s="24"/>
      <c r="AD60" s="24"/>
      <c r="AE60" s="79" t="str">
        <f t="shared" si="9"/>
        <v/>
      </c>
      <c r="AF60" s="24"/>
      <c r="AG60" s="24"/>
      <c r="AH60" s="24"/>
      <c r="AI60" s="24"/>
      <c r="AJ60" s="99" t="str">
        <f t="shared" si="10"/>
        <v/>
      </c>
      <c r="AK60" s="31" t="str">
        <f t="shared" si="11"/>
        <v/>
      </c>
      <c r="AN60" s="139" t="str">
        <f>IF($K60="","",VLOOKUP($K60,'ORF Accuracy Value LookUp'!$G$4:$H$104,2,TRUE))</f>
        <v/>
      </c>
      <c r="AO60" s="94" t="str">
        <f t="shared" si="0"/>
        <v/>
      </c>
      <c r="AP60" s="47" t="str">
        <f>IF($U60="","",VLOOKUP($U60,'ORF Accuracy Value LookUp'!$G$4:$H$104,2,TRUE))</f>
        <v/>
      </c>
      <c r="AQ60" s="94" t="str">
        <f t="shared" si="1"/>
        <v/>
      </c>
      <c r="AR60" s="46" t="str">
        <f>IF($AE60="","",VLOOKUP($AE60,'ORF Accuracy Value LookUp'!$G$4:$H$104,2,TRUE))</f>
        <v/>
      </c>
      <c r="AS60" s="140" t="str">
        <f t="shared" si="2"/>
        <v/>
      </c>
    </row>
    <row r="61" spans="1:45">
      <c r="A61" s="10"/>
      <c r="B61" s="12"/>
      <c r="C61" s="13"/>
      <c r="D61" s="14"/>
      <c r="E61" s="10"/>
      <c r="F61" s="11"/>
      <c r="G61" s="15"/>
      <c r="H61" s="87"/>
      <c r="I61" s="24"/>
      <c r="J61" s="24"/>
      <c r="K61" s="114" t="str">
        <f t="shared" si="3"/>
        <v/>
      </c>
      <c r="L61" s="24"/>
      <c r="M61" s="24"/>
      <c r="N61" s="24"/>
      <c r="O61" s="24"/>
      <c r="P61" s="97" t="str">
        <f t="shared" si="4"/>
        <v/>
      </c>
      <c r="Q61" s="113" t="str">
        <f t="shared" si="5"/>
        <v/>
      </c>
      <c r="R61" s="87"/>
      <c r="S61" s="24"/>
      <c r="T61" s="24"/>
      <c r="U61" s="78" t="str">
        <f t="shared" si="6"/>
        <v/>
      </c>
      <c r="V61" s="24"/>
      <c r="W61" s="24"/>
      <c r="X61" s="24"/>
      <c r="Y61" s="24"/>
      <c r="Z61" s="98" t="str">
        <f t="shared" si="7"/>
        <v/>
      </c>
      <c r="AA61" s="40" t="str">
        <f t="shared" si="8"/>
        <v/>
      </c>
      <c r="AB61" s="87"/>
      <c r="AC61" s="24"/>
      <c r="AD61" s="24"/>
      <c r="AE61" s="79" t="str">
        <f t="shared" si="9"/>
        <v/>
      </c>
      <c r="AF61" s="24"/>
      <c r="AG61" s="24"/>
      <c r="AH61" s="24"/>
      <c r="AI61" s="24"/>
      <c r="AJ61" s="99" t="str">
        <f t="shared" si="10"/>
        <v/>
      </c>
      <c r="AK61" s="31" t="str">
        <f t="shared" si="11"/>
        <v/>
      </c>
      <c r="AN61" s="139" t="str">
        <f>IF($K61="","",VLOOKUP($K61,'ORF Accuracy Value LookUp'!$G$4:$H$104,2,TRUE))</f>
        <v/>
      </c>
      <c r="AO61" s="94" t="str">
        <f t="shared" si="0"/>
        <v/>
      </c>
      <c r="AP61" s="47" t="str">
        <f>IF($U61="","",VLOOKUP($U61,'ORF Accuracy Value LookUp'!$G$4:$H$104,2,TRUE))</f>
        <v/>
      </c>
      <c r="AQ61" s="94" t="str">
        <f t="shared" si="1"/>
        <v/>
      </c>
      <c r="AR61" s="46" t="str">
        <f>IF($AE61="","",VLOOKUP($AE61,'ORF Accuracy Value LookUp'!$G$4:$H$104,2,TRUE))</f>
        <v/>
      </c>
      <c r="AS61" s="140" t="str">
        <f t="shared" si="2"/>
        <v/>
      </c>
    </row>
    <row r="62" spans="1:45">
      <c r="A62" s="10"/>
      <c r="B62" s="12"/>
      <c r="C62" s="13"/>
      <c r="D62" s="14"/>
      <c r="E62" s="10"/>
      <c r="F62" s="11"/>
      <c r="G62" s="15"/>
      <c r="H62" s="87"/>
      <c r="I62" s="24"/>
      <c r="J62" s="24"/>
      <c r="K62" s="114" t="str">
        <f t="shared" si="3"/>
        <v/>
      </c>
      <c r="L62" s="24"/>
      <c r="M62" s="24"/>
      <c r="N62" s="24"/>
      <c r="O62" s="24"/>
      <c r="P62" s="97" t="str">
        <f t="shared" si="4"/>
        <v/>
      </c>
      <c r="Q62" s="113" t="str">
        <f t="shared" si="5"/>
        <v/>
      </c>
      <c r="R62" s="87"/>
      <c r="S62" s="24"/>
      <c r="T62" s="24"/>
      <c r="U62" s="78" t="str">
        <f t="shared" si="6"/>
        <v/>
      </c>
      <c r="V62" s="24"/>
      <c r="W62" s="24"/>
      <c r="X62" s="24"/>
      <c r="Y62" s="24"/>
      <c r="Z62" s="98" t="str">
        <f t="shared" si="7"/>
        <v/>
      </c>
      <c r="AA62" s="40" t="str">
        <f t="shared" si="8"/>
        <v/>
      </c>
      <c r="AB62" s="87"/>
      <c r="AC62" s="24"/>
      <c r="AD62" s="24"/>
      <c r="AE62" s="79" t="str">
        <f t="shared" si="9"/>
        <v/>
      </c>
      <c r="AF62" s="24"/>
      <c r="AG62" s="24"/>
      <c r="AH62" s="24"/>
      <c r="AI62" s="24"/>
      <c r="AJ62" s="99" t="str">
        <f t="shared" si="10"/>
        <v/>
      </c>
      <c r="AK62" s="31" t="str">
        <f t="shared" si="11"/>
        <v/>
      </c>
      <c r="AN62" s="139" t="str">
        <f>IF($K62="","",VLOOKUP($K62,'ORF Accuracy Value LookUp'!$G$4:$H$104,2,TRUE))</f>
        <v/>
      </c>
      <c r="AO62" s="94" t="str">
        <f t="shared" si="0"/>
        <v/>
      </c>
      <c r="AP62" s="47" t="str">
        <f>IF($U62="","",VLOOKUP($U62,'ORF Accuracy Value LookUp'!$G$4:$H$104,2,TRUE))</f>
        <v/>
      </c>
      <c r="AQ62" s="94" t="str">
        <f t="shared" si="1"/>
        <v/>
      </c>
      <c r="AR62" s="46" t="str">
        <f>IF($AE62="","",VLOOKUP($AE62,'ORF Accuracy Value LookUp'!$G$4:$H$104,2,TRUE))</f>
        <v/>
      </c>
      <c r="AS62" s="140" t="str">
        <f t="shared" si="2"/>
        <v/>
      </c>
    </row>
    <row r="63" spans="1:45">
      <c r="A63" s="10"/>
      <c r="B63" s="12"/>
      <c r="C63" s="13"/>
      <c r="D63" s="14"/>
      <c r="E63" s="10"/>
      <c r="F63" s="11"/>
      <c r="G63" s="15"/>
      <c r="H63" s="87"/>
      <c r="I63" s="24"/>
      <c r="J63" s="24"/>
      <c r="K63" s="114" t="str">
        <f t="shared" si="3"/>
        <v/>
      </c>
      <c r="L63" s="24"/>
      <c r="M63" s="24"/>
      <c r="N63" s="24"/>
      <c r="O63" s="24"/>
      <c r="P63" s="97" t="str">
        <f t="shared" si="4"/>
        <v/>
      </c>
      <c r="Q63" s="113" t="str">
        <f t="shared" si="5"/>
        <v/>
      </c>
      <c r="R63" s="87"/>
      <c r="S63" s="24"/>
      <c r="T63" s="24"/>
      <c r="U63" s="78" t="str">
        <f t="shared" si="6"/>
        <v/>
      </c>
      <c r="V63" s="24"/>
      <c r="W63" s="24"/>
      <c r="X63" s="24"/>
      <c r="Y63" s="24"/>
      <c r="Z63" s="98" t="str">
        <f t="shared" si="7"/>
        <v/>
      </c>
      <c r="AA63" s="40" t="str">
        <f t="shared" si="8"/>
        <v/>
      </c>
      <c r="AB63" s="87"/>
      <c r="AC63" s="24"/>
      <c r="AD63" s="24"/>
      <c r="AE63" s="79" t="str">
        <f t="shared" si="9"/>
        <v/>
      </c>
      <c r="AF63" s="24"/>
      <c r="AG63" s="24"/>
      <c r="AH63" s="24"/>
      <c r="AI63" s="24"/>
      <c r="AJ63" s="99" t="str">
        <f t="shared" si="10"/>
        <v/>
      </c>
      <c r="AK63" s="31" t="str">
        <f t="shared" si="11"/>
        <v/>
      </c>
      <c r="AN63" s="139" t="str">
        <f>IF($K63="","",VLOOKUP($K63,'ORF Accuracy Value LookUp'!$G$4:$H$104,2,TRUE))</f>
        <v/>
      </c>
      <c r="AO63" s="94" t="str">
        <f t="shared" si="0"/>
        <v/>
      </c>
      <c r="AP63" s="47" t="str">
        <f>IF($U63="","",VLOOKUP($U63,'ORF Accuracy Value LookUp'!$G$4:$H$104,2,TRUE))</f>
        <v/>
      </c>
      <c r="AQ63" s="94" t="str">
        <f t="shared" si="1"/>
        <v/>
      </c>
      <c r="AR63" s="46" t="str">
        <f>IF($AE63="","",VLOOKUP($AE63,'ORF Accuracy Value LookUp'!$G$4:$H$104,2,TRUE))</f>
        <v/>
      </c>
      <c r="AS63" s="140" t="str">
        <f t="shared" si="2"/>
        <v/>
      </c>
    </row>
    <row r="64" spans="1:45">
      <c r="A64" s="10"/>
      <c r="B64" s="12"/>
      <c r="C64" s="13"/>
      <c r="D64" s="14"/>
      <c r="E64" s="10"/>
      <c r="F64" s="11"/>
      <c r="G64" s="15"/>
      <c r="H64" s="87"/>
      <c r="I64" s="24"/>
      <c r="J64" s="24"/>
      <c r="K64" s="114" t="str">
        <f t="shared" si="3"/>
        <v/>
      </c>
      <c r="L64" s="24"/>
      <c r="M64" s="24"/>
      <c r="N64" s="24"/>
      <c r="O64" s="24"/>
      <c r="P64" s="97" t="str">
        <f t="shared" si="4"/>
        <v/>
      </c>
      <c r="Q64" s="113" t="str">
        <f t="shared" si="5"/>
        <v/>
      </c>
      <c r="R64" s="87"/>
      <c r="S64" s="24"/>
      <c r="T64" s="24"/>
      <c r="U64" s="78" t="str">
        <f t="shared" si="6"/>
        <v/>
      </c>
      <c r="V64" s="24"/>
      <c r="W64" s="24"/>
      <c r="X64" s="24"/>
      <c r="Y64" s="24"/>
      <c r="Z64" s="98" t="str">
        <f t="shared" si="7"/>
        <v/>
      </c>
      <c r="AA64" s="40" t="str">
        <f t="shared" si="8"/>
        <v/>
      </c>
      <c r="AB64" s="87"/>
      <c r="AC64" s="24"/>
      <c r="AD64" s="24"/>
      <c r="AE64" s="79" t="str">
        <f t="shared" si="9"/>
        <v/>
      </c>
      <c r="AF64" s="24"/>
      <c r="AG64" s="24"/>
      <c r="AH64" s="24"/>
      <c r="AI64" s="24"/>
      <c r="AJ64" s="99" t="str">
        <f t="shared" si="10"/>
        <v/>
      </c>
      <c r="AK64" s="31" t="str">
        <f t="shared" si="11"/>
        <v/>
      </c>
      <c r="AN64" s="139" t="str">
        <f>IF($K64="","",VLOOKUP($K64,'ORF Accuracy Value LookUp'!$G$4:$H$104,2,TRUE))</f>
        <v/>
      </c>
      <c r="AO64" s="94" t="str">
        <f t="shared" si="0"/>
        <v/>
      </c>
      <c r="AP64" s="47" t="str">
        <f>IF($U64="","",VLOOKUP($U64,'ORF Accuracy Value LookUp'!$G$4:$H$104,2,TRUE))</f>
        <v/>
      </c>
      <c r="AQ64" s="94" t="str">
        <f t="shared" si="1"/>
        <v/>
      </c>
      <c r="AR64" s="46" t="str">
        <f>IF($AE64="","",VLOOKUP($AE64,'ORF Accuracy Value LookUp'!$G$4:$H$104,2,TRUE))</f>
        <v/>
      </c>
      <c r="AS64" s="140" t="str">
        <f t="shared" si="2"/>
        <v/>
      </c>
    </row>
    <row r="65" spans="1:45">
      <c r="A65" s="10"/>
      <c r="B65" s="12"/>
      <c r="C65" s="13"/>
      <c r="D65" s="14"/>
      <c r="E65" s="10"/>
      <c r="F65" s="11"/>
      <c r="G65" s="15"/>
      <c r="H65" s="87"/>
      <c r="I65" s="24"/>
      <c r="J65" s="24"/>
      <c r="K65" s="114" t="str">
        <f t="shared" si="3"/>
        <v/>
      </c>
      <c r="L65" s="24"/>
      <c r="M65" s="24"/>
      <c r="N65" s="24"/>
      <c r="O65" s="24"/>
      <c r="P65" s="97" t="str">
        <f t="shared" si="4"/>
        <v/>
      </c>
      <c r="Q65" s="113" t="str">
        <f t="shared" si="5"/>
        <v/>
      </c>
      <c r="R65" s="87"/>
      <c r="S65" s="24"/>
      <c r="T65" s="24"/>
      <c r="U65" s="78" t="str">
        <f t="shared" si="6"/>
        <v/>
      </c>
      <c r="V65" s="24"/>
      <c r="W65" s="24"/>
      <c r="X65" s="24"/>
      <c r="Y65" s="24"/>
      <c r="Z65" s="98" t="str">
        <f t="shared" si="7"/>
        <v/>
      </c>
      <c r="AA65" s="40" t="str">
        <f t="shared" si="8"/>
        <v/>
      </c>
      <c r="AB65" s="87"/>
      <c r="AC65" s="24"/>
      <c r="AD65" s="24"/>
      <c r="AE65" s="79" t="str">
        <f t="shared" si="9"/>
        <v/>
      </c>
      <c r="AF65" s="24"/>
      <c r="AG65" s="24"/>
      <c r="AH65" s="24"/>
      <c r="AI65" s="24"/>
      <c r="AJ65" s="99" t="str">
        <f t="shared" si="10"/>
        <v/>
      </c>
      <c r="AK65" s="31" t="str">
        <f t="shared" si="11"/>
        <v/>
      </c>
      <c r="AN65" s="139" t="str">
        <f>IF($K65="","",VLOOKUP($K65,'ORF Accuracy Value LookUp'!$G$4:$H$104,2,TRUE))</f>
        <v/>
      </c>
      <c r="AO65" s="94" t="str">
        <f t="shared" si="0"/>
        <v/>
      </c>
      <c r="AP65" s="47" t="str">
        <f>IF($U65="","",VLOOKUP($U65,'ORF Accuracy Value LookUp'!$G$4:$H$104,2,TRUE))</f>
        <v/>
      </c>
      <c r="AQ65" s="94" t="str">
        <f t="shared" si="1"/>
        <v/>
      </c>
      <c r="AR65" s="46" t="str">
        <f>IF($AE65="","",VLOOKUP($AE65,'ORF Accuracy Value LookUp'!$G$4:$H$104,2,TRUE))</f>
        <v/>
      </c>
      <c r="AS65" s="140" t="str">
        <f t="shared" si="2"/>
        <v/>
      </c>
    </row>
    <row r="66" spans="1:45">
      <c r="A66" s="10"/>
      <c r="B66" s="12"/>
      <c r="C66" s="13"/>
      <c r="D66" s="14"/>
      <c r="E66" s="10"/>
      <c r="F66" s="11"/>
      <c r="G66" s="15"/>
      <c r="H66" s="87"/>
      <c r="I66" s="24"/>
      <c r="J66" s="24"/>
      <c r="K66" s="114" t="str">
        <f t="shared" si="3"/>
        <v/>
      </c>
      <c r="L66" s="24"/>
      <c r="M66" s="24"/>
      <c r="N66" s="24"/>
      <c r="O66" s="24"/>
      <c r="P66" s="97" t="str">
        <f t="shared" si="4"/>
        <v/>
      </c>
      <c r="Q66" s="113" t="str">
        <f t="shared" si="5"/>
        <v/>
      </c>
      <c r="R66" s="87"/>
      <c r="S66" s="24"/>
      <c r="T66" s="24"/>
      <c r="U66" s="78" t="str">
        <f t="shared" si="6"/>
        <v/>
      </c>
      <c r="V66" s="24"/>
      <c r="W66" s="24"/>
      <c r="X66" s="24"/>
      <c r="Y66" s="24"/>
      <c r="Z66" s="98" t="str">
        <f t="shared" si="7"/>
        <v/>
      </c>
      <c r="AA66" s="40" t="str">
        <f t="shared" si="8"/>
        <v/>
      </c>
      <c r="AB66" s="87"/>
      <c r="AC66" s="24"/>
      <c r="AD66" s="24"/>
      <c r="AE66" s="79" t="str">
        <f t="shared" si="9"/>
        <v/>
      </c>
      <c r="AF66" s="24"/>
      <c r="AG66" s="24"/>
      <c r="AH66" s="24"/>
      <c r="AI66" s="24"/>
      <c r="AJ66" s="99" t="str">
        <f t="shared" si="10"/>
        <v/>
      </c>
      <c r="AK66" s="31" t="str">
        <f t="shared" si="11"/>
        <v/>
      </c>
      <c r="AN66" s="139" t="str">
        <f>IF($K66="","",VLOOKUP($K66,'ORF Accuracy Value LookUp'!$G$4:$H$104,2,TRUE))</f>
        <v/>
      </c>
      <c r="AO66" s="94" t="str">
        <f t="shared" si="0"/>
        <v/>
      </c>
      <c r="AP66" s="47" t="str">
        <f>IF($U66="","",VLOOKUP($U66,'ORF Accuracy Value LookUp'!$G$4:$H$104,2,TRUE))</f>
        <v/>
      </c>
      <c r="AQ66" s="94" t="str">
        <f t="shared" si="1"/>
        <v/>
      </c>
      <c r="AR66" s="46" t="str">
        <f>IF($AE66="","",VLOOKUP($AE66,'ORF Accuracy Value LookUp'!$G$4:$H$104,2,TRUE))</f>
        <v/>
      </c>
      <c r="AS66" s="140" t="str">
        <f t="shared" si="2"/>
        <v/>
      </c>
    </row>
    <row r="67" spans="1:45">
      <c r="A67" s="10"/>
      <c r="B67" s="12"/>
      <c r="C67" s="13"/>
      <c r="D67" s="14"/>
      <c r="E67" s="10"/>
      <c r="F67" s="11"/>
      <c r="G67" s="15"/>
      <c r="H67" s="87"/>
      <c r="I67" s="24"/>
      <c r="J67" s="24"/>
      <c r="K67" s="114" t="str">
        <f t="shared" si="3"/>
        <v/>
      </c>
      <c r="L67" s="24"/>
      <c r="M67" s="24"/>
      <c r="N67" s="24"/>
      <c r="O67" s="24"/>
      <c r="P67" s="97" t="str">
        <f t="shared" si="4"/>
        <v/>
      </c>
      <c r="Q67" s="113" t="str">
        <f t="shared" si="5"/>
        <v/>
      </c>
      <c r="R67" s="87"/>
      <c r="S67" s="24"/>
      <c r="T67" s="24"/>
      <c r="U67" s="78" t="str">
        <f t="shared" si="6"/>
        <v/>
      </c>
      <c r="V67" s="24"/>
      <c r="W67" s="24"/>
      <c r="X67" s="24"/>
      <c r="Y67" s="24"/>
      <c r="Z67" s="98" t="str">
        <f t="shared" si="7"/>
        <v/>
      </c>
      <c r="AA67" s="40" t="str">
        <f t="shared" si="8"/>
        <v/>
      </c>
      <c r="AB67" s="87"/>
      <c r="AC67" s="24"/>
      <c r="AD67" s="24"/>
      <c r="AE67" s="79" t="str">
        <f t="shared" si="9"/>
        <v/>
      </c>
      <c r="AF67" s="24"/>
      <c r="AG67" s="24"/>
      <c r="AH67" s="24"/>
      <c r="AI67" s="24"/>
      <c r="AJ67" s="99" t="str">
        <f t="shared" si="10"/>
        <v/>
      </c>
      <c r="AK67" s="31" t="str">
        <f t="shared" si="11"/>
        <v/>
      </c>
      <c r="AN67" s="139" t="str">
        <f>IF($K67="","",VLOOKUP($K67,'ORF Accuracy Value LookUp'!$G$4:$H$104,2,TRUE))</f>
        <v/>
      </c>
      <c r="AO67" s="94" t="str">
        <f t="shared" si="0"/>
        <v/>
      </c>
      <c r="AP67" s="47" t="str">
        <f>IF($U67="","",VLOOKUP($U67,'ORF Accuracy Value LookUp'!$G$4:$H$104,2,TRUE))</f>
        <v/>
      </c>
      <c r="AQ67" s="94" t="str">
        <f t="shared" si="1"/>
        <v/>
      </c>
      <c r="AR67" s="46" t="str">
        <f>IF($AE67="","",VLOOKUP($AE67,'ORF Accuracy Value LookUp'!$G$4:$H$104,2,TRUE))</f>
        <v/>
      </c>
      <c r="AS67" s="140" t="str">
        <f t="shared" si="2"/>
        <v/>
      </c>
    </row>
    <row r="68" spans="1:45">
      <c r="A68" s="10"/>
      <c r="B68" s="12"/>
      <c r="C68" s="13"/>
      <c r="D68" s="14"/>
      <c r="E68" s="10"/>
      <c r="F68" s="11"/>
      <c r="G68" s="15"/>
      <c r="H68" s="87"/>
      <c r="I68" s="24"/>
      <c r="J68" s="24"/>
      <c r="K68" s="114" t="str">
        <f t="shared" si="3"/>
        <v/>
      </c>
      <c r="L68" s="24"/>
      <c r="M68" s="24"/>
      <c r="N68" s="24"/>
      <c r="O68" s="24"/>
      <c r="P68" s="97" t="str">
        <f t="shared" si="4"/>
        <v/>
      </c>
      <c r="Q68" s="113" t="str">
        <f t="shared" si="5"/>
        <v/>
      </c>
      <c r="R68" s="87"/>
      <c r="S68" s="24"/>
      <c r="T68" s="24"/>
      <c r="U68" s="78" t="str">
        <f t="shared" si="6"/>
        <v/>
      </c>
      <c r="V68" s="24"/>
      <c r="W68" s="24"/>
      <c r="X68" s="24"/>
      <c r="Y68" s="24"/>
      <c r="Z68" s="98" t="str">
        <f t="shared" si="7"/>
        <v/>
      </c>
      <c r="AA68" s="40" t="str">
        <f t="shared" si="8"/>
        <v/>
      </c>
      <c r="AB68" s="87"/>
      <c r="AC68" s="24"/>
      <c r="AD68" s="24"/>
      <c r="AE68" s="79" t="str">
        <f t="shared" si="9"/>
        <v/>
      </c>
      <c r="AF68" s="24"/>
      <c r="AG68" s="24"/>
      <c r="AH68" s="24"/>
      <c r="AI68" s="24"/>
      <c r="AJ68" s="99" t="str">
        <f t="shared" si="10"/>
        <v/>
      </c>
      <c r="AK68" s="31" t="str">
        <f t="shared" si="11"/>
        <v/>
      </c>
      <c r="AN68" s="139" t="str">
        <f>IF($K68="","",VLOOKUP($K68,'ORF Accuracy Value LookUp'!$G$4:$H$104,2,TRUE))</f>
        <v/>
      </c>
      <c r="AO68" s="94" t="str">
        <f t="shared" si="0"/>
        <v/>
      </c>
      <c r="AP68" s="47" t="str">
        <f>IF($U68="","",VLOOKUP($U68,'ORF Accuracy Value LookUp'!$G$4:$H$104,2,TRUE))</f>
        <v/>
      </c>
      <c r="AQ68" s="94" t="str">
        <f t="shared" si="1"/>
        <v/>
      </c>
      <c r="AR68" s="46" t="str">
        <f>IF($AE68="","",VLOOKUP($AE68,'ORF Accuracy Value LookUp'!$G$4:$H$104,2,TRUE))</f>
        <v/>
      </c>
      <c r="AS68" s="140" t="str">
        <f t="shared" si="2"/>
        <v/>
      </c>
    </row>
    <row r="69" spans="1:45">
      <c r="A69" s="10"/>
      <c r="B69" s="12"/>
      <c r="C69" s="13"/>
      <c r="D69" s="14"/>
      <c r="E69" s="10"/>
      <c r="F69" s="11"/>
      <c r="G69" s="15"/>
      <c r="H69" s="87"/>
      <c r="I69" s="24"/>
      <c r="J69" s="24"/>
      <c r="K69" s="114" t="str">
        <f t="shared" si="3"/>
        <v/>
      </c>
      <c r="L69" s="24"/>
      <c r="M69" s="24"/>
      <c r="N69" s="24"/>
      <c r="O69" s="24"/>
      <c r="P69" s="97" t="str">
        <f t="shared" si="4"/>
        <v/>
      </c>
      <c r="Q69" s="113" t="str">
        <f t="shared" si="5"/>
        <v/>
      </c>
      <c r="R69" s="87"/>
      <c r="S69" s="24"/>
      <c r="T69" s="24"/>
      <c r="U69" s="78" t="str">
        <f t="shared" si="6"/>
        <v/>
      </c>
      <c r="V69" s="24"/>
      <c r="W69" s="24"/>
      <c r="X69" s="24"/>
      <c r="Y69" s="24"/>
      <c r="Z69" s="98" t="str">
        <f t="shared" si="7"/>
        <v/>
      </c>
      <c r="AA69" s="40" t="str">
        <f t="shared" si="8"/>
        <v/>
      </c>
      <c r="AB69" s="87"/>
      <c r="AC69" s="24"/>
      <c r="AD69" s="24"/>
      <c r="AE69" s="79" t="str">
        <f t="shared" si="9"/>
        <v/>
      </c>
      <c r="AF69" s="24"/>
      <c r="AG69" s="24"/>
      <c r="AH69" s="24"/>
      <c r="AI69" s="24"/>
      <c r="AJ69" s="99" t="str">
        <f t="shared" si="10"/>
        <v/>
      </c>
      <c r="AK69" s="31" t="str">
        <f t="shared" si="11"/>
        <v/>
      </c>
      <c r="AN69" s="139" t="str">
        <f>IF($K69="","",VLOOKUP($K69,'ORF Accuracy Value LookUp'!$G$4:$H$104,2,TRUE))</f>
        <v/>
      </c>
      <c r="AO69" s="94" t="str">
        <f t="shared" si="0"/>
        <v/>
      </c>
      <c r="AP69" s="47" t="str">
        <f>IF($U69="","",VLOOKUP($U69,'ORF Accuracy Value LookUp'!$G$4:$H$104,2,TRUE))</f>
        <v/>
      </c>
      <c r="AQ69" s="94" t="str">
        <f t="shared" si="1"/>
        <v/>
      </c>
      <c r="AR69" s="46" t="str">
        <f>IF($AE69="","",VLOOKUP($AE69,'ORF Accuracy Value LookUp'!$G$4:$H$104,2,TRUE))</f>
        <v/>
      </c>
      <c r="AS69" s="140" t="str">
        <f t="shared" si="2"/>
        <v/>
      </c>
    </row>
    <row r="70" spans="1:45">
      <c r="A70" s="10"/>
      <c r="B70" s="12"/>
      <c r="C70" s="13"/>
      <c r="D70" s="14"/>
      <c r="E70" s="10"/>
      <c r="F70" s="11"/>
      <c r="G70" s="15"/>
      <c r="H70" s="87"/>
      <c r="I70" s="24"/>
      <c r="J70" s="24"/>
      <c r="K70" s="114" t="str">
        <f t="shared" si="3"/>
        <v/>
      </c>
      <c r="L70" s="24"/>
      <c r="M70" s="24"/>
      <c r="N70" s="24"/>
      <c r="O70" s="24"/>
      <c r="P70" s="97" t="str">
        <f t="shared" si="4"/>
        <v/>
      </c>
      <c r="Q70" s="113" t="str">
        <f t="shared" si="5"/>
        <v/>
      </c>
      <c r="R70" s="87"/>
      <c r="S70" s="24"/>
      <c r="T70" s="24"/>
      <c r="U70" s="78" t="str">
        <f t="shared" si="6"/>
        <v/>
      </c>
      <c r="V70" s="24"/>
      <c r="W70" s="24"/>
      <c r="X70" s="24"/>
      <c r="Y70" s="24"/>
      <c r="Z70" s="98" t="str">
        <f t="shared" si="7"/>
        <v/>
      </c>
      <c r="AA70" s="40" t="str">
        <f t="shared" si="8"/>
        <v/>
      </c>
      <c r="AB70" s="87"/>
      <c r="AC70" s="24"/>
      <c r="AD70" s="24"/>
      <c r="AE70" s="79" t="str">
        <f t="shared" si="9"/>
        <v/>
      </c>
      <c r="AF70" s="24"/>
      <c r="AG70" s="24"/>
      <c r="AH70" s="24"/>
      <c r="AI70" s="24"/>
      <c r="AJ70" s="99" t="str">
        <f t="shared" si="10"/>
        <v/>
      </c>
      <c r="AK70" s="31" t="str">
        <f t="shared" si="11"/>
        <v/>
      </c>
      <c r="AN70" s="139" t="str">
        <f>IF($K70="","",VLOOKUP($K70,'ORF Accuracy Value LookUp'!$G$4:$H$104,2,TRUE))</f>
        <v/>
      </c>
      <c r="AO70" s="94" t="str">
        <f t="shared" si="0"/>
        <v/>
      </c>
      <c r="AP70" s="47" t="str">
        <f>IF($U70="","",VLOOKUP($U70,'ORF Accuracy Value LookUp'!$G$4:$H$104,2,TRUE))</f>
        <v/>
      </c>
      <c r="AQ70" s="94" t="str">
        <f t="shared" si="1"/>
        <v/>
      </c>
      <c r="AR70" s="46" t="str">
        <f>IF($AE70="","",VLOOKUP($AE70,'ORF Accuracy Value LookUp'!$G$4:$H$104,2,TRUE))</f>
        <v/>
      </c>
      <c r="AS70" s="140" t="str">
        <f t="shared" si="2"/>
        <v/>
      </c>
    </row>
    <row r="71" spans="1:45">
      <c r="A71" s="10"/>
      <c r="B71" s="12"/>
      <c r="C71" s="13"/>
      <c r="D71" s="14"/>
      <c r="E71" s="10"/>
      <c r="F71" s="11"/>
      <c r="G71" s="15"/>
      <c r="H71" s="87"/>
      <c r="I71" s="24"/>
      <c r="J71" s="24"/>
      <c r="K71" s="114" t="str">
        <f t="shared" si="3"/>
        <v/>
      </c>
      <c r="L71" s="24"/>
      <c r="M71" s="24"/>
      <c r="N71" s="24"/>
      <c r="O71" s="24"/>
      <c r="P71" s="97" t="str">
        <f t="shared" si="4"/>
        <v/>
      </c>
      <c r="Q71" s="113" t="str">
        <f t="shared" si="5"/>
        <v/>
      </c>
      <c r="R71" s="87"/>
      <c r="S71" s="24"/>
      <c r="T71" s="24"/>
      <c r="U71" s="78" t="str">
        <f t="shared" si="6"/>
        <v/>
      </c>
      <c r="V71" s="24"/>
      <c r="W71" s="24"/>
      <c r="X71" s="24"/>
      <c r="Y71" s="24"/>
      <c r="Z71" s="98" t="str">
        <f t="shared" si="7"/>
        <v/>
      </c>
      <c r="AA71" s="40" t="str">
        <f t="shared" si="8"/>
        <v/>
      </c>
      <c r="AB71" s="87"/>
      <c r="AC71" s="24"/>
      <c r="AD71" s="24"/>
      <c r="AE71" s="79" t="str">
        <f t="shared" si="9"/>
        <v/>
      </c>
      <c r="AF71" s="24"/>
      <c r="AG71" s="24"/>
      <c r="AH71" s="24"/>
      <c r="AI71" s="24"/>
      <c r="AJ71" s="99" t="str">
        <f t="shared" si="10"/>
        <v/>
      </c>
      <c r="AK71" s="31" t="str">
        <f t="shared" si="11"/>
        <v/>
      </c>
      <c r="AN71" s="139" t="str">
        <f>IF($K71="","",VLOOKUP($K71,'ORF Accuracy Value LookUp'!$G$4:$H$104,2,TRUE))</f>
        <v/>
      </c>
      <c r="AO71" s="94" t="str">
        <f t="shared" si="0"/>
        <v/>
      </c>
      <c r="AP71" s="47" t="str">
        <f>IF($U71="","",VLOOKUP($U71,'ORF Accuracy Value LookUp'!$G$4:$H$104,2,TRUE))</f>
        <v/>
      </c>
      <c r="AQ71" s="94" t="str">
        <f t="shared" si="1"/>
        <v/>
      </c>
      <c r="AR71" s="46" t="str">
        <f>IF($AE71="","",VLOOKUP($AE71,'ORF Accuracy Value LookUp'!$G$4:$H$104,2,TRUE))</f>
        <v/>
      </c>
      <c r="AS71" s="140" t="str">
        <f t="shared" si="2"/>
        <v/>
      </c>
    </row>
    <row r="72" spans="1:45">
      <c r="A72" s="10"/>
      <c r="B72" s="12"/>
      <c r="C72" s="13"/>
      <c r="D72" s="14"/>
      <c r="E72" s="10"/>
      <c r="F72" s="11"/>
      <c r="G72" s="15"/>
      <c r="H72" s="87"/>
      <c r="I72" s="24"/>
      <c r="J72" s="24"/>
      <c r="K72" s="114" t="str">
        <f t="shared" ref="K72:K135" si="12">IF($I72="","",SUM($I72/($I72+$J72)))</f>
        <v/>
      </c>
      <c r="L72" s="24"/>
      <c r="M72" s="24"/>
      <c r="N72" s="24"/>
      <c r="O72" s="24"/>
      <c r="P72" s="97" t="str">
        <f t="shared" ref="P72:P135" si="13">IF($AO72&gt;0,$AO72,0)</f>
        <v/>
      </c>
      <c r="Q72" s="113" t="str">
        <f t="shared" ref="Q72:Q135" si="14">IF($B72="","",SUM($I72+$AN72+($L72*2)+($P72*2)))</f>
        <v/>
      </c>
      <c r="R72" s="87"/>
      <c r="S72" s="24"/>
      <c r="T72" s="24"/>
      <c r="U72" s="78" t="str">
        <f t="shared" ref="U72:U135" si="15">IF($S72="","",SUM($S72/($S72+$T72)))</f>
        <v/>
      </c>
      <c r="V72" s="24"/>
      <c r="W72" s="24"/>
      <c r="X72" s="24"/>
      <c r="Y72" s="24"/>
      <c r="Z72" s="98" t="str">
        <f t="shared" ref="Z72:Z135" si="16">IF($AQ72&gt;0,$AQ72,0)</f>
        <v/>
      </c>
      <c r="AA72" s="40" t="str">
        <f t="shared" si="8"/>
        <v/>
      </c>
      <c r="AB72" s="87"/>
      <c r="AC72" s="24"/>
      <c r="AD72" s="24"/>
      <c r="AE72" s="79" t="str">
        <f t="shared" ref="AE72:AE135" si="17">IF($AC72="","",SUM($AC72/($AC72+$AD72)))</f>
        <v/>
      </c>
      <c r="AF72" s="24"/>
      <c r="AG72" s="24"/>
      <c r="AH72" s="24"/>
      <c r="AI72" s="24"/>
      <c r="AJ72" s="99" t="str">
        <f t="shared" ref="AJ72:AJ135" si="18">IF($AS72&gt;0,$AS72,0)</f>
        <v/>
      </c>
      <c r="AK72" s="31" t="str">
        <f t="shared" si="11"/>
        <v/>
      </c>
      <c r="AN72" s="139" t="str">
        <f>IF($K72="","",VLOOKUP($K72,'ORF Accuracy Value LookUp'!$G$4:$H$104,2,TRUE))</f>
        <v/>
      </c>
      <c r="AO72" s="94" t="str">
        <f t="shared" ref="AO72:AO135" si="19">IF($N72="","",($N72-($O72/2)))</f>
        <v/>
      </c>
      <c r="AP72" s="47" t="str">
        <f>IF($U72="","",VLOOKUP($U72,'ORF Accuracy Value LookUp'!$G$4:$H$104,2,TRUE))</f>
        <v/>
      </c>
      <c r="AQ72" s="94" t="str">
        <f t="shared" ref="AQ72:AQ135" si="20">IF($X72="","",$X72-($Y72/2))</f>
        <v/>
      </c>
      <c r="AR72" s="46" t="str">
        <f>IF($AE72="","",VLOOKUP($AE72,'ORF Accuracy Value LookUp'!$G$4:$H$104,2,TRUE))</f>
        <v/>
      </c>
      <c r="AS72" s="140" t="str">
        <f t="shared" ref="AS72:AS135" si="21">IF($AH72="","",$AH72-($AI72/2))</f>
        <v/>
      </c>
    </row>
    <row r="73" spans="1:45">
      <c r="A73" s="10"/>
      <c r="B73" s="12"/>
      <c r="C73" s="13"/>
      <c r="D73" s="14"/>
      <c r="E73" s="10"/>
      <c r="F73" s="11"/>
      <c r="G73" s="15"/>
      <c r="H73" s="87"/>
      <c r="I73" s="24"/>
      <c r="J73" s="24"/>
      <c r="K73" s="114" t="str">
        <f t="shared" si="12"/>
        <v/>
      </c>
      <c r="L73" s="24"/>
      <c r="M73" s="24"/>
      <c r="N73" s="24"/>
      <c r="O73" s="24"/>
      <c r="P73" s="97" t="str">
        <f t="shared" si="13"/>
        <v/>
      </c>
      <c r="Q73" s="113" t="str">
        <f t="shared" si="14"/>
        <v/>
      </c>
      <c r="R73" s="87"/>
      <c r="S73" s="24"/>
      <c r="T73" s="24"/>
      <c r="U73" s="78" t="str">
        <f t="shared" si="15"/>
        <v/>
      </c>
      <c r="V73" s="24"/>
      <c r="W73" s="24"/>
      <c r="X73" s="24"/>
      <c r="Y73" s="24"/>
      <c r="Z73" s="98" t="str">
        <f t="shared" si="16"/>
        <v/>
      </c>
      <c r="AA73" s="40" t="str">
        <f t="shared" ref="AA73:AA136" si="22">IF($R73="","",SUM($S73+$AP73+($V73*2)+($Z73*4)))</f>
        <v/>
      </c>
      <c r="AB73" s="87"/>
      <c r="AC73" s="24"/>
      <c r="AD73" s="24"/>
      <c r="AE73" s="79" t="str">
        <f t="shared" si="17"/>
        <v/>
      </c>
      <c r="AF73" s="24"/>
      <c r="AG73" s="24"/>
      <c r="AH73" s="24"/>
      <c r="AI73" s="24"/>
      <c r="AJ73" s="99" t="str">
        <f t="shared" si="18"/>
        <v/>
      </c>
      <c r="AK73" s="31" t="str">
        <f t="shared" ref="AK73:AK136" si="23">IF($AB73="","",SUM($AC73+$AR73+($AF73*2)+($AJ73*4)))</f>
        <v/>
      </c>
      <c r="AN73" s="139" t="str">
        <f>IF($K73="","",VLOOKUP($K73,'ORF Accuracy Value LookUp'!$G$4:$H$104,2,TRUE))</f>
        <v/>
      </c>
      <c r="AO73" s="94" t="str">
        <f t="shared" si="19"/>
        <v/>
      </c>
      <c r="AP73" s="47" t="str">
        <f>IF($U73="","",VLOOKUP($U73,'ORF Accuracy Value LookUp'!$G$4:$H$104,2,TRUE))</f>
        <v/>
      </c>
      <c r="AQ73" s="94" t="str">
        <f t="shared" si="20"/>
        <v/>
      </c>
      <c r="AR73" s="46" t="str">
        <f>IF($AE73="","",VLOOKUP($AE73,'ORF Accuracy Value LookUp'!$G$4:$H$104,2,TRUE))</f>
        <v/>
      </c>
      <c r="AS73" s="140" t="str">
        <f t="shared" si="21"/>
        <v/>
      </c>
    </row>
    <row r="74" spans="1:45">
      <c r="A74" s="10"/>
      <c r="B74" s="12"/>
      <c r="C74" s="13"/>
      <c r="D74" s="14"/>
      <c r="E74" s="10"/>
      <c r="F74" s="11"/>
      <c r="G74" s="15"/>
      <c r="H74" s="87"/>
      <c r="I74" s="24"/>
      <c r="J74" s="24"/>
      <c r="K74" s="114" t="str">
        <f t="shared" si="12"/>
        <v/>
      </c>
      <c r="L74" s="24"/>
      <c r="M74" s="24"/>
      <c r="N74" s="24"/>
      <c r="O74" s="24"/>
      <c r="P74" s="97" t="str">
        <f t="shared" si="13"/>
        <v/>
      </c>
      <c r="Q74" s="113" t="str">
        <f t="shared" si="14"/>
        <v/>
      </c>
      <c r="R74" s="87"/>
      <c r="S74" s="24"/>
      <c r="T74" s="24"/>
      <c r="U74" s="78" t="str">
        <f t="shared" si="15"/>
        <v/>
      </c>
      <c r="V74" s="24"/>
      <c r="W74" s="24"/>
      <c r="X74" s="24"/>
      <c r="Y74" s="24"/>
      <c r="Z74" s="98" t="str">
        <f t="shared" si="16"/>
        <v/>
      </c>
      <c r="AA74" s="40" t="str">
        <f t="shared" si="22"/>
        <v/>
      </c>
      <c r="AB74" s="87"/>
      <c r="AC74" s="24"/>
      <c r="AD74" s="24"/>
      <c r="AE74" s="79" t="str">
        <f t="shared" si="17"/>
        <v/>
      </c>
      <c r="AF74" s="24"/>
      <c r="AG74" s="24"/>
      <c r="AH74" s="24"/>
      <c r="AI74" s="24"/>
      <c r="AJ74" s="99" t="str">
        <f t="shared" si="18"/>
        <v/>
      </c>
      <c r="AK74" s="31" t="str">
        <f t="shared" si="23"/>
        <v/>
      </c>
      <c r="AN74" s="139" t="str">
        <f>IF($K74="","",VLOOKUP($K74,'ORF Accuracy Value LookUp'!$G$4:$H$104,2,TRUE))</f>
        <v/>
      </c>
      <c r="AO74" s="94" t="str">
        <f t="shared" si="19"/>
        <v/>
      </c>
      <c r="AP74" s="47" t="str">
        <f>IF($U74="","",VLOOKUP($U74,'ORF Accuracy Value LookUp'!$G$4:$H$104,2,TRUE))</f>
        <v/>
      </c>
      <c r="AQ74" s="94" t="str">
        <f t="shared" si="20"/>
        <v/>
      </c>
      <c r="AR74" s="46" t="str">
        <f>IF($AE74="","",VLOOKUP($AE74,'ORF Accuracy Value LookUp'!$G$4:$H$104,2,TRUE))</f>
        <v/>
      </c>
      <c r="AS74" s="140" t="str">
        <f t="shared" si="21"/>
        <v/>
      </c>
    </row>
    <row r="75" spans="1:45">
      <c r="A75" s="10"/>
      <c r="B75" s="12"/>
      <c r="C75" s="13"/>
      <c r="D75" s="14"/>
      <c r="E75" s="10"/>
      <c r="F75" s="11"/>
      <c r="G75" s="15"/>
      <c r="H75" s="87"/>
      <c r="I75" s="24"/>
      <c r="J75" s="24"/>
      <c r="K75" s="114" t="str">
        <f t="shared" si="12"/>
        <v/>
      </c>
      <c r="L75" s="24"/>
      <c r="M75" s="24"/>
      <c r="N75" s="24"/>
      <c r="O75" s="24"/>
      <c r="P75" s="97" t="str">
        <f t="shared" si="13"/>
        <v/>
      </c>
      <c r="Q75" s="113" t="str">
        <f t="shared" si="14"/>
        <v/>
      </c>
      <c r="R75" s="87"/>
      <c r="S75" s="24"/>
      <c r="T75" s="24"/>
      <c r="U75" s="78" t="str">
        <f t="shared" si="15"/>
        <v/>
      </c>
      <c r="V75" s="24"/>
      <c r="W75" s="24"/>
      <c r="X75" s="24"/>
      <c r="Y75" s="24"/>
      <c r="Z75" s="98" t="str">
        <f t="shared" si="16"/>
        <v/>
      </c>
      <c r="AA75" s="40" t="str">
        <f t="shared" si="22"/>
        <v/>
      </c>
      <c r="AB75" s="87"/>
      <c r="AC75" s="24"/>
      <c r="AD75" s="24"/>
      <c r="AE75" s="79" t="str">
        <f t="shared" si="17"/>
        <v/>
      </c>
      <c r="AF75" s="24"/>
      <c r="AG75" s="24"/>
      <c r="AH75" s="24"/>
      <c r="AI75" s="24"/>
      <c r="AJ75" s="99" t="str">
        <f t="shared" si="18"/>
        <v/>
      </c>
      <c r="AK75" s="31" t="str">
        <f t="shared" si="23"/>
        <v/>
      </c>
      <c r="AN75" s="139" t="str">
        <f>IF($K75="","",VLOOKUP($K75,'ORF Accuracy Value LookUp'!$G$4:$H$104,2,TRUE))</f>
        <v/>
      </c>
      <c r="AO75" s="94" t="str">
        <f t="shared" si="19"/>
        <v/>
      </c>
      <c r="AP75" s="47" t="str">
        <f>IF($U75="","",VLOOKUP($U75,'ORF Accuracy Value LookUp'!$G$4:$H$104,2,TRUE))</f>
        <v/>
      </c>
      <c r="AQ75" s="94" t="str">
        <f t="shared" si="20"/>
        <v/>
      </c>
      <c r="AR75" s="46" t="str">
        <f>IF($AE75="","",VLOOKUP($AE75,'ORF Accuracy Value LookUp'!$G$4:$H$104,2,TRUE))</f>
        <v/>
      </c>
      <c r="AS75" s="140" t="str">
        <f t="shared" si="21"/>
        <v/>
      </c>
    </row>
    <row r="76" spans="1:45">
      <c r="A76" s="10"/>
      <c r="B76" s="12"/>
      <c r="C76" s="13"/>
      <c r="D76" s="14"/>
      <c r="E76" s="10"/>
      <c r="F76" s="11"/>
      <c r="G76" s="15"/>
      <c r="H76" s="87"/>
      <c r="I76" s="24"/>
      <c r="J76" s="24"/>
      <c r="K76" s="114" t="str">
        <f t="shared" si="12"/>
        <v/>
      </c>
      <c r="L76" s="24"/>
      <c r="M76" s="24"/>
      <c r="N76" s="24"/>
      <c r="O76" s="24"/>
      <c r="P76" s="97" t="str">
        <f t="shared" si="13"/>
        <v/>
      </c>
      <c r="Q76" s="113" t="str">
        <f t="shared" si="14"/>
        <v/>
      </c>
      <c r="R76" s="87"/>
      <c r="S76" s="24"/>
      <c r="T76" s="24"/>
      <c r="U76" s="78" t="str">
        <f t="shared" si="15"/>
        <v/>
      </c>
      <c r="V76" s="24"/>
      <c r="W76" s="24"/>
      <c r="X76" s="24"/>
      <c r="Y76" s="24"/>
      <c r="Z76" s="98" t="str">
        <f t="shared" si="16"/>
        <v/>
      </c>
      <c r="AA76" s="40" t="str">
        <f t="shared" si="22"/>
        <v/>
      </c>
      <c r="AB76" s="87"/>
      <c r="AC76" s="24"/>
      <c r="AD76" s="24"/>
      <c r="AE76" s="79" t="str">
        <f t="shared" si="17"/>
        <v/>
      </c>
      <c r="AF76" s="24"/>
      <c r="AG76" s="24"/>
      <c r="AH76" s="24"/>
      <c r="AI76" s="24"/>
      <c r="AJ76" s="99" t="str">
        <f t="shared" si="18"/>
        <v/>
      </c>
      <c r="AK76" s="31" t="str">
        <f t="shared" si="23"/>
        <v/>
      </c>
      <c r="AN76" s="139" t="str">
        <f>IF($K76="","",VLOOKUP($K76,'ORF Accuracy Value LookUp'!$G$4:$H$104,2,TRUE))</f>
        <v/>
      </c>
      <c r="AO76" s="94" t="str">
        <f t="shared" si="19"/>
        <v/>
      </c>
      <c r="AP76" s="47" t="str">
        <f>IF($U76="","",VLOOKUP($U76,'ORF Accuracy Value LookUp'!$G$4:$H$104,2,TRUE))</f>
        <v/>
      </c>
      <c r="AQ76" s="94" t="str">
        <f t="shared" si="20"/>
        <v/>
      </c>
      <c r="AR76" s="46" t="str">
        <f>IF($AE76="","",VLOOKUP($AE76,'ORF Accuracy Value LookUp'!$G$4:$H$104,2,TRUE))</f>
        <v/>
      </c>
      <c r="AS76" s="140" t="str">
        <f t="shared" si="21"/>
        <v/>
      </c>
    </row>
    <row r="77" spans="1:45">
      <c r="A77" s="10"/>
      <c r="B77" s="12"/>
      <c r="C77" s="13"/>
      <c r="D77" s="14"/>
      <c r="E77" s="10"/>
      <c r="F77" s="11"/>
      <c r="G77" s="15"/>
      <c r="H77" s="87"/>
      <c r="I77" s="24"/>
      <c r="J77" s="24"/>
      <c r="K77" s="114" t="str">
        <f t="shared" si="12"/>
        <v/>
      </c>
      <c r="L77" s="24"/>
      <c r="M77" s="24"/>
      <c r="N77" s="24"/>
      <c r="O77" s="24"/>
      <c r="P77" s="97" t="str">
        <f t="shared" si="13"/>
        <v/>
      </c>
      <c r="Q77" s="113" t="str">
        <f t="shared" si="14"/>
        <v/>
      </c>
      <c r="R77" s="87"/>
      <c r="S77" s="24"/>
      <c r="T77" s="24"/>
      <c r="U77" s="78" t="str">
        <f t="shared" si="15"/>
        <v/>
      </c>
      <c r="V77" s="24"/>
      <c r="W77" s="24"/>
      <c r="X77" s="24"/>
      <c r="Y77" s="24"/>
      <c r="Z77" s="98" t="str">
        <f t="shared" si="16"/>
        <v/>
      </c>
      <c r="AA77" s="40" t="str">
        <f t="shared" si="22"/>
        <v/>
      </c>
      <c r="AB77" s="87"/>
      <c r="AC77" s="24"/>
      <c r="AD77" s="24"/>
      <c r="AE77" s="79" t="str">
        <f t="shared" si="17"/>
        <v/>
      </c>
      <c r="AF77" s="24"/>
      <c r="AG77" s="24"/>
      <c r="AH77" s="24"/>
      <c r="AI77" s="24"/>
      <c r="AJ77" s="99" t="str">
        <f t="shared" si="18"/>
        <v/>
      </c>
      <c r="AK77" s="31" t="str">
        <f t="shared" si="23"/>
        <v/>
      </c>
      <c r="AN77" s="139" t="str">
        <f>IF($K77="","",VLOOKUP($K77,'ORF Accuracy Value LookUp'!$G$4:$H$104,2,TRUE))</f>
        <v/>
      </c>
      <c r="AO77" s="94" t="str">
        <f t="shared" si="19"/>
        <v/>
      </c>
      <c r="AP77" s="47" t="str">
        <f>IF($U77="","",VLOOKUP($U77,'ORF Accuracy Value LookUp'!$G$4:$H$104,2,TRUE))</f>
        <v/>
      </c>
      <c r="AQ77" s="94" t="str">
        <f t="shared" si="20"/>
        <v/>
      </c>
      <c r="AR77" s="46" t="str">
        <f>IF($AE77="","",VLOOKUP($AE77,'ORF Accuracy Value LookUp'!$G$4:$H$104,2,TRUE))</f>
        <v/>
      </c>
      <c r="AS77" s="140" t="str">
        <f t="shared" si="21"/>
        <v/>
      </c>
    </row>
    <row r="78" spans="1:45">
      <c r="A78" s="10"/>
      <c r="B78" s="12"/>
      <c r="C78" s="13"/>
      <c r="D78" s="14"/>
      <c r="E78" s="10"/>
      <c r="F78" s="11"/>
      <c r="G78" s="15"/>
      <c r="H78" s="87"/>
      <c r="I78" s="24"/>
      <c r="J78" s="24"/>
      <c r="K78" s="114" t="str">
        <f t="shared" si="12"/>
        <v/>
      </c>
      <c r="L78" s="24"/>
      <c r="M78" s="24"/>
      <c r="N78" s="24"/>
      <c r="O78" s="24"/>
      <c r="P78" s="97" t="str">
        <f t="shared" si="13"/>
        <v/>
      </c>
      <c r="Q78" s="113" t="str">
        <f t="shared" si="14"/>
        <v/>
      </c>
      <c r="R78" s="87"/>
      <c r="S78" s="24"/>
      <c r="T78" s="24"/>
      <c r="U78" s="78" t="str">
        <f t="shared" si="15"/>
        <v/>
      </c>
      <c r="V78" s="24"/>
      <c r="W78" s="24"/>
      <c r="X78" s="24"/>
      <c r="Y78" s="24"/>
      <c r="Z78" s="98" t="str">
        <f t="shared" si="16"/>
        <v/>
      </c>
      <c r="AA78" s="40" t="str">
        <f t="shared" si="22"/>
        <v/>
      </c>
      <c r="AB78" s="87"/>
      <c r="AC78" s="24"/>
      <c r="AD78" s="24"/>
      <c r="AE78" s="79" t="str">
        <f t="shared" si="17"/>
        <v/>
      </c>
      <c r="AF78" s="24"/>
      <c r="AG78" s="24"/>
      <c r="AH78" s="24"/>
      <c r="AI78" s="24"/>
      <c r="AJ78" s="99" t="str">
        <f t="shared" si="18"/>
        <v/>
      </c>
      <c r="AK78" s="31" t="str">
        <f t="shared" si="23"/>
        <v/>
      </c>
      <c r="AN78" s="139" t="str">
        <f>IF($K78="","",VLOOKUP($K78,'ORF Accuracy Value LookUp'!$G$4:$H$104,2,TRUE))</f>
        <v/>
      </c>
      <c r="AO78" s="94" t="str">
        <f t="shared" si="19"/>
        <v/>
      </c>
      <c r="AP78" s="47" t="str">
        <f>IF($U78="","",VLOOKUP($U78,'ORF Accuracy Value LookUp'!$G$4:$H$104,2,TRUE))</f>
        <v/>
      </c>
      <c r="AQ78" s="94" t="str">
        <f t="shared" si="20"/>
        <v/>
      </c>
      <c r="AR78" s="46" t="str">
        <f>IF($AE78="","",VLOOKUP($AE78,'ORF Accuracy Value LookUp'!$G$4:$H$104,2,TRUE))</f>
        <v/>
      </c>
      <c r="AS78" s="140" t="str">
        <f t="shared" si="21"/>
        <v/>
      </c>
    </row>
    <row r="79" spans="1:45">
      <c r="A79" s="10"/>
      <c r="B79" s="12"/>
      <c r="C79" s="13"/>
      <c r="D79" s="14"/>
      <c r="E79" s="10"/>
      <c r="F79" s="11"/>
      <c r="G79" s="15"/>
      <c r="H79" s="87"/>
      <c r="I79" s="24"/>
      <c r="J79" s="24"/>
      <c r="K79" s="114" t="str">
        <f t="shared" si="12"/>
        <v/>
      </c>
      <c r="L79" s="24"/>
      <c r="M79" s="24"/>
      <c r="N79" s="24"/>
      <c r="O79" s="24"/>
      <c r="P79" s="97" t="str">
        <f t="shared" si="13"/>
        <v/>
      </c>
      <c r="Q79" s="113" t="str">
        <f t="shared" si="14"/>
        <v/>
      </c>
      <c r="R79" s="87"/>
      <c r="S79" s="24"/>
      <c r="T79" s="24"/>
      <c r="U79" s="78" t="str">
        <f t="shared" si="15"/>
        <v/>
      </c>
      <c r="V79" s="24"/>
      <c r="W79" s="24"/>
      <c r="X79" s="24"/>
      <c r="Y79" s="24"/>
      <c r="Z79" s="98" t="str">
        <f t="shared" si="16"/>
        <v/>
      </c>
      <c r="AA79" s="40" t="str">
        <f t="shared" si="22"/>
        <v/>
      </c>
      <c r="AB79" s="87"/>
      <c r="AC79" s="24"/>
      <c r="AD79" s="24"/>
      <c r="AE79" s="79" t="str">
        <f t="shared" si="17"/>
        <v/>
      </c>
      <c r="AF79" s="24"/>
      <c r="AG79" s="24"/>
      <c r="AH79" s="24"/>
      <c r="AI79" s="24"/>
      <c r="AJ79" s="99" t="str">
        <f t="shared" si="18"/>
        <v/>
      </c>
      <c r="AK79" s="31" t="str">
        <f t="shared" si="23"/>
        <v/>
      </c>
      <c r="AN79" s="139" t="str">
        <f>IF($K79="","",VLOOKUP($K79,'ORF Accuracy Value LookUp'!$G$4:$H$104,2,TRUE))</f>
        <v/>
      </c>
      <c r="AO79" s="94" t="str">
        <f t="shared" si="19"/>
        <v/>
      </c>
      <c r="AP79" s="47" t="str">
        <f>IF($U79="","",VLOOKUP($U79,'ORF Accuracy Value LookUp'!$G$4:$H$104,2,TRUE))</f>
        <v/>
      </c>
      <c r="AQ79" s="94" t="str">
        <f t="shared" si="20"/>
        <v/>
      </c>
      <c r="AR79" s="46" t="str">
        <f>IF($AE79="","",VLOOKUP($AE79,'ORF Accuracy Value LookUp'!$G$4:$H$104,2,TRUE))</f>
        <v/>
      </c>
      <c r="AS79" s="140" t="str">
        <f t="shared" si="21"/>
        <v/>
      </c>
    </row>
    <row r="80" spans="1:45">
      <c r="A80" s="10"/>
      <c r="B80" s="12"/>
      <c r="C80" s="13"/>
      <c r="D80" s="14"/>
      <c r="E80" s="10"/>
      <c r="F80" s="11"/>
      <c r="G80" s="15"/>
      <c r="H80" s="87"/>
      <c r="I80" s="24"/>
      <c r="J80" s="24"/>
      <c r="K80" s="114" t="str">
        <f t="shared" si="12"/>
        <v/>
      </c>
      <c r="L80" s="24"/>
      <c r="M80" s="24"/>
      <c r="N80" s="24"/>
      <c r="O80" s="24"/>
      <c r="P80" s="97" t="str">
        <f t="shared" si="13"/>
        <v/>
      </c>
      <c r="Q80" s="113" t="str">
        <f t="shared" si="14"/>
        <v/>
      </c>
      <c r="R80" s="87"/>
      <c r="S80" s="24"/>
      <c r="T80" s="24"/>
      <c r="U80" s="78" t="str">
        <f t="shared" si="15"/>
        <v/>
      </c>
      <c r="V80" s="24"/>
      <c r="W80" s="24"/>
      <c r="X80" s="24"/>
      <c r="Y80" s="24"/>
      <c r="Z80" s="98" t="str">
        <f t="shared" si="16"/>
        <v/>
      </c>
      <c r="AA80" s="40" t="str">
        <f t="shared" si="22"/>
        <v/>
      </c>
      <c r="AB80" s="87"/>
      <c r="AC80" s="24"/>
      <c r="AD80" s="24"/>
      <c r="AE80" s="79" t="str">
        <f t="shared" si="17"/>
        <v/>
      </c>
      <c r="AF80" s="24"/>
      <c r="AG80" s="24"/>
      <c r="AH80" s="24"/>
      <c r="AI80" s="24"/>
      <c r="AJ80" s="99" t="str">
        <f t="shared" si="18"/>
        <v/>
      </c>
      <c r="AK80" s="31" t="str">
        <f t="shared" si="23"/>
        <v/>
      </c>
      <c r="AN80" s="139" t="str">
        <f>IF($K80="","",VLOOKUP($K80,'ORF Accuracy Value LookUp'!$G$4:$H$104,2,TRUE))</f>
        <v/>
      </c>
      <c r="AO80" s="94" t="str">
        <f t="shared" si="19"/>
        <v/>
      </c>
      <c r="AP80" s="47" t="str">
        <f>IF($U80="","",VLOOKUP($U80,'ORF Accuracy Value LookUp'!$G$4:$H$104,2,TRUE))</f>
        <v/>
      </c>
      <c r="AQ80" s="94" t="str">
        <f t="shared" si="20"/>
        <v/>
      </c>
      <c r="AR80" s="46" t="str">
        <f>IF($AE80="","",VLOOKUP($AE80,'ORF Accuracy Value LookUp'!$G$4:$H$104,2,TRUE))</f>
        <v/>
      </c>
      <c r="AS80" s="140" t="str">
        <f t="shared" si="21"/>
        <v/>
      </c>
    </row>
    <row r="81" spans="1:45">
      <c r="A81" s="10"/>
      <c r="B81" s="12"/>
      <c r="C81" s="13"/>
      <c r="D81" s="14"/>
      <c r="E81" s="10"/>
      <c r="F81" s="11"/>
      <c r="G81" s="15"/>
      <c r="H81" s="87"/>
      <c r="I81" s="24"/>
      <c r="J81" s="24"/>
      <c r="K81" s="114" t="str">
        <f t="shared" si="12"/>
        <v/>
      </c>
      <c r="L81" s="24"/>
      <c r="M81" s="24"/>
      <c r="N81" s="24"/>
      <c r="O81" s="24"/>
      <c r="P81" s="97" t="str">
        <f t="shared" si="13"/>
        <v/>
      </c>
      <c r="Q81" s="113" t="str">
        <f t="shared" si="14"/>
        <v/>
      </c>
      <c r="R81" s="87"/>
      <c r="S81" s="24"/>
      <c r="T81" s="24"/>
      <c r="U81" s="78" t="str">
        <f t="shared" si="15"/>
        <v/>
      </c>
      <c r="V81" s="24"/>
      <c r="W81" s="24"/>
      <c r="X81" s="24"/>
      <c r="Y81" s="24"/>
      <c r="Z81" s="98" t="str">
        <f t="shared" si="16"/>
        <v/>
      </c>
      <c r="AA81" s="40" t="str">
        <f t="shared" si="22"/>
        <v/>
      </c>
      <c r="AB81" s="87"/>
      <c r="AC81" s="24"/>
      <c r="AD81" s="24"/>
      <c r="AE81" s="79" t="str">
        <f t="shared" si="17"/>
        <v/>
      </c>
      <c r="AF81" s="24"/>
      <c r="AG81" s="24"/>
      <c r="AH81" s="24"/>
      <c r="AI81" s="24"/>
      <c r="AJ81" s="99" t="str">
        <f t="shared" si="18"/>
        <v/>
      </c>
      <c r="AK81" s="31" t="str">
        <f t="shared" si="23"/>
        <v/>
      </c>
      <c r="AN81" s="139" t="str">
        <f>IF($K81="","",VLOOKUP($K81,'ORF Accuracy Value LookUp'!$G$4:$H$104,2,TRUE))</f>
        <v/>
      </c>
      <c r="AO81" s="94" t="str">
        <f t="shared" si="19"/>
        <v/>
      </c>
      <c r="AP81" s="47" t="str">
        <f>IF($U81="","",VLOOKUP($U81,'ORF Accuracy Value LookUp'!$G$4:$H$104,2,TRUE))</f>
        <v/>
      </c>
      <c r="AQ81" s="94" t="str">
        <f t="shared" si="20"/>
        <v/>
      </c>
      <c r="AR81" s="46" t="str">
        <f>IF($AE81="","",VLOOKUP($AE81,'ORF Accuracy Value LookUp'!$G$4:$H$104,2,TRUE))</f>
        <v/>
      </c>
      <c r="AS81" s="140" t="str">
        <f t="shared" si="21"/>
        <v/>
      </c>
    </row>
    <row r="82" spans="1:45">
      <c r="A82" s="10"/>
      <c r="B82" s="12"/>
      <c r="C82" s="13"/>
      <c r="D82" s="14"/>
      <c r="E82" s="10"/>
      <c r="F82" s="11"/>
      <c r="G82" s="15"/>
      <c r="H82" s="87"/>
      <c r="I82" s="24"/>
      <c r="J82" s="24"/>
      <c r="K82" s="114" t="str">
        <f t="shared" si="12"/>
        <v/>
      </c>
      <c r="L82" s="24"/>
      <c r="M82" s="24"/>
      <c r="N82" s="24"/>
      <c r="O82" s="24"/>
      <c r="P82" s="97" t="str">
        <f t="shared" si="13"/>
        <v/>
      </c>
      <c r="Q82" s="113" t="str">
        <f t="shared" si="14"/>
        <v/>
      </c>
      <c r="R82" s="87"/>
      <c r="S82" s="24"/>
      <c r="T82" s="24"/>
      <c r="U82" s="78" t="str">
        <f t="shared" si="15"/>
        <v/>
      </c>
      <c r="V82" s="24"/>
      <c r="W82" s="24"/>
      <c r="X82" s="24"/>
      <c r="Y82" s="24"/>
      <c r="Z82" s="98" t="str">
        <f t="shared" si="16"/>
        <v/>
      </c>
      <c r="AA82" s="40" t="str">
        <f t="shared" si="22"/>
        <v/>
      </c>
      <c r="AB82" s="87"/>
      <c r="AC82" s="24"/>
      <c r="AD82" s="24"/>
      <c r="AE82" s="79" t="str">
        <f t="shared" si="17"/>
        <v/>
      </c>
      <c r="AF82" s="24"/>
      <c r="AG82" s="24"/>
      <c r="AH82" s="24"/>
      <c r="AI82" s="24"/>
      <c r="AJ82" s="99" t="str">
        <f t="shared" si="18"/>
        <v/>
      </c>
      <c r="AK82" s="31" t="str">
        <f t="shared" si="23"/>
        <v/>
      </c>
      <c r="AN82" s="139" t="str">
        <f>IF($K82="","",VLOOKUP($K82,'ORF Accuracy Value LookUp'!$G$4:$H$104,2,TRUE))</f>
        <v/>
      </c>
      <c r="AO82" s="94" t="str">
        <f t="shared" si="19"/>
        <v/>
      </c>
      <c r="AP82" s="47" t="str">
        <f>IF($U82="","",VLOOKUP($U82,'ORF Accuracy Value LookUp'!$G$4:$H$104,2,TRUE))</f>
        <v/>
      </c>
      <c r="AQ82" s="94" t="str">
        <f t="shared" si="20"/>
        <v/>
      </c>
      <c r="AR82" s="46" t="str">
        <f>IF($AE82="","",VLOOKUP($AE82,'ORF Accuracy Value LookUp'!$G$4:$H$104,2,TRUE))</f>
        <v/>
      </c>
      <c r="AS82" s="140" t="str">
        <f t="shared" si="21"/>
        <v/>
      </c>
    </row>
    <row r="83" spans="1:45">
      <c r="A83" s="10"/>
      <c r="B83" s="12"/>
      <c r="C83" s="13"/>
      <c r="D83" s="14"/>
      <c r="E83" s="10"/>
      <c r="F83" s="11"/>
      <c r="G83" s="15"/>
      <c r="H83" s="87"/>
      <c r="I83" s="24"/>
      <c r="J83" s="24"/>
      <c r="K83" s="114" t="str">
        <f t="shared" si="12"/>
        <v/>
      </c>
      <c r="L83" s="24"/>
      <c r="M83" s="24"/>
      <c r="N83" s="24"/>
      <c r="O83" s="24"/>
      <c r="P83" s="97" t="str">
        <f t="shared" si="13"/>
        <v/>
      </c>
      <c r="Q83" s="113" t="str">
        <f t="shared" si="14"/>
        <v/>
      </c>
      <c r="R83" s="87"/>
      <c r="S83" s="24"/>
      <c r="T83" s="24"/>
      <c r="U83" s="78" t="str">
        <f t="shared" si="15"/>
        <v/>
      </c>
      <c r="V83" s="24"/>
      <c r="W83" s="24"/>
      <c r="X83" s="24"/>
      <c r="Y83" s="24"/>
      <c r="Z83" s="98" t="str">
        <f t="shared" si="16"/>
        <v/>
      </c>
      <c r="AA83" s="40" t="str">
        <f t="shared" si="22"/>
        <v/>
      </c>
      <c r="AB83" s="87"/>
      <c r="AC83" s="24"/>
      <c r="AD83" s="24"/>
      <c r="AE83" s="79" t="str">
        <f t="shared" si="17"/>
        <v/>
      </c>
      <c r="AF83" s="24"/>
      <c r="AG83" s="24"/>
      <c r="AH83" s="24"/>
      <c r="AI83" s="24"/>
      <c r="AJ83" s="99" t="str">
        <f t="shared" si="18"/>
        <v/>
      </c>
      <c r="AK83" s="31" t="str">
        <f t="shared" si="23"/>
        <v/>
      </c>
      <c r="AN83" s="139" t="str">
        <f>IF($K83="","",VLOOKUP($K83,'ORF Accuracy Value LookUp'!$G$4:$H$104,2,TRUE))</f>
        <v/>
      </c>
      <c r="AO83" s="94" t="str">
        <f t="shared" si="19"/>
        <v/>
      </c>
      <c r="AP83" s="47" t="str">
        <f>IF($U83="","",VLOOKUP($U83,'ORF Accuracy Value LookUp'!$G$4:$H$104,2,TRUE))</f>
        <v/>
      </c>
      <c r="AQ83" s="94" t="str">
        <f t="shared" si="20"/>
        <v/>
      </c>
      <c r="AR83" s="46" t="str">
        <f>IF($AE83="","",VLOOKUP($AE83,'ORF Accuracy Value LookUp'!$G$4:$H$104,2,TRUE))</f>
        <v/>
      </c>
      <c r="AS83" s="140" t="str">
        <f t="shared" si="21"/>
        <v/>
      </c>
    </row>
    <row r="84" spans="1:45">
      <c r="A84" s="10"/>
      <c r="B84" s="12"/>
      <c r="C84" s="13"/>
      <c r="D84" s="14"/>
      <c r="E84" s="10"/>
      <c r="F84" s="11"/>
      <c r="G84" s="15"/>
      <c r="H84" s="87"/>
      <c r="I84" s="24"/>
      <c r="J84" s="24"/>
      <c r="K84" s="114" t="str">
        <f t="shared" si="12"/>
        <v/>
      </c>
      <c r="L84" s="24"/>
      <c r="M84" s="24"/>
      <c r="N84" s="24"/>
      <c r="O84" s="24"/>
      <c r="P84" s="97" t="str">
        <f t="shared" si="13"/>
        <v/>
      </c>
      <c r="Q84" s="113" t="str">
        <f t="shared" si="14"/>
        <v/>
      </c>
      <c r="R84" s="87"/>
      <c r="S84" s="24"/>
      <c r="T84" s="24"/>
      <c r="U84" s="78" t="str">
        <f t="shared" si="15"/>
        <v/>
      </c>
      <c r="V84" s="24"/>
      <c r="W84" s="24"/>
      <c r="X84" s="24"/>
      <c r="Y84" s="24"/>
      <c r="Z84" s="98" t="str">
        <f t="shared" si="16"/>
        <v/>
      </c>
      <c r="AA84" s="40" t="str">
        <f t="shared" si="22"/>
        <v/>
      </c>
      <c r="AB84" s="87"/>
      <c r="AC84" s="24"/>
      <c r="AD84" s="24"/>
      <c r="AE84" s="79" t="str">
        <f t="shared" si="17"/>
        <v/>
      </c>
      <c r="AF84" s="24"/>
      <c r="AG84" s="24"/>
      <c r="AH84" s="24"/>
      <c r="AI84" s="24"/>
      <c r="AJ84" s="99" t="str">
        <f t="shared" si="18"/>
        <v/>
      </c>
      <c r="AK84" s="31" t="str">
        <f t="shared" si="23"/>
        <v/>
      </c>
      <c r="AN84" s="139" t="str">
        <f>IF($K84="","",VLOOKUP($K84,'ORF Accuracy Value LookUp'!$G$4:$H$104,2,TRUE))</f>
        <v/>
      </c>
      <c r="AO84" s="94" t="str">
        <f t="shared" si="19"/>
        <v/>
      </c>
      <c r="AP84" s="47" t="str">
        <f>IF($U84="","",VLOOKUP($U84,'ORF Accuracy Value LookUp'!$G$4:$H$104,2,TRUE))</f>
        <v/>
      </c>
      <c r="AQ84" s="94" t="str">
        <f t="shared" si="20"/>
        <v/>
      </c>
      <c r="AR84" s="46" t="str">
        <f>IF($AE84="","",VLOOKUP($AE84,'ORF Accuracy Value LookUp'!$G$4:$H$104,2,TRUE))</f>
        <v/>
      </c>
      <c r="AS84" s="140" t="str">
        <f t="shared" si="21"/>
        <v/>
      </c>
    </row>
    <row r="85" spans="1:45">
      <c r="A85" s="10"/>
      <c r="B85" s="12"/>
      <c r="C85" s="13"/>
      <c r="D85" s="14"/>
      <c r="E85" s="10"/>
      <c r="F85" s="11"/>
      <c r="G85" s="15"/>
      <c r="H85" s="87"/>
      <c r="I85" s="24"/>
      <c r="J85" s="24"/>
      <c r="K85" s="114" t="str">
        <f t="shared" si="12"/>
        <v/>
      </c>
      <c r="L85" s="24"/>
      <c r="M85" s="24"/>
      <c r="N85" s="24"/>
      <c r="O85" s="24"/>
      <c r="P85" s="97" t="str">
        <f t="shared" si="13"/>
        <v/>
      </c>
      <c r="Q85" s="113" t="str">
        <f t="shared" si="14"/>
        <v/>
      </c>
      <c r="R85" s="87"/>
      <c r="S85" s="24"/>
      <c r="T85" s="24"/>
      <c r="U85" s="78" t="str">
        <f t="shared" si="15"/>
        <v/>
      </c>
      <c r="V85" s="24"/>
      <c r="W85" s="24"/>
      <c r="X85" s="24"/>
      <c r="Y85" s="24"/>
      <c r="Z85" s="98" t="str">
        <f t="shared" si="16"/>
        <v/>
      </c>
      <c r="AA85" s="40" t="str">
        <f t="shared" si="22"/>
        <v/>
      </c>
      <c r="AB85" s="87"/>
      <c r="AC85" s="24"/>
      <c r="AD85" s="24"/>
      <c r="AE85" s="79" t="str">
        <f t="shared" si="17"/>
        <v/>
      </c>
      <c r="AF85" s="24"/>
      <c r="AG85" s="24"/>
      <c r="AH85" s="24"/>
      <c r="AI85" s="24"/>
      <c r="AJ85" s="99" t="str">
        <f t="shared" si="18"/>
        <v/>
      </c>
      <c r="AK85" s="31" t="str">
        <f t="shared" si="23"/>
        <v/>
      </c>
      <c r="AN85" s="139" t="str">
        <f>IF($K85="","",VLOOKUP($K85,'ORF Accuracy Value LookUp'!$G$4:$H$104,2,TRUE))</f>
        <v/>
      </c>
      <c r="AO85" s="94" t="str">
        <f t="shared" si="19"/>
        <v/>
      </c>
      <c r="AP85" s="47" t="str">
        <f>IF($U85="","",VLOOKUP($U85,'ORF Accuracy Value LookUp'!$G$4:$H$104,2,TRUE))</f>
        <v/>
      </c>
      <c r="AQ85" s="94" t="str">
        <f t="shared" si="20"/>
        <v/>
      </c>
      <c r="AR85" s="46" t="str">
        <f>IF($AE85="","",VLOOKUP($AE85,'ORF Accuracy Value LookUp'!$G$4:$H$104,2,TRUE))</f>
        <v/>
      </c>
      <c r="AS85" s="140" t="str">
        <f t="shared" si="21"/>
        <v/>
      </c>
    </row>
    <row r="86" spans="1:45">
      <c r="A86" s="10"/>
      <c r="B86" s="12"/>
      <c r="C86" s="13"/>
      <c r="D86" s="14"/>
      <c r="E86" s="10"/>
      <c r="F86" s="11"/>
      <c r="G86" s="15"/>
      <c r="H86" s="87"/>
      <c r="I86" s="24"/>
      <c r="J86" s="24"/>
      <c r="K86" s="114" t="str">
        <f t="shared" si="12"/>
        <v/>
      </c>
      <c r="L86" s="24"/>
      <c r="M86" s="24"/>
      <c r="N86" s="24"/>
      <c r="O86" s="24"/>
      <c r="P86" s="97" t="str">
        <f t="shared" si="13"/>
        <v/>
      </c>
      <c r="Q86" s="113" t="str">
        <f t="shared" si="14"/>
        <v/>
      </c>
      <c r="R86" s="87"/>
      <c r="S86" s="24"/>
      <c r="T86" s="24"/>
      <c r="U86" s="78" t="str">
        <f t="shared" si="15"/>
        <v/>
      </c>
      <c r="V86" s="24"/>
      <c r="W86" s="24"/>
      <c r="X86" s="24"/>
      <c r="Y86" s="24"/>
      <c r="Z86" s="98" t="str">
        <f t="shared" si="16"/>
        <v/>
      </c>
      <c r="AA86" s="40" t="str">
        <f t="shared" si="22"/>
        <v/>
      </c>
      <c r="AB86" s="87"/>
      <c r="AC86" s="24"/>
      <c r="AD86" s="24"/>
      <c r="AE86" s="79" t="str">
        <f t="shared" si="17"/>
        <v/>
      </c>
      <c r="AF86" s="24"/>
      <c r="AG86" s="24"/>
      <c r="AH86" s="24"/>
      <c r="AI86" s="24"/>
      <c r="AJ86" s="99" t="str">
        <f t="shared" si="18"/>
        <v/>
      </c>
      <c r="AK86" s="31" t="str">
        <f t="shared" si="23"/>
        <v/>
      </c>
      <c r="AN86" s="139" t="str">
        <f>IF($K86="","",VLOOKUP($K86,'ORF Accuracy Value LookUp'!$G$4:$H$104,2,TRUE))</f>
        <v/>
      </c>
      <c r="AO86" s="94" t="str">
        <f t="shared" si="19"/>
        <v/>
      </c>
      <c r="AP86" s="47" t="str">
        <f>IF($U86="","",VLOOKUP($U86,'ORF Accuracy Value LookUp'!$G$4:$H$104,2,TRUE))</f>
        <v/>
      </c>
      <c r="AQ86" s="94" t="str">
        <f t="shared" si="20"/>
        <v/>
      </c>
      <c r="AR86" s="46" t="str">
        <f>IF($AE86="","",VLOOKUP($AE86,'ORF Accuracy Value LookUp'!$G$4:$H$104,2,TRUE))</f>
        <v/>
      </c>
      <c r="AS86" s="140" t="str">
        <f t="shared" si="21"/>
        <v/>
      </c>
    </row>
    <row r="87" spans="1:45">
      <c r="A87" s="10"/>
      <c r="B87" s="12"/>
      <c r="C87" s="13"/>
      <c r="D87" s="14"/>
      <c r="E87" s="10"/>
      <c r="F87" s="11"/>
      <c r="G87" s="15"/>
      <c r="H87" s="87"/>
      <c r="I87" s="24"/>
      <c r="J87" s="24"/>
      <c r="K87" s="114" t="str">
        <f t="shared" si="12"/>
        <v/>
      </c>
      <c r="L87" s="24"/>
      <c r="M87" s="24"/>
      <c r="N87" s="24"/>
      <c r="O87" s="24"/>
      <c r="P87" s="97" t="str">
        <f t="shared" si="13"/>
        <v/>
      </c>
      <c r="Q87" s="113" t="str">
        <f t="shared" si="14"/>
        <v/>
      </c>
      <c r="R87" s="87"/>
      <c r="S87" s="24"/>
      <c r="T87" s="24"/>
      <c r="U87" s="78" t="str">
        <f t="shared" si="15"/>
        <v/>
      </c>
      <c r="V87" s="24"/>
      <c r="W87" s="24"/>
      <c r="X87" s="24"/>
      <c r="Y87" s="24"/>
      <c r="Z87" s="98" t="str">
        <f t="shared" si="16"/>
        <v/>
      </c>
      <c r="AA87" s="40" t="str">
        <f t="shared" si="22"/>
        <v/>
      </c>
      <c r="AB87" s="87"/>
      <c r="AC87" s="24"/>
      <c r="AD87" s="24"/>
      <c r="AE87" s="79" t="str">
        <f t="shared" si="17"/>
        <v/>
      </c>
      <c r="AF87" s="24"/>
      <c r="AG87" s="24"/>
      <c r="AH87" s="24"/>
      <c r="AI87" s="24"/>
      <c r="AJ87" s="99" t="str">
        <f t="shared" si="18"/>
        <v/>
      </c>
      <c r="AK87" s="31" t="str">
        <f t="shared" si="23"/>
        <v/>
      </c>
      <c r="AN87" s="139" t="str">
        <f>IF($K87="","",VLOOKUP($K87,'ORF Accuracy Value LookUp'!$G$4:$H$104,2,TRUE))</f>
        <v/>
      </c>
      <c r="AO87" s="94" t="str">
        <f t="shared" si="19"/>
        <v/>
      </c>
      <c r="AP87" s="47" t="str">
        <f>IF($U87="","",VLOOKUP($U87,'ORF Accuracy Value LookUp'!$G$4:$H$104,2,TRUE))</f>
        <v/>
      </c>
      <c r="AQ87" s="94" t="str">
        <f t="shared" si="20"/>
        <v/>
      </c>
      <c r="AR87" s="46" t="str">
        <f>IF($AE87="","",VLOOKUP($AE87,'ORF Accuracy Value LookUp'!$G$4:$H$104,2,TRUE))</f>
        <v/>
      </c>
      <c r="AS87" s="140" t="str">
        <f t="shared" si="21"/>
        <v/>
      </c>
    </row>
    <row r="88" spans="1:45">
      <c r="A88" s="10"/>
      <c r="B88" s="12"/>
      <c r="C88" s="13"/>
      <c r="D88" s="14"/>
      <c r="E88" s="10"/>
      <c r="F88" s="11"/>
      <c r="G88" s="15"/>
      <c r="H88" s="87"/>
      <c r="I88" s="24"/>
      <c r="J88" s="24"/>
      <c r="K88" s="114" t="str">
        <f t="shared" si="12"/>
        <v/>
      </c>
      <c r="L88" s="24"/>
      <c r="M88" s="24"/>
      <c r="N88" s="24"/>
      <c r="O88" s="24"/>
      <c r="P88" s="97" t="str">
        <f t="shared" si="13"/>
        <v/>
      </c>
      <c r="Q88" s="113" t="str">
        <f t="shared" si="14"/>
        <v/>
      </c>
      <c r="R88" s="87"/>
      <c r="S88" s="24"/>
      <c r="T88" s="24"/>
      <c r="U88" s="78" t="str">
        <f t="shared" si="15"/>
        <v/>
      </c>
      <c r="V88" s="24"/>
      <c r="W88" s="24"/>
      <c r="X88" s="24"/>
      <c r="Y88" s="24"/>
      <c r="Z88" s="98" t="str">
        <f t="shared" si="16"/>
        <v/>
      </c>
      <c r="AA88" s="40" t="str">
        <f t="shared" si="22"/>
        <v/>
      </c>
      <c r="AB88" s="87"/>
      <c r="AC88" s="24"/>
      <c r="AD88" s="24"/>
      <c r="AE88" s="79" t="str">
        <f t="shared" si="17"/>
        <v/>
      </c>
      <c r="AF88" s="24"/>
      <c r="AG88" s="24"/>
      <c r="AH88" s="24"/>
      <c r="AI88" s="24"/>
      <c r="AJ88" s="99" t="str">
        <f t="shared" si="18"/>
        <v/>
      </c>
      <c r="AK88" s="31" t="str">
        <f t="shared" si="23"/>
        <v/>
      </c>
      <c r="AN88" s="139" t="str">
        <f>IF($K88="","",VLOOKUP($K88,'ORF Accuracy Value LookUp'!$G$4:$H$104,2,TRUE))</f>
        <v/>
      </c>
      <c r="AO88" s="94" t="str">
        <f t="shared" si="19"/>
        <v/>
      </c>
      <c r="AP88" s="47" t="str">
        <f>IF($U88="","",VLOOKUP($U88,'ORF Accuracy Value LookUp'!$G$4:$H$104,2,TRUE))</f>
        <v/>
      </c>
      <c r="AQ88" s="94" t="str">
        <f t="shared" si="20"/>
        <v/>
      </c>
      <c r="AR88" s="46" t="str">
        <f>IF($AE88="","",VLOOKUP($AE88,'ORF Accuracy Value LookUp'!$G$4:$H$104,2,TRUE))</f>
        <v/>
      </c>
      <c r="AS88" s="140" t="str">
        <f t="shared" si="21"/>
        <v/>
      </c>
    </row>
    <row r="89" spans="1:45">
      <c r="A89" s="10"/>
      <c r="B89" s="12"/>
      <c r="C89" s="13"/>
      <c r="D89" s="14"/>
      <c r="E89" s="10"/>
      <c r="F89" s="11"/>
      <c r="G89" s="15"/>
      <c r="H89" s="87"/>
      <c r="I89" s="24"/>
      <c r="J89" s="24"/>
      <c r="K89" s="114" t="str">
        <f t="shared" si="12"/>
        <v/>
      </c>
      <c r="L89" s="24"/>
      <c r="M89" s="24"/>
      <c r="N89" s="24"/>
      <c r="O89" s="24"/>
      <c r="P89" s="97" t="str">
        <f t="shared" si="13"/>
        <v/>
      </c>
      <c r="Q89" s="113" t="str">
        <f t="shared" si="14"/>
        <v/>
      </c>
      <c r="R89" s="87"/>
      <c r="S89" s="24"/>
      <c r="T89" s="24"/>
      <c r="U89" s="78" t="str">
        <f t="shared" si="15"/>
        <v/>
      </c>
      <c r="V89" s="24"/>
      <c r="W89" s="24"/>
      <c r="X89" s="24"/>
      <c r="Y89" s="24"/>
      <c r="Z89" s="98" t="str">
        <f t="shared" si="16"/>
        <v/>
      </c>
      <c r="AA89" s="40" t="str">
        <f t="shared" si="22"/>
        <v/>
      </c>
      <c r="AB89" s="87"/>
      <c r="AC89" s="24"/>
      <c r="AD89" s="24"/>
      <c r="AE89" s="79" t="str">
        <f t="shared" si="17"/>
        <v/>
      </c>
      <c r="AF89" s="24"/>
      <c r="AG89" s="24"/>
      <c r="AH89" s="24"/>
      <c r="AI89" s="24"/>
      <c r="AJ89" s="99" t="str">
        <f t="shared" si="18"/>
        <v/>
      </c>
      <c r="AK89" s="31" t="str">
        <f t="shared" si="23"/>
        <v/>
      </c>
      <c r="AN89" s="139" t="str">
        <f>IF($K89="","",VLOOKUP($K89,'ORF Accuracy Value LookUp'!$G$4:$H$104,2,TRUE))</f>
        <v/>
      </c>
      <c r="AO89" s="94" t="str">
        <f t="shared" si="19"/>
        <v/>
      </c>
      <c r="AP89" s="47" t="str">
        <f>IF($U89="","",VLOOKUP($U89,'ORF Accuracy Value LookUp'!$G$4:$H$104,2,TRUE))</f>
        <v/>
      </c>
      <c r="AQ89" s="94" t="str">
        <f t="shared" si="20"/>
        <v/>
      </c>
      <c r="AR89" s="46" t="str">
        <f>IF($AE89="","",VLOOKUP($AE89,'ORF Accuracy Value LookUp'!$G$4:$H$104,2,TRUE))</f>
        <v/>
      </c>
      <c r="AS89" s="140" t="str">
        <f t="shared" si="21"/>
        <v/>
      </c>
    </row>
    <row r="90" spans="1:45">
      <c r="A90" s="10"/>
      <c r="B90" s="12"/>
      <c r="C90" s="13"/>
      <c r="D90" s="14"/>
      <c r="E90" s="10"/>
      <c r="F90" s="11"/>
      <c r="G90" s="15"/>
      <c r="H90" s="87"/>
      <c r="I90" s="24"/>
      <c r="J90" s="24"/>
      <c r="K90" s="114" t="str">
        <f t="shared" si="12"/>
        <v/>
      </c>
      <c r="L90" s="24"/>
      <c r="M90" s="24"/>
      <c r="N90" s="24"/>
      <c r="O90" s="24"/>
      <c r="P90" s="97" t="str">
        <f t="shared" si="13"/>
        <v/>
      </c>
      <c r="Q90" s="113" t="str">
        <f t="shared" si="14"/>
        <v/>
      </c>
      <c r="R90" s="87"/>
      <c r="S90" s="24"/>
      <c r="T90" s="24"/>
      <c r="U90" s="78" t="str">
        <f t="shared" si="15"/>
        <v/>
      </c>
      <c r="V90" s="24"/>
      <c r="W90" s="24"/>
      <c r="X90" s="24"/>
      <c r="Y90" s="24"/>
      <c r="Z90" s="98" t="str">
        <f t="shared" si="16"/>
        <v/>
      </c>
      <c r="AA90" s="40" t="str">
        <f t="shared" si="22"/>
        <v/>
      </c>
      <c r="AB90" s="87"/>
      <c r="AC90" s="24"/>
      <c r="AD90" s="24"/>
      <c r="AE90" s="79" t="str">
        <f t="shared" si="17"/>
        <v/>
      </c>
      <c r="AF90" s="24"/>
      <c r="AG90" s="24"/>
      <c r="AH90" s="24"/>
      <c r="AI90" s="24"/>
      <c r="AJ90" s="99" t="str">
        <f t="shared" si="18"/>
        <v/>
      </c>
      <c r="AK90" s="31" t="str">
        <f t="shared" si="23"/>
        <v/>
      </c>
      <c r="AN90" s="139" t="str">
        <f>IF($K90="","",VLOOKUP($K90,'ORF Accuracy Value LookUp'!$G$4:$H$104,2,TRUE))</f>
        <v/>
      </c>
      <c r="AO90" s="94" t="str">
        <f t="shared" si="19"/>
        <v/>
      </c>
      <c r="AP90" s="47" t="str">
        <f>IF($U90="","",VLOOKUP($U90,'ORF Accuracy Value LookUp'!$G$4:$H$104,2,TRUE))</f>
        <v/>
      </c>
      <c r="AQ90" s="94" t="str">
        <f t="shared" si="20"/>
        <v/>
      </c>
      <c r="AR90" s="46" t="str">
        <f>IF($AE90="","",VLOOKUP($AE90,'ORF Accuracy Value LookUp'!$G$4:$H$104,2,TRUE))</f>
        <v/>
      </c>
      <c r="AS90" s="140" t="str">
        <f t="shared" si="21"/>
        <v/>
      </c>
    </row>
    <row r="91" spans="1:45">
      <c r="A91" s="10"/>
      <c r="B91" s="12"/>
      <c r="C91" s="13"/>
      <c r="D91" s="14"/>
      <c r="E91" s="10"/>
      <c r="F91" s="11"/>
      <c r="G91" s="15"/>
      <c r="H91" s="87"/>
      <c r="I91" s="24"/>
      <c r="J91" s="24"/>
      <c r="K91" s="114" t="str">
        <f t="shared" si="12"/>
        <v/>
      </c>
      <c r="L91" s="24"/>
      <c r="M91" s="24"/>
      <c r="N91" s="24"/>
      <c r="O91" s="24"/>
      <c r="P91" s="97" t="str">
        <f t="shared" si="13"/>
        <v/>
      </c>
      <c r="Q91" s="113" t="str">
        <f t="shared" si="14"/>
        <v/>
      </c>
      <c r="R91" s="87"/>
      <c r="S91" s="24"/>
      <c r="T91" s="24"/>
      <c r="U91" s="78" t="str">
        <f t="shared" si="15"/>
        <v/>
      </c>
      <c r="V91" s="24"/>
      <c r="W91" s="24"/>
      <c r="X91" s="24"/>
      <c r="Y91" s="24"/>
      <c r="Z91" s="98" t="str">
        <f t="shared" si="16"/>
        <v/>
      </c>
      <c r="AA91" s="40" t="str">
        <f t="shared" si="22"/>
        <v/>
      </c>
      <c r="AB91" s="87"/>
      <c r="AC91" s="24"/>
      <c r="AD91" s="24"/>
      <c r="AE91" s="79" t="str">
        <f t="shared" si="17"/>
        <v/>
      </c>
      <c r="AF91" s="24"/>
      <c r="AG91" s="24"/>
      <c r="AH91" s="24"/>
      <c r="AI91" s="24"/>
      <c r="AJ91" s="99" t="str">
        <f t="shared" si="18"/>
        <v/>
      </c>
      <c r="AK91" s="31" t="str">
        <f t="shared" si="23"/>
        <v/>
      </c>
      <c r="AN91" s="139" t="str">
        <f>IF($K91="","",VLOOKUP($K91,'ORF Accuracy Value LookUp'!$G$4:$H$104,2,TRUE))</f>
        <v/>
      </c>
      <c r="AO91" s="94" t="str">
        <f t="shared" si="19"/>
        <v/>
      </c>
      <c r="AP91" s="47" t="str">
        <f>IF($U91="","",VLOOKUP($U91,'ORF Accuracy Value LookUp'!$G$4:$H$104,2,TRUE))</f>
        <v/>
      </c>
      <c r="AQ91" s="94" t="str">
        <f t="shared" si="20"/>
        <v/>
      </c>
      <c r="AR91" s="46" t="str">
        <f>IF($AE91="","",VLOOKUP($AE91,'ORF Accuracy Value LookUp'!$G$4:$H$104,2,TRUE))</f>
        <v/>
      </c>
      <c r="AS91" s="140" t="str">
        <f t="shared" si="21"/>
        <v/>
      </c>
    </row>
    <row r="92" spans="1:45">
      <c r="A92" s="10"/>
      <c r="B92" s="12"/>
      <c r="C92" s="13"/>
      <c r="D92" s="14"/>
      <c r="E92" s="10"/>
      <c r="F92" s="11"/>
      <c r="G92" s="15"/>
      <c r="H92" s="87"/>
      <c r="I92" s="24"/>
      <c r="J92" s="24"/>
      <c r="K92" s="114" t="str">
        <f t="shared" si="12"/>
        <v/>
      </c>
      <c r="L92" s="24"/>
      <c r="M92" s="24"/>
      <c r="N92" s="24"/>
      <c r="O92" s="24"/>
      <c r="P92" s="97" t="str">
        <f t="shared" si="13"/>
        <v/>
      </c>
      <c r="Q92" s="113" t="str">
        <f t="shared" si="14"/>
        <v/>
      </c>
      <c r="R92" s="87"/>
      <c r="S92" s="24"/>
      <c r="T92" s="24"/>
      <c r="U92" s="78" t="str">
        <f t="shared" si="15"/>
        <v/>
      </c>
      <c r="V92" s="24"/>
      <c r="W92" s="24"/>
      <c r="X92" s="24"/>
      <c r="Y92" s="24"/>
      <c r="Z92" s="98" t="str">
        <f t="shared" si="16"/>
        <v/>
      </c>
      <c r="AA92" s="40" t="str">
        <f t="shared" si="22"/>
        <v/>
      </c>
      <c r="AB92" s="87"/>
      <c r="AC92" s="24"/>
      <c r="AD92" s="24"/>
      <c r="AE92" s="79" t="str">
        <f t="shared" si="17"/>
        <v/>
      </c>
      <c r="AF92" s="24"/>
      <c r="AG92" s="24"/>
      <c r="AH92" s="24"/>
      <c r="AI92" s="24"/>
      <c r="AJ92" s="99" t="str">
        <f t="shared" si="18"/>
        <v/>
      </c>
      <c r="AK92" s="31" t="str">
        <f t="shared" si="23"/>
        <v/>
      </c>
      <c r="AN92" s="139" t="str">
        <f>IF($K92="","",VLOOKUP($K92,'ORF Accuracy Value LookUp'!$G$4:$H$104,2,TRUE))</f>
        <v/>
      </c>
      <c r="AO92" s="94" t="str">
        <f t="shared" si="19"/>
        <v/>
      </c>
      <c r="AP92" s="47" t="str">
        <f>IF($U92="","",VLOOKUP($U92,'ORF Accuracy Value LookUp'!$G$4:$H$104,2,TRUE))</f>
        <v/>
      </c>
      <c r="AQ92" s="94" t="str">
        <f t="shared" si="20"/>
        <v/>
      </c>
      <c r="AR92" s="46" t="str">
        <f>IF($AE92="","",VLOOKUP($AE92,'ORF Accuracy Value LookUp'!$G$4:$H$104,2,TRUE))</f>
        <v/>
      </c>
      <c r="AS92" s="140" t="str">
        <f t="shared" si="21"/>
        <v/>
      </c>
    </row>
    <row r="93" spans="1:45">
      <c r="A93" s="10"/>
      <c r="B93" s="12"/>
      <c r="C93" s="13"/>
      <c r="D93" s="14"/>
      <c r="E93" s="10"/>
      <c r="F93" s="11"/>
      <c r="G93" s="15"/>
      <c r="H93" s="87"/>
      <c r="I93" s="24"/>
      <c r="J93" s="24"/>
      <c r="K93" s="114" t="str">
        <f t="shared" si="12"/>
        <v/>
      </c>
      <c r="L93" s="24"/>
      <c r="M93" s="24"/>
      <c r="N93" s="24"/>
      <c r="O93" s="24"/>
      <c r="P93" s="97" t="str">
        <f t="shared" si="13"/>
        <v/>
      </c>
      <c r="Q93" s="113" t="str">
        <f t="shared" si="14"/>
        <v/>
      </c>
      <c r="R93" s="87"/>
      <c r="S93" s="24"/>
      <c r="T93" s="24"/>
      <c r="U93" s="78" t="str">
        <f t="shared" si="15"/>
        <v/>
      </c>
      <c r="V93" s="24"/>
      <c r="W93" s="24"/>
      <c r="X93" s="24"/>
      <c r="Y93" s="24"/>
      <c r="Z93" s="98" t="str">
        <f t="shared" si="16"/>
        <v/>
      </c>
      <c r="AA93" s="40" t="str">
        <f t="shared" si="22"/>
        <v/>
      </c>
      <c r="AB93" s="87"/>
      <c r="AC93" s="24"/>
      <c r="AD93" s="24"/>
      <c r="AE93" s="79" t="str">
        <f t="shared" si="17"/>
        <v/>
      </c>
      <c r="AF93" s="24"/>
      <c r="AG93" s="24"/>
      <c r="AH93" s="24"/>
      <c r="AI93" s="24"/>
      <c r="AJ93" s="99" t="str">
        <f t="shared" si="18"/>
        <v/>
      </c>
      <c r="AK93" s="31" t="str">
        <f t="shared" si="23"/>
        <v/>
      </c>
      <c r="AN93" s="139" t="str">
        <f>IF($K93="","",VLOOKUP($K93,'ORF Accuracy Value LookUp'!$G$4:$H$104,2,TRUE))</f>
        <v/>
      </c>
      <c r="AO93" s="94" t="str">
        <f t="shared" si="19"/>
        <v/>
      </c>
      <c r="AP93" s="47" t="str">
        <f>IF($U93="","",VLOOKUP($U93,'ORF Accuracy Value LookUp'!$G$4:$H$104,2,TRUE))</f>
        <v/>
      </c>
      <c r="AQ93" s="94" t="str">
        <f t="shared" si="20"/>
        <v/>
      </c>
      <c r="AR93" s="46" t="str">
        <f>IF($AE93="","",VLOOKUP($AE93,'ORF Accuracy Value LookUp'!$G$4:$H$104,2,TRUE))</f>
        <v/>
      </c>
      <c r="AS93" s="140" t="str">
        <f t="shared" si="21"/>
        <v/>
      </c>
    </row>
    <row r="94" spans="1:45">
      <c r="A94" s="10"/>
      <c r="B94" s="12"/>
      <c r="C94" s="13"/>
      <c r="D94" s="14"/>
      <c r="E94" s="10"/>
      <c r="F94" s="11"/>
      <c r="G94" s="15"/>
      <c r="H94" s="87"/>
      <c r="I94" s="24"/>
      <c r="J94" s="24"/>
      <c r="K94" s="114" t="str">
        <f t="shared" si="12"/>
        <v/>
      </c>
      <c r="L94" s="24"/>
      <c r="M94" s="24"/>
      <c r="N94" s="24"/>
      <c r="O94" s="24"/>
      <c r="P94" s="97" t="str">
        <f t="shared" si="13"/>
        <v/>
      </c>
      <c r="Q94" s="113" t="str">
        <f t="shared" si="14"/>
        <v/>
      </c>
      <c r="R94" s="87"/>
      <c r="S94" s="24"/>
      <c r="T94" s="24"/>
      <c r="U94" s="78" t="str">
        <f t="shared" si="15"/>
        <v/>
      </c>
      <c r="V94" s="24"/>
      <c r="W94" s="24"/>
      <c r="X94" s="24"/>
      <c r="Y94" s="24"/>
      <c r="Z94" s="98" t="str">
        <f t="shared" si="16"/>
        <v/>
      </c>
      <c r="AA94" s="40" t="str">
        <f t="shared" si="22"/>
        <v/>
      </c>
      <c r="AB94" s="87"/>
      <c r="AC94" s="24"/>
      <c r="AD94" s="24"/>
      <c r="AE94" s="79" t="str">
        <f t="shared" si="17"/>
        <v/>
      </c>
      <c r="AF94" s="24"/>
      <c r="AG94" s="24"/>
      <c r="AH94" s="24"/>
      <c r="AI94" s="24"/>
      <c r="AJ94" s="99" t="str">
        <f t="shared" si="18"/>
        <v/>
      </c>
      <c r="AK94" s="31" t="str">
        <f t="shared" si="23"/>
        <v/>
      </c>
      <c r="AN94" s="139" t="str">
        <f>IF($K94="","",VLOOKUP($K94,'ORF Accuracy Value LookUp'!$G$4:$H$104,2,TRUE))</f>
        <v/>
      </c>
      <c r="AO94" s="94" t="str">
        <f t="shared" si="19"/>
        <v/>
      </c>
      <c r="AP94" s="47" t="str">
        <f>IF($U94="","",VLOOKUP($U94,'ORF Accuracy Value LookUp'!$G$4:$H$104,2,TRUE))</f>
        <v/>
      </c>
      <c r="AQ94" s="94" t="str">
        <f t="shared" si="20"/>
        <v/>
      </c>
      <c r="AR94" s="46" t="str">
        <f>IF($AE94="","",VLOOKUP($AE94,'ORF Accuracy Value LookUp'!$G$4:$H$104,2,TRUE))</f>
        <v/>
      </c>
      <c r="AS94" s="140" t="str">
        <f t="shared" si="21"/>
        <v/>
      </c>
    </row>
    <row r="95" spans="1:45">
      <c r="A95" s="10"/>
      <c r="B95" s="12"/>
      <c r="C95" s="13"/>
      <c r="D95" s="14"/>
      <c r="E95" s="10"/>
      <c r="F95" s="11"/>
      <c r="G95" s="15"/>
      <c r="H95" s="87"/>
      <c r="I95" s="24"/>
      <c r="J95" s="24"/>
      <c r="K95" s="114" t="str">
        <f t="shared" si="12"/>
        <v/>
      </c>
      <c r="L95" s="24"/>
      <c r="M95" s="24"/>
      <c r="N95" s="24"/>
      <c r="O95" s="24"/>
      <c r="P95" s="97" t="str">
        <f t="shared" si="13"/>
        <v/>
      </c>
      <c r="Q95" s="113" t="str">
        <f t="shared" si="14"/>
        <v/>
      </c>
      <c r="R95" s="87"/>
      <c r="S95" s="24"/>
      <c r="T95" s="24"/>
      <c r="U95" s="78" t="str">
        <f t="shared" si="15"/>
        <v/>
      </c>
      <c r="V95" s="24"/>
      <c r="W95" s="24"/>
      <c r="X95" s="24"/>
      <c r="Y95" s="24"/>
      <c r="Z95" s="98" t="str">
        <f t="shared" si="16"/>
        <v/>
      </c>
      <c r="AA95" s="40" t="str">
        <f t="shared" si="22"/>
        <v/>
      </c>
      <c r="AB95" s="87"/>
      <c r="AC95" s="24"/>
      <c r="AD95" s="24"/>
      <c r="AE95" s="79" t="str">
        <f t="shared" si="17"/>
        <v/>
      </c>
      <c r="AF95" s="24"/>
      <c r="AG95" s="24"/>
      <c r="AH95" s="24"/>
      <c r="AI95" s="24"/>
      <c r="AJ95" s="99" t="str">
        <f t="shared" si="18"/>
        <v/>
      </c>
      <c r="AK95" s="31" t="str">
        <f t="shared" si="23"/>
        <v/>
      </c>
      <c r="AN95" s="139" t="str">
        <f>IF($K95="","",VLOOKUP($K95,'ORF Accuracy Value LookUp'!$G$4:$H$104,2,TRUE))</f>
        <v/>
      </c>
      <c r="AO95" s="94" t="str">
        <f t="shared" si="19"/>
        <v/>
      </c>
      <c r="AP95" s="47" t="str">
        <f>IF($U95="","",VLOOKUP($U95,'ORF Accuracy Value LookUp'!$G$4:$H$104,2,TRUE))</f>
        <v/>
      </c>
      <c r="AQ95" s="94" t="str">
        <f t="shared" si="20"/>
        <v/>
      </c>
      <c r="AR95" s="46" t="str">
        <f>IF($AE95="","",VLOOKUP($AE95,'ORF Accuracy Value LookUp'!$G$4:$H$104,2,TRUE))</f>
        <v/>
      </c>
      <c r="AS95" s="140" t="str">
        <f t="shared" si="21"/>
        <v/>
      </c>
    </row>
    <row r="96" spans="1:45">
      <c r="A96" s="10"/>
      <c r="B96" s="12"/>
      <c r="C96" s="13"/>
      <c r="D96" s="14"/>
      <c r="E96" s="10"/>
      <c r="F96" s="11"/>
      <c r="G96" s="15"/>
      <c r="H96" s="87"/>
      <c r="I96" s="24"/>
      <c r="J96" s="24"/>
      <c r="K96" s="114" t="str">
        <f t="shared" si="12"/>
        <v/>
      </c>
      <c r="L96" s="24"/>
      <c r="M96" s="24"/>
      <c r="N96" s="24"/>
      <c r="O96" s="24"/>
      <c r="P96" s="97" t="str">
        <f t="shared" si="13"/>
        <v/>
      </c>
      <c r="Q96" s="113" t="str">
        <f t="shared" si="14"/>
        <v/>
      </c>
      <c r="R96" s="87"/>
      <c r="S96" s="24"/>
      <c r="T96" s="24"/>
      <c r="U96" s="78" t="str">
        <f t="shared" si="15"/>
        <v/>
      </c>
      <c r="V96" s="24"/>
      <c r="W96" s="24"/>
      <c r="X96" s="24"/>
      <c r="Y96" s="24"/>
      <c r="Z96" s="98" t="str">
        <f t="shared" si="16"/>
        <v/>
      </c>
      <c r="AA96" s="40" t="str">
        <f t="shared" si="22"/>
        <v/>
      </c>
      <c r="AB96" s="87"/>
      <c r="AC96" s="24"/>
      <c r="AD96" s="24"/>
      <c r="AE96" s="79" t="str">
        <f t="shared" si="17"/>
        <v/>
      </c>
      <c r="AF96" s="24"/>
      <c r="AG96" s="24"/>
      <c r="AH96" s="24"/>
      <c r="AI96" s="24"/>
      <c r="AJ96" s="99" t="str">
        <f t="shared" si="18"/>
        <v/>
      </c>
      <c r="AK96" s="31" t="str">
        <f t="shared" si="23"/>
        <v/>
      </c>
      <c r="AN96" s="139" t="str">
        <f>IF($K96="","",VLOOKUP($K96,'ORF Accuracy Value LookUp'!$G$4:$H$104,2,TRUE))</f>
        <v/>
      </c>
      <c r="AO96" s="94" t="str">
        <f t="shared" si="19"/>
        <v/>
      </c>
      <c r="AP96" s="47" t="str">
        <f>IF($U96="","",VLOOKUP($U96,'ORF Accuracy Value LookUp'!$G$4:$H$104,2,TRUE))</f>
        <v/>
      </c>
      <c r="AQ96" s="94" t="str">
        <f t="shared" si="20"/>
        <v/>
      </c>
      <c r="AR96" s="46" t="str">
        <f>IF($AE96="","",VLOOKUP($AE96,'ORF Accuracy Value LookUp'!$G$4:$H$104,2,TRUE))</f>
        <v/>
      </c>
      <c r="AS96" s="140" t="str">
        <f t="shared" si="21"/>
        <v/>
      </c>
    </row>
    <row r="97" spans="1:45">
      <c r="A97" s="10"/>
      <c r="B97" s="12"/>
      <c r="C97" s="13"/>
      <c r="D97" s="14"/>
      <c r="E97" s="10"/>
      <c r="F97" s="11"/>
      <c r="G97" s="15"/>
      <c r="H97" s="87"/>
      <c r="I97" s="24"/>
      <c r="J97" s="24"/>
      <c r="K97" s="114" t="str">
        <f t="shared" si="12"/>
        <v/>
      </c>
      <c r="L97" s="24"/>
      <c r="M97" s="24"/>
      <c r="N97" s="24"/>
      <c r="O97" s="24"/>
      <c r="P97" s="97" t="str">
        <f t="shared" si="13"/>
        <v/>
      </c>
      <c r="Q97" s="113" t="str">
        <f t="shared" si="14"/>
        <v/>
      </c>
      <c r="R97" s="87"/>
      <c r="S97" s="24"/>
      <c r="T97" s="24"/>
      <c r="U97" s="78" t="str">
        <f t="shared" si="15"/>
        <v/>
      </c>
      <c r="V97" s="24"/>
      <c r="W97" s="24"/>
      <c r="X97" s="24"/>
      <c r="Y97" s="24"/>
      <c r="Z97" s="98" t="str">
        <f t="shared" si="16"/>
        <v/>
      </c>
      <c r="AA97" s="40" t="str">
        <f t="shared" si="22"/>
        <v/>
      </c>
      <c r="AB97" s="87"/>
      <c r="AC97" s="24"/>
      <c r="AD97" s="24"/>
      <c r="AE97" s="79" t="str">
        <f t="shared" si="17"/>
        <v/>
      </c>
      <c r="AF97" s="24"/>
      <c r="AG97" s="24"/>
      <c r="AH97" s="24"/>
      <c r="AI97" s="24"/>
      <c r="AJ97" s="99" t="str">
        <f t="shared" si="18"/>
        <v/>
      </c>
      <c r="AK97" s="31" t="str">
        <f t="shared" si="23"/>
        <v/>
      </c>
      <c r="AN97" s="139" t="str">
        <f>IF($K97="","",VLOOKUP($K97,'ORF Accuracy Value LookUp'!$G$4:$H$104,2,TRUE))</f>
        <v/>
      </c>
      <c r="AO97" s="94" t="str">
        <f t="shared" si="19"/>
        <v/>
      </c>
      <c r="AP97" s="47" t="str">
        <f>IF($U97="","",VLOOKUP($U97,'ORF Accuracy Value LookUp'!$G$4:$H$104,2,TRUE))</f>
        <v/>
      </c>
      <c r="AQ97" s="94" t="str">
        <f t="shared" si="20"/>
        <v/>
      </c>
      <c r="AR97" s="46" t="str">
        <f>IF($AE97="","",VLOOKUP($AE97,'ORF Accuracy Value LookUp'!$G$4:$H$104,2,TRUE))</f>
        <v/>
      </c>
      <c r="AS97" s="140" t="str">
        <f t="shared" si="21"/>
        <v/>
      </c>
    </row>
    <row r="98" spans="1:45">
      <c r="A98" s="10"/>
      <c r="B98" s="12"/>
      <c r="C98" s="13"/>
      <c r="D98" s="14"/>
      <c r="E98" s="10"/>
      <c r="F98" s="11"/>
      <c r="G98" s="15"/>
      <c r="H98" s="87"/>
      <c r="I98" s="24"/>
      <c r="J98" s="24"/>
      <c r="K98" s="114" t="str">
        <f t="shared" si="12"/>
        <v/>
      </c>
      <c r="L98" s="24"/>
      <c r="M98" s="24"/>
      <c r="N98" s="24"/>
      <c r="O98" s="24"/>
      <c r="P98" s="97" t="str">
        <f t="shared" si="13"/>
        <v/>
      </c>
      <c r="Q98" s="113" t="str">
        <f t="shared" si="14"/>
        <v/>
      </c>
      <c r="R98" s="87"/>
      <c r="S98" s="24"/>
      <c r="T98" s="24"/>
      <c r="U98" s="78" t="str">
        <f t="shared" si="15"/>
        <v/>
      </c>
      <c r="V98" s="24"/>
      <c r="W98" s="24"/>
      <c r="X98" s="24"/>
      <c r="Y98" s="24"/>
      <c r="Z98" s="98" t="str">
        <f t="shared" si="16"/>
        <v/>
      </c>
      <c r="AA98" s="40" t="str">
        <f t="shared" si="22"/>
        <v/>
      </c>
      <c r="AB98" s="87"/>
      <c r="AC98" s="24"/>
      <c r="AD98" s="24"/>
      <c r="AE98" s="79" t="str">
        <f t="shared" si="17"/>
        <v/>
      </c>
      <c r="AF98" s="24"/>
      <c r="AG98" s="24"/>
      <c r="AH98" s="24"/>
      <c r="AI98" s="24"/>
      <c r="AJ98" s="99" t="str">
        <f t="shared" si="18"/>
        <v/>
      </c>
      <c r="AK98" s="31" t="str">
        <f t="shared" si="23"/>
        <v/>
      </c>
      <c r="AN98" s="139" t="str">
        <f>IF($K98="","",VLOOKUP($K98,'ORF Accuracy Value LookUp'!$G$4:$H$104,2,TRUE))</f>
        <v/>
      </c>
      <c r="AO98" s="94" t="str">
        <f t="shared" si="19"/>
        <v/>
      </c>
      <c r="AP98" s="47" t="str">
        <f>IF($U98="","",VLOOKUP($U98,'ORF Accuracy Value LookUp'!$G$4:$H$104,2,TRUE))</f>
        <v/>
      </c>
      <c r="AQ98" s="94" t="str">
        <f t="shared" si="20"/>
        <v/>
      </c>
      <c r="AR98" s="46" t="str">
        <f>IF($AE98="","",VLOOKUP($AE98,'ORF Accuracy Value LookUp'!$G$4:$H$104,2,TRUE))</f>
        <v/>
      </c>
      <c r="AS98" s="140" t="str">
        <f t="shared" si="21"/>
        <v/>
      </c>
    </row>
    <row r="99" spans="1:45">
      <c r="A99" s="10"/>
      <c r="B99" s="12"/>
      <c r="C99" s="13"/>
      <c r="D99" s="14"/>
      <c r="E99" s="10"/>
      <c r="F99" s="11"/>
      <c r="G99" s="15"/>
      <c r="H99" s="87"/>
      <c r="I99" s="24"/>
      <c r="J99" s="24"/>
      <c r="K99" s="114" t="str">
        <f t="shared" si="12"/>
        <v/>
      </c>
      <c r="L99" s="24"/>
      <c r="M99" s="24"/>
      <c r="N99" s="24"/>
      <c r="O99" s="24"/>
      <c r="P99" s="97" t="str">
        <f t="shared" si="13"/>
        <v/>
      </c>
      <c r="Q99" s="113" t="str">
        <f t="shared" si="14"/>
        <v/>
      </c>
      <c r="R99" s="87"/>
      <c r="S99" s="24"/>
      <c r="T99" s="24"/>
      <c r="U99" s="78" t="str">
        <f t="shared" si="15"/>
        <v/>
      </c>
      <c r="V99" s="24"/>
      <c r="W99" s="24"/>
      <c r="X99" s="24"/>
      <c r="Y99" s="24"/>
      <c r="Z99" s="98" t="str">
        <f t="shared" si="16"/>
        <v/>
      </c>
      <c r="AA99" s="40" t="str">
        <f t="shared" si="22"/>
        <v/>
      </c>
      <c r="AB99" s="87"/>
      <c r="AC99" s="24"/>
      <c r="AD99" s="24"/>
      <c r="AE99" s="79" t="str">
        <f t="shared" si="17"/>
        <v/>
      </c>
      <c r="AF99" s="24"/>
      <c r="AG99" s="24"/>
      <c r="AH99" s="24"/>
      <c r="AI99" s="24"/>
      <c r="AJ99" s="99" t="str">
        <f t="shared" si="18"/>
        <v/>
      </c>
      <c r="AK99" s="31" t="str">
        <f t="shared" si="23"/>
        <v/>
      </c>
      <c r="AN99" s="139" t="str">
        <f>IF($K99="","",VLOOKUP($K99,'ORF Accuracy Value LookUp'!$G$4:$H$104,2,TRUE))</f>
        <v/>
      </c>
      <c r="AO99" s="94" t="str">
        <f t="shared" si="19"/>
        <v/>
      </c>
      <c r="AP99" s="47" t="str">
        <f>IF($U99="","",VLOOKUP($U99,'ORF Accuracy Value LookUp'!$G$4:$H$104,2,TRUE))</f>
        <v/>
      </c>
      <c r="AQ99" s="94" t="str">
        <f t="shared" si="20"/>
        <v/>
      </c>
      <c r="AR99" s="46" t="str">
        <f>IF($AE99="","",VLOOKUP($AE99,'ORF Accuracy Value LookUp'!$G$4:$H$104,2,TRUE))</f>
        <v/>
      </c>
      <c r="AS99" s="140" t="str">
        <f t="shared" si="21"/>
        <v/>
      </c>
    </row>
    <row r="100" spans="1:45">
      <c r="A100" s="10"/>
      <c r="B100" s="12"/>
      <c r="C100" s="13"/>
      <c r="D100" s="14"/>
      <c r="E100" s="10"/>
      <c r="F100" s="11"/>
      <c r="G100" s="15"/>
      <c r="H100" s="87"/>
      <c r="I100" s="24"/>
      <c r="J100" s="24"/>
      <c r="K100" s="114" t="str">
        <f t="shared" si="12"/>
        <v/>
      </c>
      <c r="L100" s="24"/>
      <c r="M100" s="24"/>
      <c r="N100" s="24"/>
      <c r="O100" s="24"/>
      <c r="P100" s="97" t="str">
        <f t="shared" si="13"/>
        <v/>
      </c>
      <c r="Q100" s="113" t="str">
        <f t="shared" si="14"/>
        <v/>
      </c>
      <c r="R100" s="87"/>
      <c r="S100" s="24"/>
      <c r="T100" s="24"/>
      <c r="U100" s="78" t="str">
        <f t="shared" si="15"/>
        <v/>
      </c>
      <c r="V100" s="24"/>
      <c r="W100" s="24"/>
      <c r="X100" s="24"/>
      <c r="Y100" s="24"/>
      <c r="Z100" s="98" t="str">
        <f t="shared" si="16"/>
        <v/>
      </c>
      <c r="AA100" s="40" t="str">
        <f t="shared" si="22"/>
        <v/>
      </c>
      <c r="AB100" s="87"/>
      <c r="AC100" s="24"/>
      <c r="AD100" s="24"/>
      <c r="AE100" s="79" t="str">
        <f t="shared" si="17"/>
        <v/>
      </c>
      <c r="AF100" s="24"/>
      <c r="AG100" s="24"/>
      <c r="AH100" s="24"/>
      <c r="AI100" s="24"/>
      <c r="AJ100" s="99" t="str">
        <f t="shared" si="18"/>
        <v/>
      </c>
      <c r="AK100" s="31" t="str">
        <f t="shared" si="23"/>
        <v/>
      </c>
      <c r="AN100" s="139" t="str">
        <f>IF($K100="","",VLOOKUP($K100,'ORF Accuracy Value LookUp'!$G$4:$H$104,2,TRUE))</f>
        <v/>
      </c>
      <c r="AO100" s="94" t="str">
        <f t="shared" si="19"/>
        <v/>
      </c>
      <c r="AP100" s="47" t="str">
        <f>IF($U100="","",VLOOKUP($U100,'ORF Accuracy Value LookUp'!$G$4:$H$104,2,TRUE))</f>
        <v/>
      </c>
      <c r="AQ100" s="94" t="str">
        <f t="shared" si="20"/>
        <v/>
      </c>
      <c r="AR100" s="46" t="str">
        <f>IF($AE100="","",VLOOKUP($AE100,'ORF Accuracy Value LookUp'!$G$4:$H$104,2,TRUE))</f>
        <v/>
      </c>
      <c r="AS100" s="140" t="str">
        <f t="shared" si="21"/>
        <v/>
      </c>
    </row>
    <row r="101" spans="1:45">
      <c r="A101" s="10"/>
      <c r="B101" s="12"/>
      <c r="C101" s="13"/>
      <c r="D101" s="14"/>
      <c r="E101" s="10"/>
      <c r="F101" s="11"/>
      <c r="G101" s="15"/>
      <c r="H101" s="87"/>
      <c r="I101" s="24"/>
      <c r="J101" s="24"/>
      <c r="K101" s="114" t="str">
        <f t="shared" si="12"/>
        <v/>
      </c>
      <c r="L101" s="24"/>
      <c r="M101" s="24"/>
      <c r="N101" s="24"/>
      <c r="O101" s="24"/>
      <c r="P101" s="97" t="str">
        <f t="shared" si="13"/>
        <v/>
      </c>
      <c r="Q101" s="113" t="str">
        <f t="shared" si="14"/>
        <v/>
      </c>
      <c r="R101" s="87"/>
      <c r="S101" s="24"/>
      <c r="T101" s="24"/>
      <c r="U101" s="78" t="str">
        <f t="shared" si="15"/>
        <v/>
      </c>
      <c r="V101" s="24"/>
      <c r="W101" s="24"/>
      <c r="X101" s="24"/>
      <c r="Y101" s="24"/>
      <c r="Z101" s="98" t="str">
        <f t="shared" si="16"/>
        <v/>
      </c>
      <c r="AA101" s="40" t="str">
        <f t="shared" si="22"/>
        <v/>
      </c>
      <c r="AB101" s="87"/>
      <c r="AC101" s="24"/>
      <c r="AD101" s="24"/>
      <c r="AE101" s="79" t="str">
        <f t="shared" si="17"/>
        <v/>
      </c>
      <c r="AF101" s="24"/>
      <c r="AG101" s="24"/>
      <c r="AH101" s="24"/>
      <c r="AI101" s="24"/>
      <c r="AJ101" s="99" t="str">
        <f t="shared" si="18"/>
        <v/>
      </c>
      <c r="AK101" s="31" t="str">
        <f t="shared" si="23"/>
        <v/>
      </c>
      <c r="AN101" s="139" t="str">
        <f>IF($K101="","",VLOOKUP($K101,'ORF Accuracy Value LookUp'!$G$4:$H$104,2,TRUE))</f>
        <v/>
      </c>
      <c r="AO101" s="94" t="str">
        <f t="shared" si="19"/>
        <v/>
      </c>
      <c r="AP101" s="47" t="str">
        <f>IF($U101="","",VLOOKUP($U101,'ORF Accuracy Value LookUp'!$G$4:$H$104,2,TRUE))</f>
        <v/>
      </c>
      <c r="AQ101" s="94" t="str">
        <f t="shared" si="20"/>
        <v/>
      </c>
      <c r="AR101" s="46" t="str">
        <f>IF($AE101="","",VLOOKUP($AE101,'ORF Accuracy Value LookUp'!$G$4:$H$104,2,TRUE))</f>
        <v/>
      </c>
      <c r="AS101" s="140" t="str">
        <f t="shared" si="21"/>
        <v/>
      </c>
    </row>
    <row r="102" spans="1:45">
      <c r="A102" s="10"/>
      <c r="B102" s="12"/>
      <c r="C102" s="13"/>
      <c r="D102" s="14"/>
      <c r="E102" s="10"/>
      <c r="F102" s="11"/>
      <c r="G102" s="15"/>
      <c r="H102" s="87"/>
      <c r="I102" s="24"/>
      <c r="J102" s="24"/>
      <c r="K102" s="114" t="str">
        <f t="shared" si="12"/>
        <v/>
      </c>
      <c r="L102" s="24"/>
      <c r="M102" s="24"/>
      <c r="N102" s="24"/>
      <c r="O102" s="24"/>
      <c r="P102" s="97" t="str">
        <f t="shared" si="13"/>
        <v/>
      </c>
      <c r="Q102" s="113" t="str">
        <f t="shared" si="14"/>
        <v/>
      </c>
      <c r="R102" s="87"/>
      <c r="S102" s="24"/>
      <c r="T102" s="24"/>
      <c r="U102" s="78" t="str">
        <f t="shared" si="15"/>
        <v/>
      </c>
      <c r="V102" s="24"/>
      <c r="W102" s="24"/>
      <c r="X102" s="24"/>
      <c r="Y102" s="24"/>
      <c r="Z102" s="98" t="str">
        <f t="shared" si="16"/>
        <v/>
      </c>
      <c r="AA102" s="40" t="str">
        <f t="shared" si="22"/>
        <v/>
      </c>
      <c r="AB102" s="87"/>
      <c r="AC102" s="24"/>
      <c r="AD102" s="24"/>
      <c r="AE102" s="79" t="str">
        <f t="shared" si="17"/>
        <v/>
      </c>
      <c r="AF102" s="24"/>
      <c r="AG102" s="24"/>
      <c r="AH102" s="24"/>
      <c r="AI102" s="24"/>
      <c r="AJ102" s="99" t="str">
        <f t="shared" si="18"/>
        <v/>
      </c>
      <c r="AK102" s="31" t="str">
        <f t="shared" si="23"/>
        <v/>
      </c>
      <c r="AN102" s="139" t="str">
        <f>IF($K102="","",VLOOKUP($K102,'ORF Accuracy Value LookUp'!$G$4:$H$104,2,TRUE))</f>
        <v/>
      </c>
      <c r="AO102" s="94" t="str">
        <f t="shared" si="19"/>
        <v/>
      </c>
      <c r="AP102" s="47" t="str">
        <f>IF($U102="","",VLOOKUP($U102,'ORF Accuracy Value LookUp'!$G$4:$H$104,2,TRUE))</f>
        <v/>
      </c>
      <c r="AQ102" s="94" t="str">
        <f t="shared" si="20"/>
        <v/>
      </c>
      <c r="AR102" s="46" t="str">
        <f>IF($AE102="","",VLOOKUP($AE102,'ORF Accuracy Value LookUp'!$G$4:$H$104,2,TRUE))</f>
        <v/>
      </c>
      <c r="AS102" s="140" t="str">
        <f t="shared" si="21"/>
        <v/>
      </c>
    </row>
    <row r="103" spans="1:45">
      <c r="A103" s="10"/>
      <c r="B103" s="12"/>
      <c r="C103" s="13"/>
      <c r="D103" s="14"/>
      <c r="E103" s="10"/>
      <c r="F103" s="11"/>
      <c r="G103" s="15"/>
      <c r="H103" s="87"/>
      <c r="I103" s="24"/>
      <c r="J103" s="24"/>
      <c r="K103" s="114" t="str">
        <f t="shared" si="12"/>
        <v/>
      </c>
      <c r="L103" s="24"/>
      <c r="M103" s="24"/>
      <c r="N103" s="24"/>
      <c r="O103" s="24"/>
      <c r="P103" s="97" t="str">
        <f t="shared" si="13"/>
        <v/>
      </c>
      <c r="Q103" s="113" t="str">
        <f t="shared" si="14"/>
        <v/>
      </c>
      <c r="R103" s="87"/>
      <c r="S103" s="24"/>
      <c r="T103" s="24"/>
      <c r="U103" s="78" t="str">
        <f t="shared" si="15"/>
        <v/>
      </c>
      <c r="V103" s="24"/>
      <c r="W103" s="24"/>
      <c r="X103" s="24"/>
      <c r="Y103" s="24"/>
      <c r="Z103" s="98" t="str">
        <f t="shared" si="16"/>
        <v/>
      </c>
      <c r="AA103" s="40" t="str">
        <f t="shared" si="22"/>
        <v/>
      </c>
      <c r="AB103" s="87"/>
      <c r="AC103" s="24"/>
      <c r="AD103" s="24"/>
      <c r="AE103" s="79" t="str">
        <f t="shared" si="17"/>
        <v/>
      </c>
      <c r="AF103" s="24"/>
      <c r="AG103" s="24"/>
      <c r="AH103" s="24"/>
      <c r="AI103" s="24"/>
      <c r="AJ103" s="99" t="str">
        <f t="shared" si="18"/>
        <v/>
      </c>
      <c r="AK103" s="31" t="str">
        <f t="shared" si="23"/>
        <v/>
      </c>
      <c r="AN103" s="139" t="str">
        <f>IF($K103="","",VLOOKUP($K103,'ORF Accuracy Value LookUp'!$G$4:$H$104,2,TRUE))</f>
        <v/>
      </c>
      <c r="AO103" s="94" t="str">
        <f t="shared" si="19"/>
        <v/>
      </c>
      <c r="AP103" s="47" t="str">
        <f>IF($U103="","",VLOOKUP($U103,'ORF Accuracy Value LookUp'!$G$4:$H$104,2,TRUE))</f>
        <v/>
      </c>
      <c r="AQ103" s="94" t="str">
        <f t="shared" si="20"/>
        <v/>
      </c>
      <c r="AR103" s="46" t="str">
        <f>IF($AE103="","",VLOOKUP($AE103,'ORF Accuracy Value LookUp'!$G$4:$H$104,2,TRUE))</f>
        <v/>
      </c>
      <c r="AS103" s="140" t="str">
        <f t="shared" si="21"/>
        <v/>
      </c>
    </row>
    <row r="104" spans="1:45">
      <c r="A104" s="10"/>
      <c r="B104" s="12"/>
      <c r="C104" s="13"/>
      <c r="D104" s="14"/>
      <c r="E104" s="10"/>
      <c r="F104" s="11"/>
      <c r="G104" s="15"/>
      <c r="H104" s="87"/>
      <c r="I104" s="24"/>
      <c r="J104" s="24"/>
      <c r="K104" s="114" t="str">
        <f t="shared" si="12"/>
        <v/>
      </c>
      <c r="L104" s="24"/>
      <c r="M104" s="24"/>
      <c r="N104" s="24"/>
      <c r="O104" s="24"/>
      <c r="P104" s="97" t="str">
        <f t="shared" si="13"/>
        <v/>
      </c>
      <c r="Q104" s="113" t="str">
        <f t="shared" si="14"/>
        <v/>
      </c>
      <c r="R104" s="87"/>
      <c r="S104" s="24"/>
      <c r="T104" s="24"/>
      <c r="U104" s="78" t="str">
        <f t="shared" si="15"/>
        <v/>
      </c>
      <c r="V104" s="24"/>
      <c r="W104" s="24"/>
      <c r="X104" s="24"/>
      <c r="Y104" s="24"/>
      <c r="Z104" s="98" t="str">
        <f t="shared" si="16"/>
        <v/>
      </c>
      <c r="AA104" s="40" t="str">
        <f t="shared" si="22"/>
        <v/>
      </c>
      <c r="AB104" s="87"/>
      <c r="AC104" s="24"/>
      <c r="AD104" s="24"/>
      <c r="AE104" s="79" t="str">
        <f t="shared" si="17"/>
        <v/>
      </c>
      <c r="AF104" s="24"/>
      <c r="AG104" s="24"/>
      <c r="AH104" s="24"/>
      <c r="AI104" s="24"/>
      <c r="AJ104" s="99" t="str">
        <f t="shared" si="18"/>
        <v/>
      </c>
      <c r="AK104" s="31" t="str">
        <f t="shared" si="23"/>
        <v/>
      </c>
      <c r="AN104" s="139" t="str">
        <f>IF($K104="","",VLOOKUP($K104,'ORF Accuracy Value LookUp'!$G$4:$H$104,2,TRUE))</f>
        <v/>
      </c>
      <c r="AO104" s="94" t="str">
        <f t="shared" si="19"/>
        <v/>
      </c>
      <c r="AP104" s="47" t="str">
        <f>IF($U104="","",VLOOKUP($U104,'ORF Accuracy Value LookUp'!$G$4:$H$104,2,TRUE))</f>
        <v/>
      </c>
      <c r="AQ104" s="94" t="str">
        <f t="shared" si="20"/>
        <v/>
      </c>
      <c r="AR104" s="46" t="str">
        <f>IF($AE104="","",VLOOKUP($AE104,'ORF Accuracy Value LookUp'!$G$4:$H$104,2,TRUE))</f>
        <v/>
      </c>
      <c r="AS104" s="140" t="str">
        <f t="shared" si="21"/>
        <v/>
      </c>
    </row>
    <row r="105" spans="1:45">
      <c r="A105" s="10"/>
      <c r="B105" s="12"/>
      <c r="C105" s="13"/>
      <c r="D105" s="14"/>
      <c r="E105" s="10"/>
      <c r="F105" s="11"/>
      <c r="G105" s="15"/>
      <c r="H105" s="87"/>
      <c r="I105" s="24"/>
      <c r="J105" s="24"/>
      <c r="K105" s="114" t="str">
        <f t="shared" si="12"/>
        <v/>
      </c>
      <c r="L105" s="24"/>
      <c r="M105" s="24"/>
      <c r="N105" s="24"/>
      <c r="O105" s="24"/>
      <c r="P105" s="97" t="str">
        <f t="shared" si="13"/>
        <v/>
      </c>
      <c r="Q105" s="113" t="str">
        <f t="shared" si="14"/>
        <v/>
      </c>
      <c r="R105" s="87"/>
      <c r="S105" s="24"/>
      <c r="T105" s="24"/>
      <c r="U105" s="78" t="str">
        <f t="shared" si="15"/>
        <v/>
      </c>
      <c r="V105" s="24"/>
      <c r="W105" s="24"/>
      <c r="X105" s="24"/>
      <c r="Y105" s="24"/>
      <c r="Z105" s="98" t="str">
        <f t="shared" si="16"/>
        <v/>
      </c>
      <c r="AA105" s="40" t="str">
        <f t="shared" si="22"/>
        <v/>
      </c>
      <c r="AB105" s="87"/>
      <c r="AC105" s="24"/>
      <c r="AD105" s="24"/>
      <c r="AE105" s="79" t="str">
        <f t="shared" si="17"/>
        <v/>
      </c>
      <c r="AF105" s="24"/>
      <c r="AG105" s="24"/>
      <c r="AH105" s="24"/>
      <c r="AI105" s="24"/>
      <c r="AJ105" s="99" t="str">
        <f t="shared" si="18"/>
        <v/>
      </c>
      <c r="AK105" s="31" t="str">
        <f t="shared" si="23"/>
        <v/>
      </c>
      <c r="AN105" s="139" t="str">
        <f>IF($K105="","",VLOOKUP($K105,'ORF Accuracy Value LookUp'!$G$4:$H$104,2,TRUE))</f>
        <v/>
      </c>
      <c r="AO105" s="94" t="str">
        <f t="shared" si="19"/>
        <v/>
      </c>
      <c r="AP105" s="47" t="str">
        <f>IF($U105="","",VLOOKUP($U105,'ORF Accuracy Value LookUp'!$G$4:$H$104,2,TRUE))</f>
        <v/>
      </c>
      <c r="AQ105" s="94" t="str">
        <f t="shared" si="20"/>
        <v/>
      </c>
      <c r="AR105" s="46" t="str">
        <f>IF($AE105="","",VLOOKUP($AE105,'ORF Accuracy Value LookUp'!$G$4:$H$104,2,TRUE))</f>
        <v/>
      </c>
      <c r="AS105" s="140" t="str">
        <f t="shared" si="21"/>
        <v/>
      </c>
    </row>
    <row r="106" spans="1:45">
      <c r="A106" s="10"/>
      <c r="B106" s="12"/>
      <c r="C106" s="13"/>
      <c r="D106" s="14"/>
      <c r="E106" s="10"/>
      <c r="F106" s="11"/>
      <c r="G106" s="15"/>
      <c r="H106" s="87"/>
      <c r="I106" s="24"/>
      <c r="J106" s="24"/>
      <c r="K106" s="114" t="str">
        <f t="shared" si="12"/>
        <v/>
      </c>
      <c r="L106" s="24"/>
      <c r="M106" s="24"/>
      <c r="N106" s="24"/>
      <c r="O106" s="24"/>
      <c r="P106" s="97" t="str">
        <f t="shared" si="13"/>
        <v/>
      </c>
      <c r="Q106" s="113" t="str">
        <f t="shared" si="14"/>
        <v/>
      </c>
      <c r="R106" s="87"/>
      <c r="S106" s="24"/>
      <c r="T106" s="24"/>
      <c r="U106" s="78" t="str">
        <f t="shared" si="15"/>
        <v/>
      </c>
      <c r="V106" s="24"/>
      <c r="W106" s="24"/>
      <c r="X106" s="24"/>
      <c r="Y106" s="24"/>
      <c r="Z106" s="98" t="str">
        <f t="shared" si="16"/>
        <v/>
      </c>
      <c r="AA106" s="40" t="str">
        <f t="shared" si="22"/>
        <v/>
      </c>
      <c r="AB106" s="87"/>
      <c r="AC106" s="24"/>
      <c r="AD106" s="24"/>
      <c r="AE106" s="79" t="str">
        <f t="shared" si="17"/>
        <v/>
      </c>
      <c r="AF106" s="24"/>
      <c r="AG106" s="24"/>
      <c r="AH106" s="24"/>
      <c r="AI106" s="24"/>
      <c r="AJ106" s="99" t="str">
        <f t="shared" si="18"/>
        <v/>
      </c>
      <c r="AK106" s="31" t="str">
        <f t="shared" si="23"/>
        <v/>
      </c>
      <c r="AN106" s="139" t="str">
        <f>IF($K106="","",VLOOKUP($K106,'ORF Accuracy Value LookUp'!$G$4:$H$104,2,TRUE))</f>
        <v/>
      </c>
      <c r="AO106" s="94" t="str">
        <f t="shared" si="19"/>
        <v/>
      </c>
      <c r="AP106" s="47" t="str">
        <f>IF($U106="","",VLOOKUP($U106,'ORF Accuracy Value LookUp'!$G$4:$H$104,2,TRUE))</f>
        <v/>
      </c>
      <c r="AQ106" s="94" t="str">
        <f t="shared" si="20"/>
        <v/>
      </c>
      <c r="AR106" s="46" t="str">
        <f>IF($AE106="","",VLOOKUP($AE106,'ORF Accuracy Value LookUp'!$G$4:$H$104,2,TRUE))</f>
        <v/>
      </c>
      <c r="AS106" s="140" t="str">
        <f t="shared" si="21"/>
        <v/>
      </c>
    </row>
    <row r="107" spans="1:45">
      <c r="A107" s="10"/>
      <c r="B107" s="12"/>
      <c r="C107" s="13"/>
      <c r="D107" s="14"/>
      <c r="E107" s="10"/>
      <c r="F107" s="11"/>
      <c r="G107" s="15"/>
      <c r="H107" s="87"/>
      <c r="I107" s="24"/>
      <c r="J107" s="24"/>
      <c r="K107" s="114" t="str">
        <f t="shared" si="12"/>
        <v/>
      </c>
      <c r="L107" s="24"/>
      <c r="M107" s="24"/>
      <c r="N107" s="24"/>
      <c r="O107" s="24"/>
      <c r="P107" s="97" t="str">
        <f t="shared" si="13"/>
        <v/>
      </c>
      <c r="Q107" s="113" t="str">
        <f t="shared" si="14"/>
        <v/>
      </c>
      <c r="R107" s="87"/>
      <c r="S107" s="24"/>
      <c r="T107" s="24"/>
      <c r="U107" s="78" t="str">
        <f t="shared" si="15"/>
        <v/>
      </c>
      <c r="V107" s="24"/>
      <c r="W107" s="24"/>
      <c r="X107" s="24"/>
      <c r="Y107" s="24"/>
      <c r="Z107" s="98" t="str">
        <f t="shared" si="16"/>
        <v/>
      </c>
      <c r="AA107" s="40" t="str">
        <f t="shared" si="22"/>
        <v/>
      </c>
      <c r="AB107" s="87"/>
      <c r="AC107" s="24"/>
      <c r="AD107" s="24"/>
      <c r="AE107" s="79" t="str">
        <f t="shared" si="17"/>
        <v/>
      </c>
      <c r="AF107" s="24"/>
      <c r="AG107" s="24"/>
      <c r="AH107" s="24"/>
      <c r="AI107" s="24"/>
      <c r="AJ107" s="99" t="str">
        <f t="shared" si="18"/>
        <v/>
      </c>
      <c r="AK107" s="31" t="str">
        <f t="shared" si="23"/>
        <v/>
      </c>
      <c r="AN107" s="139" t="str">
        <f>IF($K107="","",VLOOKUP($K107,'ORF Accuracy Value LookUp'!$G$4:$H$104,2,TRUE))</f>
        <v/>
      </c>
      <c r="AO107" s="94" t="str">
        <f t="shared" si="19"/>
        <v/>
      </c>
      <c r="AP107" s="47" t="str">
        <f>IF($U107="","",VLOOKUP($U107,'ORF Accuracy Value LookUp'!$G$4:$H$104,2,TRUE))</f>
        <v/>
      </c>
      <c r="AQ107" s="94" t="str">
        <f t="shared" si="20"/>
        <v/>
      </c>
      <c r="AR107" s="46" t="str">
        <f>IF($AE107="","",VLOOKUP($AE107,'ORF Accuracy Value LookUp'!$G$4:$H$104,2,TRUE))</f>
        <v/>
      </c>
      <c r="AS107" s="140" t="str">
        <f t="shared" si="21"/>
        <v/>
      </c>
    </row>
    <row r="108" spans="1:45">
      <c r="A108" s="10"/>
      <c r="B108" s="12"/>
      <c r="C108" s="13"/>
      <c r="D108" s="14"/>
      <c r="E108" s="10"/>
      <c r="F108" s="11"/>
      <c r="G108" s="15"/>
      <c r="H108" s="87"/>
      <c r="I108" s="24"/>
      <c r="J108" s="24"/>
      <c r="K108" s="114" t="str">
        <f t="shared" si="12"/>
        <v/>
      </c>
      <c r="L108" s="24"/>
      <c r="M108" s="24"/>
      <c r="N108" s="24"/>
      <c r="O108" s="24"/>
      <c r="P108" s="97" t="str">
        <f t="shared" si="13"/>
        <v/>
      </c>
      <c r="Q108" s="113" t="str">
        <f t="shared" si="14"/>
        <v/>
      </c>
      <c r="R108" s="87"/>
      <c r="S108" s="24"/>
      <c r="T108" s="24"/>
      <c r="U108" s="78" t="str">
        <f t="shared" si="15"/>
        <v/>
      </c>
      <c r="V108" s="24"/>
      <c r="W108" s="24"/>
      <c r="X108" s="24"/>
      <c r="Y108" s="24"/>
      <c r="Z108" s="98" t="str">
        <f t="shared" si="16"/>
        <v/>
      </c>
      <c r="AA108" s="40" t="str">
        <f t="shared" si="22"/>
        <v/>
      </c>
      <c r="AB108" s="87"/>
      <c r="AC108" s="24"/>
      <c r="AD108" s="24"/>
      <c r="AE108" s="79" t="str">
        <f t="shared" si="17"/>
        <v/>
      </c>
      <c r="AF108" s="24"/>
      <c r="AG108" s="24"/>
      <c r="AH108" s="24"/>
      <c r="AI108" s="24"/>
      <c r="AJ108" s="99" t="str">
        <f t="shared" si="18"/>
        <v/>
      </c>
      <c r="AK108" s="31" t="str">
        <f t="shared" si="23"/>
        <v/>
      </c>
      <c r="AN108" s="139" t="str">
        <f>IF($K108="","",VLOOKUP($K108,'ORF Accuracy Value LookUp'!$G$4:$H$104,2,TRUE))</f>
        <v/>
      </c>
      <c r="AO108" s="94" t="str">
        <f t="shared" si="19"/>
        <v/>
      </c>
      <c r="AP108" s="47" t="str">
        <f>IF($U108="","",VLOOKUP($U108,'ORF Accuracy Value LookUp'!$G$4:$H$104,2,TRUE))</f>
        <v/>
      </c>
      <c r="AQ108" s="94" t="str">
        <f t="shared" si="20"/>
        <v/>
      </c>
      <c r="AR108" s="46" t="str">
        <f>IF($AE108="","",VLOOKUP($AE108,'ORF Accuracy Value LookUp'!$G$4:$H$104,2,TRUE))</f>
        <v/>
      </c>
      <c r="AS108" s="140" t="str">
        <f t="shared" si="21"/>
        <v/>
      </c>
    </row>
    <row r="109" spans="1:45">
      <c r="A109" s="10"/>
      <c r="B109" s="12"/>
      <c r="C109" s="13"/>
      <c r="D109" s="14"/>
      <c r="E109" s="10"/>
      <c r="F109" s="11"/>
      <c r="G109" s="15"/>
      <c r="H109" s="87"/>
      <c r="I109" s="24"/>
      <c r="J109" s="24"/>
      <c r="K109" s="114" t="str">
        <f t="shared" si="12"/>
        <v/>
      </c>
      <c r="L109" s="24"/>
      <c r="M109" s="24"/>
      <c r="N109" s="24"/>
      <c r="O109" s="24"/>
      <c r="P109" s="97" t="str">
        <f t="shared" si="13"/>
        <v/>
      </c>
      <c r="Q109" s="113" t="str">
        <f t="shared" si="14"/>
        <v/>
      </c>
      <c r="R109" s="87"/>
      <c r="S109" s="24"/>
      <c r="T109" s="24"/>
      <c r="U109" s="78" t="str">
        <f t="shared" si="15"/>
        <v/>
      </c>
      <c r="V109" s="24"/>
      <c r="W109" s="24"/>
      <c r="X109" s="24"/>
      <c r="Y109" s="24"/>
      <c r="Z109" s="98" t="str">
        <f t="shared" si="16"/>
        <v/>
      </c>
      <c r="AA109" s="40" t="str">
        <f t="shared" si="22"/>
        <v/>
      </c>
      <c r="AB109" s="87"/>
      <c r="AC109" s="24"/>
      <c r="AD109" s="24"/>
      <c r="AE109" s="79" t="str">
        <f t="shared" si="17"/>
        <v/>
      </c>
      <c r="AF109" s="24"/>
      <c r="AG109" s="24"/>
      <c r="AH109" s="24"/>
      <c r="AI109" s="24"/>
      <c r="AJ109" s="99" t="str">
        <f t="shared" si="18"/>
        <v/>
      </c>
      <c r="AK109" s="31" t="str">
        <f t="shared" si="23"/>
        <v/>
      </c>
      <c r="AN109" s="139" t="str">
        <f>IF($K109="","",VLOOKUP($K109,'ORF Accuracy Value LookUp'!$G$4:$H$104,2,TRUE))</f>
        <v/>
      </c>
      <c r="AO109" s="94" t="str">
        <f t="shared" si="19"/>
        <v/>
      </c>
      <c r="AP109" s="47" t="str">
        <f>IF($U109="","",VLOOKUP($U109,'ORF Accuracy Value LookUp'!$G$4:$H$104,2,TRUE))</f>
        <v/>
      </c>
      <c r="AQ109" s="94" t="str">
        <f t="shared" si="20"/>
        <v/>
      </c>
      <c r="AR109" s="46" t="str">
        <f>IF($AE109="","",VLOOKUP($AE109,'ORF Accuracy Value LookUp'!$G$4:$H$104,2,TRUE))</f>
        <v/>
      </c>
      <c r="AS109" s="140" t="str">
        <f t="shared" si="21"/>
        <v/>
      </c>
    </row>
    <row r="110" spans="1:45">
      <c r="A110" s="10"/>
      <c r="B110" s="12"/>
      <c r="C110" s="13"/>
      <c r="D110" s="14"/>
      <c r="E110" s="10"/>
      <c r="F110" s="11"/>
      <c r="G110" s="15"/>
      <c r="H110" s="87"/>
      <c r="I110" s="24"/>
      <c r="J110" s="24"/>
      <c r="K110" s="114" t="str">
        <f t="shared" si="12"/>
        <v/>
      </c>
      <c r="L110" s="24"/>
      <c r="M110" s="24"/>
      <c r="N110" s="24"/>
      <c r="O110" s="24"/>
      <c r="P110" s="97" t="str">
        <f t="shared" si="13"/>
        <v/>
      </c>
      <c r="Q110" s="113" t="str">
        <f t="shared" si="14"/>
        <v/>
      </c>
      <c r="R110" s="87"/>
      <c r="S110" s="24"/>
      <c r="T110" s="24"/>
      <c r="U110" s="78" t="str">
        <f t="shared" si="15"/>
        <v/>
      </c>
      <c r="V110" s="24"/>
      <c r="W110" s="24"/>
      <c r="X110" s="24"/>
      <c r="Y110" s="24"/>
      <c r="Z110" s="98" t="str">
        <f t="shared" si="16"/>
        <v/>
      </c>
      <c r="AA110" s="40" t="str">
        <f t="shared" si="22"/>
        <v/>
      </c>
      <c r="AB110" s="87"/>
      <c r="AC110" s="24"/>
      <c r="AD110" s="24"/>
      <c r="AE110" s="79" t="str">
        <f t="shared" si="17"/>
        <v/>
      </c>
      <c r="AF110" s="24"/>
      <c r="AG110" s="24"/>
      <c r="AH110" s="24"/>
      <c r="AI110" s="24"/>
      <c r="AJ110" s="99" t="str">
        <f t="shared" si="18"/>
        <v/>
      </c>
      <c r="AK110" s="31" t="str">
        <f t="shared" si="23"/>
        <v/>
      </c>
      <c r="AN110" s="139" t="str">
        <f>IF($K110="","",VLOOKUP($K110,'ORF Accuracy Value LookUp'!$G$4:$H$104,2,TRUE))</f>
        <v/>
      </c>
      <c r="AO110" s="94" t="str">
        <f t="shared" si="19"/>
        <v/>
      </c>
      <c r="AP110" s="47" t="str">
        <f>IF($U110="","",VLOOKUP($U110,'ORF Accuracy Value LookUp'!$G$4:$H$104,2,TRUE))</f>
        <v/>
      </c>
      <c r="AQ110" s="94" t="str">
        <f t="shared" si="20"/>
        <v/>
      </c>
      <c r="AR110" s="46" t="str">
        <f>IF($AE110="","",VLOOKUP($AE110,'ORF Accuracy Value LookUp'!$G$4:$H$104,2,TRUE))</f>
        <v/>
      </c>
      <c r="AS110" s="140" t="str">
        <f t="shared" si="21"/>
        <v/>
      </c>
    </row>
    <row r="111" spans="1:45">
      <c r="A111" s="10"/>
      <c r="B111" s="12"/>
      <c r="C111" s="13"/>
      <c r="D111" s="14"/>
      <c r="E111" s="10"/>
      <c r="F111" s="11"/>
      <c r="G111" s="15"/>
      <c r="H111" s="87"/>
      <c r="I111" s="24"/>
      <c r="J111" s="24"/>
      <c r="K111" s="114" t="str">
        <f t="shared" si="12"/>
        <v/>
      </c>
      <c r="L111" s="24"/>
      <c r="M111" s="24"/>
      <c r="N111" s="24"/>
      <c r="O111" s="24"/>
      <c r="P111" s="97" t="str">
        <f t="shared" si="13"/>
        <v/>
      </c>
      <c r="Q111" s="113" t="str">
        <f t="shared" si="14"/>
        <v/>
      </c>
      <c r="R111" s="87"/>
      <c r="S111" s="24"/>
      <c r="T111" s="24"/>
      <c r="U111" s="78" t="str">
        <f t="shared" si="15"/>
        <v/>
      </c>
      <c r="V111" s="24"/>
      <c r="W111" s="24"/>
      <c r="X111" s="24"/>
      <c r="Y111" s="24"/>
      <c r="Z111" s="98" t="str">
        <f t="shared" si="16"/>
        <v/>
      </c>
      <c r="AA111" s="40" t="str">
        <f t="shared" si="22"/>
        <v/>
      </c>
      <c r="AB111" s="87"/>
      <c r="AC111" s="24"/>
      <c r="AD111" s="24"/>
      <c r="AE111" s="79" t="str">
        <f t="shared" si="17"/>
        <v/>
      </c>
      <c r="AF111" s="24"/>
      <c r="AG111" s="24"/>
      <c r="AH111" s="24"/>
      <c r="AI111" s="24"/>
      <c r="AJ111" s="99" t="str">
        <f t="shared" si="18"/>
        <v/>
      </c>
      <c r="AK111" s="31" t="str">
        <f t="shared" si="23"/>
        <v/>
      </c>
      <c r="AN111" s="139" t="str">
        <f>IF($K111="","",VLOOKUP($K111,'ORF Accuracy Value LookUp'!$G$4:$H$104,2,TRUE))</f>
        <v/>
      </c>
      <c r="AO111" s="94" t="str">
        <f t="shared" si="19"/>
        <v/>
      </c>
      <c r="AP111" s="47" t="str">
        <f>IF($U111="","",VLOOKUP($U111,'ORF Accuracy Value LookUp'!$G$4:$H$104,2,TRUE))</f>
        <v/>
      </c>
      <c r="AQ111" s="94" t="str">
        <f t="shared" si="20"/>
        <v/>
      </c>
      <c r="AR111" s="46" t="str">
        <f>IF($AE111="","",VLOOKUP($AE111,'ORF Accuracy Value LookUp'!$G$4:$H$104,2,TRUE))</f>
        <v/>
      </c>
      <c r="AS111" s="140" t="str">
        <f t="shared" si="21"/>
        <v/>
      </c>
    </row>
    <row r="112" spans="1:45">
      <c r="A112" s="10"/>
      <c r="B112" s="12"/>
      <c r="C112" s="13"/>
      <c r="D112" s="14"/>
      <c r="E112" s="10"/>
      <c r="F112" s="11"/>
      <c r="G112" s="15"/>
      <c r="H112" s="87"/>
      <c r="I112" s="24"/>
      <c r="J112" s="24"/>
      <c r="K112" s="114" t="str">
        <f t="shared" si="12"/>
        <v/>
      </c>
      <c r="L112" s="24"/>
      <c r="M112" s="24"/>
      <c r="N112" s="24"/>
      <c r="O112" s="24"/>
      <c r="P112" s="97" t="str">
        <f t="shared" si="13"/>
        <v/>
      </c>
      <c r="Q112" s="113" t="str">
        <f t="shared" si="14"/>
        <v/>
      </c>
      <c r="R112" s="87"/>
      <c r="S112" s="24"/>
      <c r="T112" s="24"/>
      <c r="U112" s="78" t="str">
        <f t="shared" si="15"/>
        <v/>
      </c>
      <c r="V112" s="24"/>
      <c r="W112" s="24"/>
      <c r="X112" s="24"/>
      <c r="Y112" s="24"/>
      <c r="Z112" s="98" t="str">
        <f t="shared" si="16"/>
        <v/>
      </c>
      <c r="AA112" s="40" t="str">
        <f t="shared" si="22"/>
        <v/>
      </c>
      <c r="AB112" s="87"/>
      <c r="AC112" s="24"/>
      <c r="AD112" s="24"/>
      <c r="AE112" s="79" t="str">
        <f t="shared" si="17"/>
        <v/>
      </c>
      <c r="AF112" s="24"/>
      <c r="AG112" s="24"/>
      <c r="AH112" s="24"/>
      <c r="AI112" s="24"/>
      <c r="AJ112" s="99" t="str">
        <f t="shared" si="18"/>
        <v/>
      </c>
      <c r="AK112" s="31" t="str">
        <f t="shared" si="23"/>
        <v/>
      </c>
      <c r="AN112" s="139" t="str">
        <f>IF($K112="","",VLOOKUP($K112,'ORF Accuracy Value LookUp'!$G$4:$H$104,2,TRUE))</f>
        <v/>
      </c>
      <c r="AO112" s="94" t="str">
        <f t="shared" si="19"/>
        <v/>
      </c>
      <c r="AP112" s="47" t="str">
        <f>IF($U112="","",VLOOKUP($U112,'ORF Accuracy Value LookUp'!$G$4:$H$104,2,TRUE))</f>
        <v/>
      </c>
      <c r="AQ112" s="94" t="str">
        <f t="shared" si="20"/>
        <v/>
      </c>
      <c r="AR112" s="46" t="str">
        <f>IF($AE112="","",VLOOKUP($AE112,'ORF Accuracy Value LookUp'!$G$4:$H$104,2,TRUE))</f>
        <v/>
      </c>
      <c r="AS112" s="140" t="str">
        <f t="shared" si="21"/>
        <v/>
      </c>
    </row>
    <row r="113" spans="1:45">
      <c r="A113" s="10"/>
      <c r="B113" s="12"/>
      <c r="C113" s="13"/>
      <c r="D113" s="14"/>
      <c r="E113" s="10"/>
      <c r="F113" s="11"/>
      <c r="G113" s="15"/>
      <c r="H113" s="87"/>
      <c r="I113" s="24"/>
      <c r="J113" s="24"/>
      <c r="K113" s="114" t="str">
        <f t="shared" si="12"/>
        <v/>
      </c>
      <c r="L113" s="24"/>
      <c r="M113" s="24"/>
      <c r="N113" s="24"/>
      <c r="O113" s="24"/>
      <c r="P113" s="97" t="str">
        <f t="shared" si="13"/>
        <v/>
      </c>
      <c r="Q113" s="113" t="str">
        <f t="shared" si="14"/>
        <v/>
      </c>
      <c r="R113" s="87"/>
      <c r="S113" s="24"/>
      <c r="T113" s="24"/>
      <c r="U113" s="78" t="str">
        <f t="shared" si="15"/>
        <v/>
      </c>
      <c r="V113" s="24"/>
      <c r="W113" s="24"/>
      <c r="X113" s="24"/>
      <c r="Y113" s="24"/>
      <c r="Z113" s="98" t="str">
        <f t="shared" si="16"/>
        <v/>
      </c>
      <c r="AA113" s="40" t="str">
        <f t="shared" si="22"/>
        <v/>
      </c>
      <c r="AB113" s="87"/>
      <c r="AC113" s="24"/>
      <c r="AD113" s="24"/>
      <c r="AE113" s="79" t="str">
        <f t="shared" si="17"/>
        <v/>
      </c>
      <c r="AF113" s="24"/>
      <c r="AG113" s="24"/>
      <c r="AH113" s="24"/>
      <c r="AI113" s="24"/>
      <c r="AJ113" s="99" t="str">
        <f t="shared" si="18"/>
        <v/>
      </c>
      <c r="AK113" s="31" t="str">
        <f t="shared" si="23"/>
        <v/>
      </c>
      <c r="AN113" s="139" t="str">
        <f>IF($K113="","",VLOOKUP($K113,'ORF Accuracy Value LookUp'!$G$4:$H$104,2,TRUE))</f>
        <v/>
      </c>
      <c r="AO113" s="94" t="str">
        <f t="shared" si="19"/>
        <v/>
      </c>
      <c r="AP113" s="47" t="str">
        <f>IF($U113="","",VLOOKUP($U113,'ORF Accuracy Value LookUp'!$G$4:$H$104,2,TRUE))</f>
        <v/>
      </c>
      <c r="AQ113" s="94" t="str">
        <f t="shared" si="20"/>
        <v/>
      </c>
      <c r="AR113" s="46" t="str">
        <f>IF($AE113="","",VLOOKUP($AE113,'ORF Accuracy Value LookUp'!$G$4:$H$104,2,TRUE))</f>
        <v/>
      </c>
      <c r="AS113" s="140" t="str">
        <f t="shared" si="21"/>
        <v/>
      </c>
    </row>
    <row r="114" spans="1:45">
      <c r="A114" s="10"/>
      <c r="B114" s="12"/>
      <c r="C114" s="13"/>
      <c r="D114" s="14"/>
      <c r="E114" s="10"/>
      <c r="F114" s="11"/>
      <c r="G114" s="15"/>
      <c r="H114" s="87"/>
      <c r="I114" s="24"/>
      <c r="J114" s="24"/>
      <c r="K114" s="114" t="str">
        <f t="shared" si="12"/>
        <v/>
      </c>
      <c r="L114" s="24"/>
      <c r="M114" s="24"/>
      <c r="N114" s="24"/>
      <c r="O114" s="24"/>
      <c r="P114" s="97" t="str">
        <f t="shared" si="13"/>
        <v/>
      </c>
      <c r="Q114" s="113" t="str">
        <f t="shared" si="14"/>
        <v/>
      </c>
      <c r="R114" s="87"/>
      <c r="S114" s="24"/>
      <c r="T114" s="24"/>
      <c r="U114" s="78" t="str">
        <f t="shared" si="15"/>
        <v/>
      </c>
      <c r="V114" s="24"/>
      <c r="W114" s="24"/>
      <c r="X114" s="24"/>
      <c r="Y114" s="24"/>
      <c r="Z114" s="98" t="str">
        <f t="shared" si="16"/>
        <v/>
      </c>
      <c r="AA114" s="40" t="str">
        <f t="shared" si="22"/>
        <v/>
      </c>
      <c r="AB114" s="87"/>
      <c r="AC114" s="24"/>
      <c r="AD114" s="24"/>
      <c r="AE114" s="79" t="str">
        <f t="shared" si="17"/>
        <v/>
      </c>
      <c r="AF114" s="24"/>
      <c r="AG114" s="24"/>
      <c r="AH114" s="24"/>
      <c r="AI114" s="24"/>
      <c r="AJ114" s="99" t="str">
        <f t="shared" si="18"/>
        <v/>
      </c>
      <c r="AK114" s="31" t="str">
        <f t="shared" si="23"/>
        <v/>
      </c>
      <c r="AN114" s="139" t="str">
        <f>IF($K114="","",VLOOKUP($K114,'ORF Accuracy Value LookUp'!$G$4:$H$104,2,TRUE))</f>
        <v/>
      </c>
      <c r="AO114" s="94" t="str">
        <f t="shared" si="19"/>
        <v/>
      </c>
      <c r="AP114" s="47" t="str">
        <f>IF($U114="","",VLOOKUP($U114,'ORF Accuracy Value LookUp'!$G$4:$H$104,2,TRUE))</f>
        <v/>
      </c>
      <c r="AQ114" s="94" t="str">
        <f t="shared" si="20"/>
        <v/>
      </c>
      <c r="AR114" s="46" t="str">
        <f>IF($AE114="","",VLOOKUP($AE114,'ORF Accuracy Value LookUp'!$G$4:$H$104,2,TRUE))</f>
        <v/>
      </c>
      <c r="AS114" s="140" t="str">
        <f t="shared" si="21"/>
        <v/>
      </c>
    </row>
    <row r="115" spans="1:45">
      <c r="A115" s="10"/>
      <c r="B115" s="12"/>
      <c r="C115" s="13"/>
      <c r="D115" s="14"/>
      <c r="E115" s="10"/>
      <c r="F115" s="11"/>
      <c r="G115" s="15"/>
      <c r="H115" s="87"/>
      <c r="I115" s="24"/>
      <c r="J115" s="24"/>
      <c r="K115" s="114" t="str">
        <f t="shared" si="12"/>
        <v/>
      </c>
      <c r="L115" s="24"/>
      <c r="M115" s="24"/>
      <c r="N115" s="24"/>
      <c r="O115" s="24"/>
      <c r="P115" s="97" t="str">
        <f t="shared" si="13"/>
        <v/>
      </c>
      <c r="Q115" s="113" t="str">
        <f t="shared" si="14"/>
        <v/>
      </c>
      <c r="R115" s="87"/>
      <c r="S115" s="24"/>
      <c r="T115" s="24"/>
      <c r="U115" s="78" t="str">
        <f t="shared" si="15"/>
        <v/>
      </c>
      <c r="V115" s="24"/>
      <c r="W115" s="24"/>
      <c r="X115" s="24"/>
      <c r="Y115" s="24"/>
      <c r="Z115" s="98" t="str">
        <f t="shared" si="16"/>
        <v/>
      </c>
      <c r="AA115" s="40" t="str">
        <f t="shared" si="22"/>
        <v/>
      </c>
      <c r="AB115" s="87"/>
      <c r="AC115" s="24"/>
      <c r="AD115" s="24"/>
      <c r="AE115" s="79" t="str">
        <f t="shared" si="17"/>
        <v/>
      </c>
      <c r="AF115" s="24"/>
      <c r="AG115" s="24"/>
      <c r="AH115" s="24"/>
      <c r="AI115" s="24"/>
      <c r="AJ115" s="99" t="str">
        <f t="shared" si="18"/>
        <v/>
      </c>
      <c r="AK115" s="31" t="str">
        <f t="shared" si="23"/>
        <v/>
      </c>
      <c r="AN115" s="139" t="str">
        <f>IF($K115="","",VLOOKUP($K115,'ORF Accuracy Value LookUp'!$G$4:$H$104,2,TRUE))</f>
        <v/>
      </c>
      <c r="AO115" s="94" t="str">
        <f t="shared" si="19"/>
        <v/>
      </c>
      <c r="AP115" s="47" t="str">
        <f>IF($U115="","",VLOOKUP($U115,'ORF Accuracy Value LookUp'!$G$4:$H$104,2,TRUE))</f>
        <v/>
      </c>
      <c r="AQ115" s="94" t="str">
        <f t="shared" si="20"/>
        <v/>
      </c>
      <c r="AR115" s="46" t="str">
        <f>IF($AE115="","",VLOOKUP($AE115,'ORF Accuracy Value LookUp'!$G$4:$H$104,2,TRUE))</f>
        <v/>
      </c>
      <c r="AS115" s="140" t="str">
        <f t="shared" si="21"/>
        <v/>
      </c>
    </row>
    <row r="116" spans="1:45">
      <c r="A116" s="10"/>
      <c r="B116" s="12"/>
      <c r="C116" s="13"/>
      <c r="D116" s="14"/>
      <c r="E116" s="10"/>
      <c r="F116" s="11"/>
      <c r="G116" s="15"/>
      <c r="H116" s="87"/>
      <c r="I116" s="24"/>
      <c r="J116" s="24"/>
      <c r="K116" s="114" t="str">
        <f t="shared" si="12"/>
        <v/>
      </c>
      <c r="L116" s="24"/>
      <c r="M116" s="24"/>
      <c r="N116" s="24"/>
      <c r="O116" s="24"/>
      <c r="P116" s="97" t="str">
        <f t="shared" si="13"/>
        <v/>
      </c>
      <c r="Q116" s="113" t="str">
        <f t="shared" si="14"/>
        <v/>
      </c>
      <c r="R116" s="87"/>
      <c r="S116" s="24"/>
      <c r="T116" s="24"/>
      <c r="U116" s="78" t="str">
        <f t="shared" si="15"/>
        <v/>
      </c>
      <c r="V116" s="24"/>
      <c r="W116" s="24"/>
      <c r="X116" s="24"/>
      <c r="Y116" s="24"/>
      <c r="Z116" s="98" t="str">
        <f t="shared" si="16"/>
        <v/>
      </c>
      <c r="AA116" s="40" t="str">
        <f t="shared" si="22"/>
        <v/>
      </c>
      <c r="AB116" s="87"/>
      <c r="AC116" s="24"/>
      <c r="AD116" s="24"/>
      <c r="AE116" s="79" t="str">
        <f t="shared" si="17"/>
        <v/>
      </c>
      <c r="AF116" s="24"/>
      <c r="AG116" s="24"/>
      <c r="AH116" s="24"/>
      <c r="AI116" s="24"/>
      <c r="AJ116" s="99" t="str">
        <f t="shared" si="18"/>
        <v/>
      </c>
      <c r="AK116" s="31" t="str">
        <f t="shared" si="23"/>
        <v/>
      </c>
      <c r="AN116" s="139" t="str">
        <f>IF($K116="","",VLOOKUP($K116,'ORF Accuracy Value LookUp'!$G$4:$H$104,2,TRUE))</f>
        <v/>
      </c>
      <c r="AO116" s="94" t="str">
        <f t="shared" si="19"/>
        <v/>
      </c>
      <c r="AP116" s="47" t="str">
        <f>IF($U116="","",VLOOKUP($U116,'ORF Accuracy Value LookUp'!$G$4:$H$104,2,TRUE))</f>
        <v/>
      </c>
      <c r="AQ116" s="94" t="str">
        <f t="shared" si="20"/>
        <v/>
      </c>
      <c r="AR116" s="46" t="str">
        <f>IF($AE116="","",VLOOKUP($AE116,'ORF Accuracy Value LookUp'!$G$4:$H$104,2,TRUE))</f>
        <v/>
      </c>
      <c r="AS116" s="140" t="str">
        <f t="shared" si="21"/>
        <v/>
      </c>
    </row>
    <row r="117" spans="1:45">
      <c r="A117" s="10"/>
      <c r="B117" s="12"/>
      <c r="C117" s="13"/>
      <c r="D117" s="14"/>
      <c r="E117" s="10"/>
      <c r="F117" s="11"/>
      <c r="G117" s="15"/>
      <c r="H117" s="87"/>
      <c r="I117" s="24"/>
      <c r="J117" s="24"/>
      <c r="K117" s="114" t="str">
        <f t="shared" si="12"/>
        <v/>
      </c>
      <c r="L117" s="24"/>
      <c r="M117" s="24"/>
      <c r="N117" s="24"/>
      <c r="O117" s="24"/>
      <c r="P117" s="97" t="str">
        <f t="shared" si="13"/>
        <v/>
      </c>
      <c r="Q117" s="113" t="str">
        <f t="shared" si="14"/>
        <v/>
      </c>
      <c r="R117" s="87"/>
      <c r="S117" s="24"/>
      <c r="T117" s="24"/>
      <c r="U117" s="78" t="str">
        <f t="shared" si="15"/>
        <v/>
      </c>
      <c r="V117" s="24"/>
      <c r="W117" s="24"/>
      <c r="X117" s="24"/>
      <c r="Y117" s="24"/>
      <c r="Z117" s="98" t="str">
        <f t="shared" si="16"/>
        <v/>
      </c>
      <c r="AA117" s="40" t="str">
        <f t="shared" si="22"/>
        <v/>
      </c>
      <c r="AB117" s="87"/>
      <c r="AC117" s="24"/>
      <c r="AD117" s="24"/>
      <c r="AE117" s="79" t="str">
        <f t="shared" si="17"/>
        <v/>
      </c>
      <c r="AF117" s="24"/>
      <c r="AG117" s="24"/>
      <c r="AH117" s="24"/>
      <c r="AI117" s="24"/>
      <c r="AJ117" s="99" t="str">
        <f t="shared" si="18"/>
        <v/>
      </c>
      <c r="AK117" s="31" t="str">
        <f t="shared" si="23"/>
        <v/>
      </c>
      <c r="AN117" s="139" t="str">
        <f>IF($K117="","",VLOOKUP($K117,'ORF Accuracy Value LookUp'!$G$4:$H$104,2,TRUE))</f>
        <v/>
      </c>
      <c r="AO117" s="94" t="str">
        <f t="shared" si="19"/>
        <v/>
      </c>
      <c r="AP117" s="47" t="str">
        <f>IF($U117="","",VLOOKUP($U117,'ORF Accuracy Value LookUp'!$G$4:$H$104,2,TRUE))</f>
        <v/>
      </c>
      <c r="AQ117" s="94" t="str">
        <f t="shared" si="20"/>
        <v/>
      </c>
      <c r="AR117" s="46" t="str">
        <f>IF($AE117="","",VLOOKUP($AE117,'ORF Accuracy Value LookUp'!$G$4:$H$104,2,TRUE))</f>
        <v/>
      </c>
      <c r="AS117" s="140" t="str">
        <f t="shared" si="21"/>
        <v/>
      </c>
    </row>
    <row r="118" spans="1:45">
      <c r="A118" s="10"/>
      <c r="B118" s="12"/>
      <c r="C118" s="13"/>
      <c r="D118" s="14"/>
      <c r="E118" s="10"/>
      <c r="F118" s="11"/>
      <c r="G118" s="15"/>
      <c r="H118" s="87"/>
      <c r="I118" s="24"/>
      <c r="J118" s="24"/>
      <c r="K118" s="114" t="str">
        <f t="shared" si="12"/>
        <v/>
      </c>
      <c r="L118" s="24"/>
      <c r="M118" s="24"/>
      <c r="N118" s="24"/>
      <c r="O118" s="24"/>
      <c r="P118" s="97" t="str">
        <f t="shared" si="13"/>
        <v/>
      </c>
      <c r="Q118" s="113" t="str">
        <f t="shared" si="14"/>
        <v/>
      </c>
      <c r="R118" s="87"/>
      <c r="S118" s="24"/>
      <c r="T118" s="24"/>
      <c r="U118" s="78" t="str">
        <f t="shared" si="15"/>
        <v/>
      </c>
      <c r="V118" s="24"/>
      <c r="W118" s="24"/>
      <c r="X118" s="24"/>
      <c r="Y118" s="24"/>
      <c r="Z118" s="98" t="str">
        <f t="shared" si="16"/>
        <v/>
      </c>
      <c r="AA118" s="40" t="str">
        <f t="shared" si="22"/>
        <v/>
      </c>
      <c r="AB118" s="87"/>
      <c r="AC118" s="24"/>
      <c r="AD118" s="24"/>
      <c r="AE118" s="79" t="str">
        <f t="shared" si="17"/>
        <v/>
      </c>
      <c r="AF118" s="24"/>
      <c r="AG118" s="24"/>
      <c r="AH118" s="24"/>
      <c r="AI118" s="24"/>
      <c r="AJ118" s="99" t="str">
        <f t="shared" si="18"/>
        <v/>
      </c>
      <c r="AK118" s="31" t="str">
        <f t="shared" si="23"/>
        <v/>
      </c>
      <c r="AN118" s="139" t="str">
        <f>IF($K118="","",VLOOKUP($K118,'ORF Accuracy Value LookUp'!$G$4:$H$104,2,TRUE))</f>
        <v/>
      </c>
      <c r="AO118" s="94" t="str">
        <f t="shared" si="19"/>
        <v/>
      </c>
      <c r="AP118" s="47" t="str">
        <f>IF($U118="","",VLOOKUP($U118,'ORF Accuracy Value LookUp'!$G$4:$H$104,2,TRUE))</f>
        <v/>
      </c>
      <c r="AQ118" s="94" t="str">
        <f t="shared" si="20"/>
        <v/>
      </c>
      <c r="AR118" s="46" t="str">
        <f>IF($AE118="","",VLOOKUP($AE118,'ORF Accuracy Value LookUp'!$G$4:$H$104,2,TRUE))</f>
        <v/>
      </c>
      <c r="AS118" s="140" t="str">
        <f t="shared" si="21"/>
        <v/>
      </c>
    </row>
    <row r="119" spans="1:45">
      <c r="A119" s="10"/>
      <c r="B119" s="12"/>
      <c r="C119" s="13"/>
      <c r="D119" s="14"/>
      <c r="E119" s="10"/>
      <c r="F119" s="11"/>
      <c r="G119" s="15"/>
      <c r="H119" s="87"/>
      <c r="I119" s="24"/>
      <c r="J119" s="24"/>
      <c r="K119" s="114" t="str">
        <f t="shared" si="12"/>
        <v/>
      </c>
      <c r="L119" s="24"/>
      <c r="M119" s="24"/>
      <c r="N119" s="24"/>
      <c r="O119" s="24"/>
      <c r="P119" s="97" t="str">
        <f t="shared" si="13"/>
        <v/>
      </c>
      <c r="Q119" s="113" t="str">
        <f t="shared" si="14"/>
        <v/>
      </c>
      <c r="R119" s="87"/>
      <c r="S119" s="24"/>
      <c r="T119" s="24"/>
      <c r="U119" s="78" t="str">
        <f t="shared" si="15"/>
        <v/>
      </c>
      <c r="V119" s="24"/>
      <c r="W119" s="24"/>
      <c r="X119" s="24"/>
      <c r="Y119" s="24"/>
      <c r="Z119" s="98" t="str">
        <f t="shared" si="16"/>
        <v/>
      </c>
      <c r="AA119" s="40" t="str">
        <f t="shared" si="22"/>
        <v/>
      </c>
      <c r="AB119" s="87"/>
      <c r="AC119" s="24"/>
      <c r="AD119" s="24"/>
      <c r="AE119" s="79" t="str">
        <f t="shared" si="17"/>
        <v/>
      </c>
      <c r="AF119" s="24"/>
      <c r="AG119" s="24"/>
      <c r="AH119" s="24"/>
      <c r="AI119" s="24"/>
      <c r="AJ119" s="99" t="str">
        <f t="shared" si="18"/>
        <v/>
      </c>
      <c r="AK119" s="31" t="str">
        <f t="shared" si="23"/>
        <v/>
      </c>
      <c r="AN119" s="139" t="str">
        <f>IF($K119="","",VLOOKUP($K119,'ORF Accuracy Value LookUp'!$G$4:$H$104,2,TRUE))</f>
        <v/>
      </c>
      <c r="AO119" s="94" t="str">
        <f t="shared" si="19"/>
        <v/>
      </c>
      <c r="AP119" s="47" t="str">
        <f>IF($U119="","",VLOOKUP($U119,'ORF Accuracy Value LookUp'!$G$4:$H$104,2,TRUE))</f>
        <v/>
      </c>
      <c r="AQ119" s="94" t="str">
        <f t="shared" si="20"/>
        <v/>
      </c>
      <c r="AR119" s="46" t="str">
        <f>IF($AE119="","",VLOOKUP($AE119,'ORF Accuracy Value LookUp'!$G$4:$H$104,2,TRUE))</f>
        <v/>
      </c>
      <c r="AS119" s="140" t="str">
        <f t="shared" si="21"/>
        <v/>
      </c>
    </row>
    <row r="120" spans="1:45">
      <c r="A120" s="10"/>
      <c r="B120" s="12"/>
      <c r="C120" s="13"/>
      <c r="D120" s="14"/>
      <c r="E120" s="10"/>
      <c r="F120" s="11"/>
      <c r="G120" s="15"/>
      <c r="H120" s="87"/>
      <c r="I120" s="24"/>
      <c r="J120" s="24"/>
      <c r="K120" s="114" t="str">
        <f t="shared" si="12"/>
        <v/>
      </c>
      <c r="L120" s="24"/>
      <c r="M120" s="24"/>
      <c r="N120" s="24"/>
      <c r="O120" s="24"/>
      <c r="P120" s="97" t="str">
        <f t="shared" si="13"/>
        <v/>
      </c>
      <c r="Q120" s="113" t="str">
        <f t="shared" si="14"/>
        <v/>
      </c>
      <c r="R120" s="87"/>
      <c r="S120" s="24"/>
      <c r="T120" s="24"/>
      <c r="U120" s="78" t="str">
        <f t="shared" si="15"/>
        <v/>
      </c>
      <c r="V120" s="24"/>
      <c r="W120" s="24"/>
      <c r="X120" s="24"/>
      <c r="Y120" s="24"/>
      <c r="Z120" s="98" t="str">
        <f t="shared" si="16"/>
        <v/>
      </c>
      <c r="AA120" s="40" t="str">
        <f t="shared" si="22"/>
        <v/>
      </c>
      <c r="AB120" s="87"/>
      <c r="AC120" s="24"/>
      <c r="AD120" s="24"/>
      <c r="AE120" s="79" t="str">
        <f t="shared" si="17"/>
        <v/>
      </c>
      <c r="AF120" s="24"/>
      <c r="AG120" s="24"/>
      <c r="AH120" s="24"/>
      <c r="AI120" s="24"/>
      <c r="AJ120" s="99" t="str">
        <f t="shared" si="18"/>
        <v/>
      </c>
      <c r="AK120" s="31" t="str">
        <f t="shared" si="23"/>
        <v/>
      </c>
      <c r="AN120" s="139" t="str">
        <f>IF($K120="","",VLOOKUP($K120,'ORF Accuracy Value LookUp'!$G$4:$H$104,2,TRUE))</f>
        <v/>
      </c>
      <c r="AO120" s="94" t="str">
        <f t="shared" si="19"/>
        <v/>
      </c>
      <c r="AP120" s="47" t="str">
        <f>IF($U120="","",VLOOKUP($U120,'ORF Accuracy Value LookUp'!$G$4:$H$104,2,TRUE))</f>
        <v/>
      </c>
      <c r="AQ120" s="94" t="str">
        <f t="shared" si="20"/>
        <v/>
      </c>
      <c r="AR120" s="46" t="str">
        <f>IF($AE120="","",VLOOKUP($AE120,'ORF Accuracy Value LookUp'!$G$4:$H$104,2,TRUE))</f>
        <v/>
      </c>
      <c r="AS120" s="140" t="str">
        <f t="shared" si="21"/>
        <v/>
      </c>
    </row>
    <row r="121" spans="1:45">
      <c r="A121" s="10"/>
      <c r="B121" s="12"/>
      <c r="C121" s="13"/>
      <c r="D121" s="14"/>
      <c r="E121" s="10"/>
      <c r="F121" s="11"/>
      <c r="G121" s="15"/>
      <c r="H121" s="87"/>
      <c r="I121" s="24"/>
      <c r="J121" s="24"/>
      <c r="K121" s="114" t="str">
        <f t="shared" si="12"/>
        <v/>
      </c>
      <c r="L121" s="24"/>
      <c r="M121" s="24"/>
      <c r="N121" s="24"/>
      <c r="O121" s="24"/>
      <c r="P121" s="97" t="str">
        <f t="shared" si="13"/>
        <v/>
      </c>
      <c r="Q121" s="113" t="str">
        <f t="shared" si="14"/>
        <v/>
      </c>
      <c r="R121" s="87"/>
      <c r="S121" s="24"/>
      <c r="T121" s="24"/>
      <c r="U121" s="78" t="str">
        <f t="shared" si="15"/>
        <v/>
      </c>
      <c r="V121" s="24"/>
      <c r="W121" s="24"/>
      <c r="X121" s="24"/>
      <c r="Y121" s="24"/>
      <c r="Z121" s="98" t="str">
        <f t="shared" si="16"/>
        <v/>
      </c>
      <c r="AA121" s="40" t="str">
        <f t="shared" si="22"/>
        <v/>
      </c>
      <c r="AB121" s="87"/>
      <c r="AC121" s="24"/>
      <c r="AD121" s="24"/>
      <c r="AE121" s="79" t="str">
        <f t="shared" si="17"/>
        <v/>
      </c>
      <c r="AF121" s="24"/>
      <c r="AG121" s="24"/>
      <c r="AH121" s="24"/>
      <c r="AI121" s="24"/>
      <c r="AJ121" s="99" t="str">
        <f t="shared" si="18"/>
        <v/>
      </c>
      <c r="AK121" s="31" t="str">
        <f t="shared" si="23"/>
        <v/>
      </c>
      <c r="AN121" s="139" t="str">
        <f>IF($K121="","",VLOOKUP($K121,'ORF Accuracy Value LookUp'!$G$4:$H$104,2,TRUE))</f>
        <v/>
      </c>
      <c r="AO121" s="94" t="str">
        <f t="shared" si="19"/>
        <v/>
      </c>
      <c r="AP121" s="47" t="str">
        <f>IF($U121="","",VLOOKUP($U121,'ORF Accuracy Value LookUp'!$G$4:$H$104,2,TRUE))</f>
        <v/>
      </c>
      <c r="AQ121" s="94" t="str">
        <f t="shared" si="20"/>
        <v/>
      </c>
      <c r="AR121" s="46" t="str">
        <f>IF($AE121="","",VLOOKUP($AE121,'ORF Accuracy Value LookUp'!$G$4:$H$104,2,TRUE))</f>
        <v/>
      </c>
      <c r="AS121" s="140" t="str">
        <f t="shared" si="21"/>
        <v/>
      </c>
    </row>
    <row r="122" spans="1:45">
      <c r="A122" s="10"/>
      <c r="B122" s="12"/>
      <c r="C122" s="13"/>
      <c r="D122" s="14"/>
      <c r="E122" s="10"/>
      <c r="F122" s="11"/>
      <c r="G122" s="15"/>
      <c r="H122" s="87"/>
      <c r="I122" s="24"/>
      <c r="J122" s="24"/>
      <c r="K122" s="114" t="str">
        <f t="shared" si="12"/>
        <v/>
      </c>
      <c r="L122" s="24"/>
      <c r="M122" s="24"/>
      <c r="N122" s="24"/>
      <c r="O122" s="24"/>
      <c r="P122" s="97" t="str">
        <f t="shared" si="13"/>
        <v/>
      </c>
      <c r="Q122" s="113" t="str">
        <f t="shared" si="14"/>
        <v/>
      </c>
      <c r="R122" s="87"/>
      <c r="S122" s="24"/>
      <c r="T122" s="24"/>
      <c r="U122" s="78" t="str">
        <f t="shared" si="15"/>
        <v/>
      </c>
      <c r="V122" s="24"/>
      <c r="W122" s="24"/>
      <c r="X122" s="24"/>
      <c r="Y122" s="24"/>
      <c r="Z122" s="98" t="str">
        <f t="shared" si="16"/>
        <v/>
      </c>
      <c r="AA122" s="40" t="str">
        <f t="shared" si="22"/>
        <v/>
      </c>
      <c r="AB122" s="87"/>
      <c r="AC122" s="24"/>
      <c r="AD122" s="24"/>
      <c r="AE122" s="79" t="str">
        <f t="shared" si="17"/>
        <v/>
      </c>
      <c r="AF122" s="24"/>
      <c r="AG122" s="24"/>
      <c r="AH122" s="24"/>
      <c r="AI122" s="24"/>
      <c r="AJ122" s="99" t="str">
        <f t="shared" si="18"/>
        <v/>
      </c>
      <c r="AK122" s="31" t="str">
        <f t="shared" si="23"/>
        <v/>
      </c>
      <c r="AN122" s="139" t="str">
        <f>IF($K122="","",VLOOKUP($K122,'ORF Accuracy Value LookUp'!$G$4:$H$104,2,TRUE))</f>
        <v/>
      </c>
      <c r="AO122" s="94" t="str">
        <f t="shared" si="19"/>
        <v/>
      </c>
      <c r="AP122" s="47" t="str">
        <f>IF($U122="","",VLOOKUP($U122,'ORF Accuracy Value LookUp'!$G$4:$H$104,2,TRUE))</f>
        <v/>
      </c>
      <c r="AQ122" s="94" t="str">
        <f t="shared" si="20"/>
        <v/>
      </c>
      <c r="AR122" s="46" t="str">
        <f>IF($AE122="","",VLOOKUP($AE122,'ORF Accuracy Value LookUp'!$G$4:$H$104,2,TRUE))</f>
        <v/>
      </c>
      <c r="AS122" s="140" t="str">
        <f t="shared" si="21"/>
        <v/>
      </c>
    </row>
    <row r="123" spans="1:45">
      <c r="A123" s="10"/>
      <c r="B123" s="12"/>
      <c r="C123" s="13"/>
      <c r="D123" s="14"/>
      <c r="E123" s="10"/>
      <c r="F123" s="11"/>
      <c r="G123" s="15"/>
      <c r="H123" s="87"/>
      <c r="I123" s="24"/>
      <c r="J123" s="24"/>
      <c r="K123" s="114" t="str">
        <f t="shared" si="12"/>
        <v/>
      </c>
      <c r="L123" s="24"/>
      <c r="M123" s="24"/>
      <c r="N123" s="24"/>
      <c r="O123" s="24"/>
      <c r="P123" s="97" t="str">
        <f t="shared" si="13"/>
        <v/>
      </c>
      <c r="Q123" s="113" t="str">
        <f t="shared" si="14"/>
        <v/>
      </c>
      <c r="R123" s="87"/>
      <c r="S123" s="24"/>
      <c r="T123" s="24"/>
      <c r="U123" s="78" t="str">
        <f t="shared" si="15"/>
        <v/>
      </c>
      <c r="V123" s="24"/>
      <c r="W123" s="24"/>
      <c r="X123" s="24"/>
      <c r="Y123" s="24"/>
      <c r="Z123" s="98" t="str">
        <f t="shared" si="16"/>
        <v/>
      </c>
      <c r="AA123" s="40" t="str">
        <f t="shared" si="22"/>
        <v/>
      </c>
      <c r="AB123" s="87"/>
      <c r="AC123" s="24"/>
      <c r="AD123" s="24"/>
      <c r="AE123" s="79" t="str">
        <f t="shared" si="17"/>
        <v/>
      </c>
      <c r="AF123" s="24"/>
      <c r="AG123" s="24"/>
      <c r="AH123" s="24"/>
      <c r="AI123" s="24"/>
      <c r="AJ123" s="99" t="str">
        <f t="shared" si="18"/>
        <v/>
      </c>
      <c r="AK123" s="31" t="str">
        <f t="shared" si="23"/>
        <v/>
      </c>
      <c r="AN123" s="139" t="str">
        <f>IF($K123="","",VLOOKUP($K123,'ORF Accuracy Value LookUp'!$G$4:$H$104,2,TRUE))</f>
        <v/>
      </c>
      <c r="AO123" s="94" t="str">
        <f t="shared" si="19"/>
        <v/>
      </c>
      <c r="AP123" s="47" t="str">
        <f>IF($U123="","",VLOOKUP($U123,'ORF Accuracy Value LookUp'!$G$4:$H$104,2,TRUE))</f>
        <v/>
      </c>
      <c r="AQ123" s="94" t="str">
        <f t="shared" si="20"/>
        <v/>
      </c>
      <c r="AR123" s="46" t="str">
        <f>IF($AE123="","",VLOOKUP($AE123,'ORF Accuracy Value LookUp'!$G$4:$H$104,2,TRUE))</f>
        <v/>
      </c>
      <c r="AS123" s="140" t="str">
        <f t="shared" si="21"/>
        <v/>
      </c>
    </row>
    <row r="124" spans="1:45">
      <c r="A124" s="10"/>
      <c r="B124" s="12"/>
      <c r="C124" s="13"/>
      <c r="D124" s="14"/>
      <c r="E124" s="10"/>
      <c r="F124" s="11"/>
      <c r="G124" s="15"/>
      <c r="H124" s="87"/>
      <c r="I124" s="24"/>
      <c r="J124" s="24"/>
      <c r="K124" s="114" t="str">
        <f t="shared" si="12"/>
        <v/>
      </c>
      <c r="L124" s="24"/>
      <c r="M124" s="24"/>
      <c r="N124" s="24"/>
      <c r="O124" s="24"/>
      <c r="P124" s="97" t="str">
        <f t="shared" si="13"/>
        <v/>
      </c>
      <c r="Q124" s="113" t="str">
        <f t="shared" si="14"/>
        <v/>
      </c>
      <c r="R124" s="87"/>
      <c r="S124" s="24"/>
      <c r="T124" s="24"/>
      <c r="U124" s="78" t="str">
        <f t="shared" si="15"/>
        <v/>
      </c>
      <c r="V124" s="24"/>
      <c r="W124" s="24"/>
      <c r="X124" s="24"/>
      <c r="Y124" s="24"/>
      <c r="Z124" s="98" t="str">
        <f t="shared" si="16"/>
        <v/>
      </c>
      <c r="AA124" s="40" t="str">
        <f t="shared" si="22"/>
        <v/>
      </c>
      <c r="AB124" s="87"/>
      <c r="AC124" s="24"/>
      <c r="AD124" s="24"/>
      <c r="AE124" s="79" t="str">
        <f t="shared" si="17"/>
        <v/>
      </c>
      <c r="AF124" s="24"/>
      <c r="AG124" s="24"/>
      <c r="AH124" s="24"/>
      <c r="AI124" s="24"/>
      <c r="AJ124" s="99" t="str">
        <f t="shared" si="18"/>
        <v/>
      </c>
      <c r="AK124" s="31" t="str">
        <f t="shared" si="23"/>
        <v/>
      </c>
      <c r="AN124" s="139" t="str">
        <f>IF($K124="","",VLOOKUP($K124,'ORF Accuracy Value LookUp'!$G$4:$H$104,2,TRUE))</f>
        <v/>
      </c>
      <c r="AO124" s="94" t="str">
        <f t="shared" si="19"/>
        <v/>
      </c>
      <c r="AP124" s="47" t="str">
        <f>IF($U124="","",VLOOKUP($U124,'ORF Accuracy Value LookUp'!$G$4:$H$104,2,TRUE))</f>
        <v/>
      </c>
      <c r="AQ124" s="94" t="str">
        <f t="shared" si="20"/>
        <v/>
      </c>
      <c r="AR124" s="46" t="str">
        <f>IF($AE124="","",VLOOKUP($AE124,'ORF Accuracy Value LookUp'!$G$4:$H$104,2,TRUE))</f>
        <v/>
      </c>
      <c r="AS124" s="140" t="str">
        <f t="shared" si="21"/>
        <v/>
      </c>
    </row>
    <row r="125" spans="1:45">
      <c r="A125" s="10"/>
      <c r="B125" s="12"/>
      <c r="C125" s="13"/>
      <c r="D125" s="14"/>
      <c r="E125" s="10"/>
      <c r="F125" s="11"/>
      <c r="G125" s="15"/>
      <c r="H125" s="87"/>
      <c r="I125" s="24"/>
      <c r="J125" s="24"/>
      <c r="K125" s="114" t="str">
        <f t="shared" si="12"/>
        <v/>
      </c>
      <c r="L125" s="24"/>
      <c r="M125" s="24"/>
      <c r="N125" s="24"/>
      <c r="O125" s="24"/>
      <c r="P125" s="97" t="str">
        <f t="shared" si="13"/>
        <v/>
      </c>
      <c r="Q125" s="113" t="str">
        <f t="shared" si="14"/>
        <v/>
      </c>
      <c r="R125" s="87"/>
      <c r="S125" s="24"/>
      <c r="T125" s="24"/>
      <c r="U125" s="78" t="str">
        <f t="shared" si="15"/>
        <v/>
      </c>
      <c r="V125" s="24"/>
      <c r="W125" s="24"/>
      <c r="X125" s="24"/>
      <c r="Y125" s="24"/>
      <c r="Z125" s="98" t="str">
        <f t="shared" si="16"/>
        <v/>
      </c>
      <c r="AA125" s="40" t="str">
        <f t="shared" si="22"/>
        <v/>
      </c>
      <c r="AB125" s="87"/>
      <c r="AC125" s="24"/>
      <c r="AD125" s="24"/>
      <c r="AE125" s="79" t="str">
        <f t="shared" si="17"/>
        <v/>
      </c>
      <c r="AF125" s="24"/>
      <c r="AG125" s="24"/>
      <c r="AH125" s="24"/>
      <c r="AI125" s="24"/>
      <c r="AJ125" s="99" t="str">
        <f t="shared" si="18"/>
        <v/>
      </c>
      <c r="AK125" s="31" t="str">
        <f t="shared" si="23"/>
        <v/>
      </c>
      <c r="AN125" s="139" t="str">
        <f>IF($K125="","",VLOOKUP($K125,'ORF Accuracy Value LookUp'!$G$4:$H$104,2,TRUE))</f>
        <v/>
      </c>
      <c r="AO125" s="94" t="str">
        <f t="shared" si="19"/>
        <v/>
      </c>
      <c r="AP125" s="47" t="str">
        <f>IF($U125="","",VLOOKUP($U125,'ORF Accuracy Value LookUp'!$G$4:$H$104,2,TRUE))</f>
        <v/>
      </c>
      <c r="AQ125" s="94" t="str">
        <f t="shared" si="20"/>
        <v/>
      </c>
      <c r="AR125" s="46" t="str">
        <f>IF($AE125="","",VLOOKUP($AE125,'ORF Accuracy Value LookUp'!$G$4:$H$104,2,TRUE))</f>
        <v/>
      </c>
      <c r="AS125" s="140" t="str">
        <f t="shared" si="21"/>
        <v/>
      </c>
    </row>
    <row r="126" spans="1:45">
      <c r="A126" s="10"/>
      <c r="B126" s="12"/>
      <c r="C126" s="13"/>
      <c r="D126" s="14"/>
      <c r="E126" s="10"/>
      <c r="F126" s="11"/>
      <c r="G126" s="15"/>
      <c r="H126" s="87"/>
      <c r="I126" s="24"/>
      <c r="J126" s="24"/>
      <c r="K126" s="114" t="str">
        <f t="shared" si="12"/>
        <v/>
      </c>
      <c r="L126" s="24"/>
      <c r="M126" s="24"/>
      <c r="N126" s="24"/>
      <c r="O126" s="24"/>
      <c r="P126" s="97" t="str">
        <f t="shared" si="13"/>
        <v/>
      </c>
      <c r="Q126" s="113" t="str">
        <f t="shared" si="14"/>
        <v/>
      </c>
      <c r="R126" s="87"/>
      <c r="S126" s="24"/>
      <c r="T126" s="24"/>
      <c r="U126" s="78" t="str">
        <f t="shared" si="15"/>
        <v/>
      </c>
      <c r="V126" s="24"/>
      <c r="W126" s="24"/>
      <c r="X126" s="24"/>
      <c r="Y126" s="24"/>
      <c r="Z126" s="98" t="str">
        <f t="shared" si="16"/>
        <v/>
      </c>
      <c r="AA126" s="40" t="str">
        <f t="shared" si="22"/>
        <v/>
      </c>
      <c r="AB126" s="87"/>
      <c r="AC126" s="24"/>
      <c r="AD126" s="24"/>
      <c r="AE126" s="79" t="str">
        <f t="shared" si="17"/>
        <v/>
      </c>
      <c r="AF126" s="24"/>
      <c r="AG126" s="24"/>
      <c r="AH126" s="24"/>
      <c r="AI126" s="24"/>
      <c r="AJ126" s="99" t="str">
        <f t="shared" si="18"/>
        <v/>
      </c>
      <c r="AK126" s="31" t="str">
        <f t="shared" si="23"/>
        <v/>
      </c>
      <c r="AN126" s="139" t="str">
        <f>IF($K126="","",VLOOKUP($K126,'ORF Accuracy Value LookUp'!$G$4:$H$104,2,TRUE))</f>
        <v/>
      </c>
      <c r="AO126" s="94" t="str">
        <f t="shared" si="19"/>
        <v/>
      </c>
      <c r="AP126" s="47" t="str">
        <f>IF($U126="","",VLOOKUP($U126,'ORF Accuracy Value LookUp'!$G$4:$H$104,2,TRUE))</f>
        <v/>
      </c>
      <c r="AQ126" s="94" t="str">
        <f t="shared" si="20"/>
        <v/>
      </c>
      <c r="AR126" s="46" t="str">
        <f>IF($AE126="","",VLOOKUP($AE126,'ORF Accuracy Value LookUp'!$G$4:$H$104,2,TRUE))</f>
        <v/>
      </c>
      <c r="AS126" s="140" t="str">
        <f t="shared" si="21"/>
        <v/>
      </c>
    </row>
    <row r="127" spans="1:45">
      <c r="A127" s="10"/>
      <c r="B127" s="12"/>
      <c r="C127" s="13"/>
      <c r="D127" s="14"/>
      <c r="E127" s="10"/>
      <c r="F127" s="11"/>
      <c r="G127" s="15"/>
      <c r="H127" s="87"/>
      <c r="I127" s="24"/>
      <c r="J127" s="24"/>
      <c r="K127" s="114" t="str">
        <f t="shared" si="12"/>
        <v/>
      </c>
      <c r="L127" s="24"/>
      <c r="M127" s="24"/>
      <c r="N127" s="24"/>
      <c r="O127" s="24"/>
      <c r="P127" s="97" t="str">
        <f t="shared" si="13"/>
        <v/>
      </c>
      <c r="Q127" s="113" t="str">
        <f t="shared" si="14"/>
        <v/>
      </c>
      <c r="R127" s="87"/>
      <c r="S127" s="24"/>
      <c r="T127" s="24"/>
      <c r="U127" s="78" t="str">
        <f t="shared" si="15"/>
        <v/>
      </c>
      <c r="V127" s="24"/>
      <c r="W127" s="24"/>
      <c r="X127" s="24"/>
      <c r="Y127" s="24"/>
      <c r="Z127" s="98" t="str">
        <f t="shared" si="16"/>
        <v/>
      </c>
      <c r="AA127" s="40" t="str">
        <f t="shared" si="22"/>
        <v/>
      </c>
      <c r="AB127" s="87"/>
      <c r="AC127" s="24"/>
      <c r="AD127" s="24"/>
      <c r="AE127" s="79" t="str">
        <f t="shared" si="17"/>
        <v/>
      </c>
      <c r="AF127" s="24"/>
      <c r="AG127" s="24"/>
      <c r="AH127" s="24"/>
      <c r="AI127" s="24"/>
      <c r="AJ127" s="99" t="str">
        <f t="shared" si="18"/>
        <v/>
      </c>
      <c r="AK127" s="31" t="str">
        <f t="shared" si="23"/>
        <v/>
      </c>
      <c r="AN127" s="139" t="str">
        <f>IF($K127="","",VLOOKUP($K127,'ORF Accuracy Value LookUp'!$G$4:$H$104,2,TRUE))</f>
        <v/>
      </c>
      <c r="AO127" s="94" t="str">
        <f t="shared" si="19"/>
        <v/>
      </c>
      <c r="AP127" s="47" t="str">
        <f>IF($U127="","",VLOOKUP($U127,'ORF Accuracy Value LookUp'!$G$4:$H$104,2,TRUE))</f>
        <v/>
      </c>
      <c r="AQ127" s="94" t="str">
        <f t="shared" si="20"/>
        <v/>
      </c>
      <c r="AR127" s="46" t="str">
        <f>IF($AE127="","",VLOOKUP($AE127,'ORF Accuracy Value LookUp'!$G$4:$H$104,2,TRUE))</f>
        <v/>
      </c>
      <c r="AS127" s="140" t="str">
        <f t="shared" si="21"/>
        <v/>
      </c>
    </row>
    <row r="128" spans="1:45">
      <c r="A128" s="10"/>
      <c r="B128" s="12"/>
      <c r="C128" s="13"/>
      <c r="D128" s="14"/>
      <c r="E128" s="10"/>
      <c r="F128" s="11"/>
      <c r="G128" s="15"/>
      <c r="H128" s="87"/>
      <c r="I128" s="24"/>
      <c r="J128" s="24"/>
      <c r="K128" s="114" t="str">
        <f t="shared" si="12"/>
        <v/>
      </c>
      <c r="L128" s="24"/>
      <c r="M128" s="24"/>
      <c r="N128" s="24"/>
      <c r="O128" s="24"/>
      <c r="P128" s="97" t="str">
        <f t="shared" si="13"/>
        <v/>
      </c>
      <c r="Q128" s="113" t="str">
        <f t="shared" si="14"/>
        <v/>
      </c>
      <c r="R128" s="87"/>
      <c r="S128" s="24"/>
      <c r="T128" s="24"/>
      <c r="U128" s="78" t="str">
        <f t="shared" si="15"/>
        <v/>
      </c>
      <c r="V128" s="24"/>
      <c r="W128" s="24"/>
      <c r="X128" s="24"/>
      <c r="Y128" s="24"/>
      <c r="Z128" s="98" t="str">
        <f t="shared" si="16"/>
        <v/>
      </c>
      <c r="AA128" s="40" t="str">
        <f t="shared" si="22"/>
        <v/>
      </c>
      <c r="AB128" s="87"/>
      <c r="AC128" s="24"/>
      <c r="AD128" s="24"/>
      <c r="AE128" s="79" t="str">
        <f t="shared" si="17"/>
        <v/>
      </c>
      <c r="AF128" s="24"/>
      <c r="AG128" s="24"/>
      <c r="AH128" s="24"/>
      <c r="AI128" s="24"/>
      <c r="AJ128" s="99" t="str">
        <f t="shared" si="18"/>
        <v/>
      </c>
      <c r="AK128" s="31" t="str">
        <f t="shared" si="23"/>
        <v/>
      </c>
      <c r="AN128" s="139" t="str">
        <f>IF($K128="","",VLOOKUP($K128,'ORF Accuracy Value LookUp'!$G$4:$H$104,2,TRUE))</f>
        <v/>
      </c>
      <c r="AO128" s="94" t="str">
        <f t="shared" si="19"/>
        <v/>
      </c>
      <c r="AP128" s="47" t="str">
        <f>IF($U128="","",VLOOKUP($U128,'ORF Accuracy Value LookUp'!$G$4:$H$104,2,TRUE))</f>
        <v/>
      </c>
      <c r="AQ128" s="94" t="str">
        <f t="shared" si="20"/>
        <v/>
      </c>
      <c r="AR128" s="46" t="str">
        <f>IF($AE128="","",VLOOKUP($AE128,'ORF Accuracy Value LookUp'!$G$4:$H$104,2,TRUE))</f>
        <v/>
      </c>
      <c r="AS128" s="140" t="str">
        <f t="shared" si="21"/>
        <v/>
      </c>
    </row>
    <row r="129" spans="1:45">
      <c r="A129" s="10"/>
      <c r="B129" s="12"/>
      <c r="C129" s="13"/>
      <c r="D129" s="14"/>
      <c r="E129" s="10"/>
      <c r="F129" s="11"/>
      <c r="G129" s="15"/>
      <c r="H129" s="87"/>
      <c r="I129" s="24"/>
      <c r="J129" s="24"/>
      <c r="K129" s="114" t="str">
        <f t="shared" si="12"/>
        <v/>
      </c>
      <c r="L129" s="24"/>
      <c r="M129" s="24"/>
      <c r="N129" s="24"/>
      <c r="O129" s="24"/>
      <c r="P129" s="97" t="str">
        <f t="shared" si="13"/>
        <v/>
      </c>
      <c r="Q129" s="113" t="str">
        <f t="shared" si="14"/>
        <v/>
      </c>
      <c r="R129" s="87"/>
      <c r="S129" s="24"/>
      <c r="T129" s="24"/>
      <c r="U129" s="78" t="str">
        <f t="shared" si="15"/>
        <v/>
      </c>
      <c r="V129" s="24"/>
      <c r="W129" s="24"/>
      <c r="X129" s="24"/>
      <c r="Y129" s="24"/>
      <c r="Z129" s="98" t="str">
        <f t="shared" si="16"/>
        <v/>
      </c>
      <c r="AA129" s="40" t="str">
        <f t="shared" si="22"/>
        <v/>
      </c>
      <c r="AB129" s="87"/>
      <c r="AC129" s="24"/>
      <c r="AD129" s="24"/>
      <c r="AE129" s="79" t="str">
        <f t="shared" si="17"/>
        <v/>
      </c>
      <c r="AF129" s="24"/>
      <c r="AG129" s="24"/>
      <c r="AH129" s="24"/>
      <c r="AI129" s="24"/>
      <c r="AJ129" s="99" t="str">
        <f t="shared" si="18"/>
        <v/>
      </c>
      <c r="AK129" s="31" t="str">
        <f t="shared" si="23"/>
        <v/>
      </c>
      <c r="AN129" s="139" t="str">
        <f>IF($K129="","",VLOOKUP($K129,'ORF Accuracy Value LookUp'!$G$4:$H$104,2,TRUE))</f>
        <v/>
      </c>
      <c r="AO129" s="94" t="str">
        <f t="shared" si="19"/>
        <v/>
      </c>
      <c r="AP129" s="47" t="str">
        <f>IF($U129="","",VLOOKUP($U129,'ORF Accuracy Value LookUp'!$G$4:$H$104,2,TRUE))</f>
        <v/>
      </c>
      <c r="AQ129" s="94" t="str">
        <f t="shared" si="20"/>
        <v/>
      </c>
      <c r="AR129" s="46" t="str">
        <f>IF($AE129="","",VLOOKUP($AE129,'ORF Accuracy Value LookUp'!$G$4:$H$104,2,TRUE))</f>
        <v/>
      </c>
      <c r="AS129" s="140" t="str">
        <f t="shared" si="21"/>
        <v/>
      </c>
    </row>
    <row r="130" spans="1:45">
      <c r="A130" s="10"/>
      <c r="B130" s="12"/>
      <c r="C130" s="13"/>
      <c r="D130" s="14"/>
      <c r="E130" s="10"/>
      <c r="F130" s="11"/>
      <c r="G130" s="15"/>
      <c r="H130" s="87"/>
      <c r="I130" s="24"/>
      <c r="J130" s="24"/>
      <c r="K130" s="114" t="str">
        <f t="shared" si="12"/>
        <v/>
      </c>
      <c r="L130" s="24"/>
      <c r="M130" s="24"/>
      <c r="N130" s="24"/>
      <c r="O130" s="24"/>
      <c r="P130" s="97" t="str">
        <f t="shared" si="13"/>
        <v/>
      </c>
      <c r="Q130" s="113" t="str">
        <f t="shared" si="14"/>
        <v/>
      </c>
      <c r="R130" s="87"/>
      <c r="S130" s="24"/>
      <c r="T130" s="24"/>
      <c r="U130" s="78" t="str">
        <f t="shared" si="15"/>
        <v/>
      </c>
      <c r="V130" s="24"/>
      <c r="W130" s="24"/>
      <c r="X130" s="24"/>
      <c r="Y130" s="24"/>
      <c r="Z130" s="98" t="str">
        <f t="shared" si="16"/>
        <v/>
      </c>
      <c r="AA130" s="40" t="str">
        <f t="shared" si="22"/>
        <v/>
      </c>
      <c r="AB130" s="87"/>
      <c r="AC130" s="24"/>
      <c r="AD130" s="24"/>
      <c r="AE130" s="79" t="str">
        <f t="shared" si="17"/>
        <v/>
      </c>
      <c r="AF130" s="24"/>
      <c r="AG130" s="24"/>
      <c r="AH130" s="24"/>
      <c r="AI130" s="24"/>
      <c r="AJ130" s="99" t="str">
        <f t="shared" si="18"/>
        <v/>
      </c>
      <c r="AK130" s="31" t="str">
        <f t="shared" si="23"/>
        <v/>
      </c>
      <c r="AN130" s="139" t="str">
        <f>IF($K130="","",VLOOKUP($K130,'ORF Accuracy Value LookUp'!$G$4:$H$104,2,TRUE))</f>
        <v/>
      </c>
      <c r="AO130" s="94" t="str">
        <f t="shared" si="19"/>
        <v/>
      </c>
      <c r="AP130" s="47" t="str">
        <f>IF($U130="","",VLOOKUP($U130,'ORF Accuracy Value LookUp'!$G$4:$H$104,2,TRUE))</f>
        <v/>
      </c>
      <c r="AQ130" s="94" t="str">
        <f t="shared" si="20"/>
        <v/>
      </c>
      <c r="AR130" s="46" t="str">
        <f>IF($AE130="","",VLOOKUP($AE130,'ORF Accuracy Value LookUp'!$G$4:$H$104,2,TRUE))</f>
        <v/>
      </c>
      <c r="AS130" s="140" t="str">
        <f t="shared" si="21"/>
        <v/>
      </c>
    </row>
    <row r="131" spans="1:45">
      <c r="A131" s="10"/>
      <c r="B131" s="12"/>
      <c r="C131" s="13"/>
      <c r="D131" s="14"/>
      <c r="E131" s="10"/>
      <c r="F131" s="11"/>
      <c r="G131" s="15"/>
      <c r="H131" s="87"/>
      <c r="I131" s="24"/>
      <c r="J131" s="24"/>
      <c r="K131" s="114" t="str">
        <f t="shared" si="12"/>
        <v/>
      </c>
      <c r="L131" s="24"/>
      <c r="M131" s="24"/>
      <c r="N131" s="24"/>
      <c r="O131" s="24"/>
      <c r="P131" s="97" t="str">
        <f t="shared" si="13"/>
        <v/>
      </c>
      <c r="Q131" s="113" t="str">
        <f t="shared" si="14"/>
        <v/>
      </c>
      <c r="R131" s="87"/>
      <c r="S131" s="24"/>
      <c r="T131" s="24"/>
      <c r="U131" s="78" t="str">
        <f t="shared" si="15"/>
        <v/>
      </c>
      <c r="V131" s="24"/>
      <c r="W131" s="24"/>
      <c r="X131" s="24"/>
      <c r="Y131" s="24"/>
      <c r="Z131" s="98" t="str">
        <f t="shared" si="16"/>
        <v/>
      </c>
      <c r="AA131" s="40" t="str">
        <f t="shared" si="22"/>
        <v/>
      </c>
      <c r="AB131" s="87"/>
      <c r="AC131" s="24"/>
      <c r="AD131" s="24"/>
      <c r="AE131" s="79" t="str">
        <f t="shared" si="17"/>
        <v/>
      </c>
      <c r="AF131" s="24"/>
      <c r="AG131" s="24"/>
      <c r="AH131" s="24"/>
      <c r="AI131" s="24"/>
      <c r="AJ131" s="99" t="str">
        <f t="shared" si="18"/>
        <v/>
      </c>
      <c r="AK131" s="31" t="str">
        <f t="shared" si="23"/>
        <v/>
      </c>
      <c r="AN131" s="139" t="str">
        <f>IF($K131="","",VLOOKUP($K131,'ORF Accuracy Value LookUp'!$G$4:$H$104,2,TRUE))</f>
        <v/>
      </c>
      <c r="AO131" s="94" t="str">
        <f t="shared" si="19"/>
        <v/>
      </c>
      <c r="AP131" s="47" t="str">
        <f>IF($U131="","",VLOOKUP($U131,'ORF Accuracy Value LookUp'!$G$4:$H$104,2,TRUE))</f>
        <v/>
      </c>
      <c r="AQ131" s="94" t="str">
        <f t="shared" si="20"/>
        <v/>
      </c>
      <c r="AR131" s="46" t="str">
        <f>IF($AE131="","",VLOOKUP($AE131,'ORF Accuracy Value LookUp'!$G$4:$H$104,2,TRUE))</f>
        <v/>
      </c>
      <c r="AS131" s="140" t="str">
        <f t="shared" si="21"/>
        <v/>
      </c>
    </row>
    <row r="132" spans="1:45">
      <c r="A132" s="10"/>
      <c r="B132" s="12"/>
      <c r="C132" s="13"/>
      <c r="D132" s="14"/>
      <c r="E132" s="10"/>
      <c r="F132" s="11"/>
      <c r="G132" s="15"/>
      <c r="H132" s="87"/>
      <c r="I132" s="24"/>
      <c r="J132" s="24"/>
      <c r="K132" s="114" t="str">
        <f t="shared" si="12"/>
        <v/>
      </c>
      <c r="L132" s="24"/>
      <c r="M132" s="24"/>
      <c r="N132" s="24"/>
      <c r="O132" s="24"/>
      <c r="P132" s="97" t="str">
        <f t="shared" si="13"/>
        <v/>
      </c>
      <c r="Q132" s="113" t="str">
        <f t="shared" si="14"/>
        <v/>
      </c>
      <c r="R132" s="87"/>
      <c r="S132" s="24"/>
      <c r="T132" s="24"/>
      <c r="U132" s="78" t="str">
        <f t="shared" si="15"/>
        <v/>
      </c>
      <c r="V132" s="24"/>
      <c r="W132" s="24"/>
      <c r="X132" s="24"/>
      <c r="Y132" s="24"/>
      <c r="Z132" s="98" t="str">
        <f t="shared" si="16"/>
        <v/>
      </c>
      <c r="AA132" s="40" t="str">
        <f t="shared" si="22"/>
        <v/>
      </c>
      <c r="AB132" s="87"/>
      <c r="AC132" s="24"/>
      <c r="AD132" s="24"/>
      <c r="AE132" s="79" t="str">
        <f t="shared" si="17"/>
        <v/>
      </c>
      <c r="AF132" s="24"/>
      <c r="AG132" s="24"/>
      <c r="AH132" s="24"/>
      <c r="AI132" s="24"/>
      <c r="AJ132" s="99" t="str">
        <f t="shared" si="18"/>
        <v/>
      </c>
      <c r="AK132" s="31" t="str">
        <f t="shared" si="23"/>
        <v/>
      </c>
      <c r="AN132" s="139" t="str">
        <f>IF($K132="","",VLOOKUP($K132,'ORF Accuracy Value LookUp'!$G$4:$H$104,2,TRUE))</f>
        <v/>
      </c>
      <c r="AO132" s="94" t="str">
        <f t="shared" si="19"/>
        <v/>
      </c>
      <c r="AP132" s="47" t="str">
        <f>IF($U132="","",VLOOKUP($U132,'ORF Accuracy Value LookUp'!$G$4:$H$104,2,TRUE))</f>
        <v/>
      </c>
      <c r="AQ132" s="94" t="str">
        <f t="shared" si="20"/>
        <v/>
      </c>
      <c r="AR132" s="46" t="str">
        <f>IF($AE132="","",VLOOKUP($AE132,'ORF Accuracy Value LookUp'!$G$4:$H$104,2,TRUE))</f>
        <v/>
      </c>
      <c r="AS132" s="140" t="str">
        <f t="shared" si="21"/>
        <v/>
      </c>
    </row>
    <row r="133" spans="1:45">
      <c r="A133" s="10"/>
      <c r="B133" s="12"/>
      <c r="C133" s="13"/>
      <c r="D133" s="14"/>
      <c r="E133" s="10"/>
      <c r="F133" s="11"/>
      <c r="G133" s="15"/>
      <c r="H133" s="87"/>
      <c r="I133" s="24"/>
      <c r="J133" s="24"/>
      <c r="K133" s="114" t="str">
        <f t="shared" si="12"/>
        <v/>
      </c>
      <c r="L133" s="24"/>
      <c r="M133" s="24"/>
      <c r="N133" s="24"/>
      <c r="O133" s="24"/>
      <c r="P133" s="97" t="str">
        <f t="shared" si="13"/>
        <v/>
      </c>
      <c r="Q133" s="113" t="str">
        <f t="shared" si="14"/>
        <v/>
      </c>
      <c r="R133" s="87"/>
      <c r="S133" s="24"/>
      <c r="T133" s="24"/>
      <c r="U133" s="78" t="str">
        <f t="shared" si="15"/>
        <v/>
      </c>
      <c r="V133" s="24"/>
      <c r="W133" s="24"/>
      <c r="X133" s="24"/>
      <c r="Y133" s="24"/>
      <c r="Z133" s="98" t="str">
        <f t="shared" si="16"/>
        <v/>
      </c>
      <c r="AA133" s="40" t="str">
        <f t="shared" si="22"/>
        <v/>
      </c>
      <c r="AB133" s="87"/>
      <c r="AC133" s="24"/>
      <c r="AD133" s="24"/>
      <c r="AE133" s="79" t="str">
        <f t="shared" si="17"/>
        <v/>
      </c>
      <c r="AF133" s="24"/>
      <c r="AG133" s="24"/>
      <c r="AH133" s="24"/>
      <c r="AI133" s="24"/>
      <c r="AJ133" s="99" t="str">
        <f t="shared" si="18"/>
        <v/>
      </c>
      <c r="AK133" s="31" t="str">
        <f t="shared" si="23"/>
        <v/>
      </c>
      <c r="AN133" s="139" t="str">
        <f>IF($K133="","",VLOOKUP($K133,'ORF Accuracy Value LookUp'!$G$4:$H$104,2,TRUE))</f>
        <v/>
      </c>
      <c r="AO133" s="94" t="str">
        <f t="shared" si="19"/>
        <v/>
      </c>
      <c r="AP133" s="47" t="str">
        <f>IF($U133="","",VLOOKUP($U133,'ORF Accuracy Value LookUp'!$G$4:$H$104,2,TRUE))</f>
        <v/>
      </c>
      <c r="AQ133" s="94" t="str">
        <f t="shared" si="20"/>
        <v/>
      </c>
      <c r="AR133" s="46" t="str">
        <f>IF($AE133="","",VLOOKUP($AE133,'ORF Accuracy Value LookUp'!$G$4:$H$104,2,TRUE))</f>
        <v/>
      </c>
      <c r="AS133" s="140" t="str">
        <f t="shared" si="21"/>
        <v/>
      </c>
    </row>
    <row r="134" spans="1:45">
      <c r="A134" s="10"/>
      <c r="B134" s="12"/>
      <c r="C134" s="13"/>
      <c r="D134" s="14"/>
      <c r="E134" s="10"/>
      <c r="F134" s="11"/>
      <c r="G134" s="15"/>
      <c r="H134" s="87"/>
      <c r="I134" s="24"/>
      <c r="J134" s="24"/>
      <c r="K134" s="114" t="str">
        <f t="shared" si="12"/>
        <v/>
      </c>
      <c r="L134" s="24"/>
      <c r="M134" s="24"/>
      <c r="N134" s="24"/>
      <c r="O134" s="24"/>
      <c r="P134" s="97" t="str">
        <f t="shared" si="13"/>
        <v/>
      </c>
      <c r="Q134" s="113" t="str">
        <f t="shared" si="14"/>
        <v/>
      </c>
      <c r="R134" s="87"/>
      <c r="S134" s="24"/>
      <c r="T134" s="24"/>
      <c r="U134" s="78" t="str">
        <f t="shared" si="15"/>
        <v/>
      </c>
      <c r="V134" s="24"/>
      <c r="W134" s="24"/>
      <c r="X134" s="24"/>
      <c r="Y134" s="24"/>
      <c r="Z134" s="98" t="str">
        <f t="shared" si="16"/>
        <v/>
      </c>
      <c r="AA134" s="40" t="str">
        <f t="shared" si="22"/>
        <v/>
      </c>
      <c r="AB134" s="87"/>
      <c r="AC134" s="24"/>
      <c r="AD134" s="24"/>
      <c r="AE134" s="79" t="str">
        <f t="shared" si="17"/>
        <v/>
      </c>
      <c r="AF134" s="24"/>
      <c r="AG134" s="24"/>
      <c r="AH134" s="24"/>
      <c r="AI134" s="24"/>
      <c r="AJ134" s="99" t="str">
        <f t="shared" si="18"/>
        <v/>
      </c>
      <c r="AK134" s="31" t="str">
        <f t="shared" si="23"/>
        <v/>
      </c>
      <c r="AN134" s="139" t="str">
        <f>IF($K134="","",VLOOKUP($K134,'ORF Accuracy Value LookUp'!$G$4:$H$104,2,TRUE))</f>
        <v/>
      </c>
      <c r="AO134" s="94" t="str">
        <f t="shared" si="19"/>
        <v/>
      </c>
      <c r="AP134" s="47" t="str">
        <f>IF($U134="","",VLOOKUP($U134,'ORF Accuracy Value LookUp'!$G$4:$H$104,2,TRUE))</f>
        <v/>
      </c>
      <c r="AQ134" s="94" t="str">
        <f t="shared" si="20"/>
        <v/>
      </c>
      <c r="AR134" s="46" t="str">
        <f>IF($AE134="","",VLOOKUP($AE134,'ORF Accuracy Value LookUp'!$G$4:$H$104,2,TRUE))</f>
        <v/>
      </c>
      <c r="AS134" s="140" t="str">
        <f t="shared" si="21"/>
        <v/>
      </c>
    </row>
    <row r="135" spans="1:45">
      <c r="A135" s="10"/>
      <c r="B135" s="12"/>
      <c r="C135" s="13"/>
      <c r="D135" s="14"/>
      <c r="E135" s="10"/>
      <c r="F135" s="11"/>
      <c r="G135" s="15"/>
      <c r="H135" s="87"/>
      <c r="I135" s="24"/>
      <c r="J135" s="24"/>
      <c r="K135" s="114" t="str">
        <f t="shared" si="12"/>
        <v/>
      </c>
      <c r="L135" s="24"/>
      <c r="M135" s="24"/>
      <c r="N135" s="24"/>
      <c r="O135" s="24"/>
      <c r="P135" s="97" t="str">
        <f t="shared" si="13"/>
        <v/>
      </c>
      <c r="Q135" s="113" t="str">
        <f t="shared" si="14"/>
        <v/>
      </c>
      <c r="R135" s="87"/>
      <c r="S135" s="24"/>
      <c r="T135" s="24"/>
      <c r="U135" s="78" t="str">
        <f t="shared" si="15"/>
        <v/>
      </c>
      <c r="V135" s="24"/>
      <c r="W135" s="24"/>
      <c r="X135" s="24"/>
      <c r="Y135" s="24"/>
      <c r="Z135" s="98" t="str">
        <f t="shared" si="16"/>
        <v/>
      </c>
      <c r="AA135" s="40" t="str">
        <f t="shared" si="22"/>
        <v/>
      </c>
      <c r="AB135" s="87"/>
      <c r="AC135" s="24"/>
      <c r="AD135" s="24"/>
      <c r="AE135" s="79" t="str">
        <f t="shared" si="17"/>
        <v/>
      </c>
      <c r="AF135" s="24"/>
      <c r="AG135" s="24"/>
      <c r="AH135" s="24"/>
      <c r="AI135" s="24"/>
      <c r="AJ135" s="99" t="str">
        <f t="shared" si="18"/>
        <v/>
      </c>
      <c r="AK135" s="31" t="str">
        <f t="shared" si="23"/>
        <v/>
      </c>
      <c r="AN135" s="139" t="str">
        <f>IF($K135="","",VLOOKUP($K135,'ORF Accuracy Value LookUp'!$G$4:$H$104,2,TRUE))</f>
        <v/>
      </c>
      <c r="AO135" s="94" t="str">
        <f t="shared" si="19"/>
        <v/>
      </c>
      <c r="AP135" s="47" t="str">
        <f>IF($U135="","",VLOOKUP($U135,'ORF Accuracy Value LookUp'!$G$4:$H$104,2,TRUE))</f>
        <v/>
      </c>
      <c r="AQ135" s="94" t="str">
        <f t="shared" si="20"/>
        <v/>
      </c>
      <c r="AR135" s="46" t="str">
        <f>IF($AE135="","",VLOOKUP($AE135,'ORF Accuracy Value LookUp'!$G$4:$H$104,2,TRUE))</f>
        <v/>
      </c>
      <c r="AS135" s="140" t="str">
        <f t="shared" si="21"/>
        <v/>
      </c>
    </row>
    <row r="136" spans="1:45">
      <c r="A136" s="10"/>
      <c r="B136" s="9"/>
      <c r="C136" s="9"/>
      <c r="D136" s="9"/>
      <c r="E136" s="10"/>
      <c r="F136" s="11"/>
      <c r="G136" s="15"/>
      <c r="H136" s="88"/>
      <c r="I136" s="24"/>
      <c r="J136" s="24"/>
      <c r="K136" s="114" t="str">
        <f t="shared" ref="K136:K199" si="24">IF($I136="","",SUM($I136/($I136+$J136)))</f>
        <v/>
      </c>
      <c r="L136" s="24"/>
      <c r="M136" s="24"/>
      <c r="N136" s="24"/>
      <c r="O136" s="24"/>
      <c r="P136" s="97" t="str">
        <f t="shared" ref="P136:P199" si="25">IF($AO136&gt;0,$AO136,0)</f>
        <v/>
      </c>
      <c r="Q136" s="113" t="str">
        <f t="shared" ref="Q136:Q199" si="26">IF($B136="","",SUM($I136+$AN136+($L136*2)+($P136*2)))</f>
        <v/>
      </c>
      <c r="R136" s="88"/>
      <c r="S136" s="24"/>
      <c r="T136" s="24"/>
      <c r="U136" s="78" t="str">
        <f t="shared" ref="U136:U199" si="27">IF($S136="","",SUM($S136/($S136+$T136)))</f>
        <v/>
      </c>
      <c r="V136" s="24"/>
      <c r="W136" s="24"/>
      <c r="X136" s="24"/>
      <c r="Y136" s="24"/>
      <c r="Z136" s="98" t="str">
        <f t="shared" ref="Z136:Z199" si="28">IF($AQ136&gt;0,$AQ136,0)</f>
        <v/>
      </c>
      <c r="AA136" s="40" t="str">
        <f t="shared" si="22"/>
        <v/>
      </c>
      <c r="AB136" s="88"/>
      <c r="AC136" s="24"/>
      <c r="AD136" s="24"/>
      <c r="AE136" s="79" t="str">
        <f t="shared" ref="AE136:AE199" si="29">IF($AC136="","",SUM($AC136/($AC136+$AD136)))</f>
        <v/>
      </c>
      <c r="AF136" s="24"/>
      <c r="AG136" s="24"/>
      <c r="AH136" s="24"/>
      <c r="AI136" s="24"/>
      <c r="AJ136" s="99" t="str">
        <f t="shared" ref="AJ136:AJ199" si="30">IF($AS136&gt;0,$AS136,0)</f>
        <v/>
      </c>
      <c r="AK136" s="31" t="str">
        <f t="shared" si="23"/>
        <v/>
      </c>
      <c r="AN136" s="139" t="str">
        <f>IF($K136="","",VLOOKUP($K136,'ORF Accuracy Value LookUp'!$G$4:$H$104,2,TRUE))</f>
        <v/>
      </c>
      <c r="AO136" s="94" t="str">
        <f t="shared" ref="AO136:AO199" si="31">IF($N136="","",($N136-($O136/2)))</f>
        <v/>
      </c>
      <c r="AP136" s="47" t="str">
        <f>IF($U136="","",VLOOKUP($U136,'ORF Accuracy Value LookUp'!$G$4:$H$104,2,TRUE))</f>
        <v/>
      </c>
      <c r="AQ136" s="94" t="str">
        <f t="shared" ref="AQ136:AQ199" si="32">IF($X136="","",$X136-($Y136/2))</f>
        <v/>
      </c>
      <c r="AR136" s="46" t="str">
        <f>IF($AE136="","",VLOOKUP($AE136,'ORF Accuracy Value LookUp'!$G$4:$H$104,2,TRUE))</f>
        <v/>
      </c>
      <c r="AS136" s="140" t="str">
        <f t="shared" ref="AS136:AS199" si="33">IF($AH136="","",$AH136-($AI136/2))</f>
        <v/>
      </c>
    </row>
    <row r="137" spans="1:45">
      <c r="A137" s="10"/>
      <c r="B137" s="9"/>
      <c r="C137" s="9"/>
      <c r="D137" s="9"/>
      <c r="E137" s="10"/>
      <c r="F137" s="11"/>
      <c r="G137" s="15"/>
      <c r="H137" s="88"/>
      <c r="I137" s="24"/>
      <c r="J137" s="24"/>
      <c r="K137" s="114" t="str">
        <f t="shared" si="24"/>
        <v/>
      </c>
      <c r="L137" s="24"/>
      <c r="M137" s="24"/>
      <c r="N137" s="24"/>
      <c r="O137" s="24"/>
      <c r="P137" s="97" t="str">
        <f t="shared" si="25"/>
        <v/>
      </c>
      <c r="Q137" s="113" t="str">
        <f t="shared" si="26"/>
        <v/>
      </c>
      <c r="R137" s="88"/>
      <c r="S137" s="24"/>
      <c r="T137" s="24"/>
      <c r="U137" s="78" t="str">
        <f t="shared" si="27"/>
        <v/>
      </c>
      <c r="V137" s="24"/>
      <c r="W137" s="24"/>
      <c r="X137" s="24"/>
      <c r="Y137" s="24"/>
      <c r="Z137" s="98" t="str">
        <f t="shared" si="28"/>
        <v/>
      </c>
      <c r="AA137" s="40" t="str">
        <f t="shared" ref="AA137:AA200" si="34">IF($R137="","",SUM($S137+$AP137+($V137*2)+($Z137*4)))</f>
        <v/>
      </c>
      <c r="AB137" s="88"/>
      <c r="AC137" s="24"/>
      <c r="AD137" s="24"/>
      <c r="AE137" s="79" t="str">
        <f t="shared" si="29"/>
        <v/>
      </c>
      <c r="AF137" s="24"/>
      <c r="AG137" s="24"/>
      <c r="AH137" s="24"/>
      <c r="AI137" s="24"/>
      <c r="AJ137" s="99" t="str">
        <f t="shared" si="30"/>
        <v/>
      </c>
      <c r="AK137" s="31" t="str">
        <f t="shared" ref="AK137:AK200" si="35">IF($AB137="","",SUM($AC137+$AR137+($AF137*2)+($AJ137*4)))</f>
        <v/>
      </c>
      <c r="AN137" s="139" t="str">
        <f>IF($K137="","",VLOOKUP($K137,'ORF Accuracy Value LookUp'!$G$4:$H$104,2,TRUE))</f>
        <v/>
      </c>
      <c r="AO137" s="94" t="str">
        <f t="shared" si="31"/>
        <v/>
      </c>
      <c r="AP137" s="47" t="str">
        <f>IF($U137="","",VLOOKUP($U137,'ORF Accuracy Value LookUp'!$G$4:$H$104,2,TRUE))</f>
        <v/>
      </c>
      <c r="AQ137" s="94" t="str">
        <f t="shared" si="32"/>
        <v/>
      </c>
      <c r="AR137" s="46" t="str">
        <f>IF($AE137="","",VLOOKUP($AE137,'ORF Accuracy Value LookUp'!$G$4:$H$104,2,TRUE))</f>
        <v/>
      </c>
      <c r="AS137" s="140" t="str">
        <f t="shared" si="33"/>
        <v/>
      </c>
    </row>
    <row r="138" spans="1:45">
      <c r="A138" s="10"/>
      <c r="B138" s="9"/>
      <c r="C138" s="9"/>
      <c r="D138" s="9"/>
      <c r="E138" s="10"/>
      <c r="F138" s="11"/>
      <c r="G138" s="15"/>
      <c r="H138" s="88"/>
      <c r="I138" s="24"/>
      <c r="J138" s="24"/>
      <c r="K138" s="114" t="str">
        <f t="shared" si="24"/>
        <v/>
      </c>
      <c r="L138" s="24"/>
      <c r="M138" s="24"/>
      <c r="N138" s="24"/>
      <c r="O138" s="24"/>
      <c r="P138" s="97" t="str">
        <f t="shared" si="25"/>
        <v/>
      </c>
      <c r="Q138" s="113" t="str">
        <f t="shared" si="26"/>
        <v/>
      </c>
      <c r="R138" s="88"/>
      <c r="S138" s="24"/>
      <c r="T138" s="24"/>
      <c r="U138" s="78" t="str">
        <f t="shared" si="27"/>
        <v/>
      </c>
      <c r="V138" s="24"/>
      <c r="W138" s="24"/>
      <c r="X138" s="24"/>
      <c r="Y138" s="24"/>
      <c r="Z138" s="98" t="str">
        <f t="shared" si="28"/>
        <v/>
      </c>
      <c r="AA138" s="40" t="str">
        <f t="shared" si="34"/>
        <v/>
      </c>
      <c r="AB138" s="88"/>
      <c r="AC138" s="24"/>
      <c r="AD138" s="24"/>
      <c r="AE138" s="79" t="str">
        <f t="shared" si="29"/>
        <v/>
      </c>
      <c r="AF138" s="24"/>
      <c r="AG138" s="24"/>
      <c r="AH138" s="24"/>
      <c r="AI138" s="24"/>
      <c r="AJ138" s="99" t="str">
        <f t="shared" si="30"/>
        <v/>
      </c>
      <c r="AK138" s="31" t="str">
        <f t="shared" si="35"/>
        <v/>
      </c>
      <c r="AN138" s="139" t="str">
        <f>IF($K138="","",VLOOKUP($K138,'ORF Accuracy Value LookUp'!$G$4:$H$104,2,TRUE))</f>
        <v/>
      </c>
      <c r="AO138" s="94" t="str">
        <f t="shared" si="31"/>
        <v/>
      </c>
      <c r="AP138" s="47" t="str">
        <f>IF($U138="","",VLOOKUP($U138,'ORF Accuracy Value LookUp'!$G$4:$H$104,2,TRUE))</f>
        <v/>
      </c>
      <c r="AQ138" s="94" t="str">
        <f t="shared" si="32"/>
        <v/>
      </c>
      <c r="AR138" s="46" t="str">
        <f>IF($AE138="","",VLOOKUP($AE138,'ORF Accuracy Value LookUp'!$G$4:$H$104,2,TRUE))</f>
        <v/>
      </c>
      <c r="AS138" s="140" t="str">
        <f t="shared" si="33"/>
        <v/>
      </c>
    </row>
    <row r="139" spans="1:45">
      <c r="A139" s="10"/>
      <c r="B139" s="9"/>
      <c r="C139" s="9"/>
      <c r="D139" s="9"/>
      <c r="E139" s="10"/>
      <c r="F139" s="11"/>
      <c r="G139" s="15"/>
      <c r="H139" s="88"/>
      <c r="I139" s="24"/>
      <c r="J139" s="24"/>
      <c r="K139" s="114" t="str">
        <f t="shared" si="24"/>
        <v/>
      </c>
      <c r="L139" s="24"/>
      <c r="M139" s="24"/>
      <c r="N139" s="24"/>
      <c r="O139" s="24"/>
      <c r="P139" s="97" t="str">
        <f t="shared" si="25"/>
        <v/>
      </c>
      <c r="Q139" s="113" t="str">
        <f t="shared" si="26"/>
        <v/>
      </c>
      <c r="R139" s="88"/>
      <c r="S139" s="24"/>
      <c r="T139" s="24"/>
      <c r="U139" s="78" t="str">
        <f t="shared" si="27"/>
        <v/>
      </c>
      <c r="V139" s="24"/>
      <c r="W139" s="24"/>
      <c r="X139" s="24"/>
      <c r="Y139" s="24"/>
      <c r="Z139" s="98" t="str">
        <f t="shared" si="28"/>
        <v/>
      </c>
      <c r="AA139" s="40" t="str">
        <f t="shared" si="34"/>
        <v/>
      </c>
      <c r="AB139" s="88"/>
      <c r="AC139" s="24"/>
      <c r="AD139" s="24"/>
      <c r="AE139" s="79" t="str">
        <f t="shared" si="29"/>
        <v/>
      </c>
      <c r="AF139" s="24"/>
      <c r="AG139" s="24"/>
      <c r="AH139" s="24"/>
      <c r="AI139" s="24"/>
      <c r="AJ139" s="99" t="str">
        <f t="shared" si="30"/>
        <v/>
      </c>
      <c r="AK139" s="31" t="str">
        <f t="shared" si="35"/>
        <v/>
      </c>
      <c r="AN139" s="139" t="str">
        <f>IF($K139="","",VLOOKUP($K139,'ORF Accuracy Value LookUp'!$G$4:$H$104,2,TRUE))</f>
        <v/>
      </c>
      <c r="AO139" s="94" t="str">
        <f t="shared" si="31"/>
        <v/>
      </c>
      <c r="AP139" s="47" t="str">
        <f>IF($U139="","",VLOOKUP($U139,'ORF Accuracy Value LookUp'!$G$4:$H$104,2,TRUE))</f>
        <v/>
      </c>
      <c r="AQ139" s="94" t="str">
        <f t="shared" si="32"/>
        <v/>
      </c>
      <c r="AR139" s="46" t="str">
        <f>IF($AE139="","",VLOOKUP($AE139,'ORF Accuracy Value LookUp'!$G$4:$H$104,2,TRUE))</f>
        <v/>
      </c>
      <c r="AS139" s="140" t="str">
        <f t="shared" si="33"/>
        <v/>
      </c>
    </row>
    <row r="140" spans="1:45">
      <c r="A140" s="10"/>
      <c r="B140" s="9"/>
      <c r="C140" s="9"/>
      <c r="D140" s="9"/>
      <c r="E140" s="10"/>
      <c r="F140" s="11"/>
      <c r="G140" s="15"/>
      <c r="H140" s="88"/>
      <c r="I140" s="24"/>
      <c r="J140" s="24"/>
      <c r="K140" s="114" t="str">
        <f t="shared" si="24"/>
        <v/>
      </c>
      <c r="L140" s="24"/>
      <c r="M140" s="24"/>
      <c r="N140" s="24"/>
      <c r="O140" s="24"/>
      <c r="P140" s="97" t="str">
        <f t="shared" si="25"/>
        <v/>
      </c>
      <c r="Q140" s="113" t="str">
        <f t="shared" si="26"/>
        <v/>
      </c>
      <c r="R140" s="88"/>
      <c r="S140" s="24"/>
      <c r="T140" s="24"/>
      <c r="U140" s="78" t="str">
        <f t="shared" si="27"/>
        <v/>
      </c>
      <c r="V140" s="24"/>
      <c r="W140" s="24"/>
      <c r="X140" s="24"/>
      <c r="Y140" s="24"/>
      <c r="Z140" s="98" t="str">
        <f t="shared" si="28"/>
        <v/>
      </c>
      <c r="AA140" s="40" t="str">
        <f t="shared" si="34"/>
        <v/>
      </c>
      <c r="AB140" s="88"/>
      <c r="AC140" s="24"/>
      <c r="AD140" s="24"/>
      <c r="AE140" s="79" t="str">
        <f t="shared" si="29"/>
        <v/>
      </c>
      <c r="AF140" s="24"/>
      <c r="AG140" s="24"/>
      <c r="AH140" s="24"/>
      <c r="AI140" s="24"/>
      <c r="AJ140" s="99" t="str">
        <f t="shared" si="30"/>
        <v/>
      </c>
      <c r="AK140" s="31" t="str">
        <f t="shared" si="35"/>
        <v/>
      </c>
      <c r="AN140" s="139" t="str">
        <f>IF($K140="","",VLOOKUP($K140,'ORF Accuracy Value LookUp'!$G$4:$H$104,2,TRUE))</f>
        <v/>
      </c>
      <c r="AO140" s="94" t="str">
        <f t="shared" si="31"/>
        <v/>
      </c>
      <c r="AP140" s="47" t="str">
        <f>IF($U140="","",VLOOKUP($U140,'ORF Accuracy Value LookUp'!$G$4:$H$104,2,TRUE))</f>
        <v/>
      </c>
      <c r="AQ140" s="94" t="str">
        <f t="shared" si="32"/>
        <v/>
      </c>
      <c r="AR140" s="46" t="str">
        <f>IF($AE140="","",VLOOKUP($AE140,'ORF Accuracy Value LookUp'!$G$4:$H$104,2,TRUE))</f>
        <v/>
      </c>
      <c r="AS140" s="140" t="str">
        <f t="shared" si="33"/>
        <v/>
      </c>
    </row>
    <row r="141" spans="1:45">
      <c r="A141" s="10"/>
      <c r="B141" s="9"/>
      <c r="C141" s="9"/>
      <c r="D141" s="9"/>
      <c r="E141" s="10"/>
      <c r="F141" s="11"/>
      <c r="G141" s="15"/>
      <c r="H141" s="88"/>
      <c r="I141" s="24"/>
      <c r="J141" s="24"/>
      <c r="K141" s="114" t="str">
        <f t="shared" si="24"/>
        <v/>
      </c>
      <c r="L141" s="24"/>
      <c r="M141" s="24"/>
      <c r="N141" s="24"/>
      <c r="O141" s="24"/>
      <c r="P141" s="97" t="str">
        <f t="shared" si="25"/>
        <v/>
      </c>
      <c r="Q141" s="113" t="str">
        <f t="shared" si="26"/>
        <v/>
      </c>
      <c r="R141" s="88"/>
      <c r="S141" s="24"/>
      <c r="T141" s="24"/>
      <c r="U141" s="78" t="str">
        <f t="shared" si="27"/>
        <v/>
      </c>
      <c r="V141" s="24"/>
      <c r="W141" s="24"/>
      <c r="X141" s="24"/>
      <c r="Y141" s="24"/>
      <c r="Z141" s="98" t="str">
        <f t="shared" si="28"/>
        <v/>
      </c>
      <c r="AA141" s="40" t="str">
        <f t="shared" si="34"/>
        <v/>
      </c>
      <c r="AB141" s="88"/>
      <c r="AC141" s="24"/>
      <c r="AD141" s="24"/>
      <c r="AE141" s="79" t="str">
        <f t="shared" si="29"/>
        <v/>
      </c>
      <c r="AF141" s="24"/>
      <c r="AG141" s="24"/>
      <c r="AH141" s="24"/>
      <c r="AI141" s="24"/>
      <c r="AJ141" s="99" t="str">
        <f t="shared" si="30"/>
        <v/>
      </c>
      <c r="AK141" s="31" t="str">
        <f t="shared" si="35"/>
        <v/>
      </c>
      <c r="AN141" s="139" t="str">
        <f>IF($K141="","",VLOOKUP($K141,'ORF Accuracy Value LookUp'!$G$4:$H$104,2,TRUE))</f>
        <v/>
      </c>
      <c r="AO141" s="94" t="str">
        <f t="shared" si="31"/>
        <v/>
      </c>
      <c r="AP141" s="47" t="str">
        <f>IF($U141="","",VLOOKUP($U141,'ORF Accuracy Value LookUp'!$G$4:$H$104,2,TRUE))</f>
        <v/>
      </c>
      <c r="AQ141" s="94" t="str">
        <f t="shared" si="32"/>
        <v/>
      </c>
      <c r="AR141" s="46" t="str">
        <f>IF($AE141="","",VLOOKUP($AE141,'ORF Accuracy Value LookUp'!$G$4:$H$104,2,TRUE))</f>
        <v/>
      </c>
      <c r="AS141" s="140" t="str">
        <f t="shared" si="33"/>
        <v/>
      </c>
    </row>
    <row r="142" spans="1:45">
      <c r="A142" s="10"/>
      <c r="B142" s="9"/>
      <c r="C142" s="9"/>
      <c r="D142" s="9"/>
      <c r="E142" s="10"/>
      <c r="F142" s="11"/>
      <c r="G142" s="15"/>
      <c r="H142" s="88"/>
      <c r="I142" s="24"/>
      <c r="J142" s="24"/>
      <c r="K142" s="114" t="str">
        <f t="shared" si="24"/>
        <v/>
      </c>
      <c r="L142" s="24"/>
      <c r="M142" s="24"/>
      <c r="N142" s="24"/>
      <c r="O142" s="24"/>
      <c r="P142" s="97" t="str">
        <f t="shared" si="25"/>
        <v/>
      </c>
      <c r="Q142" s="113" t="str">
        <f t="shared" si="26"/>
        <v/>
      </c>
      <c r="R142" s="88"/>
      <c r="S142" s="24"/>
      <c r="T142" s="24"/>
      <c r="U142" s="78" t="str">
        <f t="shared" si="27"/>
        <v/>
      </c>
      <c r="V142" s="24"/>
      <c r="W142" s="24"/>
      <c r="X142" s="24"/>
      <c r="Y142" s="24"/>
      <c r="Z142" s="98" t="str">
        <f t="shared" si="28"/>
        <v/>
      </c>
      <c r="AA142" s="40" t="str">
        <f t="shared" si="34"/>
        <v/>
      </c>
      <c r="AB142" s="88"/>
      <c r="AC142" s="24"/>
      <c r="AD142" s="24"/>
      <c r="AE142" s="79" t="str">
        <f t="shared" si="29"/>
        <v/>
      </c>
      <c r="AF142" s="24"/>
      <c r="AG142" s="24"/>
      <c r="AH142" s="24"/>
      <c r="AI142" s="24"/>
      <c r="AJ142" s="99" t="str">
        <f t="shared" si="30"/>
        <v/>
      </c>
      <c r="AK142" s="31" t="str">
        <f t="shared" si="35"/>
        <v/>
      </c>
      <c r="AN142" s="139" t="str">
        <f>IF($K142="","",VLOOKUP($K142,'ORF Accuracy Value LookUp'!$G$4:$H$104,2,TRUE))</f>
        <v/>
      </c>
      <c r="AO142" s="94" t="str">
        <f t="shared" si="31"/>
        <v/>
      </c>
      <c r="AP142" s="47" t="str">
        <f>IF($U142="","",VLOOKUP($U142,'ORF Accuracy Value LookUp'!$G$4:$H$104,2,TRUE))</f>
        <v/>
      </c>
      <c r="AQ142" s="94" t="str">
        <f t="shared" si="32"/>
        <v/>
      </c>
      <c r="AR142" s="46" t="str">
        <f>IF($AE142="","",VLOOKUP($AE142,'ORF Accuracy Value LookUp'!$G$4:$H$104,2,TRUE))</f>
        <v/>
      </c>
      <c r="AS142" s="140" t="str">
        <f t="shared" si="33"/>
        <v/>
      </c>
    </row>
    <row r="143" spans="1:45">
      <c r="A143" s="10"/>
      <c r="B143" s="9"/>
      <c r="C143" s="9"/>
      <c r="D143" s="9"/>
      <c r="E143" s="10"/>
      <c r="F143" s="11"/>
      <c r="G143" s="15"/>
      <c r="H143" s="88"/>
      <c r="I143" s="24"/>
      <c r="J143" s="24"/>
      <c r="K143" s="114" t="str">
        <f t="shared" si="24"/>
        <v/>
      </c>
      <c r="L143" s="24"/>
      <c r="M143" s="24"/>
      <c r="N143" s="24"/>
      <c r="O143" s="24"/>
      <c r="P143" s="97" t="str">
        <f t="shared" si="25"/>
        <v/>
      </c>
      <c r="Q143" s="113" t="str">
        <f t="shared" si="26"/>
        <v/>
      </c>
      <c r="R143" s="88"/>
      <c r="S143" s="24"/>
      <c r="T143" s="24"/>
      <c r="U143" s="78" t="str">
        <f t="shared" si="27"/>
        <v/>
      </c>
      <c r="V143" s="24"/>
      <c r="W143" s="24"/>
      <c r="X143" s="24"/>
      <c r="Y143" s="24"/>
      <c r="Z143" s="98" t="str">
        <f t="shared" si="28"/>
        <v/>
      </c>
      <c r="AA143" s="40" t="str">
        <f t="shared" si="34"/>
        <v/>
      </c>
      <c r="AB143" s="88"/>
      <c r="AC143" s="24"/>
      <c r="AD143" s="24"/>
      <c r="AE143" s="79" t="str">
        <f t="shared" si="29"/>
        <v/>
      </c>
      <c r="AF143" s="24"/>
      <c r="AG143" s="24"/>
      <c r="AH143" s="24"/>
      <c r="AI143" s="24"/>
      <c r="AJ143" s="99" t="str">
        <f t="shared" si="30"/>
        <v/>
      </c>
      <c r="AK143" s="31" t="str">
        <f t="shared" si="35"/>
        <v/>
      </c>
      <c r="AN143" s="139" t="str">
        <f>IF($K143="","",VLOOKUP($K143,'ORF Accuracy Value LookUp'!$G$4:$H$104,2,TRUE))</f>
        <v/>
      </c>
      <c r="AO143" s="94" t="str">
        <f t="shared" si="31"/>
        <v/>
      </c>
      <c r="AP143" s="47" t="str">
        <f>IF($U143="","",VLOOKUP($U143,'ORF Accuracy Value LookUp'!$G$4:$H$104,2,TRUE))</f>
        <v/>
      </c>
      <c r="AQ143" s="94" t="str">
        <f t="shared" si="32"/>
        <v/>
      </c>
      <c r="AR143" s="46" t="str">
        <f>IF($AE143="","",VLOOKUP($AE143,'ORF Accuracy Value LookUp'!$G$4:$H$104,2,TRUE))</f>
        <v/>
      </c>
      <c r="AS143" s="140" t="str">
        <f t="shared" si="33"/>
        <v/>
      </c>
    </row>
    <row r="144" spans="1:45">
      <c r="A144" s="10"/>
      <c r="B144" s="9"/>
      <c r="C144" s="9"/>
      <c r="D144" s="9"/>
      <c r="E144" s="10"/>
      <c r="F144" s="11"/>
      <c r="G144" s="15"/>
      <c r="H144" s="88"/>
      <c r="I144" s="24"/>
      <c r="J144" s="24"/>
      <c r="K144" s="114" t="str">
        <f t="shared" si="24"/>
        <v/>
      </c>
      <c r="L144" s="24"/>
      <c r="M144" s="24"/>
      <c r="N144" s="24"/>
      <c r="O144" s="24"/>
      <c r="P144" s="97" t="str">
        <f t="shared" si="25"/>
        <v/>
      </c>
      <c r="Q144" s="113" t="str">
        <f t="shared" si="26"/>
        <v/>
      </c>
      <c r="R144" s="88"/>
      <c r="S144" s="24"/>
      <c r="T144" s="24"/>
      <c r="U144" s="78" t="str">
        <f t="shared" si="27"/>
        <v/>
      </c>
      <c r="V144" s="24"/>
      <c r="W144" s="24"/>
      <c r="X144" s="24"/>
      <c r="Y144" s="24"/>
      <c r="Z144" s="98" t="str">
        <f t="shared" si="28"/>
        <v/>
      </c>
      <c r="AA144" s="40" t="str">
        <f t="shared" si="34"/>
        <v/>
      </c>
      <c r="AB144" s="88"/>
      <c r="AC144" s="24"/>
      <c r="AD144" s="24"/>
      <c r="AE144" s="79" t="str">
        <f t="shared" si="29"/>
        <v/>
      </c>
      <c r="AF144" s="24"/>
      <c r="AG144" s="24"/>
      <c r="AH144" s="24"/>
      <c r="AI144" s="24"/>
      <c r="AJ144" s="99" t="str">
        <f t="shared" si="30"/>
        <v/>
      </c>
      <c r="AK144" s="31" t="str">
        <f t="shared" si="35"/>
        <v/>
      </c>
      <c r="AN144" s="139" t="str">
        <f>IF($K144="","",VLOOKUP($K144,'ORF Accuracy Value LookUp'!$G$4:$H$104,2,TRUE))</f>
        <v/>
      </c>
      <c r="AO144" s="94" t="str">
        <f t="shared" si="31"/>
        <v/>
      </c>
      <c r="AP144" s="47" t="str">
        <f>IF($U144="","",VLOOKUP($U144,'ORF Accuracy Value LookUp'!$G$4:$H$104,2,TRUE))</f>
        <v/>
      </c>
      <c r="AQ144" s="94" t="str">
        <f t="shared" si="32"/>
        <v/>
      </c>
      <c r="AR144" s="46" t="str">
        <f>IF($AE144="","",VLOOKUP($AE144,'ORF Accuracy Value LookUp'!$G$4:$H$104,2,TRUE))</f>
        <v/>
      </c>
      <c r="AS144" s="140" t="str">
        <f t="shared" si="33"/>
        <v/>
      </c>
    </row>
    <row r="145" spans="1:45">
      <c r="A145" s="10"/>
      <c r="B145" s="9"/>
      <c r="C145" s="9"/>
      <c r="D145" s="9"/>
      <c r="E145" s="10"/>
      <c r="F145" s="11"/>
      <c r="G145" s="15"/>
      <c r="H145" s="88"/>
      <c r="I145" s="24"/>
      <c r="J145" s="24"/>
      <c r="K145" s="114" t="str">
        <f t="shared" si="24"/>
        <v/>
      </c>
      <c r="L145" s="24"/>
      <c r="M145" s="24"/>
      <c r="N145" s="24"/>
      <c r="O145" s="24"/>
      <c r="P145" s="97" t="str">
        <f t="shared" si="25"/>
        <v/>
      </c>
      <c r="Q145" s="113" t="str">
        <f t="shared" si="26"/>
        <v/>
      </c>
      <c r="R145" s="88"/>
      <c r="S145" s="24"/>
      <c r="T145" s="24"/>
      <c r="U145" s="78" t="str">
        <f t="shared" si="27"/>
        <v/>
      </c>
      <c r="V145" s="24"/>
      <c r="W145" s="24"/>
      <c r="X145" s="24"/>
      <c r="Y145" s="24"/>
      <c r="Z145" s="98" t="str">
        <f t="shared" si="28"/>
        <v/>
      </c>
      <c r="AA145" s="40" t="str">
        <f t="shared" si="34"/>
        <v/>
      </c>
      <c r="AB145" s="88"/>
      <c r="AC145" s="24"/>
      <c r="AD145" s="24"/>
      <c r="AE145" s="79" t="str">
        <f t="shared" si="29"/>
        <v/>
      </c>
      <c r="AF145" s="24"/>
      <c r="AG145" s="24"/>
      <c r="AH145" s="24"/>
      <c r="AI145" s="24"/>
      <c r="AJ145" s="99" t="str">
        <f t="shared" si="30"/>
        <v/>
      </c>
      <c r="AK145" s="31" t="str">
        <f t="shared" si="35"/>
        <v/>
      </c>
      <c r="AN145" s="139" t="str">
        <f>IF($K145="","",VLOOKUP($K145,'ORF Accuracy Value LookUp'!$G$4:$H$104,2,TRUE))</f>
        <v/>
      </c>
      <c r="AO145" s="94" t="str">
        <f t="shared" si="31"/>
        <v/>
      </c>
      <c r="AP145" s="47" t="str">
        <f>IF($U145="","",VLOOKUP($U145,'ORF Accuracy Value LookUp'!$G$4:$H$104,2,TRUE))</f>
        <v/>
      </c>
      <c r="AQ145" s="94" t="str">
        <f t="shared" si="32"/>
        <v/>
      </c>
      <c r="AR145" s="46" t="str">
        <f>IF($AE145="","",VLOOKUP($AE145,'ORF Accuracy Value LookUp'!$G$4:$H$104,2,TRUE))</f>
        <v/>
      </c>
      <c r="AS145" s="140" t="str">
        <f t="shared" si="33"/>
        <v/>
      </c>
    </row>
    <row r="146" spans="1:45">
      <c r="A146" s="10"/>
      <c r="B146" s="9"/>
      <c r="C146" s="9"/>
      <c r="D146" s="9"/>
      <c r="E146" s="10"/>
      <c r="F146" s="11"/>
      <c r="G146" s="15"/>
      <c r="H146" s="88"/>
      <c r="I146" s="24"/>
      <c r="J146" s="24"/>
      <c r="K146" s="114" t="str">
        <f t="shared" si="24"/>
        <v/>
      </c>
      <c r="L146" s="24"/>
      <c r="M146" s="24"/>
      <c r="N146" s="24"/>
      <c r="O146" s="24"/>
      <c r="P146" s="97" t="str">
        <f t="shared" si="25"/>
        <v/>
      </c>
      <c r="Q146" s="113" t="str">
        <f t="shared" si="26"/>
        <v/>
      </c>
      <c r="R146" s="88"/>
      <c r="S146" s="24"/>
      <c r="T146" s="24"/>
      <c r="U146" s="78" t="str">
        <f t="shared" si="27"/>
        <v/>
      </c>
      <c r="V146" s="24"/>
      <c r="W146" s="24"/>
      <c r="X146" s="24"/>
      <c r="Y146" s="24"/>
      <c r="Z146" s="98" t="str">
        <f t="shared" si="28"/>
        <v/>
      </c>
      <c r="AA146" s="40" t="str">
        <f t="shared" si="34"/>
        <v/>
      </c>
      <c r="AB146" s="88"/>
      <c r="AC146" s="24"/>
      <c r="AD146" s="24"/>
      <c r="AE146" s="79" t="str">
        <f t="shared" si="29"/>
        <v/>
      </c>
      <c r="AF146" s="24"/>
      <c r="AG146" s="24"/>
      <c r="AH146" s="24"/>
      <c r="AI146" s="24"/>
      <c r="AJ146" s="99" t="str">
        <f t="shared" si="30"/>
        <v/>
      </c>
      <c r="AK146" s="31" t="str">
        <f t="shared" si="35"/>
        <v/>
      </c>
      <c r="AN146" s="139" t="str">
        <f>IF($K146="","",VLOOKUP($K146,'ORF Accuracy Value LookUp'!$G$4:$H$104,2,TRUE))</f>
        <v/>
      </c>
      <c r="AO146" s="94" t="str">
        <f t="shared" si="31"/>
        <v/>
      </c>
      <c r="AP146" s="47" t="str">
        <f>IF($U146="","",VLOOKUP($U146,'ORF Accuracy Value LookUp'!$G$4:$H$104,2,TRUE))</f>
        <v/>
      </c>
      <c r="AQ146" s="94" t="str">
        <f t="shared" si="32"/>
        <v/>
      </c>
      <c r="AR146" s="46" t="str">
        <f>IF($AE146="","",VLOOKUP($AE146,'ORF Accuracy Value LookUp'!$G$4:$H$104,2,TRUE))</f>
        <v/>
      </c>
      <c r="AS146" s="140" t="str">
        <f t="shared" si="33"/>
        <v/>
      </c>
    </row>
    <row r="147" spans="1:45">
      <c r="A147" s="10"/>
      <c r="B147" s="9"/>
      <c r="C147" s="9"/>
      <c r="D147" s="9"/>
      <c r="E147" s="10"/>
      <c r="F147" s="11"/>
      <c r="G147" s="15"/>
      <c r="H147" s="88"/>
      <c r="I147" s="24"/>
      <c r="J147" s="24"/>
      <c r="K147" s="114" t="str">
        <f t="shared" si="24"/>
        <v/>
      </c>
      <c r="L147" s="24"/>
      <c r="M147" s="24"/>
      <c r="N147" s="24"/>
      <c r="O147" s="24"/>
      <c r="P147" s="97" t="str">
        <f t="shared" si="25"/>
        <v/>
      </c>
      <c r="Q147" s="113" t="str">
        <f t="shared" si="26"/>
        <v/>
      </c>
      <c r="R147" s="88"/>
      <c r="S147" s="24"/>
      <c r="T147" s="24"/>
      <c r="U147" s="78" t="str">
        <f t="shared" si="27"/>
        <v/>
      </c>
      <c r="V147" s="24"/>
      <c r="W147" s="24"/>
      <c r="X147" s="24"/>
      <c r="Y147" s="24"/>
      <c r="Z147" s="98" t="str">
        <f t="shared" si="28"/>
        <v/>
      </c>
      <c r="AA147" s="40" t="str">
        <f t="shared" si="34"/>
        <v/>
      </c>
      <c r="AB147" s="88"/>
      <c r="AC147" s="24"/>
      <c r="AD147" s="24"/>
      <c r="AE147" s="79" t="str">
        <f t="shared" si="29"/>
        <v/>
      </c>
      <c r="AF147" s="24"/>
      <c r="AG147" s="24"/>
      <c r="AH147" s="24"/>
      <c r="AI147" s="24"/>
      <c r="AJ147" s="99" t="str">
        <f t="shared" si="30"/>
        <v/>
      </c>
      <c r="AK147" s="31" t="str">
        <f t="shared" si="35"/>
        <v/>
      </c>
      <c r="AN147" s="139" t="str">
        <f>IF($K147="","",VLOOKUP($K147,'ORF Accuracy Value LookUp'!$G$4:$H$104,2,TRUE))</f>
        <v/>
      </c>
      <c r="AO147" s="94" t="str">
        <f t="shared" si="31"/>
        <v/>
      </c>
      <c r="AP147" s="47" t="str">
        <f>IF($U147="","",VLOOKUP($U147,'ORF Accuracy Value LookUp'!$G$4:$H$104,2,TRUE))</f>
        <v/>
      </c>
      <c r="AQ147" s="94" t="str">
        <f t="shared" si="32"/>
        <v/>
      </c>
      <c r="AR147" s="46" t="str">
        <f>IF($AE147="","",VLOOKUP($AE147,'ORF Accuracy Value LookUp'!$G$4:$H$104,2,TRUE))</f>
        <v/>
      </c>
      <c r="AS147" s="140" t="str">
        <f t="shared" si="33"/>
        <v/>
      </c>
    </row>
    <row r="148" spans="1:45">
      <c r="A148" s="10"/>
      <c r="B148" s="9"/>
      <c r="C148" s="9"/>
      <c r="D148" s="9"/>
      <c r="E148" s="10"/>
      <c r="F148" s="11"/>
      <c r="G148" s="15"/>
      <c r="H148" s="88"/>
      <c r="I148" s="24"/>
      <c r="J148" s="24"/>
      <c r="K148" s="114" t="str">
        <f t="shared" si="24"/>
        <v/>
      </c>
      <c r="L148" s="24"/>
      <c r="M148" s="24"/>
      <c r="N148" s="24"/>
      <c r="O148" s="24"/>
      <c r="P148" s="97" t="str">
        <f t="shared" si="25"/>
        <v/>
      </c>
      <c r="Q148" s="113" t="str">
        <f t="shared" si="26"/>
        <v/>
      </c>
      <c r="R148" s="88"/>
      <c r="S148" s="24"/>
      <c r="T148" s="24"/>
      <c r="U148" s="78" t="str">
        <f t="shared" si="27"/>
        <v/>
      </c>
      <c r="V148" s="24"/>
      <c r="W148" s="24"/>
      <c r="X148" s="24"/>
      <c r="Y148" s="24"/>
      <c r="Z148" s="98" t="str">
        <f t="shared" si="28"/>
        <v/>
      </c>
      <c r="AA148" s="40" t="str">
        <f t="shared" si="34"/>
        <v/>
      </c>
      <c r="AB148" s="88"/>
      <c r="AC148" s="24"/>
      <c r="AD148" s="24"/>
      <c r="AE148" s="79" t="str">
        <f t="shared" si="29"/>
        <v/>
      </c>
      <c r="AF148" s="24"/>
      <c r="AG148" s="24"/>
      <c r="AH148" s="24"/>
      <c r="AI148" s="24"/>
      <c r="AJ148" s="99" t="str">
        <f t="shared" si="30"/>
        <v/>
      </c>
      <c r="AK148" s="31" t="str">
        <f t="shared" si="35"/>
        <v/>
      </c>
      <c r="AN148" s="139" t="str">
        <f>IF($K148="","",VLOOKUP($K148,'ORF Accuracy Value LookUp'!$G$4:$H$104,2,TRUE))</f>
        <v/>
      </c>
      <c r="AO148" s="94" t="str">
        <f t="shared" si="31"/>
        <v/>
      </c>
      <c r="AP148" s="47" t="str">
        <f>IF($U148="","",VLOOKUP($U148,'ORF Accuracy Value LookUp'!$G$4:$H$104,2,TRUE))</f>
        <v/>
      </c>
      <c r="AQ148" s="94" t="str">
        <f t="shared" si="32"/>
        <v/>
      </c>
      <c r="AR148" s="46" t="str">
        <f>IF($AE148="","",VLOOKUP($AE148,'ORF Accuracy Value LookUp'!$G$4:$H$104,2,TRUE))</f>
        <v/>
      </c>
      <c r="AS148" s="140" t="str">
        <f t="shared" si="33"/>
        <v/>
      </c>
    </row>
    <row r="149" spans="1:45">
      <c r="A149" s="10"/>
      <c r="B149" s="9"/>
      <c r="C149" s="9"/>
      <c r="D149" s="9"/>
      <c r="E149" s="10"/>
      <c r="F149" s="11"/>
      <c r="G149" s="15"/>
      <c r="H149" s="88"/>
      <c r="I149" s="24"/>
      <c r="J149" s="24"/>
      <c r="K149" s="114" t="str">
        <f t="shared" si="24"/>
        <v/>
      </c>
      <c r="L149" s="24"/>
      <c r="M149" s="24"/>
      <c r="N149" s="24"/>
      <c r="O149" s="24"/>
      <c r="P149" s="97" t="str">
        <f t="shared" si="25"/>
        <v/>
      </c>
      <c r="Q149" s="113" t="str">
        <f t="shared" si="26"/>
        <v/>
      </c>
      <c r="R149" s="88"/>
      <c r="S149" s="24"/>
      <c r="T149" s="24"/>
      <c r="U149" s="78" t="str">
        <f t="shared" si="27"/>
        <v/>
      </c>
      <c r="V149" s="24"/>
      <c r="W149" s="24"/>
      <c r="X149" s="24"/>
      <c r="Y149" s="24"/>
      <c r="Z149" s="98" t="str">
        <f t="shared" si="28"/>
        <v/>
      </c>
      <c r="AA149" s="40" t="str">
        <f t="shared" si="34"/>
        <v/>
      </c>
      <c r="AB149" s="88"/>
      <c r="AC149" s="24"/>
      <c r="AD149" s="24"/>
      <c r="AE149" s="79" t="str">
        <f t="shared" si="29"/>
        <v/>
      </c>
      <c r="AF149" s="24"/>
      <c r="AG149" s="24"/>
      <c r="AH149" s="24"/>
      <c r="AI149" s="24"/>
      <c r="AJ149" s="99" t="str">
        <f t="shared" si="30"/>
        <v/>
      </c>
      <c r="AK149" s="31" t="str">
        <f t="shared" si="35"/>
        <v/>
      </c>
      <c r="AN149" s="139" t="str">
        <f>IF($K149="","",VLOOKUP($K149,'ORF Accuracy Value LookUp'!$G$4:$H$104,2,TRUE))</f>
        <v/>
      </c>
      <c r="AO149" s="94" t="str">
        <f t="shared" si="31"/>
        <v/>
      </c>
      <c r="AP149" s="47" t="str">
        <f>IF($U149="","",VLOOKUP($U149,'ORF Accuracy Value LookUp'!$G$4:$H$104,2,TRUE))</f>
        <v/>
      </c>
      <c r="AQ149" s="94" t="str">
        <f t="shared" si="32"/>
        <v/>
      </c>
      <c r="AR149" s="46" t="str">
        <f>IF($AE149="","",VLOOKUP($AE149,'ORF Accuracy Value LookUp'!$G$4:$H$104,2,TRUE))</f>
        <v/>
      </c>
      <c r="AS149" s="140" t="str">
        <f t="shared" si="33"/>
        <v/>
      </c>
    </row>
    <row r="150" spans="1:45">
      <c r="A150" s="10"/>
      <c r="B150" s="9"/>
      <c r="C150" s="9"/>
      <c r="D150" s="9"/>
      <c r="E150" s="10"/>
      <c r="F150" s="11"/>
      <c r="G150" s="15"/>
      <c r="H150" s="88"/>
      <c r="I150" s="24"/>
      <c r="J150" s="24"/>
      <c r="K150" s="114" t="str">
        <f t="shared" si="24"/>
        <v/>
      </c>
      <c r="L150" s="24"/>
      <c r="M150" s="24"/>
      <c r="N150" s="24"/>
      <c r="O150" s="24"/>
      <c r="P150" s="97" t="str">
        <f t="shared" si="25"/>
        <v/>
      </c>
      <c r="Q150" s="113" t="str">
        <f t="shared" si="26"/>
        <v/>
      </c>
      <c r="R150" s="88"/>
      <c r="S150" s="24"/>
      <c r="T150" s="24"/>
      <c r="U150" s="78" t="str">
        <f t="shared" si="27"/>
        <v/>
      </c>
      <c r="V150" s="24"/>
      <c r="W150" s="24"/>
      <c r="X150" s="24"/>
      <c r="Y150" s="24"/>
      <c r="Z150" s="98" t="str">
        <f t="shared" si="28"/>
        <v/>
      </c>
      <c r="AA150" s="40" t="str">
        <f t="shared" si="34"/>
        <v/>
      </c>
      <c r="AB150" s="88"/>
      <c r="AC150" s="24"/>
      <c r="AD150" s="24"/>
      <c r="AE150" s="79" t="str">
        <f t="shared" si="29"/>
        <v/>
      </c>
      <c r="AF150" s="24"/>
      <c r="AG150" s="24"/>
      <c r="AH150" s="24"/>
      <c r="AI150" s="24"/>
      <c r="AJ150" s="99" t="str">
        <f t="shared" si="30"/>
        <v/>
      </c>
      <c r="AK150" s="31" t="str">
        <f t="shared" si="35"/>
        <v/>
      </c>
      <c r="AN150" s="139" t="str">
        <f>IF($K150="","",VLOOKUP($K150,'ORF Accuracy Value LookUp'!$G$4:$H$104,2,TRUE))</f>
        <v/>
      </c>
      <c r="AO150" s="94" t="str">
        <f t="shared" si="31"/>
        <v/>
      </c>
      <c r="AP150" s="47" t="str">
        <f>IF($U150="","",VLOOKUP($U150,'ORF Accuracy Value LookUp'!$G$4:$H$104,2,TRUE))</f>
        <v/>
      </c>
      <c r="AQ150" s="94" t="str">
        <f t="shared" si="32"/>
        <v/>
      </c>
      <c r="AR150" s="46" t="str">
        <f>IF($AE150="","",VLOOKUP($AE150,'ORF Accuracy Value LookUp'!$G$4:$H$104,2,TRUE))</f>
        <v/>
      </c>
      <c r="AS150" s="140" t="str">
        <f t="shared" si="33"/>
        <v/>
      </c>
    </row>
    <row r="151" spans="1:45">
      <c r="A151" s="10"/>
      <c r="B151" s="9"/>
      <c r="C151" s="9"/>
      <c r="D151" s="9"/>
      <c r="E151" s="10"/>
      <c r="F151" s="11"/>
      <c r="G151" s="15"/>
      <c r="H151" s="88"/>
      <c r="I151" s="24"/>
      <c r="J151" s="24"/>
      <c r="K151" s="114" t="str">
        <f t="shared" si="24"/>
        <v/>
      </c>
      <c r="L151" s="24"/>
      <c r="M151" s="24"/>
      <c r="N151" s="24"/>
      <c r="O151" s="24"/>
      <c r="P151" s="97" t="str">
        <f t="shared" si="25"/>
        <v/>
      </c>
      <c r="Q151" s="113" t="str">
        <f t="shared" si="26"/>
        <v/>
      </c>
      <c r="R151" s="88"/>
      <c r="S151" s="24"/>
      <c r="T151" s="24"/>
      <c r="U151" s="78" t="str">
        <f t="shared" si="27"/>
        <v/>
      </c>
      <c r="V151" s="24"/>
      <c r="W151" s="24"/>
      <c r="X151" s="24"/>
      <c r="Y151" s="24"/>
      <c r="Z151" s="98" t="str">
        <f t="shared" si="28"/>
        <v/>
      </c>
      <c r="AA151" s="40" t="str">
        <f t="shared" si="34"/>
        <v/>
      </c>
      <c r="AB151" s="88"/>
      <c r="AC151" s="24"/>
      <c r="AD151" s="24"/>
      <c r="AE151" s="79" t="str">
        <f t="shared" si="29"/>
        <v/>
      </c>
      <c r="AF151" s="24"/>
      <c r="AG151" s="24"/>
      <c r="AH151" s="24"/>
      <c r="AI151" s="24"/>
      <c r="AJ151" s="99" t="str">
        <f t="shared" si="30"/>
        <v/>
      </c>
      <c r="AK151" s="31" t="str">
        <f t="shared" si="35"/>
        <v/>
      </c>
      <c r="AN151" s="139" t="str">
        <f>IF($K151="","",VLOOKUP($K151,'ORF Accuracy Value LookUp'!$G$4:$H$104,2,TRUE))</f>
        <v/>
      </c>
      <c r="AO151" s="94" t="str">
        <f t="shared" si="31"/>
        <v/>
      </c>
      <c r="AP151" s="47" t="str">
        <f>IF($U151="","",VLOOKUP($U151,'ORF Accuracy Value LookUp'!$G$4:$H$104,2,TRUE))</f>
        <v/>
      </c>
      <c r="AQ151" s="94" t="str">
        <f t="shared" si="32"/>
        <v/>
      </c>
      <c r="AR151" s="46" t="str">
        <f>IF($AE151="","",VLOOKUP($AE151,'ORF Accuracy Value LookUp'!$G$4:$H$104,2,TRUE))</f>
        <v/>
      </c>
      <c r="AS151" s="140" t="str">
        <f t="shared" si="33"/>
        <v/>
      </c>
    </row>
    <row r="152" spans="1:45">
      <c r="A152" s="10"/>
      <c r="B152" s="9"/>
      <c r="C152" s="9"/>
      <c r="D152" s="9"/>
      <c r="E152" s="10"/>
      <c r="F152" s="11"/>
      <c r="G152" s="15"/>
      <c r="H152" s="88"/>
      <c r="I152" s="24"/>
      <c r="J152" s="24"/>
      <c r="K152" s="114" t="str">
        <f t="shared" si="24"/>
        <v/>
      </c>
      <c r="L152" s="24"/>
      <c r="M152" s="24"/>
      <c r="N152" s="24"/>
      <c r="O152" s="24"/>
      <c r="P152" s="97" t="str">
        <f t="shared" si="25"/>
        <v/>
      </c>
      <c r="Q152" s="113" t="str">
        <f t="shared" si="26"/>
        <v/>
      </c>
      <c r="R152" s="88"/>
      <c r="S152" s="24"/>
      <c r="T152" s="24"/>
      <c r="U152" s="78" t="str">
        <f t="shared" si="27"/>
        <v/>
      </c>
      <c r="V152" s="24"/>
      <c r="W152" s="24"/>
      <c r="X152" s="24"/>
      <c r="Y152" s="24"/>
      <c r="Z152" s="98" t="str">
        <f t="shared" si="28"/>
        <v/>
      </c>
      <c r="AA152" s="40" t="str">
        <f t="shared" si="34"/>
        <v/>
      </c>
      <c r="AB152" s="88"/>
      <c r="AC152" s="24"/>
      <c r="AD152" s="24"/>
      <c r="AE152" s="79" t="str">
        <f t="shared" si="29"/>
        <v/>
      </c>
      <c r="AF152" s="24"/>
      <c r="AG152" s="24"/>
      <c r="AH152" s="24"/>
      <c r="AI152" s="24"/>
      <c r="AJ152" s="99" t="str">
        <f t="shared" si="30"/>
        <v/>
      </c>
      <c r="AK152" s="31" t="str">
        <f t="shared" si="35"/>
        <v/>
      </c>
      <c r="AN152" s="139" t="str">
        <f>IF($K152="","",VLOOKUP($K152,'ORF Accuracy Value LookUp'!$G$4:$H$104,2,TRUE))</f>
        <v/>
      </c>
      <c r="AO152" s="94" t="str">
        <f t="shared" si="31"/>
        <v/>
      </c>
      <c r="AP152" s="47" t="str">
        <f>IF($U152="","",VLOOKUP($U152,'ORF Accuracy Value LookUp'!$G$4:$H$104,2,TRUE))</f>
        <v/>
      </c>
      <c r="AQ152" s="94" t="str">
        <f t="shared" si="32"/>
        <v/>
      </c>
      <c r="AR152" s="46" t="str">
        <f>IF($AE152="","",VLOOKUP($AE152,'ORF Accuracy Value LookUp'!$G$4:$H$104,2,TRUE))</f>
        <v/>
      </c>
      <c r="AS152" s="140" t="str">
        <f t="shared" si="33"/>
        <v/>
      </c>
    </row>
    <row r="153" spans="1:45">
      <c r="A153" s="10"/>
      <c r="B153" s="9"/>
      <c r="C153" s="9"/>
      <c r="D153" s="9"/>
      <c r="E153" s="10"/>
      <c r="F153" s="11"/>
      <c r="G153" s="15"/>
      <c r="H153" s="88"/>
      <c r="I153" s="24"/>
      <c r="J153" s="24"/>
      <c r="K153" s="114" t="str">
        <f t="shared" si="24"/>
        <v/>
      </c>
      <c r="L153" s="24"/>
      <c r="M153" s="24"/>
      <c r="N153" s="24"/>
      <c r="O153" s="24"/>
      <c r="P153" s="97" t="str">
        <f t="shared" si="25"/>
        <v/>
      </c>
      <c r="Q153" s="113" t="str">
        <f t="shared" si="26"/>
        <v/>
      </c>
      <c r="R153" s="88"/>
      <c r="S153" s="24"/>
      <c r="T153" s="24"/>
      <c r="U153" s="78" t="str">
        <f t="shared" si="27"/>
        <v/>
      </c>
      <c r="V153" s="24"/>
      <c r="W153" s="24"/>
      <c r="X153" s="24"/>
      <c r="Y153" s="24"/>
      <c r="Z153" s="98" t="str">
        <f t="shared" si="28"/>
        <v/>
      </c>
      <c r="AA153" s="40" t="str">
        <f t="shared" si="34"/>
        <v/>
      </c>
      <c r="AB153" s="88"/>
      <c r="AC153" s="24"/>
      <c r="AD153" s="24"/>
      <c r="AE153" s="79" t="str">
        <f t="shared" si="29"/>
        <v/>
      </c>
      <c r="AF153" s="24"/>
      <c r="AG153" s="24"/>
      <c r="AH153" s="24"/>
      <c r="AI153" s="24"/>
      <c r="AJ153" s="99" t="str">
        <f t="shared" si="30"/>
        <v/>
      </c>
      <c r="AK153" s="31" t="str">
        <f t="shared" si="35"/>
        <v/>
      </c>
      <c r="AN153" s="139" t="str">
        <f>IF($K153="","",VLOOKUP($K153,'ORF Accuracy Value LookUp'!$G$4:$H$104,2,TRUE))</f>
        <v/>
      </c>
      <c r="AO153" s="94" t="str">
        <f t="shared" si="31"/>
        <v/>
      </c>
      <c r="AP153" s="47" t="str">
        <f>IF($U153="","",VLOOKUP($U153,'ORF Accuracy Value LookUp'!$G$4:$H$104,2,TRUE))</f>
        <v/>
      </c>
      <c r="AQ153" s="94" t="str">
        <f t="shared" si="32"/>
        <v/>
      </c>
      <c r="AR153" s="46" t="str">
        <f>IF($AE153="","",VLOOKUP($AE153,'ORF Accuracy Value LookUp'!$G$4:$H$104,2,TRUE))</f>
        <v/>
      </c>
      <c r="AS153" s="140" t="str">
        <f t="shared" si="33"/>
        <v/>
      </c>
    </row>
    <row r="154" spans="1:45">
      <c r="A154" s="10"/>
      <c r="B154" s="9"/>
      <c r="C154" s="9"/>
      <c r="D154" s="9"/>
      <c r="E154" s="10"/>
      <c r="F154" s="11"/>
      <c r="G154" s="15"/>
      <c r="H154" s="88"/>
      <c r="I154" s="24"/>
      <c r="J154" s="24"/>
      <c r="K154" s="114" t="str">
        <f t="shared" si="24"/>
        <v/>
      </c>
      <c r="L154" s="24"/>
      <c r="M154" s="24"/>
      <c r="N154" s="24"/>
      <c r="O154" s="24"/>
      <c r="P154" s="97" t="str">
        <f t="shared" si="25"/>
        <v/>
      </c>
      <c r="Q154" s="113" t="str">
        <f t="shared" si="26"/>
        <v/>
      </c>
      <c r="R154" s="88"/>
      <c r="S154" s="24"/>
      <c r="T154" s="24"/>
      <c r="U154" s="78" t="str">
        <f t="shared" si="27"/>
        <v/>
      </c>
      <c r="V154" s="24"/>
      <c r="W154" s="24"/>
      <c r="X154" s="24"/>
      <c r="Y154" s="24"/>
      <c r="Z154" s="98" t="str">
        <f t="shared" si="28"/>
        <v/>
      </c>
      <c r="AA154" s="40" t="str">
        <f t="shared" si="34"/>
        <v/>
      </c>
      <c r="AB154" s="88"/>
      <c r="AC154" s="24"/>
      <c r="AD154" s="24"/>
      <c r="AE154" s="79" t="str">
        <f t="shared" si="29"/>
        <v/>
      </c>
      <c r="AF154" s="24"/>
      <c r="AG154" s="24"/>
      <c r="AH154" s="24"/>
      <c r="AI154" s="24"/>
      <c r="AJ154" s="99" t="str">
        <f t="shared" si="30"/>
        <v/>
      </c>
      <c r="AK154" s="31" t="str">
        <f t="shared" si="35"/>
        <v/>
      </c>
      <c r="AN154" s="139" t="str">
        <f>IF($K154="","",VLOOKUP($K154,'ORF Accuracy Value LookUp'!$G$4:$H$104,2,TRUE))</f>
        <v/>
      </c>
      <c r="AO154" s="94" t="str">
        <f t="shared" si="31"/>
        <v/>
      </c>
      <c r="AP154" s="47" t="str">
        <f>IF($U154="","",VLOOKUP($U154,'ORF Accuracy Value LookUp'!$G$4:$H$104,2,TRUE))</f>
        <v/>
      </c>
      <c r="AQ154" s="94" t="str">
        <f t="shared" si="32"/>
        <v/>
      </c>
      <c r="AR154" s="46" t="str">
        <f>IF($AE154="","",VLOOKUP($AE154,'ORF Accuracy Value LookUp'!$G$4:$H$104,2,TRUE))</f>
        <v/>
      </c>
      <c r="AS154" s="140" t="str">
        <f t="shared" si="33"/>
        <v/>
      </c>
    </row>
    <row r="155" spans="1:45">
      <c r="A155" s="10"/>
      <c r="B155" s="9"/>
      <c r="C155" s="9"/>
      <c r="D155" s="9"/>
      <c r="E155" s="10"/>
      <c r="F155" s="11"/>
      <c r="G155" s="15"/>
      <c r="H155" s="88"/>
      <c r="I155" s="24"/>
      <c r="J155" s="24"/>
      <c r="K155" s="114" t="str">
        <f t="shared" si="24"/>
        <v/>
      </c>
      <c r="L155" s="24"/>
      <c r="M155" s="24"/>
      <c r="N155" s="24"/>
      <c r="O155" s="24"/>
      <c r="P155" s="97" t="str">
        <f t="shared" si="25"/>
        <v/>
      </c>
      <c r="Q155" s="113" t="str">
        <f t="shared" si="26"/>
        <v/>
      </c>
      <c r="R155" s="88"/>
      <c r="S155" s="24"/>
      <c r="T155" s="24"/>
      <c r="U155" s="78" t="str">
        <f t="shared" si="27"/>
        <v/>
      </c>
      <c r="V155" s="24"/>
      <c r="W155" s="24"/>
      <c r="X155" s="24"/>
      <c r="Y155" s="24"/>
      <c r="Z155" s="98" t="str">
        <f t="shared" si="28"/>
        <v/>
      </c>
      <c r="AA155" s="40" t="str">
        <f t="shared" si="34"/>
        <v/>
      </c>
      <c r="AB155" s="88"/>
      <c r="AC155" s="24"/>
      <c r="AD155" s="24"/>
      <c r="AE155" s="79" t="str">
        <f t="shared" si="29"/>
        <v/>
      </c>
      <c r="AF155" s="24"/>
      <c r="AG155" s="24"/>
      <c r="AH155" s="24"/>
      <c r="AI155" s="24"/>
      <c r="AJ155" s="99" t="str">
        <f t="shared" si="30"/>
        <v/>
      </c>
      <c r="AK155" s="31" t="str">
        <f t="shared" si="35"/>
        <v/>
      </c>
      <c r="AN155" s="139" t="str">
        <f>IF($K155="","",VLOOKUP($K155,'ORF Accuracy Value LookUp'!$G$4:$H$104,2,TRUE))</f>
        <v/>
      </c>
      <c r="AO155" s="94" t="str">
        <f t="shared" si="31"/>
        <v/>
      </c>
      <c r="AP155" s="47" t="str">
        <f>IF($U155="","",VLOOKUP($U155,'ORF Accuracy Value LookUp'!$G$4:$H$104,2,TRUE))</f>
        <v/>
      </c>
      <c r="AQ155" s="94" t="str">
        <f t="shared" si="32"/>
        <v/>
      </c>
      <c r="AR155" s="46" t="str">
        <f>IF($AE155="","",VLOOKUP($AE155,'ORF Accuracy Value LookUp'!$G$4:$H$104,2,TRUE))</f>
        <v/>
      </c>
      <c r="AS155" s="140" t="str">
        <f t="shared" si="33"/>
        <v/>
      </c>
    </row>
    <row r="156" spans="1:45">
      <c r="A156" s="10"/>
      <c r="B156" s="9"/>
      <c r="C156" s="9"/>
      <c r="D156" s="9"/>
      <c r="E156" s="10"/>
      <c r="F156" s="11"/>
      <c r="G156" s="15"/>
      <c r="H156" s="88"/>
      <c r="I156" s="24"/>
      <c r="J156" s="24"/>
      <c r="K156" s="114" t="str">
        <f t="shared" si="24"/>
        <v/>
      </c>
      <c r="L156" s="24"/>
      <c r="M156" s="24"/>
      <c r="N156" s="24"/>
      <c r="O156" s="24"/>
      <c r="P156" s="97" t="str">
        <f t="shared" si="25"/>
        <v/>
      </c>
      <c r="Q156" s="113" t="str">
        <f t="shared" si="26"/>
        <v/>
      </c>
      <c r="R156" s="88"/>
      <c r="S156" s="24"/>
      <c r="T156" s="24"/>
      <c r="U156" s="78" t="str">
        <f t="shared" si="27"/>
        <v/>
      </c>
      <c r="V156" s="24"/>
      <c r="W156" s="24"/>
      <c r="X156" s="24"/>
      <c r="Y156" s="24"/>
      <c r="Z156" s="98" t="str">
        <f t="shared" si="28"/>
        <v/>
      </c>
      <c r="AA156" s="40" t="str">
        <f t="shared" si="34"/>
        <v/>
      </c>
      <c r="AB156" s="88"/>
      <c r="AC156" s="24"/>
      <c r="AD156" s="24"/>
      <c r="AE156" s="79" t="str">
        <f t="shared" si="29"/>
        <v/>
      </c>
      <c r="AF156" s="24"/>
      <c r="AG156" s="24"/>
      <c r="AH156" s="24"/>
      <c r="AI156" s="24"/>
      <c r="AJ156" s="99" t="str">
        <f t="shared" si="30"/>
        <v/>
      </c>
      <c r="AK156" s="31" t="str">
        <f t="shared" si="35"/>
        <v/>
      </c>
      <c r="AN156" s="139" t="str">
        <f>IF($K156="","",VLOOKUP($K156,'ORF Accuracy Value LookUp'!$G$4:$H$104,2,TRUE))</f>
        <v/>
      </c>
      <c r="AO156" s="94" t="str">
        <f t="shared" si="31"/>
        <v/>
      </c>
      <c r="AP156" s="47" t="str">
        <f>IF($U156="","",VLOOKUP($U156,'ORF Accuracy Value LookUp'!$G$4:$H$104,2,TRUE))</f>
        <v/>
      </c>
      <c r="AQ156" s="94" t="str">
        <f t="shared" si="32"/>
        <v/>
      </c>
      <c r="AR156" s="46" t="str">
        <f>IF($AE156="","",VLOOKUP($AE156,'ORF Accuracy Value LookUp'!$G$4:$H$104,2,TRUE))</f>
        <v/>
      </c>
      <c r="AS156" s="140" t="str">
        <f t="shared" si="33"/>
        <v/>
      </c>
    </row>
    <row r="157" spans="1:45">
      <c r="A157" s="10"/>
      <c r="B157" s="9"/>
      <c r="C157" s="9"/>
      <c r="D157" s="9"/>
      <c r="E157" s="10"/>
      <c r="F157" s="11"/>
      <c r="G157" s="15"/>
      <c r="H157" s="88"/>
      <c r="I157" s="24"/>
      <c r="J157" s="24"/>
      <c r="K157" s="114" t="str">
        <f t="shared" si="24"/>
        <v/>
      </c>
      <c r="L157" s="24"/>
      <c r="M157" s="24"/>
      <c r="N157" s="24"/>
      <c r="O157" s="24"/>
      <c r="P157" s="97" t="str">
        <f t="shared" si="25"/>
        <v/>
      </c>
      <c r="Q157" s="113" t="str">
        <f t="shared" si="26"/>
        <v/>
      </c>
      <c r="R157" s="88"/>
      <c r="S157" s="24"/>
      <c r="T157" s="24"/>
      <c r="U157" s="78" t="str">
        <f t="shared" si="27"/>
        <v/>
      </c>
      <c r="V157" s="24"/>
      <c r="W157" s="24"/>
      <c r="X157" s="24"/>
      <c r="Y157" s="24"/>
      <c r="Z157" s="98" t="str">
        <f t="shared" si="28"/>
        <v/>
      </c>
      <c r="AA157" s="40" t="str">
        <f t="shared" si="34"/>
        <v/>
      </c>
      <c r="AB157" s="88"/>
      <c r="AC157" s="24"/>
      <c r="AD157" s="24"/>
      <c r="AE157" s="79" t="str">
        <f t="shared" si="29"/>
        <v/>
      </c>
      <c r="AF157" s="24"/>
      <c r="AG157" s="24"/>
      <c r="AH157" s="24"/>
      <c r="AI157" s="24"/>
      <c r="AJ157" s="99" t="str">
        <f t="shared" si="30"/>
        <v/>
      </c>
      <c r="AK157" s="31" t="str">
        <f t="shared" si="35"/>
        <v/>
      </c>
      <c r="AN157" s="139" t="str">
        <f>IF($K157="","",VLOOKUP($K157,'ORF Accuracy Value LookUp'!$G$4:$H$104,2,TRUE))</f>
        <v/>
      </c>
      <c r="AO157" s="94" t="str">
        <f t="shared" si="31"/>
        <v/>
      </c>
      <c r="AP157" s="47" t="str">
        <f>IF($U157="","",VLOOKUP($U157,'ORF Accuracy Value LookUp'!$G$4:$H$104,2,TRUE))</f>
        <v/>
      </c>
      <c r="AQ157" s="94" t="str">
        <f t="shared" si="32"/>
        <v/>
      </c>
      <c r="AR157" s="46" t="str">
        <f>IF($AE157="","",VLOOKUP($AE157,'ORF Accuracy Value LookUp'!$G$4:$H$104,2,TRUE))</f>
        <v/>
      </c>
      <c r="AS157" s="140" t="str">
        <f t="shared" si="33"/>
        <v/>
      </c>
    </row>
    <row r="158" spans="1:45">
      <c r="A158" s="10"/>
      <c r="B158" s="9"/>
      <c r="C158" s="9"/>
      <c r="D158" s="9"/>
      <c r="E158" s="10"/>
      <c r="F158" s="11"/>
      <c r="G158" s="15"/>
      <c r="H158" s="88"/>
      <c r="I158" s="24"/>
      <c r="J158" s="24"/>
      <c r="K158" s="114" t="str">
        <f t="shared" si="24"/>
        <v/>
      </c>
      <c r="L158" s="24"/>
      <c r="M158" s="24"/>
      <c r="N158" s="24"/>
      <c r="O158" s="24"/>
      <c r="P158" s="97" t="str">
        <f t="shared" si="25"/>
        <v/>
      </c>
      <c r="Q158" s="113" t="str">
        <f t="shared" si="26"/>
        <v/>
      </c>
      <c r="R158" s="88"/>
      <c r="S158" s="24"/>
      <c r="T158" s="24"/>
      <c r="U158" s="78" t="str">
        <f t="shared" si="27"/>
        <v/>
      </c>
      <c r="V158" s="24"/>
      <c r="W158" s="24"/>
      <c r="X158" s="24"/>
      <c r="Y158" s="24"/>
      <c r="Z158" s="98" t="str">
        <f t="shared" si="28"/>
        <v/>
      </c>
      <c r="AA158" s="40" t="str">
        <f t="shared" si="34"/>
        <v/>
      </c>
      <c r="AB158" s="88"/>
      <c r="AC158" s="24"/>
      <c r="AD158" s="24"/>
      <c r="AE158" s="79" t="str">
        <f t="shared" si="29"/>
        <v/>
      </c>
      <c r="AF158" s="24"/>
      <c r="AG158" s="24"/>
      <c r="AH158" s="24"/>
      <c r="AI158" s="24"/>
      <c r="AJ158" s="99" t="str">
        <f t="shared" si="30"/>
        <v/>
      </c>
      <c r="AK158" s="31" t="str">
        <f t="shared" si="35"/>
        <v/>
      </c>
      <c r="AN158" s="139" t="str">
        <f>IF($K158="","",VLOOKUP($K158,'ORF Accuracy Value LookUp'!$G$4:$H$104,2,TRUE))</f>
        <v/>
      </c>
      <c r="AO158" s="94" t="str">
        <f t="shared" si="31"/>
        <v/>
      </c>
      <c r="AP158" s="47" t="str">
        <f>IF($U158="","",VLOOKUP($U158,'ORF Accuracy Value LookUp'!$G$4:$H$104,2,TRUE))</f>
        <v/>
      </c>
      <c r="AQ158" s="94" t="str">
        <f t="shared" si="32"/>
        <v/>
      </c>
      <c r="AR158" s="46" t="str">
        <f>IF($AE158="","",VLOOKUP($AE158,'ORF Accuracy Value LookUp'!$G$4:$H$104,2,TRUE))</f>
        <v/>
      </c>
      <c r="AS158" s="140" t="str">
        <f t="shared" si="33"/>
        <v/>
      </c>
    </row>
    <row r="159" spans="1:45">
      <c r="A159" s="10"/>
      <c r="B159" s="9"/>
      <c r="C159" s="9"/>
      <c r="D159" s="9"/>
      <c r="E159" s="10"/>
      <c r="F159" s="11"/>
      <c r="G159" s="15"/>
      <c r="H159" s="88"/>
      <c r="I159" s="24"/>
      <c r="J159" s="24"/>
      <c r="K159" s="114" t="str">
        <f t="shared" si="24"/>
        <v/>
      </c>
      <c r="L159" s="24"/>
      <c r="M159" s="24"/>
      <c r="N159" s="24"/>
      <c r="O159" s="24"/>
      <c r="P159" s="97" t="str">
        <f t="shared" si="25"/>
        <v/>
      </c>
      <c r="Q159" s="113" t="str">
        <f t="shared" si="26"/>
        <v/>
      </c>
      <c r="R159" s="88"/>
      <c r="S159" s="24"/>
      <c r="T159" s="24"/>
      <c r="U159" s="78" t="str">
        <f t="shared" si="27"/>
        <v/>
      </c>
      <c r="V159" s="24"/>
      <c r="W159" s="24"/>
      <c r="X159" s="24"/>
      <c r="Y159" s="24"/>
      <c r="Z159" s="98" t="str">
        <f t="shared" si="28"/>
        <v/>
      </c>
      <c r="AA159" s="40" t="str">
        <f t="shared" si="34"/>
        <v/>
      </c>
      <c r="AB159" s="88"/>
      <c r="AC159" s="24"/>
      <c r="AD159" s="24"/>
      <c r="AE159" s="79" t="str">
        <f t="shared" si="29"/>
        <v/>
      </c>
      <c r="AF159" s="24"/>
      <c r="AG159" s="24"/>
      <c r="AH159" s="24"/>
      <c r="AI159" s="24"/>
      <c r="AJ159" s="99" t="str">
        <f t="shared" si="30"/>
        <v/>
      </c>
      <c r="AK159" s="31" t="str">
        <f t="shared" si="35"/>
        <v/>
      </c>
      <c r="AN159" s="139" t="str">
        <f>IF($K159="","",VLOOKUP($K159,'ORF Accuracy Value LookUp'!$G$4:$H$104,2,TRUE))</f>
        <v/>
      </c>
      <c r="AO159" s="94" t="str">
        <f t="shared" si="31"/>
        <v/>
      </c>
      <c r="AP159" s="47" t="str">
        <f>IF($U159="","",VLOOKUP($U159,'ORF Accuracy Value LookUp'!$G$4:$H$104,2,TRUE))</f>
        <v/>
      </c>
      <c r="AQ159" s="94" t="str">
        <f t="shared" si="32"/>
        <v/>
      </c>
      <c r="AR159" s="46" t="str">
        <f>IF($AE159="","",VLOOKUP($AE159,'ORF Accuracy Value LookUp'!$G$4:$H$104,2,TRUE))</f>
        <v/>
      </c>
      <c r="AS159" s="140" t="str">
        <f t="shared" si="33"/>
        <v/>
      </c>
    </row>
    <row r="160" spans="1:45">
      <c r="A160" s="10"/>
      <c r="B160" s="9"/>
      <c r="C160" s="9"/>
      <c r="D160" s="9"/>
      <c r="E160" s="10"/>
      <c r="F160" s="11"/>
      <c r="G160" s="15"/>
      <c r="H160" s="88"/>
      <c r="I160" s="24"/>
      <c r="J160" s="24"/>
      <c r="K160" s="114" t="str">
        <f t="shared" si="24"/>
        <v/>
      </c>
      <c r="L160" s="24"/>
      <c r="M160" s="24"/>
      <c r="N160" s="24"/>
      <c r="O160" s="24"/>
      <c r="P160" s="97" t="str">
        <f t="shared" si="25"/>
        <v/>
      </c>
      <c r="Q160" s="113" t="str">
        <f t="shared" si="26"/>
        <v/>
      </c>
      <c r="R160" s="88"/>
      <c r="S160" s="24"/>
      <c r="T160" s="24"/>
      <c r="U160" s="78" t="str">
        <f t="shared" si="27"/>
        <v/>
      </c>
      <c r="V160" s="24"/>
      <c r="W160" s="24"/>
      <c r="X160" s="24"/>
      <c r="Y160" s="24"/>
      <c r="Z160" s="98" t="str">
        <f t="shared" si="28"/>
        <v/>
      </c>
      <c r="AA160" s="40" t="str">
        <f t="shared" si="34"/>
        <v/>
      </c>
      <c r="AB160" s="88"/>
      <c r="AC160" s="24"/>
      <c r="AD160" s="24"/>
      <c r="AE160" s="79" t="str">
        <f t="shared" si="29"/>
        <v/>
      </c>
      <c r="AF160" s="24"/>
      <c r="AG160" s="24"/>
      <c r="AH160" s="24"/>
      <c r="AI160" s="24"/>
      <c r="AJ160" s="99" t="str">
        <f t="shared" si="30"/>
        <v/>
      </c>
      <c r="AK160" s="31" t="str">
        <f t="shared" si="35"/>
        <v/>
      </c>
      <c r="AN160" s="139" t="str">
        <f>IF($K160="","",VLOOKUP($K160,'ORF Accuracy Value LookUp'!$G$4:$H$104,2,TRUE))</f>
        <v/>
      </c>
      <c r="AO160" s="94" t="str">
        <f t="shared" si="31"/>
        <v/>
      </c>
      <c r="AP160" s="47" t="str">
        <f>IF($U160="","",VLOOKUP($U160,'ORF Accuracy Value LookUp'!$G$4:$H$104,2,TRUE))</f>
        <v/>
      </c>
      <c r="AQ160" s="94" t="str">
        <f t="shared" si="32"/>
        <v/>
      </c>
      <c r="AR160" s="46" t="str">
        <f>IF($AE160="","",VLOOKUP($AE160,'ORF Accuracy Value LookUp'!$G$4:$H$104,2,TRUE))</f>
        <v/>
      </c>
      <c r="AS160" s="140" t="str">
        <f t="shared" si="33"/>
        <v/>
      </c>
    </row>
    <row r="161" spans="1:45">
      <c r="A161" s="10"/>
      <c r="B161" s="9"/>
      <c r="C161" s="9"/>
      <c r="D161" s="9"/>
      <c r="E161" s="10"/>
      <c r="F161" s="11"/>
      <c r="G161" s="15"/>
      <c r="H161" s="88"/>
      <c r="I161" s="24"/>
      <c r="J161" s="24"/>
      <c r="K161" s="114" t="str">
        <f t="shared" si="24"/>
        <v/>
      </c>
      <c r="L161" s="24"/>
      <c r="M161" s="24"/>
      <c r="N161" s="24"/>
      <c r="O161" s="24"/>
      <c r="P161" s="97" t="str">
        <f t="shared" si="25"/>
        <v/>
      </c>
      <c r="Q161" s="113" t="str">
        <f t="shared" si="26"/>
        <v/>
      </c>
      <c r="R161" s="88"/>
      <c r="S161" s="24"/>
      <c r="T161" s="24"/>
      <c r="U161" s="78" t="str">
        <f t="shared" si="27"/>
        <v/>
      </c>
      <c r="V161" s="24"/>
      <c r="W161" s="24"/>
      <c r="X161" s="24"/>
      <c r="Y161" s="24"/>
      <c r="Z161" s="98" t="str">
        <f t="shared" si="28"/>
        <v/>
      </c>
      <c r="AA161" s="40" t="str">
        <f t="shared" si="34"/>
        <v/>
      </c>
      <c r="AB161" s="88"/>
      <c r="AC161" s="24"/>
      <c r="AD161" s="24"/>
      <c r="AE161" s="79" t="str">
        <f t="shared" si="29"/>
        <v/>
      </c>
      <c r="AF161" s="24"/>
      <c r="AG161" s="24"/>
      <c r="AH161" s="24"/>
      <c r="AI161" s="24"/>
      <c r="AJ161" s="99" t="str">
        <f t="shared" si="30"/>
        <v/>
      </c>
      <c r="AK161" s="31" t="str">
        <f t="shared" si="35"/>
        <v/>
      </c>
      <c r="AN161" s="139" t="str">
        <f>IF($K161="","",VLOOKUP($K161,'ORF Accuracy Value LookUp'!$G$4:$H$104,2,TRUE))</f>
        <v/>
      </c>
      <c r="AO161" s="94" t="str">
        <f t="shared" si="31"/>
        <v/>
      </c>
      <c r="AP161" s="47" t="str">
        <f>IF($U161="","",VLOOKUP($U161,'ORF Accuracy Value LookUp'!$G$4:$H$104,2,TRUE))</f>
        <v/>
      </c>
      <c r="AQ161" s="94" t="str">
        <f t="shared" si="32"/>
        <v/>
      </c>
      <c r="AR161" s="46" t="str">
        <f>IF($AE161="","",VLOOKUP($AE161,'ORF Accuracy Value LookUp'!$G$4:$H$104,2,TRUE))</f>
        <v/>
      </c>
      <c r="AS161" s="140" t="str">
        <f t="shared" si="33"/>
        <v/>
      </c>
    </row>
    <row r="162" spans="1:45">
      <c r="A162" s="10"/>
      <c r="B162" s="9"/>
      <c r="C162" s="9"/>
      <c r="D162" s="9"/>
      <c r="E162" s="10"/>
      <c r="F162" s="11"/>
      <c r="G162" s="15"/>
      <c r="H162" s="88"/>
      <c r="I162" s="24"/>
      <c r="J162" s="24"/>
      <c r="K162" s="114" t="str">
        <f t="shared" si="24"/>
        <v/>
      </c>
      <c r="L162" s="24"/>
      <c r="M162" s="24"/>
      <c r="N162" s="24"/>
      <c r="O162" s="24"/>
      <c r="P162" s="97" t="str">
        <f t="shared" si="25"/>
        <v/>
      </c>
      <c r="Q162" s="113" t="str">
        <f t="shared" si="26"/>
        <v/>
      </c>
      <c r="R162" s="88"/>
      <c r="S162" s="24"/>
      <c r="T162" s="24"/>
      <c r="U162" s="78" t="str">
        <f t="shared" si="27"/>
        <v/>
      </c>
      <c r="V162" s="24"/>
      <c r="W162" s="24"/>
      <c r="X162" s="24"/>
      <c r="Y162" s="24"/>
      <c r="Z162" s="98" t="str">
        <f t="shared" si="28"/>
        <v/>
      </c>
      <c r="AA162" s="40" t="str">
        <f t="shared" si="34"/>
        <v/>
      </c>
      <c r="AB162" s="88"/>
      <c r="AC162" s="24"/>
      <c r="AD162" s="24"/>
      <c r="AE162" s="79" t="str">
        <f t="shared" si="29"/>
        <v/>
      </c>
      <c r="AF162" s="24"/>
      <c r="AG162" s="24"/>
      <c r="AH162" s="24"/>
      <c r="AI162" s="24"/>
      <c r="AJ162" s="99" t="str">
        <f t="shared" si="30"/>
        <v/>
      </c>
      <c r="AK162" s="31" t="str">
        <f t="shared" si="35"/>
        <v/>
      </c>
      <c r="AN162" s="139" t="str">
        <f>IF($K162="","",VLOOKUP($K162,'ORF Accuracy Value LookUp'!$G$4:$H$104,2,TRUE))</f>
        <v/>
      </c>
      <c r="AO162" s="94" t="str">
        <f t="shared" si="31"/>
        <v/>
      </c>
      <c r="AP162" s="47" t="str">
        <f>IF($U162="","",VLOOKUP($U162,'ORF Accuracy Value LookUp'!$G$4:$H$104,2,TRUE))</f>
        <v/>
      </c>
      <c r="AQ162" s="94" t="str">
        <f t="shared" si="32"/>
        <v/>
      </c>
      <c r="AR162" s="46" t="str">
        <f>IF($AE162="","",VLOOKUP($AE162,'ORF Accuracy Value LookUp'!$G$4:$H$104,2,TRUE))</f>
        <v/>
      </c>
      <c r="AS162" s="140" t="str">
        <f t="shared" si="33"/>
        <v/>
      </c>
    </row>
    <row r="163" spans="1:45">
      <c r="A163" s="10"/>
      <c r="B163" s="9"/>
      <c r="C163" s="9"/>
      <c r="D163" s="9"/>
      <c r="E163" s="10"/>
      <c r="F163" s="11"/>
      <c r="G163" s="15"/>
      <c r="H163" s="88"/>
      <c r="I163" s="24"/>
      <c r="J163" s="24"/>
      <c r="K163" s="114" t="str">
        <f t="shared" si="24"/>
        <v/>
      </c>
      <c r="L163" s="24"/>
      <c r="M163" s="24"/>
      <c r="N163" s="24"/>
      <c r="O163" s="24"/>
      <c r="P163" s="97" t="str">
        <f t="shared" si="25"/>
        <v/>
      </c>
      <c r="Q163" s="113" t="str">
        <f t="shared" si="26"/>
        <v/>
      </c>
      <c r="R163" s="88"/>
      <c r="S163" s="24"/>
      <c r="T163" s="24"/>
      <c r="U163" s="78" t="str">
        <f t="shared" si="27"/>
        <v/>
      </c>
      <c r="V163" s="24"/>
      <c r="W163" s="24"/>
      <c r="X163" s="24"/>
      <c r="Y163" s="24"/>
      <c r="Z163" s="98" t="str">
        <f t="shared" si="28"/>
        <v/>
      </c>
      <c r="AA163" s="40" t="str">
        <f t="shared" si="34"/>
        <v/>
      </c>
      <c r="AB163" s="88"/>
      <c r="AC163" s="24"/>
      <c r="AD163" s="24"/>
      <c r="AE163" s="79" t="str">
        <f t="shared" si="29"/>
        <v/>
      </c>
      <c r="AF163" s="24"/>
      <c r="AG163" s="24"/>
      <c r="AH163" s="24"/>
      <c r="AI163" s="24"/>
      <c r="AJ163" s="99" t="str">
        <f t="shared" si="30"/>
        <v/>
      </c>
      <c r="AK163" s="31" t="str">
        <f t="shared" si="35"/>
        <v/>
      </c>
      <c r="AN163" s="139" t="str">
        <f>IF($K163="","",VLOOKUP($K163,'ORF Accuracy Value LookUp'!$G$4:$H$104,2,TRUE))</f>
        <v/>
      </c>
      <c r="AO163" s="94" t="str">
        <f t="shared" si="31"/>
        <v/>
      </c>
      <c r="AP163" s="47" t="str">
        <f>IF($U163="","",VLOOKUP($U163,'ORF Accuracy Value LookUp'!$G$4:$H$104,2,TRUE))</f>
        <v/>
      </c>
      <c r="AQ163" s="94" t="str">
        <f t="shared" si="32"/>
        <v/>
      </c>
      <c r="AR163" s="46" t="str">
        <f>IF($AE163="","",VLOOKUP($AE163,'ORF Accuracy Value LookUp'!$G$4:$H$104,2,TRUE))</f>
        <v/>
      </c>
      <c r="AS163" s="140" t="str">
        <f t="shared" si="33"/>
        <v/>
      </c>
    </row>
    <row r="164" spans="1:45">
      <c r="A164" s="10"/>
      <c r="B164" s="9"/>
      <c r="C164" s="9"/>
      <c r="D164" s="9"/>
      <c r="E164" s="10"/>
      <c r="F164" s="11"/>
      <c r="G164" s="15"/>
      <c r="H164" s="88"/>
      <c r="I164" s="24"/>
      <c r="J164" s="24"/>
      <c r="K164" s="114" t="str">
        <f t="shared" si="24"/>
        <v/>
      </c>
      <c r="L164" s="24"/>
      <c r="M164" s="24"/>
      <c r="N164" s="24"/>
      <c r="O164" s="24"/>
      <c r="P164" s="97" t="str">
        <f t="shared" si="25"/>
        <v/>
      </c>
      <c r="Q164" s="113" t="str">
        <f t="shared" si="26"/>
        <v/>
      </c>
      <c r="R164" s="88"/>
      <c r="S164" s="24"/>
      <c r="T164" s="24"/>
      <c r="U164" s="78" t="str">
        <f t="shared" si="27"/>
        <v/>
      </c>
      <c r="V164" s="24"/>
      <c r="W164" s="24"/>
      <c r="X164" s="24"/>
      <c r="Y164" s="24"/>
      <c r="Z164" s="98" t="str">
        <f t="shared" si="28"/>
        <v/>
      </c>
      <c r="AA164" s="40" t="str">
        <f t="shared" si="34"/>
        <v/>
      </c>
      <c r="AB164" s="88"/>
      <c r="AC164" s="24"/>
      <c r="AD164" s="24"/>
      <c r="AE164" s="79" t="str">
        <f t="shared" si="29"/>
        <v/>
      </c>
      <c r="AF164" s="24"/>
      <c r="AG164" s="24"/>
      <c r="AH164" s="24"/>
      <c r="AI164" s="24"/>
      <c r="AJ164" s="99" t="str">
        <f t="shared" si="30"/>
        <v/>
      </c>
      <c r="AK164" s="31" t="str">
        <f t="shared" si="35"/>
        <v/>
      </c>
      <c r="AN164" s="139" t="str">
        <f>IF($K164="","",VLOOKUP($K164,'ORF Accuracy Value LookUp'!$G$4:$H$104,2,TRUE))</f>
        <v/>
      </c>
      <c r="AO164" s="94" t="str">
        <f t="shared" si="31"/>
        <v/>
      </c>
      <c r="AP164" s="47" t="str">
        <f>IF($U164="","",VLOOKUP($U164,'ORF Accuracy Value LookUp'!$G$4:$H$104,2,TRUE))</f>
        <v/>
      </c>
      <c r="AQ164" s="94" t="str">
        <f t="shared" si="32"/>
        <v/>
      </c>
      <c r="AR164" s="46" t="str">
        <f>IF($AE164="","",VLOOKUP($AE164,'ORF Accuracy Value LookUp'!$G$4:$H$104,2,TRUE))</f>
        <v/>
      </c>
      <c r="AS164" s="140" t="str">
        <f t="shared" si="33"/>
        <v/>
      </c>
    </row>
    <row r="165" spans="1:45">
      <c r="A165" s="10"/>
      <c r="B165" s="9"/>
      <c r="C165" s="9"/>
      <c r="D165" s="9"/>
      <c r="E165" s="10"/>
      <c r="F165" s="11"/>
      <c r="G165" s="15"/>
      <c r="H165" s="88"/>
      <c r="I165" s="24"/>
      <c r="J165" s="24"/>
      <c r="K165" s="114" t="str">
        <f t="shared" si="24"/>
        <v/>
      </c>
      <c r="L165" s="24"/>
      <c r="M165" s="24"/>
      <c r="N165" s="24"/>
      <c r="O165" s="24"/>
      <c r="P165" s="97" t="str">
        <f t="shared" si="25"/>
        <v/>
      </c>
      <c r="Q165" s="113" t="str">
        <f t="shared" si="26"/>
        <v/>
      </c>
      <c r="R165" s="88"/>
      <c r="S165" s="24"/>
      <c r="T165" s="24"/>
      <c r="U165" s="78" t="str">
        <f t="shared" si="27"/>
        <v/>
      </c>
      <c r="V165" s="24"/>
      <c r="W165" s="24"/>
      <c r="X165" s="24"/>
      <c r="Y165" s="24"/>
      <c r="Z165" s="98" t="str">
        <f t="shared" si="28"/>
        <v/>
      </c>
      <c r="AA165" s="40" t="str">
        <f t="shared" si="34"/>
        <v/>
      </c>
      <c r="AB165" s="88"/>
      <c r="AC165" s="24"/>
      <c r="AD165" s="24"/>
      <c r="AE165" s="79" t="str">
        <f t="shared" si="29"/>
        <v/>
      </c>
      <c r="AF165" s="24"/>
      <c r="AG165" s="24"/>
      <c r="AH165" s="24"/>
      <c r="AI165" s="24"/>
      <c r="AJ165" s="99" t="str">
        <f t="shared" si="30"/>
        <v/>
      </c>
      <c r="AK165" s="31" t="str">
        <f t="shared" si="35"/>
        <v/>
      </c>
      <c r="AN165" s="139" t="str">
        <f>IF($K165="","",VLOOKUP($K165,'ORF Accuracy Value LookUp'!$G$4:$H$104,2,TRUE))</f>
        <v/>
      </c>
      <c r="AO165" s="94" t="str">
        <f t="shared" si="31"/>
        <v/>
      </c>
      <c r="AP165" s="47" t="str">
        <f>IF($U165="","",VLOOKUP($U165,'ORF Accuracy Value LookUp'!$G$4:$H$104,2,TRUE))</f>
        <v/>
      </c>
      <c r="AQ165" s="94" t="str">
        <f t="shared" si="32"/>
        <v/>
      </c>
      <c r="AR165" s="46" t="str">
        <f>IF($AE165="","",VLOOKUP($AE165,'ORF Accuracy Value LookUp'!$G$4:$H$104,2,TRUE))</f>
        <v/>
      </c>
      <c r="AS165" s="140" t="str">
        <f t="shared" si="33"/>
        <v/>
      </c>
    </row>
    <row r="166" spans="1:45">
      <c r="A166" s="10"/>
      <c r="B166" s="9"/>
      <c r="C166" s="9"/>
      <c r="D166" s="9"/>
      <c r="E166" s="10"/>
      <c r="F166" s="11"/>
      <c r="G166" s="15"/>
      <c r="H166" s="88"/>
      <c r="I166" s="24"/>
      <c r="J166" s="24"/>
      <c r="K166" s="114" t="str">
        <f t="shared" si="24"/>
        <v/>
      </c>
      <c r="L166" s="24"/>
      <c r="M166" s="24"/>
      <c r="N166" s="24"/>
      <c r="O166" s="24"/>
      <c r="P166" s="97" t="str">
        <f t="shared" si="25"/>
        <v/>
      </c>
      <c r="Q166" s="113" t="str">
        <f t="shared" si="26"/>
        <v/>
      </c>
      <c r="R166" s="88"/>
      <c r="S166" s="24"/>
      <c r="T166" s="24"/>
      <c r="U166" s="78" t="str">
        <f t="shared" si="27"/>
        <v/>
      </c>
      <c r="V166" s="24"/>
      <c r="W166" s="24"/>
      <c r="X166" s="24"/>
      <c r="Y166" s="24"/>
      <c r="Z166" s="98" t="str">
        <f t="shared" si="28"/>
        <v/>
      </c>
      <c r="AA166" s="40" t="str">
        <f t="shared" si="34"/>
        <v/>
      </c>
      <c r="AB166" s="88"/>
      <c r="AC166" s="24"/>
      <c r="AD166" s="24"/>
      <c r="AE166" s="79" t="str">
        <f t="shared" si="29"/>
        <v/>
      </c>
      <c r="AF166" s="24"/>
      <c r="AG166" s="24"/>
      <c r="AH166" s="24"/>
      <c r="AI166" s="24"/>
      <c r="AJ166" s="99" t="str">
        <f t="shared" si="30"/>
        <v/>
      </c>
      <c r="AK166" s="31" t="str">
        <f t="shared" si="35"/>
        <v/>
      </c>
      <c r="AN166" s="139" t="str">
        <f>IF($K166="","",VLOOKUP($K166,'ORF Accuracy Value LookUp'!$G$4:$H$104,2,TRUE))</f>
        <v/>
      </c>
      <c r="AO166" s="94" t="str">
        <f t="shared" si="31"/>
        <v/>
      </c>
      <c r="AP166" s="47" t="str">
        <f>IF($U166="","",VLOOKUP($U166,'ORF Accuracy Value LookUp'!$G$4:$H$104,2,TRUE))</f>
        <v/>
      </c>
      <c r="AQ166" s="94" t="str">
        <f t="shared" si="32"/>
        <v/>
      </c>
      <c r="AR166" s="46" t="str">
        <f>IF($AE166="","",VLOOKUP($AE166,'ORF Accuracy Value LookUp'!$G$4:$H$104,2,TRUE))</f>
        <v/>
      </c>
      <c r="AS166" s="140" t="str">
        <f t="shared" si="33"/>
        <v/>
      </c>
    </row>
    <row r="167" spans="1:45">
      <c r="A167" s="10"/>
      <c r="B167" s="9"/>
      <c r="C167" s="9"/>
      <c r="D167" s="9"/>
      <c r="E167" s="10"/>
      <c r="F167" s="11"/>
      <c r="G167" s="15"/>
      <c r="H167" s="88"/>
      <c r="I167" s="24"/>
      <c r="J167" s="24"/>
      <c r="K167" s="114" t="str">
        <f t="shared" si="24"/>
        <v/>
      </c>
      <c r="L167" s="24"/>
      <c r="M167" s="24"/>
      <c r="N167" s="24"/>
      <c r="O167" s="24"/>
      <c r="P167" s="97" t="str">
        <f t="shared" si="25"/>
        <v/>
      </c>
      <c r="Q167" s="113" t="str">
        <f t="shared" si="26"/>
        <v/>
      </c>
      <c r="R167" s="88"/>
      <c r="S167" s="24"/>
      <c r="T167" s="24"/>
      <c r="U167" s="78" t="str">
        <f t="shared" si="27"/>
        <v/>
      </c>
      <c r="V167" s="24"/>
      <c r="W167" s="24"/>
      <c r="X167" s="24"/>
      <c r="Y167" s="24"/>
      <c r="Z167" s="98" t="str">
        <f t="shared" si="28"/>
        <v/>
      </c>
      <c r="AA167" s="40" t="str">
        <f t="shared" si="34"/>
        <v/>
      </c>
      <c r="AB167" s="88"/>
      <c r="AC167" s="24"/>
      <c r="AD167" s="24"/>
      <c r="AE167" s="79" t="str">
        <f t="shared" si="29"/>
        <v/>
      </c>
      <c r="AF167" s="24"/>
      <c r="AG167" s="24"/>
      <c r="AH167" s="24"/>
      <c r="AI167" s="24"/>
      <c r="AJ167" s="99" t="str">
        <f t="shared" si="30"/>
        <v/>
      </c>
      <c r="AK167" s="31" t="str">
        <f t="shared" si="35"/>
        <v/>
      </c>
      <c r="AN167" s="139" t="str">
        <f>IF($K167="","",VLOOKUP($K167,'ORF Accuracy Value LookUp'!$G$4:$H$104,2,TRUE))</f>
        <v/>
      </c>
      <c r="AO167" s="94" t="str">
        <f t="shared" si="31"/>
        <v/>
      </c>
      <c r="AP167" s="47" t="str">
        <f>IF($U167="","",VLOOKUP($U167,'ORF Accuracy Value LookUp'!$G$4:$H$104,2,TRUE))</f>
        <v/>
      </c>
      <c r="AQ167" s="94" t="str">
        <f t="shared" si="32"/>
        <v/>
      </c>
      <c r="AR167" s="46" t="str">
        <f>IF($AE167="","",VLOOKUP($AE167,'ORF Accuracy Value LookUp'!$G$4:$H$104,2,TRUE))</f>
        <v/>
      </c>
      <c r="AS167" s="140" t="str">
        <f t="shared" si="33"/>
        <v/>
      </c>
    </row>
    <row r="168" spans="1:45">
      <c r="A168" s="10"/>
      <c r="B168" s="9"/>
      <c r="C168" s="9"/>
      <c r="D168" s="9"/>
      <c r="E168" s="10"/>
      <c r="F168" s="11"/>
      <c r="G168" s="15"/>
      <c r="H168" s="88"/>
      <c r="I168" s="24"/>
      <c r="J168" s="24"/>
      <c r="K168" s="114" t="str">
        <f t="shared" si="24"/>
        <v/>
      </c>
      <c r="L168" s="24"/>
      <c r="M168" s="24"/>
      <c r="N168" s="24"/>
      <c r="O168" s="24"/>
      <c r="P168" s="97" t="str">
        <f t="shared" si="25"/>
        <v/>
      </c>
      <c r="Q168" s="113" t="str">
        <f t="shared" si="26"/>
        <v/>
      </c>
      <c r="R168" s="88"/>
      <c r="S168" s="24"/>
      <c r="T168" s="24"/>
      <c r="U168" s="78" t="str">
        <f t="shared" si="27"/>
        <v/>
      </c>
      <c r="V168" s="24"/>
      <c r="W168" s="24"/>
      <c r="X168" s="24"/>
      <c r="Y168" s="24"/>
      <c r="Z168" s="98" t="str">
        <f t="shared" si="28"/>
        <v/>
      </c>
      <c r="AA168" s="40" t="str">
        <f t="shared" si="34"/>
        <v/>
      </c>
      <c r="AB168" s="88"/>
      <c r="AC168" s="24"/>
      <c r="AD168" s="24"/>
      <c r="AE168" s="79" t="str">
        <f t="shared" si="29"/>
        <v/>
      </c>
      <c r="AF168" s="24"/>
      <c r="AG168" s="24"/>
      <c r="AH168" s="24"/>
      <c r="AI168" s="24"/>
      <c r="AJ168" s="99" t="str">
        <f t="shared" si="30"/>
        <v/>
      </c>
      <c r="AK168" s="31" t="str">
        <f t="shared" si="35"/>
        <v/>
      </c>
      <c r="AN168" s="139" t="str">
        <f>IF($K168="","",VLOOKUP($K168,'ORF Accuracy Value LookUp'!$G$4:$H$104,2,TRUE))</f>
        <v/>
      </c>
      <c r="AO168" s="94" t="str">
        <f t="shared" si="31"/>
        <v/>
      </c>
      <c r="AP168" s="47" t="str">
        <f>IF($U168="","",VLOOKUP($U168,'ORF Accuracy Value LookUp'!$G$4:$H$104,2,TRUE))</f>
        <v/>
      </c>
      <c r="AQ168" s="94" t="str">
        <f t="shared" si="32"/>
        <v/>
      </c>
      <c r="AR168" s="46" t="str">
        <f>IF($AE168="","",VLOOKUP($AE168,'ORF Accuracy Value LookUp'!$G$4:$H$104,2,TRUE))</f>
        <v/>
      </c>
      <c r="AS168" s="140" t="str">
        <f t="shared" si="33"/>
        <v/>
      </c>
    </row>
    <row r="169" spans="1:45">
      <c r="A169" s="10"/>
      <c r="B169" s="9"/>
      <c r="C169" s="9"/>
      <c r="D169" s="9"/>
      <c r="E169" s="10"/>
      <c r="F169" s="11"/>
      <c r="G169" s="15"/>
      <c r="H169" s="88"/>
      <c r="I169" s="24"/>
      <c r="J169" s="24"/>
      <c r="K169" s="114" t="str">
        <f t="shared" si="24"/>
        <v/>
      </c>
      <c r="L169" s="24"/>
      <c r="M169" s="24"/>
      <c r="N169" s="24"/>
      <c r="O169" s="24"/>
      <c r="P169" s="97" t="str">
        <f t="shared" si="25"/>
        <v/>
      </c>
      <c r="Q169" s="113" t="str">
        <f t="shared" si="26"/>
        <v/>
      </c>
      <c r="R169" s="88"/>
      <c r="S169" s="24"/>
      <c r="T169" s="24"/>
      <c r="U169" s="78" t="str">
        <f t="shared" si="27"/>
        <v/>
      </c>
      <c r="V169" s="24"/>
      <c r="W169" s="24"/>
      <c r="X169" s="24"/>
      <c r="Y169" s="24"/>
      <c r="Z169" s="98" t="str">
        <f t="shared" si="28"/>
        <v/>
      </c>
      <c r="AA169" s="40" t="str">
        <f t="shared" si="34"/>
        <v/>
      </c>
      <c r="AB169" s="88"/>
      <c r="AC169" s="24"/>
      <c r="AD169" s="24"/>
      <c r="AE169" s="79" t="str">
        <f t="shared" si="29"/>
        <v/>
      </c>
      <c r="AF169" s="24"/>
      <c r="AG169" s="24"/>
      <c r="AH169" s="24"/>
      <c r="AI169" s="24"/>
      <c r="AJ169" s="99" t="str">
        <f t="shared" si="30"/>
        <v/>
      </c>
      <c r="AK169" s="31" t="str">
        <f t="shared" si="35"/>
        <v/>
      </c>
      <c r="AN169" s="139" t="str">
        <f>IF($K169="","",VLOOKUP($K169,'ORF Accuracy Value LookUp'!$G$4:$H$104,2,TRUE))</f>
        <v/>
      </c>
      <c r="AO169" s="94" t="str">
        <f t="shared" si="31"/>
        <v/>
      </c>
      <c r="AP169" s="47" t="str">
        <f>IF($U169="","",VLOOKUP($U169,'ORF Accuracy Value LookUp'!$G$4:$H$104,2,TRUE))</f>
        <v/>
      </c>
      <c r="AQ169" s="94" t="str">
        <f t="shared" si="32"/>
        <v/>
      </c>
      <c r="AR169" s="46" t="str">
        <f>IF($AE169="","",VLOOKUP($AE169,'ORF Accuracy Value LookUp'!$G$4:$H$104,2,TRUE))</f>
        <v/>
      </c>
      <c r="AS169" s="140" t="str">
        <f t="shared" si="33"/>
        <v/>
      </c>
    </row>
    <row r="170" spans="1:45">
      <c r="A170" s="10"/>
      <c r="B170" s="9"/>
      <c r="C170" s="9"/>
      <c r="D170" s="9"/>
      <c r="E170" s="10"/>
      <c r="F170" s="11"/>
      <c r="G170" s="15"/>
      <c r="H170" s="88"/>
      <c r="I170" s="24"/>
      <c r="J170" s="24"/>
      <c r="K170" s="114" t="str">
        <f t="shared" si="24"/>
        <v/>
      </c>
      <c r="L170" s="24"/>
      <c r="M170" s="24"/>
      <c r="N170" s="24"/>
      <c r="O170" s="24"/>
      <c r="P170" s="97" t="str">
        <f t="shared" si="25"/>
        <v/>
      </c>
      <c r="Q170" s="113" t="str">
        <f t="shared" si="26"/>
        <v/>
      </c>
      <c r="R170" s="88"/>
      <c r="S170" s="24"/>
      <c r="T170" s="24"/>
      <c r="U170" s="78" t="str">
        <f t="shared" si="27"/>
        <v/>
      </c>
      <c r="V170" s="24"/>
      <c r="W170" s="24"/>
      <c r="X170" s="24"/>
      <c r="Y170" s="24"/>
      <c r="Z170" s="98" t="str">
        <f t="shared" si="28"/>
        <v/>
      </c>
      <c r="AA170" s="40" t="str">
        <f t="shared" si="34"/>
        <v/>
      </c>
      <c r="AB170" s="88"/>
      <c r="AC170" s="24"/>
      <c r="AD170" s="24"/>
      <c r="AE170" s="79" t="str">
        <f t="shared" si="29"/>
        <v/>
      </c>
      <c r="AF170" s="24"/>
      <c r="AG170" s="24"/>
      <c r="AH170" s="24"/>
      <c r="AI170" s="24"/>
      <c r="AJ170" s="99" t="str">
        <f t="shared" si="30"/>
        <v/>
      </c>
      <c r="AK170" s="31" t="str">
        <f t="shared" si="35"/>
        <v/>
      </c>
      <c r="AN170" s="139" t="str">
        <f>IF($K170="","",VLOOKUP($K170,'ORF Accuracy Value LookUp'!$G$4:$H$104,2,TRUE))</f>
        <v/>
      </c>
      <c r="AO170" s="94" t="str">
        <f t="shared" si="31"/>
        <v/>
      </c>
      <c r="AP170" s="47" t="str">
        <f>IF($U170="","",VLOOKUP($U170,'ORF Accuracy Value LookUp'!$G$4:$H$104,2,TRUE))</f>
        <v/>
      </c>
      <c r="AQ170" s="94" t="str">
        <f t="shared" si="32"/>
        <v/>
      </c>
      <c r="AR170" s="46" t="str">
        <f>IF($AE170="","",VLOOKUP($AE170,'ORF Accuracy Value LookUp'!$G$4:$H$104,2,TRUE))</f>
        <v/>
      </c>
      <c r="AS170" s="140" t="str">
        <f t="shared" si="33"/>
        <v/>
      </c>
    </row>
    <row r="171" spans="1:45">
      <c r="A171" s="10"/>
      <c r="B171" s="9"/>
      <c r="C171" s="9"/>
      <c r="D171" s="9"/>
      <c r="E171" s="10"/>
      <c r="F171" s="11"/>
      <c r="G171" s="15"/>
      <c r="H171" s="88"/>
      <c r="I171" s="24"/>
      <c r="J171" s="24"/>
      <c r="K171" s="114" t="str">
        <f t="shared" si="24"/>
        <v/>
      </c>
      <c r="L171" s="24"/>
      <c r="M171" s="24"/>
      <c r="N171" s="24"/>
      <c r="O171" s="24"/>
      <c r="P171" s="97" t="str">
        <f t="shared" si="25"/>
        <v/>
      </c>
      <c r="Q171" s="113" t="str">
        <f t="shared" si="26"/>
        <v/>
      </c>
      <c r="R171" s="88"/>
      <c r="S171" s="24"/>
      <c r="T171" s="24"/>
      <c r="U171" s="78" t="str">
        <f t="shared" si="27"/>
        <v/>
      </c>
      <c r="V171" s="24"/>
      <c r="W171" s="24"/>
      <c r="X171" s="24"/>
      <c r="Y171" s="24"/>
      <c r="Z171" s="98" t="str">
        <f t="shared" si="28"/>
        <v/>
      </c>
      <c r="AA171" s="40" t="str">
        <f t="shared" si="34"/>
        <v/>
      </c>
      <c r="AB171" s="88"/>
      <c r="AC171" s="24"/>
      <c r="AD171" s="24"/>
      <c r="AE171" s="79" t="str">
        <f t="shared" si="29"/>
        <v/>
      </c>
      <c r="AF171" s="24"/>
      <c r="AG171" s="24"/>
      <c r="AH171" s="24"/>
      <c r="AI171" s="24"/>
      <c r="AJ171" s="99" t="str">
        <f t="shared" si="30"/>
        <v/>
      </c>
      <c r="AK171" s="31" t="str">
        <f t="shared" si="35"/>
        <v/>
      </c>
      <c r="AN171" s="139" t="str">
        <f>IF($K171="","",VLOOKUP($K171,'ORF Accuracy Value LookUp'!$G$4:$H$104,2,TRUE))</f>
        <v/>
      </c>
      <c r="AO171" s="94" t="str">
        <f t="shared" si="31"/>
        <v/>
      </c>
      <c r="AP171" s="47" t="str">
        <f>IF($U171="","",VLOOKUP($U171,'ORF Accuracy Value LookUp'!$G$4:$H$104,2,TRUE))</f>
        <v/>
      </c>
      <c r="AQ171" s="94" t="str">
        <f t="shared" si="32"/>
        <v/>
      </c>
      <c r="AR171" s="46" t="str">
        <f>IF($AE171="","",VLOOKUP($AE171,'ORF Accuracy Value LookUp'!$G$4:$H$104,2,TRUE))</f>
        <v/>
      </c>
      <c r="AS171" s="140" t="str">
        <f t="shared" si="33"/>
        <v/>
      </c>
    </row>
    <row r="172" spans="1:45">
      <c r="A172" s="10"/>
      <c r="B172" s="9"/>
      <c r="C172" s="9"/>
      <c r="D172" s="9"/>
      <c r="E172" s="10"/>
      <c r="F172" s="11"/>
      <c r="G172" s="15"/>
      <c r="H172" s="88"/>
      <c r="I172" s="24"/>
      <c r="J172" s="24"/>
      <c r="K172" s="114" t="str">
        <f t="shared" si="24"/>
        <v/>
      </c>
      <c r="L172" s="24"/>
      <c r="M172" s="24"/>
      <c r="N172" s="24"/>
      <c r="O172" s="24"/>
      <c r="P172" s="97" t="str">
        <f t="shared" si="25"/>
        <v/>
      </c>
      <c r="Q172" s="113" t="str">
        <f t="shared" si="26"/>
        <v/>
      </c>
      <c r="R172" s="88"/>
      <c r="S172" s="24"/>
      <c r="T172" s="24"/>
      <c r="U172" s="78" t="str">
        <f t="shared" si="27"/>
        <v/>
      </c>
      <c r="V172" s="24"/>
      <c r="W172" s="24"/>
      <c r="X172" s="24"/>
      <c r="Y172" s="24"/>
      <c r="Z172" s="98" t="str">
        <f t="shared" si="28"/>
        <v/>
      </c>
      <c r="AA172" s="40" t="str">
        <f t="shared" si="34"/>
        <v/>
      </c>
      <c r="AB172" s="88"/>
      <c r="AC172" s="24"/>
      <c r="AD172" s="24"/>
      <c r="AE172" s="79" t="str">
        <f t="shared" si="29"/>
        <v/>
      </c>
      <c r="AF172" s="24"/>
      <c r="AG172" s="24"/>
      <c r="AH172" s="24"/>
      <c r="AI172" s="24"/>
      <c r="AJ172" s="99" t="str">
        <f t="shared" si="30"/>
        <v/>
      </c>
      <c r="AK172" s="31" t="str">
        <f t="shared" si="35"/>
        <v/>
      </c>
      <c r="AN172" s="139" t="str">
        <f>IF($K172="","",VLOOKUP($K172,'ORF Accuracy Value LookUp'!$G$4:$H$104,2,TRUE))</f>
        <v/>
      </c>
      <c r="AO172" s="94" t="str">
        <f t="shared" si="31"/>
        <v/>
      </c>
      <c r="AP172" s="47" t="str">
        <f>IF($U172="","",VLOOKUP($U172,'ORF Accuracy Value LookUp'!$G$4:$H$104,2,TRUE))</f>
        <v/>
      </c>
      <c r="AQ172" s="94" t="str">
        <f t="shared" si="32"/>
        <v/>
      </c>
      <c r="AR172" s="46" t="str">
        <f>IF($AE172="","",VLOOKUP($AE172,'ORF Accuracy Value LookUp'!$G$4:$H$104,2,TRUE))</f>
        <v/>
      </c>
      <c r="AS172" s="140" t="str">
        <f t="shared" si="33"/>
        <v/>
      </c>
    </row>
    <row r="173" spans="1:45">
      <c r="A173" s="10"/>
      <c r="B173" s="9"/>
      <c r="C173" s="9"/>
      <c r="D173" s="9"/>
      <c r="E173" s="10"/>
      <c r="F173" s="11"/>
      <c r="G173" s="15"/>
      <c r="H173" s="88"/>
      <c r="I173" s="24"/>
      <c r="J173" s="24"/>
      <c r="K173" s="114" t="str">
        <f t="shared" si="24"/>
        <v/>
      </c>
      <c r="L173" s="24"/>
      <c r="M173" s="24"/>
      <c r="N173" s="24"/>
      <c r="O173" s="24"/>
      <c r="P173" s="97" t="str">
        <f t="shared" si="25"/>
        <v/>
      </c>
      <c r="Q173" s="113" t="str">
        <f t="shared" si="26"/>
        <v/>
      </c>
      <c r="R173" s="88"/>
      <c r="S173" s="24"/>
      <c r="T173" s="24"/>
      <c r="U173" s="78" t="str">
        <f t="shared" si="27"/>
        <v/>
      </c>
      <c r="V173" s="24"/>
      <c r="W173" s="24"/>
      <c r="X173" s="24"/>
      <c r="Y173" s="24"/>
      <c r="Z173" s="98" t="str">
        <f t="shared" si="28"/>
        <v/>
      </c>
      <c r="AA173" s="40" t="str">
        <f t="shared" si="34"/>
        <v/>
      </c>
      <c r="AB173" s="88"/>
      <c r="AC173" s="24"/>
      <c r="AD173" s="24"/>
      <c r="AE173" s="79" t="str">
        <f t="shared" si="29"/>
        <v/>
      </c>
      <c r="AF173" s="24"/>
      <c r="AG173" s="24"/>
      <c r="AH173" s="24"/>
      <c r="AI173" s="24"/>
      <c r="AJ173" s="99" t="str">
        <f t="shared" si="30"/>
        <v/>
      </c>
      <c r="AK173" s="31" t="str">
        <f t="shared" si="35"/>
        <v/>
      </c>
      <c r="AN173" s="139" t="str">
        <f>IF($K173="","",VLOOKUP($K173,'ORF Accuracy Value LookUp'!$G$4:$H$104,2,TRUE))</f>
        <v/>
      </c>
      <c r="AO173" s="94" t="str">
        <f t="shared" si="31"/>
        <v/>
      </c>
      <c r="AP173" s="47" t="str">
        <f>IF($U173="","",VLOOKUP($U173,'ORF Accuracy Value LookUp'!$G$4:$H$104,2,TRUE))</f>
        <v/>
      </c>
      <c r="AQ173" s="94" t="str">
        <f t="shared" si="32"/>
        <v/>
      </c>
      <c r="AR173" s="46" t="str">
        <f>IF($AE173="","",VLOOKUP($AE173,'ORF Accuracy Value LookUp'!$G$4:$H$104,2,TRUE))</f>
        <v/>
      </c>
      <c r="AS173" s="140" t="str">
        <f t="shared" si="33"/>
        <v/>
      </c>
    </row>
    <row r="174" spans="1:45">
      <c r="A174" s="10"/>
      <c r="B174" s="9"/>
      <c r="C174" s="9"/>
      <c r="D174" s="9"/>
      <c r="E174" s="10"/>
      <c r="F174" s="11"/>
      <c r="G174" s="15"/>
      <c r="H174" s="88"/>
      <c r="I174" s="24"/>
      <c r="J174" s="24"/>
      <c r="K174" s="114" t="str">
        <f t="shared" si="24"/>
        <v/>
      </c>
      <c r="L174" s="24"/>
      <c r="M174" s="24"/>
      <c r="N174" s="24"/>
      <c r="O174" s="24"/>
      <c r="P174" s="97" t="str">
        <f t="shared" si="25"/>
        <v/>
      </c>
      <c r="Q174" s="113" t="str">
        <f t="shared" si="26"/>
        <v/>
      </c>
      <c r="R174" s="88"/>
      <c r="S174" s="24"/>
      <c r="T174" s="24"/>
      <c r="U174" s="78" t="str">
        <f t="shared" si="27"/>
        <v/>
      </c>
      <c r="V174" s="24"/>
      <c r="W174" s="24"/>
      <c r="X174" s="24"/>
      <c r="Y174" s="24"/>
      <c r="Z174" s="98" t="str">
        <f t="shared" si="28"/>
        <v/>
      </c>
      <c r="AA174" s="40" t="str">
        <f t="shared" si="34"/>
        <v/>
      </c>
      <c r="AB174" s="88"/>
      <c r="AC174" s="24"/>
      <c r="AD174" s="24"/>
      <c r="AE174" s="79" t="str">
        <f t="shared" si="29"/>
        <v/>
      </c>
      <c r="AF174" s="24"/>
      <c r="AG174" s="24"/>
      <c r="AH174" s="24"/>
      <c r="AI174" s="24"/>
      <c r="AJ174" s="99" t="str">
        <f t="shared" si="30"/>
        <v/>
      </c>
      <c r="AK174" s="31" t="str">
        <f t="shared" si="35"/>
        <v/>
      </c>
      <c r="AN174" s="139" t="str">
        <f>IF($K174="","",VLOOKUP($K174,'ORF Accuracy Value LookUp'!$G$4:$H$104,2,TRUE))</f>
        <v/>
      </c>
      <c r="AO174" s="94" t="str">
        <f t="shared" si="31"/>
        <v/>
      </c>
      <c r="AP174" s="47" t="str">
        <f>IF($U174="","",VLOOKUP($U174,'ORF Accuracy Value LookUp'!$G$4:$H$104,2,TRUE))</f>
        <v/>
      </c>
      <c r="AQ174" s="94" t="str">
        <f t="shared" si="32"/>
        <v/>
      </c>
      <c r="AR174" s="46" t="str">
        <f>IF($AE174="","",VLOOKUP($AE174,'ORF Accuracy Value LookUp'!$G$4:$H$104,2,TRUE))</f>
        <v/>
      </c>
      <c r="AS174" s="140" t="str">
        <f t="shared" si="33"/>
        <v/>
      </c>
    </row>
    <row r="175" spans="1:45">
      <c r="A175" s="10"/>
      <c r="B175" s="9"/>
      <c r="C175" s="9"/>
      <c r="D175" s="9"/>
      <c r="E175" s="10"/>
      <c r="F175" s="11"/>
      <c r="G175" s="15"/>
      <c r="H175" s="88"/>
      <c r="I175" s="24"/>
      <c r="J175" s="24"/>
      <c r="K175" s="114" t="str">
        <f t="shared" si="24"/>
        <v/>
      </c>
      <c r="L175" s="24"/>
      <c r="M175" s="24"/>
      <c r="N175" s="24"/>
      <c r="O175" s="24"/>
      <c r="P175" s="97" t="str">
        <f t="shared" si="25"/>
        <v/>
      </c>
      <c r="Q175" s="113" t="str">
        <f t="shared" si="26"/>
        <v/>
      </c>
      <c r="R175" s="88"/>
      <c r="S175" s="24"/>
      <c r="T175" s="24"/>
      <c r="U175" s="78" t="str">
        <f t="shared" si="27"/>
        <v/>
      </c>
      <c r="V175" s="24"/>
      <c r="W175" s="24"/>
      <c r="X175" s="24"/>
      <c r="Y175" s="24"/>
      <c r="Z175" s="98" t="str">
        <f t="shared" si="28"/>
        <v/>
      </c>
      <c r="AA175" s="40" t="str">
        <f t="shared" si="34"/>
        <v/>
      </c>
      <c r="AB175" s="88"/>
      <c r="AC175" s="24"/>
      <c r="AD175" s="24"/>
      <c r="AE175" s="79" t="str">
        <f t="shared" si="29"/>
        <v/>
      </c>
      <c r="AF175" s="24"/>
      <c r="AG175" s="24"/>
      <c r="AH175" s="24"/>
      <c r="AI175" s="24"/>
      <c r="AJ175" s="99" t="str">
        <f t="shared" si="30"/>
        <v/>
      </c>
      <c r="AK175" s="31" t="str">
        <f t="shared" si="35"/>
        <v/>
      </c>
      <c r="AN175" s="139" t="str">
        <f>IF($K175="","",VLOOKUP($K175,'ORF Accuracy Value LookUp'!$G$4:$H$104,2,TRUE))</f>
        <v/>
      </c>
      <c r="AO175" s="94" t="str">
        <f t="shared" si="31"/>
        <v/>
      </c>
      <c r="AP175" s="47" t="str">
        <f>IF($U175="","",VLOOKUP($U175,'ORF Accuracy Value LookUp'!$G$4:$H$104,2,TRUE))</f>
        <v/>
      </c>
      <c r="AQ175" s="94" t="str">
        <f t="shared" si="32"/>
        <v/>
      </c>
      <c r="AR175" s="46" t="str">
        <f>IF($AE175="","",VLOOKUP($AE175,'ORF Accuracy Value LookUp'!$G$4:$H$104,2,TRUE))</f>
        <v/>
      </c>
      <c r="AS175" s="140" t="str">
        <f t="shared" si="33"/>
        <v/>
      </c>
    </row>
    <row r="176" spans="1:45">
      <c r="A176" s="10"/>
      <c r="B176" s="9"/>
      <c r="C176" s="9"/>
      <c r="D176" s="9"/>
      <c r="E176" s="10"/>
      <c r="F176" s="11"/>
      <c r="G176" s="15"/>
      <c r="H176" s="88"/>
      <c r="I176" s="24"/>
      <c r="J176" s="24"/>
      <c r="K176" s="114" t="str">
        <f t="shared" si="24"/>
        <v/>
      </c>
      <c r="L176" s="24"/>
      <c r="M176" s="24"/>
      <c r="N176" s="24"/>
      <c r="O176" s="24"/>
      <c r="P176" s="97" t="str">
        <f t="shared" si="25"/>
        <v/>
      </c>
      <c r="Q176" s="113" t="str">
        <f t="shared" si="26"/>
        <v/>
      </c>
      <c r="R176" s="88"/>
      <c r="S176" s="24"/>
      <c r="T176" s="24"/>
      <c r="U176" s="78" t="str">
        <f t="shared" si="27"/>
        <v/>
      </c>
      <c r="V176" s="24"/>
      <c r="W176" s="24"/>
      <c r="X176" s="24"/>
      <c r="Y176" s="24"/>
      <c r="Z176" s="98" t="str">
        <f t="shared" si="28"/>
        <v/>
      </c>
      <c r="AA176" s="40" t="str">
        <f t="shared" si="34"/>
        <v/>
      </c>
      <c r="AB176" s="88"/>
      <c r="AC176" s="24"/>
      <c r="AD176" s="24"/>
      <c r="AE176" s="79" t="str">
        <f t="shared" si="29"/>
        <v/>
      </c>
      <c r="AF176" s="24"/>
      <c r="AG176" s="24"/>
      <c r="AH176" s="24"/>
      <c r="AI176" s="24"/>
      <c r="AJ176" s="99" t="str">
        <f t="shared" si="30"/>
        <v/>
      </c>
      <c r="AK176" s="31" t="str">
        <f t="shared" si="35"/>
        <v/>
      </c>
      <c r="AN176" s="139" t="str">
        <f>IF($K176="","",VLOOKUP($K176,'ORF Accuracy Value LookUp'!$G$4:$H$104,2,TRUE))</f>
        <v/>
      </c>
      <c r="AO176" s="94" t="str">
        <f t="shared" si="31"/>
        <v/>
      </c>
      <c r="AP176" s="47" t="str">
        <f>IF($U176="","",VLOOKUP($U176,'ORF Accuracy Value LookUp'!$G$4:$H$104,2,TRUE))</f>
        <v/>
      </c>
      <c r="AQ176" s="94" t="str">
        <f t="shared" si="32"/>
        <v/>
      </c>
      <c r="AR176" s="46" t="str">
        <f>IF($AE176="","",VLOOKUP($AE176,'ORF Accuracy Value LookUp'!$G$4:$H$104,2,TRUE))</f>
        <v/>
      </c>
      <c r="AS176" s="140" t="str">
        <f t="shared" si="33"/>
        <v/>
      </c>
    </row>
    <row r="177" spans="1:45">
      <c r="A177" s="10"/>
      <c r="B177" s="9"/>
      <c r="C177" s="9"/>
      <c r="D177" s="9"/>
      <c r="E177" s="10"/>
      <c r="F177" s="11"/>
      <c r="G177" s="15"/>
      <c r="H177" s="88"/>
      <c r="I177" s="24"/>
      <c r="J177" s="24"/>
      <c r="K177" s="114" t="str">
        <f t="shared" si="24"/>
        <v/>
      </c>
      <c r="L177" s="24"/>
      <c r="M177" s="24"/>
      <c r="N177" s="24"/>
      <c r="O177" s="24"/>
      <c r="P177" s="97" t="str">
        <f t="shared" si="25"/>
        <v/>
      </c>
      <c r="Q177" s="113" t="str">
        <f t="shared" si="26"/>
        <v/>
      </c>
      <c r="R177" s="88"/>
      <c r="S177" s="24"/>
      <c r="T177" s="24"/>
      <c r="U177" s="78" t="str">
        <f t="shared" si="27"/>
        <v/>
      </c>
      <c r="V177" s="24"/>
      <c r="W177" s="24"/>
      <c r="X177" s="24"/>
      <c r="Y177" s="24"/>
      <c r="Z177" s="98" t="str">
        <f t="shared" si="28"/>
        <v/>
      </c>
      <c r="AA177" s="40" t="str">
        <f t="shared" si="34"/>
        <v/>
      </c>
      <c r="AB177" s="88"/>
      <c r="AC177" s="24"/>
      <c r="AD177" s="24"/>
      <c r="AE177" s="79" t="str">
        <f t="shared" si="29"/>
        <v/>
      </c>
      <c r="AF177" s="24"/>
      <c r="AG177" s="24"/>
      <c r="AH177" s="24"/>
      <c r="AI177" s="24"/>
      <c r="AJ177" s="99" t="str">
        <f t="shared" si="30"/>
        <v/>
      </c>
      <c r="AK177" s="31" t="str">
        <f t="shared" si="35"/>
        <v/>
      </c>
      <c r="AN177" s="139" t="str">
        <f>IF($K177="","",VLOOKUP($K177,'ORF Accuracy Value LookUp'!$G$4:$H$104,2,TRUE))</f>
        <v/>
      </c>
      <c r="AO177" s="94" t="str">
        <f t="shared" si="31"/>
        <v/>
      </c>
      <c r="AP177" s="47" t="str">
        <f>IF($U177="","",VLOOKUP($U177,'ORF Accuracy Value LookUp'!$G$4:$H$104,2,TRUE))</f>
        <v/>
      </c>
      <c r="AQ177" s="94" t="str">
        <f t="shared" si="32"/>
        <v/>
      </c>
      <c r="AR177" s="46" t="str">
        <f>IF($AE177="","",VLOOKUP($AE177,'ORF Accuracy Value LookUp'!$G$4:$H$104,2,TRUE))</f>
        <v/>
      </c>
      <c r="AS177" s="140" t="str">
        <f t="shared" si="33"/>
        <v/>
      </c>
    </row>
    <row r="178" spans="1:45">
      <c r="A178" s="10"/>
      <c r="B178" s="9"/>
      <c r="C178" s="9"/>
      <c r="D178" s="9"/>
      <c r="E178" s="10"/>
      <c r="F178" s="11"/>
      <c r="G178" s="15"/>
      <c r="H178" s="88"/>
      <c r="I178" s="24"/>
      <c r="J178" s="24"/>
      <c r="K178" s="114" t="str">
        <f t="shared" si="24"/>
        <v/>
      </c>
      <c r="L178" s="24"/>
      <c r="M178" s="24"/>
      <c r="N178" s="24"/>
      <c r="O178" s="24"/>
      <c r="P178" s="97" t="str">
        <f t="shared" si="25"/>
        <v/>
      </c>
      <c r="Q178" s="113" t="str">
        <f t="shared" si="26"/>
        <v/>
      </c>
      <c r="R178" s="88"/>
      <c r="S178" s="24"/>
      <c r="T178" s="24"/>
      <c r="U178" s="78" t="str">
        <f t="shared" si="27"/>
        <v/>
      </c>
      <c r="V178" s="24"/>
      <c r="W178" s="24"/>
      <c r="X178" s="24"/>
      <c r="Y178" s="24"/>
      <c r="Z178" s="98" t="str">
        <f t="shared" si="28"/>
        <v/>
      </c>
      <c r="AA178" s="40" t="str">
        <f t="shared" si="34"/>
        <v/>
      </c>
      <c r="AB178" s="88"/>
      <c r="AC178" s="24"/>
      <c r="AD178" s="24"/>
      <c r="AE178" s="79" t="str">
        <f t="shared" si="29"/>
        <v/>
      </c>
      <c r="AF178" s="24"/>
      <c r="AG178" s="24"/>
      <c r="AH178" s="24"/>
      <c r="AI178" s="24"/>
      <c r="AJ178" s="99" t="str">
        <f t="shared" si="30"/>
        <v/>
      </c>
      <c r="AK178" s="31" t="str">
        <f t="shared" si="35"/>
        <v/>
      </c>
      <c r="AN178" s="139" t="str">
        <f>IF($K178="","",VLOOKUP($K178,'ORF Accuracy Value LookUp'!$G$4:$H$104,2,TRUE))</f>
        <v/>
      </c>
      <c r="AO178" s="94" t="str">
        <f t="shared" si="31"/>
        <v/>
      </c>
      <c r="AP178" s="47" t="str">
        <f>IF($U178="","",VLOOKUP($U178,'ORF Accuracy Value LookUp'!$G$4:$H$104,2,TRUE))</f>
        <v/>
      </c>
      <c r="AQ178" s="94" t="str">
        <f t="shared" si="32"/>
        <v/>
      </c>
      <c r="AR178" s="46" t="str">
        <f>IF($AE178="","",VLOOKUP($AE178,'ORF Accuracy Value LookUp'!$G$4:$H$104,2,TRUE))</f>
        <v/>
      </c>
      <c r="AS178" s="140" t="str">
        <f t="shared" si="33"/>
        <v/>
      </c>
    </row>
    <row r="179" spans="1:45">
      <c r="A179" s="10"/>
      <c r="B179" s="9"/>
      <c r="C179" s="9"/>
      <c r="D179" s="9"/>
      <c r="E179" s="10"/>
      <c r="F179" s="11"/>
      <c r="G179" s="15"/>
      <c r="H179" s="88"/>
      <c r="I179" s="24"/>
      <c r="J179" s="24"/>
      <c r="K179" s="114" t="str">
        <f t="shared" si="24"/>
        <v/>
      </c>
      <c r="L179" s="24"/>
      <c r="M179" s="24"/>
      <c r="N179" s="24"/>
      <c r="O179" s="24"/>
      <c r="P179" s="97" t="str">
        <f t="shared" si="25"/>
        <v/>
      </c>
      <c r="Q179" s="113" t="str">
        <f t="shared" si="26"/>
        <v/>
      </c>
      <c r="R179" s="88"/>
      <c r="S179" s="24"/>
      <c r="T179" s="24"/>
      <c r="U179" s="78" t="str">
        <f t="shared" si="27"/>
        <v/>
      </c>
      <c r="V179" s="24"/>
      <c r="W179" s="24"/>
      <c r="X179" s="24"/>
      <c r="Y179" s="24"/>
      <c r="Z179" s="98" t="str">
        <f t="shared" si="28"/>
        <v/>
      </c>
      <c r="AA179" s="40" t="str">
        <f t="shared" si="34"/>
        <v/>
      </c>
      <c r="AB179" s="88"/>
      <c r="AC179" s="24"/>
      <c r="AD179" s="24"/>
      <c r="AE179" s="79" t="str">
        <f t="shared" si="29"/>
        <v/>
      </c>
      <c r="AF179" s="24"/>
      <c r="AG179" s="24"/>
      <c r="AH179" s="24"/>
      <c r="AI179" s="24"/>
      <c r="AJ179" s="99" t="str">
        <f t="shared" si="30"/>
        <v/>
      </c>
      <c r="AK179" s="31" t="str">
        <f t="shared" si="35"/>
        <v/>
      </c>
      <c r="AN179" s="139" t="str">
        <f>IF($K179="","",VLOOKUP($K179,'ORF Accuracy Value LookUp'!$G$4:$H$104,2,TRUE))</f>
        <v/>
      </c>
      <c r="AO179" s="94" t="str">
        <f t="shared" si="31"/>
        <v/>
      </c>
      <c r="AP179" s="47" t="str">
        <f>IF($U179="","",VLOOKUP($U179,'ORF Accuracy Value LookUp'!$G$4:$H$104,2,TRUE))</f>
        <v/>
      </c>
      <c r="AQ179" s="94" t="str">
        <f t="shared" si="32"/>
        <v/>
      </c>
      <c r="AR179" s="46" t="str">
        <f>IF($AE179="","",VLOOKUP($AE179,'ORF Accuracy Value LookUp'!$G$4:$H$104,2,TRUE))</f>
        <v/>
      </c>
      <c r="AS179" s="140" t="str">
        <f t="shared" si="33"/>
        <v/>
      </c>
    </row>
    <row r="180" spans="1:45">
      <c r="A180" s="10"/>
      <c r="B180" s="9"/>
      <c r="C180" s="9"/>
      <c r="D180" s="9"/>
      <c r="E180" s="10"/>
      <c r="F180" s="11"/>
      <c r="G180" s="15"/>
      <c r="H180" s="88"/>
      <c r="I180" s="24"/>
      <c r="J180" s="24"/>
      <c r="K180" s="114" t="str">
        <f t="shared" si="24"/>
        <v/>
      </c>
      <c r="L180" s="24"/>
      <c r="M180" s="24"/>
      <c r="N180" s="24"/>
      <c r="O180" s="24"/>
      <c r="P180" s="97" t="str">
        <f t="shared" si="25"/>
        <v/>
      </c>
      <c r="Q180" s="113" t="str">
        <f t="shared" si="26"/>
        <v/>
      </c>
      <c r="R180" s="88"/>
      <c r="S180" s="24"/>
      <c r="T180" s="24"/>
      <c r="U180" s="78" t="str">
        <f t="shared" si="27"/>
        <v/>
      </c>
      <c r="V180" s="24"/>
      <c r="W180" s="24"/>
      <c r="X180" s="24"/>
      <c r="Y180" s="24"/>
      <c r="Z180" s="98" t="str">
        <f t="shared" si="28"/>
        <v/>
      </c>
      <c r="AA180" s="40" t="str">
        <f t="shared" si="34"/>
        <v/>
      </c>
      <c r="AB180" s="88"/>
      <c r="AC180" s="24"/>
      <c r="AD180" s="24"/>
      <c r="AE180" s="79" t="str">
        <f t="shared" si="29"/>
        <v/>
      </c>
      <c r="AF180" s="24"/>
      <c r="AG180" s="24"/>
      <c r="AH180" s="24"/>
      <c r="AI180" s="24"/>
      <c r="AJ180" s="99" t="str">
        <f t="shared" si="30"/>
        <v/>
      </c>
      <c r="AK180" s="31" t="str">
        <f t="shared" si="35"/>
        <v/>
      </c>
      <c r="AN180" s="139" t="str">
        <f>IF($K180="","",VLOOKUP($K180,'ORF Accuracy Value LookUp'!$G$4:$H$104,2,TRUE))</f>
        <v/>
      </c>
      <c r="AO180" s="94" t="str">
        <f t="shared" si="31"/>
        <v/>
      </c>
      <c r="AP180" s="47" t="str">
        <f>IF($U180="","",VLOOKUP($U180,'ORF Accuracy Value LookUp'!$G$4:$H$104,2,TRUE))</f>
        <v/>
      </c>
      <c r="AQ180" s="94" t="str">
        <f t="shared" si="32"/>
        <v/>
      </c>
      <c r="AR180" s="46" t="str">
        <f>IF($AE180="","",VLOOKUP($AE180,'ORF Accuracy Value LookUp'!$G$4:$H$104,2,TRUE))</f>
        <v/>
      </c>
      <c r="AS180" s="140" t="str">
        <f t="shared" si="33"/>
        <v/>
      </c>
    </row>
    <row r="181" spans="1:45">
      <c r="A181" s="10"/>
      <c r="B181" s="9"/>
      <c r="C181" s="9"/>
      <c r="D181" s="9"/>
      <c r="E181" s="10"/>
      <c r="F181" s="11"/>
      <c r="G181" s="15"/>
      <c r="H181" s="88"/>
      <c r="I181" s="24"/>
      <c r="J181" s="24"/>
      <c r="K181" s="114" t="str">
        <f t="shared" si="24"/>
        <v/>
      </c>
      <c r="L181" s="24"/>
      <c r="M181" s="24"/>
      <c r="N181" s="24"/>
      <c r="O181" s="24"/>
      <c r="P181" s="97" t="str">
        <f t="shared" si="25"/>
        <v/>
      </c>
      <c r="Q181" s="113" t="str">
        <f t="shared" si="26"/>
        <v/>
      </c>
      <c r="R181" s="88"/>
      <c r="S181" s="24"/>
      <c r="T181" s="24"/>
      <c r="U181" s="78" t="str">
        <f t="shared" si="27"/>
        <v/>
      </c>
      <c r="V181" s="24"/>
      <c r="W181" s="24"/>
      <c r="X181" s="24"/>
      <c r="Y181" s="24"/>
      <c r="Z181" s="98" t="str">
        <f t="shared" si="28"/>
        <v/>
      </c>
      <c r="AA181" s="40" t="str">
        <f t="shared" si="34"/>
        <v/>
      </c>
      <c r="AB181" s="88"/>
      <c r="AC181" s="24"/>
      <c r="AD181" s="24"/>
      <c r="AE181" s="79" t="str">
        <f t="shared" si="29"/>
        <v/>
      </c>
      <c r="AF181" s="24"/>
      <c r="AG181" s="24"/>
      <c r="AH181" s="24"/>
      <c r="AI181" s="24"/>
      <c r="AJ181" s="99" t="str">
        <f t="shared" si="30"/>
        <v/>
      </c>
      <c r="AK181" s="31" t="str">
        <f t="shared" si="35"/>
        <v/>
      </c>
      <c r="AN181" s="139" t="str">
        <f>IF($K181="","",VLOOKUP($K181,'ORF Accuracy Value LookUp'!$G$4:$H$104,2,TRUE))</f>
        <v/>
      </c>
      <c r="AO181" s="94" t="str">
        <f t="shared" si="31"/>
        <v/>
      </c>
      <c r="AP181" s="47" t="str">
        <f>IF($U181="","",VLOOKUP($U181,'ORF Accuracy Value LookUp'!$G$4:$H$104,2,TRUE))</f>
        <v/>
      </c>
      <c r="AQ181" s="94" t="str">
        <f t="shared" si="32"/>
        <v/>
      </c>
      <c r="AR181" s="46" t="str">
        <f>IF($AE181="","",VLOOKUP($AE181,'ORF Accuracy Value LookUp'!$G$4:$H$104,2,TRUE))</f>
        <v/>
      </c>
      <c r="AS181" s="140" t="str">
        <f t="shared" si="33"/>
        <v/>
      </c>
    </row>
    <row r="182" spans="1:45">
      <c r="A182" s="10"/>
      <c r="B182" s="9"/>
      <c r="C182" s="9"/>
      <c r="D182" s="9"/>
      <c r="E182" s="10"/>
      <c r="F182" s="11"/>
      <c r="G182" s="15"/>
      <c r="H182" s="88"/>
      <c r="I182" s="24"/>
      <c r="J182" s="24"/>
      <c r="K182" s="114" t="str">
        <f t="shared" si="24"/>
        <v/>
      </c>
      <c r="L182" s="24"/>
      <c r="M182" s="24"/>
      <c r="N182" s="24"/>
      <c r="O182" s="24"/>
      <c r="P182" s="97" t="str">
        <f t="shared" si="25"/>
        <v/>
      </c>
      <c r="Q182" s="113" t="str">
        <f t="shared" si="26"/>
        <v/>
      </c>
      <c r="R182" s="88"/>
      <c r="S182" s="24"/>
      <c r="T182" s="24"/>
      <c r="U182" s="78" t="str">
        <f t="shared" si="27"/>
        <v/>
      </c>
      <c r="V182" s="24"/>
      <c r="W182" s="24"/>
      <c r="X182" s="24"/>
      <c r="Y182" s="24"/>
      <c r="Z182" s="98" t="str">
        <f t="shared" si="28"/>
        <v/>
      </c>
      <c r="AA182" s="40" t="str">
        <f t="shared" si="34"/>
        <v/>
      </c>
      <c r="AB182" s="88"/>
      <c r="AC182" s="24"/>
      <c r="AD182" s="24"/>
      <c r="AE182" s="79" t="str">
        <f t="shared" si="29"/>
        <v/>
      </c>
      <c r="AF182" s="24"/>
      <c r="AG182" s="24"/>
      <c r="AH182" s="24"/>
      <c r="AI182" s="24"/>
      <c r="AJ182" s="99" t="str">
        <f t="shared" si="30"/>
        <v/>
      </c>
      <c r="AK182" s="31" t="str">
        <f t="shared" si="35"/>
        <v/>
      </c>
      <c r="AN182" s="139" t="str">
        <f>IF($K182="","",VLOOKUP($K182,'ORF Accuracy Value LookUp'!$G$4:$H$104,2,TRUE))</f>
        <v/>
      </c>
      <c r="AO182" s="94" t="str">
        <f t="shared" si="31"/>
        <v/>
      </c>
      <c r="AP182" s="47" t="str">
        <f>IF($U182="","",VLOOKUP($U182,'ORF Accuracy Value LookUp'!$G$4:$H$104,2,TRUE))</f>
        <v/>
      </c>
      <c r="AQ182" s="94" t="str">
        <f t="shared" si="32"/>
        <v/>
      </c>
      <c r="AR182" s="46" t="str">
        <f>IF($AE182="","",VLOOKUP($AE182,'ORF Accuracy Value LookUp'!$G$4:$H$104,2,TRUE))</f>
        <v/>
      </c>
      <c r="AS182" s="140" t="str">
        <f t="shared" si="33"/>
        <v/>
      </c>
    </row>
    <row r="183" spans="1:45">
      <c r="A183" s="10"/>
      <c r="B183" s="9"/>
      <c r="C183" s="9"/>
      <c r="D183" s="9"/>
      <c r="E183" s="10"/>
      <c r="F183" s="11"/>
      <c r="G183" s="15"/>
      <c r="H183" s="88"/>
      <c r="I183" s="24"/>
      <c r="J183" s="24"/>
      <c r="K183" s="114" t="str">
        <f t="shared" si="24"/>
        <v/>
      </c>
      <c r="L183" s="24"/>
      <c r="M183" s="24"/>
      <c r="N183" s="24"/>
      <c r="O183" s="24"/>
      <c r="P183" s="97" t="str">
        <f t="shared" si="25"/>
        <v/>
      </c>
      <c r="Q183" s="113" t="str">
        <f t="shared" si="26"/>
        <v/>
      </c>
      <c r="R183" s="88"/>
      <c r="S183" s="24"/>
      <c r="T183" s="24"/>
      <c r="U183" s="78" t="str">
        <f t="shared" si="27"/>
        <v/>
      </c>
      <c r="V183" s="24"/>
      <c r="W183" s="24"/>
      <c r="X183" s="24"/>
      <c r="Y183" s="24"/>
      <c r="Z183" s="98" t="str">
        <f t="shared" si="28"/>
        <v/>
      </c>
      <c r="AA183" s="40" t="str">
        <f t="shared" si="34"/>
        <v/>
      </c>
      <c r="AB183" s="88"/>
      <c r="AC183" s="24"/>
      <c r="AD183" s="24"/>
      <c r="AE183" s="79" t="str">
        <f t="shared" si="29"/>
        <v/>
      </c>
      <c r="AF183" s="24"/>
      <c r="AG183" s="24"/>
      <c r="AH183" s="24"/>
      <c r="AI183" s="24"/>
      <c r="AJ183" s="99" t="str">
        <f t="shared" si="30"/>
        <v/>
      </c>
      <c r="AK183" s="31" t="str">
        <f t="shared" si="35"/>
        <v/>
      </c>
      <c r="AN183" s="139" t="str">
        <f>IF($K183="","",VLOOKUP($K183,'ORF Accuracy Value LookUp'!$G$4:$H$104,2,TRUE))</f>
        <v/>
      </c>
      <c r="AO183" s="94" t="str">
        <f t="shared" si="31"/>
        <v/>
      </c>
      <c r="AP183" s="47" t="str">
        <f>IF($U183="","",VLOOKUP($U183,'ORF Accuracy Value LookUp'!$G$4:$H$104,2,TRUE))</f>
        <v/>
      </c>
      <c r="AQ183" s="94" t="str">
        <f t="shared" si="32"/>
        <v/>
      </c>
      <c r="AR183" s="46" t="str">
        <f>IF($AE183="","",VLOOKUP($AE183,'ORF Accuracy Value LookUp'!$G$4:$H$104,2,TRUE))</f>
        <v/>
      </c>
      <c r="AS183" s="140" t="str">
        <f t="shared" si="33"/>
        <v/>
      </c>
    </row>
    <row r="184" spans="1:45">
      <c r="A184" s="10"/>
      <c r="B184" s="9"/>
      <c r="C184" s="9"/>
      <c r="D184" s="9"/>
      <c r="E184" s="10"/>
      <c r="F184" s="11"/>
      <c r="G184" s="15"/>
      <c r="H184" s="88"/>
      <c r="I184" s="24"/>
      <c r="J184" s="24"/>
      <c r="K184" s="114" t="str">
        <f t="shared" si="24"/>
        <v/>
      </c>
      <c r="L184" s="24"/>
      <c r="M184" s="24"/>
      <c r="N184" s="24"/>
      <c r="O184" s="24"/>
      <c r="P184" s="97" t="str">
        <f t="shared" si="25"/>
        <v/>
      </c>
      <c r="Q184" s="113" t="str">
        <f t="shared" si="26"/>
        <v/>
      </c>
      <c r="R184" s="88"/>
      <c r="S184" s="24"/>
      <c r="T184" s="24"/>
      <c r="U184" s="78" t="str">
        <f t="shared" si="27"/>
        <v/>
      </c>
      <c r="V184" s="24"/>
      <c r="W184" s="24"/>
      <c r="X184" s="24"/>
      <c r="Y184" s="24"/>
      <c r="Z184" s="98" t="str">
        <f t="shared" si="28"/>
        <v/>
      </c>
      <c r="AA184" s="40" t="str">
        <f t="shared" si="34"/>
        <v/>
      </c>
      <c r="AB184" s="88"/>
      <c r="AC184" s="24"/>
      <c r="AD184" s="24"/>
      <c r="AE184" s="79" t="str">
        <f t="shared" si="29"/>
        <v/>
      </c>
      <c r="AF184" s="24"/>
      <c r="AG184" s="24"/>
      <c r="AH184" s="24"/>
      <c r="AI184" s="24"/>
      <c r="AJ184" s="99" t="str">
        <f t="shared" si="30"/>
        <v/>
      </c>
      <c r="AK184" s="31" t="str">
        <f t="shared" si="35"/>
        <v/>
      </c>
      <c r="AN184" s="139" t="str">
        <f>IF($K184="","",VLOOKUP($K184,'ORF Accuracy Value LookUp'!$G$4:$H$104,2,TRUE))</f>
        <v/>
      </c>
      <c r="AO184" s="94" t="str">
        <f t="shared" si="31"/>
        <v/>
      </c>
      <c r="AP184" s="47" t="str">
        <f>IF($U184="","",VLOOKUP($U184,'ORF Accuracy Value LookUp'!$G$4:$H$104,2,TRUE))</f>
        <v/>
      </c>
      <c r="AQ184" s="94" t="str">
        <f t="shared" si="32"/>
        <v/>
      </c>
      <c r="AR184" s="46" t="str">
        <f>IF($AE184="","",VLOOKUP($AE184,'ORF Accuracy Value LookUp'!$G$4:$H$104,2,TRUE))</f>
        <v/>
      </c>
      <c r="AS184" s="140" t="str">
        <f t="shared" si="33"/>
        <v/>
      </c>
    </row>
    <row r="185" spans="1:45">
      <c r="A185" s="10"/>
      <c r="B185" s="9"/>
      <c r="C185" s="9"/>
      <c r="D185" s="9"/>
      <c r="E185" s="10"/>
      <c r="F185" s="11"/>
      <c r="G185" s="15"/>
      <c r="H185" s="88"/>
      <c r="I185" s="24"/>
      <c r="J185" s="24"/>
      <c r="K185" s="114" t="str">
        <f t="shared" si="24"/>
        <v/>
      </c>
      <c r="L185" s="24"/>
      <c r="M185" s="24"/>
      <c r="N185" s="24"/>
      <c r="O185" s="24"/>
      <c r="P185" s="97" t="str">
        <f t="shared" si="25"/>
        <v/>
      </c>
      <c r="Q185" s="113" t="str">
        <f t="shared" si="26"/>
        <v/>
      </c>
      <c r="R185" s="88"/>
      <c r="S185" s="24"/>
      <c r="T185" s="24"/>
      <c r="U185" s="78" t="str">
        <f t="shared" si="27"/>
        <v/>
      </c>
      <c r="V185" s="24"/>
      <c r="W185" s="24"/>
      <c r="X185" s="24"/>
      <c r="Y185" s="24"/>
      <c r="Z185" s="98" t="str">
        <f t="shared" si="28"/>
        <v/>
      </c>
      <c r="AA185" s="40" t="str">
        <f t="shared" si="34"/>
        <v/>
      </c>
      <c r="AB185" s="88"/>
      <c r="AC185" s="24"/>
      <c r="AD185" s="24"/>
      <c r="AE185" s="79" t="str">
        <f t="shared" si="29"/>
        <v/>
      </c>
      <c r="AF185" s="24"/>
      <c r="AG185" s="24"/>
      <c r="AH185" s="24"/>
      <c r="AI185" s="24"/>
      <c r="AJ185" s="99" t="str">
        <f t="shared" si="30"/>
        <v/>
      </c>
      <c r="AK185" s="31" t="str">
        <f t="shared" si="35"/>
        <v/>
      </c>
      <c r="AN185" s="139" t="str">
        <f>IF($K185="","",VLOOKUP($K185,'ORF Accuracy Value LookUp'!$G$4:$H$104,2,TRUE))</f>
        <v/>
      </c>
      <c r="AO185" s="94" t="str">
        <f t="shared" si="31"/>
        <v/>
      </c>
      <c r="AP185" s="47" t="str">
        <f>IF($U185="","",VLOOKUP($U185,'ORF Accuracy Value LookUp'!$G$4:$H$104,2,TRUE))</f>
        <v/>
      </c>
      <c r="AQ185" s="94" t="str">
        <f t="shared" si="32"/>
        <v/>
      </c>
      <c r="AR185" s="46" t="str">
        <f>IF($AE185="","",VLOOKUP($AE185,'ORF Accuracy Value LookUp'!$G$4:$H$104,2,TRUE))</f>
        <v/>
      </c>
      <c r="AS185" s="140" t="str">
        <f t="shared" si="33"/>
        <v/>
      </c>
    </row>
    <row r="186" spans="1:45">
      <c r="A186" s="10"/>
      <c r="B186" s="9"/>
      <c r="C186" s="9"/>
      <c r="D186" s="9"/>
      <c r="E186" s="10"/>
      <c r="F186" s="11"/>
      <c r="G186" s="15"/>
      <c r="H186" s="88"/>
      <c r="I186" s="24"/>
      <c r="J186" s="24"/>
      <c r="K186" s="114" t="str">
        <f t="shared" si="24"/>
        <v/>
      </c>
      <c r="L186" s="24"/>
      <c r="M186" s="24"/>
      <c r="N186" s="24"/>
      <c r="O186" s="24"/>
      <c r="P186" s="97" t="str">
        <f t="shared" si="25"/>
        <v/>
      </c>
      <c r="Q186" s="113" t="str">
        <f t="shared" si="26"/>
        <v/>
      </c>
      <c r="R186" s="88"/>
      <c r="S186" s="24"/>
      <c r="T186" s="24"/>
      <c r="U186" s="78" t="str">
        <f t="shared" si="27"/>
        <v/>
      </c>
      <c r="V186" s="24"/>
      <c r="W186" s="24"/>
      <c r="X186" s="24"/>
      <c r="Y186" s="24"/>
      <c r="Z186" s="98" t="str">
        <f t="shared" si="28"/>
        <v/>
      </c>
      <c r="AA186" s="40" t="str">
        <f t="shared" si="34"/>
        <v/>
      </c>
      <c r="AB186" s="88"/>
      <c r="AC186" s="24"/>
      <c r="AD186" s="24"/>
      <c r="AE186" s="79" t="str">
        <f t="shared" si="29"/>
        <v/>
      </c>
      <c r="AF186" s="24"/>
      <c r="AG186" s="24"/>
      <c r="AH186" s="24"/>
      <c r="AI186" s="24"/>
      <c r="AJ186" s="99" t="str">
        <f t="shared" si="30"/>
        <v/>
      </c>
      <c r="AK186" s="31" t="str">
        <f t="shared" si="35"/>
        <v/>
      </c>
      <c r="AN186" s="139" t="str">
        <f>IF($K186="","",VLOOKUP($K186,'ORF Accuracy Value LookUp'!$G$4:$H$104,2,TRUE))</f>
        <v/>
      </c>
      <c r="AO186" s="94" t="str">
        <f t="shared" si="31"/>
        <v/>
      </c>
      <c r="AP186" s="47" t="str">
        <f>IF($U186="","",VLOOKUP($U186,'ORF Accuracy Value LookUp'!$G$4:$H$104,2,TRUE))</f>
        <v/>
      </c>
      <c r="AQ186" s="94" t="str">
        <f t="shared" si="32"/>
        <v/>
      </c>
      <c r="AR186" s="46" t="str">
        <f>IF($AE186="","",VLOOKUP($AE186,'ORF Accuracy Value LookUp'!$G$4:$H$104,2,TRUE))</f>
        <v/>
      </c>
      <c r="AS186" s="140" t="str">
        <f t="shared" si="33"/>
        <v/>
      </c>
    </row>
    <row r="187" spans="1:45">
      <c r="A187" s="10"/>
      <c r="B187" s="9"/>
      <c r="C187" s="9"/>
      <c r="D187" s="9"/>
      <c r="E187" s="10"/>
      <c r="F187" s="11"/>
      <c r="G187" s="15"/>
      <c r="H187" s="88"/>
      <c r="I187" s="24"/>
      <c r="J187" s="24"/>
      <c r="K187" s="114" t="str">
        <f t="shared" si="24"/>
        <v/>
      </c>
      <c r="L187" s="24"/>
      <c r="M187" s="24"/>
      <c r="N187" s="24"/>
      <c r="O187" s="24"/>
      <c r="P187" s="97" t="str">
        <f t="shared" si="25"/>
        <v/>
      </c>
      <c r="Q187" s="113" t="str">
        <f t="shared" si="26"/>
        <v/>
      </c>
      <c r="R187" s="88"/>
      <c r="S187" s="24"/>
      <c r="T187" s="24"/>
      <c r="U187" s="78" t="str">
        <f t="shared" si="27"/>
        <v/>
      </c>
      <c r="V187" s="24"/>
      <c r="W187" s="24"/>
      <c r="X187" s="24"/>
      <c r="Y187" s="24"/>
      <c r="Z187" s="98" t="str">
        <f t="shared" si="28"/>
        <v/>
      </c>
      <c r="AA187" s="40" t="str">
        <f t="shared" si="34"/>
        <v/>
      </c>
      <c r="AB187" s="88"/>
      <c r="AC187" s="24"/>
      <c r="AD187" s="24"/>
      <c r="AE187" s="79" t="str">
        <f t="shared" si="29"/>
        <v/>
      </c>
      <c r="AF187" s="24"/>
      <c r="AG187" s="24"/>
      <c r="AH187" s="24"/>
      <c r="AI187" s="24"/>
      <c r="AJ187" s="99" t="str">
        <f t="shared" si="30"/>
        <v/>
      </c>
      <c r="AK187" s="31" t="str">
        <f t="shared" si="35"/>
        <v/>
      </c>
      <c r="AN187" s="139" t="str">
        <f>IF($K187="","",VLOOKUP($K187,'ORF Accuracy Value LookUp'!$G$4:$H$104,2,TRUE))</f>
        <v/>
      </c>
      <c r="AO187" s="94" t="str">
        <f t="shared" si="31"/>
        <v/>
      </c>
      <c r="AP187" s="47" t="str">
        <f>IF($U187="","",VLOOKUP($U187,'ORF Accuracy Value LookUp'!$G$4:$H$104,2,TRUE))</f>
        <v/>
      </c>
      <c r="AQ187" s="94" t="str">
        <f t="shared" si="32"/>
        <v/>
      </c>
      <c r="AR187" s="46" t="str">
        <f>IF($AE187="","",VLOOKUP($AE187,'ORF Accuracy Value LookUp'!$G$4:$H$104,2,TRUE))</f>
        <v/>
      </c>
      <c r="AS187" s="140" t="str">
        <f t="shared" si="33"/>
        <v/>
      </c>
    </row>
    <row r="188" spans="1:45">
      <c r="A188" s="10"/>
      <c r="B188" s="9"/>
      <c r="C188" s="9"/>
      <c r="D188" s="9"/>
      <c r="E188" s="10"/>
      <c r="F188" s="11"/>
      <c r="G188" s="15"/>
      <c r="H188" s="88"/>
      <c r="I188" s="24"/>
      <c r="J188" s="24"/>
      <c r="K188" s="114" t="str">
        <f t="shared" si="24"/>
        <v/>
      </c>
      <c r="L188" s="24"/>
      <c r="M188" s="24"/>
      <c r="N188" s="24"/>
      <c r="O188" s="24"/>
      <c r="P188" s="97" t="str">
        <f t="shared" si="25"/>
        <v/>
      </c>
      <c r="Q188" s="113" t="str">
        <f t="shared" si="26"/>
        <v/>
      </c>
      <c r="R188" s="88"/>
      <c r="S188" s="24"/>
      <c r="T188" s="24"/>
      <c r="U188" s="78" t="str">
        <f t="shared" si="27"/>
        <v/>
      </c>
      <c r="V188" s="24"/>
      <c r="W188" s="24"/>
      <c r="X188" s="24"/>
      <c r="Y188" s="24"/>
      <c r="Z188" s="98" t="str">
        <f t="shared" si="28"/>
        <v/>
      </c>
      <c r="AA188" s="40" t="str">
        <f t="shared" si="34"/>
        <v/>
      </c>
      <c r="AB188" s="88"/>
      <c r="AC188" s="24"/>
      <c r="AD188" s="24"/>
      <c r="AE188" s="79" t="str">
        <f t="shared" si="29"/>
        <v/>
      </c>
      <c r="AF188" s="24"/>
      <c r="AG188" s="24"/>
      <c r="AH188" s="24"/>
      <c r="AI188" s="24"/>
      <c r="AJ188" s="99" t="str">
        <f t="shared" si="30"/>
        <v/>
      </c>
      <c r="AK188" s="31" t="str">
        <f t="shared" si="35"/>
        <v/>
      </c>
      <c r="AN188" s="139" t="str">
        <f>IF($K188="","",VLOOKUP($K188,'ORF Accuracy Value LookUp'!$G$4:$H$104,2,TRUE))</f>
        <v/>
      </c>
      <c r="AO188" s="94" t="str">
        <f t="shared" si="31"/>
        <v/>
      </c>
      <c r="AP188" s="47" t="str">
        <f>IF($U188="","",VLOOKUP($U188,'ORF Accuracy Value LookUp'!$G$4:$H$104,2,TRUE))</f>
        <v/>
      </c>
      <c r="AQ188" s="94" t="str">
        <f t="shared" si="32"/>
        <v/>
      </c>
      <c r="AR188" s="46" t="str">
        <f>IF($AE188="","",VLOOKUP($AE188,'ORF Accuracy Value LookUp'!$G$4:$H$104,2,TRUE))</f>
        <v/>
      </c>
      <c r="AS188" s="140" t="str">
        <f t="shared" si="33"/>
        <v/>
      </c>
    </row>
    <row r="189" spans="1:45">
      <c r="A189" s="10"/>
      <c r="B189" s="9"/>
      <c r="C189" s="9"/>
      <c r="D189" s="9"/>
      <c r="E189" s="10"/>
      <c r="F189" s="11"/>
      <c r="G189" s="15"/>
      <c r="H189" s="88"/>
      <c r="I189" s="24"/>
      <c r="J189" s="24"/>
      <c r="K189" s="114" t="str">
        <f t="shared" si="24"/>
        <v/>
      </c>
      <c r="L189" s="24"/>
      <c r="M189" s="24"/>
      <c r="N189" s="24"/>
      <c r="O189" s="24"/>
      <c r="P189" s="97" t="str">
        <f t="shared" si="25"/>
        <v/>
      </c>
      <c r="Q189" s="113" t="str">
        <f t="shared" si="26"/>
        <v/>
      </c>
      <c r="R189" s="88"/>
      <c r="S189" s="24"/>
      <c r="T189" s="24"/>
      <c r="U189" s="78" t="str">
        <f t="shared" si="27"/>
        <v/>
      </c>
      <c r="V189" s="24"/>
      <c r="W189" s="24"/>
      <c r="X189" s="24"/>
      <c r="Y189" s="24"/>
      <c r="Z189" s="98" t="str">
        <f t="shared" si="28"/>
        <v/>
      </c>
      <c r="AA189" s="40" t="str">
        <f t="shared" si="34"/>
        <v/>
      </c>
      <c r="AB189" s="88"/>
      <c r="AC189" s="24"/>
      <c r="AD189" s="24"/>
      <c r="AE189" s="79" t="str">
        <f t="shared" si="29"/>
        <v/>
      </c>
      <c r="AF189" s="24"/>
      <c r="AG189" s="24"/>
      <c r="AH189" s="24"/>
      <c r="AI189" s="24"/>
      <c r="AJ189" s="99" t="str">
        <f t="shared" si="30"/>
        <v/>
      </c>
      <c r="AK189" s="31" t="str">
        <f t="shared" si="35"/>
        <v/>
      </c>
      <c r="AN189" s="139" t="str">
        <f>IF($K189="","",VLOOKUP($K189,'ORF Accuracy Value LookUp'!$G$4:$H$104,2,TRUE))</f>
        <v/>
      </c>
      <c r="AO189" s="94" t="str">
        <f t="shared" si="31"/>
        <v/>
      </c>
      <c r="AP189" s="47" t="str">
        <f>IF($U189="","",VLOOKUP($U189,'ORF Accuracy Value LookUp'!$G$4:$H$104,2,TRUE))</f>
        <v/>
      </c>
      <c r="AQ189" s="94" t="str">
        <f t="shared" si="32"/>
        <v/>
      </c>
      <c r="AR189" s="46" t="str">
        <f>IF($AE189="","",VLOOKUP($AE189,'ORF Accuracy Value LookUp'!$G$4:$H$104,2,TRUE))</f>
        <v/>
      </c>
      <c r="AS189" s="140" t="str">
        <f t="shared" si="33"/>
        <v/>
      </c>
    </row>
    <row r="190" spans="1:45">
      <c r="A190" s="10"/>
      <c r="B190" s="9"/>
      <c r="C190" s="9"/>
      <c r="D190" s="9"/>
      <c r="E190" s="10"/>
      <c r="F190" s="11"/>
      <c r="G190" s="15"/>
      <c r="H190" s="88"/>
      <c r="I190" s="24"/>
      <c r="J190" s="24"/>
      <c r="K190" s="114" t="str">
        <f t="shared" si="24"/>
        <v/>
      </c>
      <c r="L190" s="24"/>
      <c r="M190" s="24"/>
      <c r="N190" s="24"/>
      <c r="O190" s="24"/>
      <c r="P190" s="97" t="str">
        <f t="shared" si="25"/>
        <v/>
      </c>
      <c r="Q190" s="113" t="str">
        <f t="shared" si="26"/>
        <v/>
      </c>
      <c r="R190" s="88"/>
      <c r="S190" s="24"/>
      <c r="T190" s="24"/>
      <c r="U190" s="78" t="str">
        <f t="shared" si="27"/>
        <v/>
      </c>
      <c r="V190" s="24"/>
      <c r="W190" s="24"/>
      <c r="X190" s="24"/>
      <c r="Y190" s="24"/>
      <c r="Z190" s="98" t="str">
        <f t="shared" si="28"/>
        <v/>
      </c>
      <c r="AA190" s="40" t="str">
        <f t="shared" si="34"/>
        <v/>
      </c>
      <c r="AB190" s="88"/>
      <c r="AC190" s="24"/>
      <c r="AD190" s="24"/>
      <c r="AE190" s="79" t="str">
        <f t="shared" si="29"/>
        <v/>
      </c>
      <c r="AF190" s="24"/>
      <c r="AG190" s="24"/>
      <c r="AH190" s="24"/>
      <c r="AI190" s="24"/>
      <c r="AJ190" s="99" t="str">
        <f t="shared" si="30"/>
        <v/>
      </c>
      <c r="AK190" s="31" t="str">
        <f t="shared" si="35"/>
        <v/>
      </c>
      <c r="AN190" s="139" t="str">
        <f>IF($K190="","",VLOOKUP($K190,'ORF Accuracy Value LookUp'!$G$4:$H$104,2,TRUE))</f>
        <v/>
      </c>
      <c r="AO190" s="94" t="str">
        <f t="shared" si="31"/>
        <v/>
      </c>
      <c r="AP190" s="47" t="str">
        <f>IF($U190="","",VLOOKUP($U190,'ORF Accuracy Value LookUp'!$G$4:$H$104,2,TRUE))</f>
        <v/>
      </c>
      <c r="AQ190" s="94" t="str">
        <f t="shared" si="32"/>
        <v/>
      </c>
      <c r="AR190" s="46" t="str">
        <f>IF($AE190="","",VLOOKUP($AE190,'ORF Accuracy Value LookUp'!$G$4:$H$104,2,TRUE))</f>
        <v/>
      </c>
      <c r="AS190" s="140" t="str">
        <f t="shared" si="33"/>
        <v/>
      </c>
    </row>
    <row r="191" spans="1:45">
      <c r="A191" s="10"/>
      <c r="B191" s="9"/>
      <c r="C191" s="9"/>
      <c r="D191" s="9"/>
      <c r="E191" s="10"/>
      <c r="F191" s="11"/>
      <c r="G191" s="15"/>
      <c r="H191" s="88"/>
      <c r="I191" s="24"/>
      <c r="J191" s="24"/>
      <c r="K191" s="114" t="str">
        <f t="shared" si="24"/>
        <v/>
      </c>
      <c r="L191" s="24"/>
      <c r="M191" s="24"/>
      <c r="N191" s="24"/>
      <c r="O191" s="24"/>
      <c r="P191" s="97" t="str">
        <f t="shared" si="25"/>
        <v/>
      </c>
      <c r="Q191" s="113" t="str">
        <f t="shared" si="26"/>
        <v/>
      </c>
      <c r="R191" s="88"/>
      <c r="S191" s="24"/>
      <c r="T191" s="24"/>
      <c r="U191" s="78" t="str">
        <f t="shared" si="27"/>
        <v/>
      </c>
      <c r="V191" s="24"/>
      <c r="W191" s="24"/>
      <c r="X191" s="24"/>
      <c r="Y191" s="24"/>
      <c r="Z191" s="98" t="str">
        <f t="shared" si="28"/>
        <v/>
      </c>
      <c r="AA191" s="40" t="str">
        <f t="shared" si="34"/>
        <v/>
      </c>
      <c r="AB191" s="88"/>
      <c r="AC191" s="24"/>
      <c r="AD191" s="24"/>
      <c r="AE191" s="79" t="str">
        <f t="shared" si="29"/>
        <v/>
      </c>
      <c r="AF191" s="24"/>
      <c r="AG191" s="24"/>
      <c r="AH191" s="24"/>
      <c r="AI191" s="24"/>
      <c r="AJ191" s="99" t="str">
        <f t="shared" si="30"/>
        <v/>
      </c>
      <c r="AK191" s="31" t="str">
        <f t="shared" si="35"/>
        <v/>
      </c>
      <c r="AN191" s="139" t="str">
        <f>IF($K191="","",VLOOKUP($K191,'ORF Accuracy Value LookUp'!$G$4:$H$104,2,TRUE))</f>
        <v/>
      </c>
      <c r="AO191" s="94" t="str">
        <f t="shared" si="31"/>
        <v/>
      </c>
      <c r="AP191" s="47" t="str">
        <f>IF($U191="","",VLOOKUP($U191,'ORF Accuracy Value LookUp'!$G$4:$H$104,2,TRUE))</f>
        <v/>
      </c>
      <c r="AQ191" s="94" t="str">
        <f t="shared" si="32"/>
        <v/>
      </c>
      <c r="AR191" s="46" t="str">
        <f>IF($AE191="","",VLOOKUP($AE191,'ORF Accuracy Value LookUp'!$G$4:$H$104,2,TRUE))</f>
        <v/>
      </c>
      <c r="AS191" s="140" t="str">
        <f t="shared" si="33"/>
        <v/>
      </c>
    </row>
    <row r="192" spans="1:45">
      <c r="A192" s="10"/>
      <c r="B192" s="9"/>
      <c r="C192" s="9"/>
      <c r="D192" s="9"/>
      <c r="E192" s="10"/>
      <c r="F192" s="11"/>
      <c r="G192" s="15"/>
      <c r="H192" s="88"/>
      <c r="I192" s="24"/>
      <c r="J192" s="24"/>
      <c r="K192" s="114" t="str">
        <f t="shared" si="24"/>
        <v/>
      </c>
      <c r="L192" s="24"/>
      <c r="M192" s="24"/>
      <c r="N192" s="24"/>
      <c r="O192" s="24"/>
      <c r="P192" s="97" t="str">
        <f t="shared" si="25"/>
        <v/>
      </c>
      <c r="Q192" s="113" t="str">
        <f t="shared" si="26"/>
        <v/>
      </c>
      <c r="R192" s="88"/>
      <c r="S192" s="24"/>
      <c r="T192" s="24"/>
      <c r="U192" s="78" t="str">
        <f t="shared" si="27"/>
        <v/>
      </c>
      <c r="V192" s="24"/>
      <c r="W192" s="24"/>
      <c r="X192" s="24"/>
      <c r="Y192" s="24"/>
      <c r="Z192" s="98" t="str">
        <f t="shared" si="28"/>
        <v/>
      </c>
      <c r="AA192" s="40" t="str">
        <f t="shared" si="34"/>
        <v/>
      </c>
      <c r="AB192" s="88"/>
      <c r="AC192" s="24"/>
      <c r="AD192" s="24"/>
      <c r="AE192" s="79" t="str">
        <f t="shared" si="29"/>
        <v/>
      </c>
      <c r="AF192" s="24"/>
      <c r="AG192" s="24"/>
      <c r="AH192" s="24"/>
      <c r="AI192" s="24"/>
      <c r="AJ192" s="99" t="str">
        <f t="shared" si="30"/>
        <v/>
      </c>
      <c r="AK192" s="31" t="str">
        <f t="shared" si="35"/>
        <v/>
      </c>
      <c r="AN192" s="139" t="str">
        <f>IF($K192="","",VLOOKUP($K192,'ORF Accuracy Value LookUp'!$G$4:$H$104,2,TRUE))</f>
        <v/>
      </c>
      <c r="AO192" s="94" t="str">
        <f t="shared" si="31"/>
        <v/>
      </c>
      <c r="AP192" s="47" t="str">
        <f>IF($U192="","",VLOOKUP($U192,'ORF Accuracy Value LookUp'!$G$4:$H$104,2,TRUE))</f>
        <v/>
      </c>
      <c r="AQ192" s="94" t="str">
        <f t="shared" si="32"/>
        <v/>
      </c>
      <c r="AR192" s="46" t="str">
        <f>IF($AE192="","",VLOOKUP($AE192,'ORF Accuracy Value LookUp'!$G$4:$H$104,2,TRUE))</f>
        <v/>
      </c>
      <c r="AS192" s="140" t="str">
        <f t="shared" si="33"/>
        <v/>
      </c>
    </row>
    <row r="193" spans="1:45">
      <c r="A193" s="10"/>
      <c r="B193" s="9"/>
      <c r="C193" s="9"/>
      <c r="D193" s="9"/>
      <c r="E193" s="10"/>
      <c r="F193" s="11"/>
      <c r="G193" s="15"/>
      <c r="H193" s="88"/>
      <c r="I193" s="24"/>
      <c r="J193" s="24"/>
      <c r="K193" s="114" t="str">
        <f t="shared" si="24"/>
        <v/>
      </c>
      <c r="L193" s="24"/>
      <c r="M193" s="24"/>
      <c r="N193" s="24"/>
      <c r="O193" s="24"/>
      <c r="P193" s="97" t="str">
        <f t="shared" si="25"/>
        <v/>
      </c>
      <c r="Q193" s="113" t="str">
        <f t="shared" si="26"/>
        <v/>
      </c>
      <c r="R193" s="88"/>
      <c r="S193" s="24"/>
      <c r="T193" s="24"/>
      <c r="U193" s="78" t="str">
        <f t="shared" si="27"/>
        <v/>
      </c>
      <c r="V193" s="24"/>
      <c r="W193" s="24"/>
      <c r="X193" s="24"/>
      <c r="Y193" s="24"/>
      <c r="Z193" s="98" t="str">
        <f t="shared" si="28"/>
        <v/>
      </c>
      <c r="AA193" s="40" t="str">
        <f t="shared" si="34"/>
        <v/>
      </c>
      <c r="AB193" s="88"/>
      <c r="AC193" s="24"/>
      <c r="AD193" s="24"/>
      <c r="AE193" s="79" t="str">
        <f t="shared" si="29"/>
        <v/>
      </c>
      <c r="AF193" s="24"/>
      <c r="AG193" s="24"/>
      <c r="AH193" s="24"/>
      <c r="AI193" s="24"/>
      <c r="AJ193" s="99" t="str">
        <f t="shared" si="30"/>
        <v/>
      </c>
      <c r="AK193" s="31" t="str">
        <f t="shared" si="35"/>
        <v/>
      </c>
      <c r="AN193" s="139" t="str">
        <f>IF($K193="","",VLOOKUP($K193,'ORF Accuracy Value LookUp'!$G$4:$H$104,2,TRUE))</f>
        <v/>
      </c>
      <c r="AO193" s="94" t="str">
        <f t="shared" si="31"/>
        <v/>
      </c>
      <c r="AP193" s="47" t="str">
        <f>IF($U193="","",VLOOKUP($U193,'ORF Accuracy Value LookUp'!$G$4:$H$104,2,TRUE))</f>
        <v/>
      </c>
      <c r="AQ193" s="94" t="str">
        <f t="shared" si="32"/>
        <v/>
      </c>
      <c r="AR193" s="46" t="str">
        <f>IF($AE193="","",VLOOKUP($AE193,'ORF Accuracy Value LookUp'!$G$4:$H$104,2,TRUE))</f>
        <v/>
      </c>
      <c r="AS193" s="140" t="str">
        <f t="shared" si="33"/>
        <v/>
      </c>
    </row>
    <row r="194" spans="1:45">
      <c r="A194" s="10"/>
      <c r="B194" s="9"/>
      <c r="C194" s="9"/>
      <c r="D194" s="9"/>
      <c r="E194" s="10"/>
      <c r="F194" s="11"/>
      <c r="G194" s="15"/>
      <c r="H194" s="88"/>
      <c r="I194" s="24"/>
      <c r="J194" s="24"/>
      <c r="K194" s="114" t="str">
        <f t="shared" si="24"/>
        <v/>
      </c>
      <c r="L194" s="24"/>
      <c r="M194" s="24"/>
      <c r="N194" s="24"/>
      <c r="O194" s="24"/>
      <c r="P194" s="97" t="str">
        <f t="shared" si="25"/>
        <v/>
      </c>
      <c r="Q194" s="113" t="str">
        <f t="shared" si="26"/>
        <v/>
      </c>
      <c r="R194" s="88"/>
      <c r="S194" s="24"/>
      <c r="T194" s="24"/>
      <c r="U194" s="78" t="str">
        <f t="shared" si="27"/>
        <v/>
      </c>
      <c r="V194" s="24"/>
      <c r="W194" s="24"/>
      <c r="X194" s="24"/>
      <c r="Y194" s="24"/>
      <c r="Z194" s="98" t="str">
        <f t="shared" si="28"/>
        <v/>
      </c>
      <c r="AA194" s="40" t="str">
        <f t="shared" si="34"/>
        <v/>
      </c>
      <c r="AB194" s="88"/>
      <c r="AC194" s="24"/>
      <c r="AD194" s="24"/>
      <c r="AE194" s="79" t="str">
        <f t="shared" si="29"/>
        <v/>
      </c>
      <c r="AF194" s="24"/>
      <c r="AG194" s="24"/>
      <c r="AH194" s="24"/>
      <c r="AI194" s="24"/>
      <c r="AJ194" s="99" t="str">
        <f t="shared" si="30"/>
        <v/>
      </c>
      <c r="AK194" s="31" t="str">
        <f t="shared" si="35"/>
        <v/>
      </c>
      <c r="AN194" s="139" t="str">
        <f>IF($K194="","",VLOOKUP($K194,'ORF Accuracy Value LookUp'!$G$4:$H$104,2,TRUE))</f>
        <v/>
      </c>
      <c r="AO194" s="94" t="str">
        <f t="shared" si="31"/>
        <v/>
      </c>
      <c r="AP194" s="47" t="str">
        <f>IF($U194="","",VLOOKUP($U194,'ORF Accuracy Value LookUp'!$G$4:$H$104,2,TRUE))</f>
        <v/>
      </c>
      <c r="AQ194" s="94" t="str">
        <f t="shared" si="32"/>
        <v/>
      </c>
      <c r="AR194" s="46" t="str">
        <f>IF($AE194="","",VLOOKUP($AE194,'ORF Accuracy Value LookUp'!$G$4:$H$104,2,TRUE))</f>
        <v/>
      </c>
      <c r="AS194" s="140" t="str">
        <f t="shared" si="33"/>
        <v/>
      </c>
    </row>
    <row r="195" spans="1:45">
      <c r="A195" s="10"/>
      <c r="B195" s="9"/>
      <c r="C195" s="9"/>
      <c r="D195" s="9"/>
      <c r="E195" s="10"/>
      <c r="F195" s="11"/>
      <c r="G195" s="15"/>
      <c r="H195" s="88"/>
      <c r="I195" s="24"/>
      <c r="J195" s="24"/>
      <c r="K195" s="114" t="str">
        <f t="shared" si="24"/>
        <v/>
      </c>
      <c r="L195" s="24"/>
      <c r="M195" s="24"/>
      <c r="N195" s="24"/>
      <c r="O195" s="24"/>
      <c r="P195" s="97" t="str">
        <f t="shared" si="25"/>
        <v/>
      </c>
      <c r="Q195" s="113" t="str">
        <f t="shared" si="26"/>
        <v/>
      </c>
      <c r="R195" s="88"/>
      <c r="S195" s="24"/>
      <c r="T195" s="24"/>
      <c r="U195" s="78" t="str">
        <f t="shared" si="27"/>
        <v/>
      </c>
      <c r="V195" s="24"/>
      <c r="W195" s="24"/>
      <c r="X195" s="24"/>
      <c r="Y195" s="24"/>
      <c r="Z195" s="98" t="str">
        <f t="shared" si="28"/>
        <v/>
      </c>
      <c r="AA195" s="40" t="str">
        <f t="shared" si="34"/>
        <v/>
      </c>
      <c r="AB195" s="88"/>
      <c r="AC195" s="24"/>
      <c r="AD195" s="24"/>
      <c r="AE195" s="79" t="str">
        <f t="shared" si="29"/>
        <v/>
      </c>
      <c r="AF195" s="24"/>
      <c r="AG195" s="24"/>
      <c r="AH195" s="24"/>
      <c r="AI195" s="24"/>
      <c r="AJ195" s="99" t="str">
        <f t="shared" si="30"/>
        <v/>
      </c>
      <c r="AK195" s="31" t="str">
        <f t="shared" si="35"/>
        <v/>
      </c>
      <c r="AN195" s="139" t="str">
        <f>IF($K195="","",VLOOKUP($K195,'ORF Accuracy Value LookUp'!$G$4:$H$104,2,TRUE))</f>
        <v/>
      </c>
      <c r="AO195" s="94" t="str">
        <f t="shared" si="31"/>
        <v/>
      </c>
      <c r="AP195" s="47" t="str">
        <f>IF($U195="","",VLOOKUP($U195,'ORF Accuracy Value LookUp'!$G$4:$H$104,2,TRUE))</f>
        <v/>
      </c>
      <c r="AQ195" s="94" t="str">
        <f t="shared" si="32"/>
        <v/>
      </c>
      <c r="AR195" s="46" t="str">
        <f>IF($AE195="","",VLOOKUP($AE195,'ORF Accuracy Value LookUp'!$G$4:$H$104,2,TRUE))</f>
        <v/>
      </c>
      <c r="AS195" s="140" t="str">
        <f t="shared" si="33"/>
        <v/>
      </c>
    </row>
    <row r="196" spans="1:45">
      <c r="A196" s="10"/>
      <c r="B196" s="9"/>
      <c r="C196" s="9"/>
      <c r="D196" s="9"/>
      <c r="E196" s="10"/>
      <c r="F196" s="11"/>
      <c r="G196" s="15"/>
      <c r="H196" s="88"/>
      <c r="I196" s="24"/>
      <c r="J196" s="24"/>
      <c r="K196" s="114" t="str">
        <f t="shared" si="24"/>
        <v/>
      </c>
      <c r="L196" s="24"/>
      <c r="M196" s="24"/>
      <c r="N196" s="24"/>
      <c r="O196" s="24"/>
      <c r="P196" s="97" t="str">
        <f t="shared" si="25"/>
        <v/>
      </c>
      <c r="Q196" s="113" t="str">
        <f t="shared" si="26"/>
        <v/>
      </c>
      <c r="R196" s="88"/>
      <c r="S196" s="24"/>
      <c r="T196" s="24"/>
      <c r="U196" s="78" t="str">
        <f t="shared" si="27"/>
        <v/>
      </c>
      <c r="V196" s="24"/>
      <c r="W196" s="24"/>
      <c r="X196" s="24"/>
      <c r="Y196" s="24"/>
      <c r="Z196" s="98" t="str">
        <f t="shared" si="28"/>
        <v/>
      </c>
      <c r="AA196" s="40" t="str">
        <f t="shared" si="34"/>
        <v/>
      </c>
      <c r="AB196" s="88"/>
      <c r="AC196" s="24"/>
      <c r="AD196" s="24"/>
      <c r="AE196" s="79" t="str">
        <f t="shared" si="29"/>
        <v/>
      </c>
      <c r="AF196" s="24"/>
      <c r="AG196" s="24"/>
      <c r="AH196" s="24"/>
      <c r="AI196" s="24"/>
      <c r="AJ196" s="99" t="str">
        <f t="shared" si="30"/>
        <v/>
      </c>
      <c r="AK196" s="31" t="str">
        <f t="shared" si="35"/>
        <v/>
      </c>
      <c r="AN196" s="139" t="str">
        <f>IF($K196="","",VLOOKUP($K196,'ORF Accuracy Value LookUp'!$G$4:$H$104,2,TRUE))</f>
        <v/>
      </c>
      <c r="AO196" s="94" t="str">
        <f t="shared" si="31"/>
        <v/>
      </c>
      <c r="AP196" s="47" t="str">
        <f>IF($U196="","",VLOOKUP($U196,'ORF Accuracy Value LookUp'!$G$4:$H$104,2,TRUE))</f>
        <v/>
      </c>
      <c r="AQ196" s="94" t="str">
        <f t="shared" si="32"/>
        <v/>
      </c>
      <c r="AR196" s="46" t="str">
        <f>IF($AE196="","",VLOOKUP($AE196,'ORF Accuracy Value LookUp'!$G$4:$H$104,2,TRUE))</f>
        <v/>
      </c>
      <c r="AS196" s="140" t="str">
        <f t="shared" si="33"/>
        <v/>
      </c>
    </row>
    <row r="197" spans="1:45">
      <c r="A197" s="10"/>
      <c r="B197" s="9"/>
      <c r="C197" s="9"/>
      <c r="D197" s="9"/>
      <c r="E197" s="10"/>
      <c r="F197" s="11"/>
      <c r="G197" s="15"/>
      <c r="H197" s="88"/>
      <c r="I197" s="24"/>
      <c r="J197" s="24"/>
      <c r="K197" s="114" t="str">
        <f t="shared" si="24"/>
        <v/>
      </c>
      <c r="L197" s="24"/>
      <c r="M197" s="24"/>
      <c r="N197" s="24"/>
      <c r="O197" s="24"/>
      <c r="P197" s="97" t="str">
        <f t="shared" si="25"/>
        <v/>
      </c>
      <c r="Q197" s="113" t="str">
        <f t="shared" si="26"/>
        <v/>
      </c>
      <c r="R197" s="88"/>
      <c r="S197" s="24"/>
      <c r="T197" s="24"/>
      <c r="U197" s="78" t="str">
        <f t="shared" si="27"/>
        <v/>
      </c>
      <c r="V197" s="24"/>
      <c r="W197" s="24"/>
      <c r="X197" s="24"/>
      <c r="Y197" s="24"/>
      <c r="Z197" s="98" t="str">
        <f t="shared" si="28"/>
        <v/>
      </c>
      <c r="AA197" s="40" t="str">
        <f t="shared" si="34"/>
        <v/>
      </c>
      <c r="AB197" s="88"/>
      <c r="AC197" s="24"/>
      <c r="AD197" s="24"/>
      <c r="AE197" s="79" t="str">
        <f t="shared" si="29"/>
        <v/>
      </c>
      <c r="AF197" s="24"/>
      <c r="AG197" s="24"/>
      <c r="AH197" s="24"/>
      <c r="AI197" s="24"/>
      <c r="AJ197" s="99" t="str">
        <f t="shared" si="30"/>
        <v/>
      </c>
      <c r="AK197" s="31" t="str">
        <f t="shared" si="35"/>
        <v/>
      </c>
      <c r="AN197" s="139" t="str">
        <f>IF($K197="","",VLOOKUP($K197,'ORF Accuracy Value LookUp'!$G$4:$H$104,2,TRUE))</f>
        <v/>
      </c>
      <c r="AO197" s="94" t="str">
        <f t="shared" si="31"/>
        <v/>
      </c>
      <c r="AP197" s="47" t="str">
        <f>IF($U197="","",VLOOKUP($U197,'ORF Accuracy Value LookUp'!$G$4:$H$104,2,TRUE))</f>
        <v/>
      </c>
      <c r="AQ197" s="94" t="str">
        <f t="shared" si="32"/>
        <v/>
      </c>
      <c r="AR197" s="46" t="str">
        <f>IF($AE197="","",VLOOKUP($AE197,'ORF Accuracy Value LookUp'!$G$4:$H$104,2,TRUE))</f>
        <v/>
      </c>
      <c r="AS197" s="140" t="str">
        <f t="shared" si="33"/>
        <v/>
      </c>
    </row>
    <row r="198" spans="1:45">
      <c r="A198" s="10"/>
      <c r="B198" s="9"/>
      <c r="C198" s="9"/>
      <c r="D198" s="9"/>
      <c r="E198" s="10"/>
      <c r="F198" s="11"/>
      <c r="G198" s="15"/>
      <c r="H198" s="88"/>
      <c r="I198" s="24"/>
      <c r="J198" s="24"/>
      <c r="K198" s="114" t="str">
        <f t="shared" si="24"/>
        <v/>
      </c>
      <c r="L198" s="24"/>
      <c r="M198" s="24"/>
      <c r="N198" s="24"/>
      <c r="O198" s="24"/>
      <c r="P198" s="97" t="str">
        <f t="shared" si="25"/>
        <v/>
      </c>
      <c r="Q198" s="113" t="str">
        <f t="shared" si="26"/>
        <v/>
      </c>
      <c r="R198" s="88"/>
      <c r="S198" s="24"/>
      <c r="T198" s="24"/>
      <c r="U198" s="78" t="str">
        <f t="shared" si="27"/>
        <v/>
      </c>
      <c r="V198" s="24"/>
      <c r="W198" s="24"/>
      <c r="X198" s="24"/>
      <c r="Y198" s="24"/>
      <c r="Z198" s="98" t="str">
        <f t="shared" si="28"/>
        <v/>
      </c>
      <c r="AA198" s="40" t="str">
        <f t="shared" si="34"/>
        <v/>
      </c>
      <c r="AB198" s="88"/>
      <c r="AC198" s="24"/>
      <c r="AD198" s="24"/>
      <c r="AE198" s="79" t="str">
        <f t="shared" si="29"/>
        <v/>
      </c>
      <c r="AF198" s="24"/>
      <c r="AG198" s="24"/>
      <c r="AH198" s="24"/>
      <c r="AI198" s="24"/>
      <c r="AJ198" s="99" t="str">
        <f t="shared" si="30"/>
        <v/>
      </c>
      <c r="AK198" s="31" t="str">
        <f t="shared" si="35"/>
        <v/>
      </c>
      <c r="AN198" s="139" t="str">
        <f>IF($K198="","",VLOOKUP($K198,'ORF Accuracy Value LookUp'!$G$4:$H$104,2,TRUE))</f>
        <v/>
      </c>
      <c r="AO198" s="94" t="str">
        <f t="shared" si="31"/>
        <v/>
      </c>
      <c r="AP198" s="47" t="str">
        <f>IF($U198="","",VLOOKUP($U198,'ORF Accuracy Value LookUp'!$G$4:$H$104,2,TRUE))</f>
        <v/>
      </c>
      <c r="AQ198" s="94" t="str">
        <f t="shared" si="32"/>
        <v/>
      </c>
      <c r="AR198" s="46" t="str">
        <f>IF($AE198="","",VLOOKUP($AE198,'ORF Accuracy Value LookUp'!$G$4:$H$104,2,TRUE))</f>
        <v/>
      </c>
      <c r="AS198" s="140" t="str">
        <f t="shared" si="33"/>
        <v/>
      </c>
    </row>
    <row r="199" spans="1:45">
      <c r="A199" s="10"/>
      <c r="B199" s="9"/>
      <c r="C199" s="9"/>
      <c r="D199" s="9"/>
      <c r="E199" s="10"/>
      <c r="F199" s="11"/>
      <c r="G199" s="15"/>
      <c r="H199" s="88"/>
      <c r="I199" s="24"/>
      <c r="J199" s="24"/>
      <c r="K199" s="114" t="str">
        <f t="shared" si="24"/>
        <v/>
      </c>
      <c r="L199" s="24"/>
      <c r="M199" s="24"/>
      <c r="N199" s="24"/>
      <c r="O199" s="24"/>
      <c r="P199" s="97" t="str">
        <f t="shared" si="25"/>
        <v/>
      </c>
      <c r="Q199" s="113" t="str">
        <f t="shared" si="26"/>
        <v/>
      </c>
      <c r="R199" s="88"/>
      <c r="S199" s="24"/>
      <c r="T199" s="24"/>
      <c r="U199" s="78" t="str">
        <f t="shared" si="27"/>
        <v/>
      </c>
      <c r="V199" s="24"/>
      <c r="W199" s="24"/>
      <c r="X199" s="24"/>
      <c r="Y199" s="24"/>
      <c r="Z199" s="98" t="str">
        <f t="shared" si="28"/>
        <v/>
      </c>
      <c r="AA199" s="40" t="str">
        <f t="shared" si="34"/>
        <v/>
      </c>
      <c r="AB199" s="88"/>
      <c r="AC199" s="24"/>
      <c r="AD199" s="24"/>
      <c r="AE199" s="79" t="str">
        <f t="shared" si="29"/>
        <v/>
      </c>
      <c r="AF199" s="24"/>
      <c r="AG199" s="24"/>
      <c r="AH199" s="24"/>
      <c r="AI199" s="24"/>
      <c r="AJ199" s="99" t="str">
        <f t="shared" si="30"/>
        <v/>
      </c>
      <c r="AK199" s="31" t="str">
        <f t="shared" si="35"/>
        <v/>
      </c>
      <c r="AN199" s="139" t="str">
        <f>IF($K199="","",VLOOKUP($K199,'ORF Accuracy Value LookUp'!$G$4:$H$104,2,TRUE))</f>
        <v/>
      </c>
      <c r="AO199" s="94" t="str">
        <f t="shared" si="31"/>
        <v/>
      </c>
      <c r="AP199" s="47" t="str">
        <f>IF($U199="","",VLOOKUP($U199,'ORF Accuracy Value LookUp'!$G$4:$H$104,2,TRUE))</f>
        <v/>
      </c>
      <c r="AQ199" s="94" t="str">
        <f t="shared" si="32"/>
        <v/>
      </c>
      <c r="AR199" s="46" t="str">
        <f>IF($AE199="","",VLOOKUP($AE199,'ORF Accuracy Value LookUp'!$G$4:$H$104,2,TRUE))</f>
        <v/>
      </c>
      <c r="AS199" s="140" t="str">
        <f t="shared" si="33"/>
        <v/>
      </c>
    </row>
    <row r="200" spans="1:45">
      <c r="A200" s="10"/>
      <c r="B200" s="9"/>
      <c r="C200" s="9"/>
      <c r="D200" s="9"/>
      <c r="E200" s="10"/>
      <c r="F200" s="11"/>
      <c r="G200" s="15"/>
      <c r="H200" s="88"/>
      <c r="I200" s="24"/>
      <c r="J200" s="24"/>
      <c r="K200" s="114" t="str">
        <f t="shared" ref="K200:K263" si="36">IF($I200="","",SUM($I200/($I200+$J200)))</f>
        <v/>
      </c>
      <c r="L200" s="24"/>
      <c r="M200" s="24"/>
      <c r="N200" s="24"/>
      <c r="O200" s="24"/>
      <c r="P200" s="97" t="str">
        <f t="shared" ref="P200:P263" si="37">IF($AO200&gt;0,$AO200,0)</f>
        <v/>
      </c>
      <c r="Q200" s="113" t="str">
        <f t="shared" ref="Q200:Q263" si="38">IF($B200="","",SUM($I200+$AN200+($L200*2)+($P200*2)))</f>
        <v/>
      </c>
      <c r="R200" s="88"/>
      <c r="S200" s="24"/>
      <c r="T200" s="24"/>
      <c r="U200" s="78" t="str">
        <f t="shared" ref="U200:U263" si="39">IF($S200="","",SUM($S200/($S200+$T200)))</f>
        <v/>
      </c>
      <c r="V200" s="24"/>
      <c r="W200" s="24"/>
      <c r="X200" s="24"/>
      <c r="Y200" s="24"/>
      <c r="Z200" s="98" t="str">
        <f t="shared" ref="Z200:Z263" si="40">IF($AQ200&gt;0,$AQ200,0)</f>
        <v/>
      </c>
      <c r="AA200" s="40" t="str">
        <f t="shared" si="34"/>
        <v/>
      </c>
      <c r="AB200" s="88"/>
      <c r="AC200" s="24"/>
      <c r="AD200" s="24"/>
      <c r="AE200" s="79" t="str">
        <f t="shared" ref="AE200:AE263" si="41">IF($AC200="","",SUM($AC200/($AC200+$AD200)))</f>
        <v/>
      </c>
      <c r="AF200" s="24"/>
      <c r="AG200" s="24"/>
      <c r="AH200" s="24"/>
      <c r="AI200" s="24"/>
      <c r="AJ200" s="99" t="str">
        <f t="shared" ref="AJ200:AJ263" si="42">IF($AS200&gt;0,$AS200,0)</f>
        <v/>
      </c>
      <c r="AK200" s="31" t="str">
        <f t="shared" si="35"/>
        <v/>
      </c>
      <c r="AN200" s="139" t="str">
        <f>IF($K200="","",VLOOKUP($K200,'ORF Accuracy Value LookUp'!$G$4:$H$104,2,TRUE))</f>
        <v/>
      </c>
      <c r="AO200" s="94" t="str">
        <f t="shared" ref="AO200:AO263" si="43">IF($N200="","",($N200-($O200/2)))</f>
        <v/>
      </c>
      <c r="AP200" s="47" t="str">
        <f>IF($U200="","",VLOOKUP($U200,'ORF Accuracy Value LookUp'!$G$4:$H$104,2,TRUE))</f>
        <v/>
      </c>
      <c r="AQ200" s="94" t="str">
        <f t="shared" ref="AQ200:AQ263" si="44">IF($X200="","",$X200-($Y200/2))</f>
        <v/>
      </c>
      <c r="AR200" s="46" t="str">
        <f>IF($AE200="","",VLOOKUP($AE200,'ORF Accuracy Value LookUp'!$G$4:$H$104,2,TRUE))</f>
        <v/>
      </c>
      <c r="AS200" s="140" t="str">
        <f t="shared" ref="AS200:AS263" si="45">IF($AH200="","",$AH200-($AI200/2))</f>
        <v/>
      </c>
    </row>
    <row r="201" spans="1:45">
      <c r="A201" s="10"/>
      <c r="B201" s="9"/>
      <c r="C201" s="9"/>
      <c r="D201" s="9"/>
      <c r="E201" s="10"/>
      <c r="F201" s="11"/>
      <c r="G201" s="15"/>
      <c r="H201" s="88"/>
      <c r="I201" s="24"/>
      <c r="J201" s="24"/>
      <c r="K201" s="114" t="str">
        <f t="shared" si="36"/>
        <v/>
      </c>
      <c r="L201" s="24"/>
      <c r="M201" s="24"/>
      <c r="N201" s="24"/>
      <c r="O201" s="24"/>
      <c r="P201" s="97" t="str">
        <f t="shared" si="37"/>
        <v/>
      </c>
      <c r="Q201" s="113" t="str">
        <f t="shared" si="38"/>
        <v/>
      </c>
      <c r="R201" s="88"/>
      <c r="S201" s="24"/>
      <c r="T201" s="24"/>
      <c r="U201" s="78" t="str">
        <f t="shared" si="39"/>
        <v/>
      </c>
      <c r="V201" s="24"/>
      <c r="W201" s="24"/>
      <c r="X201" s="24"/>
      <c r="Y201" s="24"/>
      <c r="Z201" s="98" t="str">
        <f t="shared" si="40"/>
        <v/>
      </c>
      <c r="AA201" s="40" t="str">
        <f t="shared" ref="AA201:AA264" si="46">IF($R201="","",SUM($S201+$AP201+($V201*2)+($Z201*4)))</f>
        <v/>
      </c>
      <c r="AB201" s="88"/>
      <c r="AC201" s="24"/>
      <c r="AD201" s="24"/>
      <c r="AE201" s="79" t="str">
        <f t="shared" si="41"/>
        <v/>
      </c>
      <c r="AF201" s="24"/>
      <c r="AG201" s="24"/>
      <c r="AH201" s="24"/>
      <c r="AI201" s="24"/>
      <c r="AJ201" s="99" t="str">
        <f t="shared" si="42"/>
        <v/>
      </c>
      <c r="AK201" s="31" t="str">
        <f t="shared" ref="AK201:AK264" si="47">IF($AB201="","",SUM($AC201+$AR201+($AF201*2)+($AJ201*4)))</f>
        <v/>
      </c>
      <c r="AN201" s="139" t="str">
        <f>IF($K201="","",VLOOKUP($K201,'ORF Accuracy Value LookUp'!$G$4:$H$104,2,TRUE))</f>
        <v/>
      </c>
      <c r="AO201" s="94" t="str">
        <f t="shared" si="43"/>
        <v/>
      </c>
      <c r="AP201" s="47" t="str">
        <f>IF($U201="","",VLOOKUP($U201,'ORF Accuracy Value LookUp'!$G$4:$H$104,2,TRUE))</f>
        <v/>
      </c>
      <c r="AQ201" s="94" t="str">
        <f t="shared" si="44"/>
        <v/>
      </c>
      <c r="AR201" s="46" t="str">
        <f>IF($AE201="","",VLOOKUP($AE201,'ORF Accuracy Value LookUp'!$G$4:$H$104,2,TRUE))</f>
        <v/>
      </c>
      <c r="AS201" s="140" t="str">
        <f t="shared" si="45"/>
        <v/>
      </c>
    </row>
    <row r="202" spans="1:45">
      <c r="A202" s="10"/>
      <c r="B202" s="9"/>
      <c r="C202" s="9"/>
      <c r="D202" s="9"/>
      <c r="E202" s="10"/>
      <c r="F202" s="11"/>
      <c r="G202" s="15"/>
      <c r="H202" s="88"/>
      <c r="I202" s="24"/>
      <c r="J202" s="24"/>
      <c r="K202" s="114" t="str">
        <f t="shared" si="36"/>
        <v/>
      </c>
      <c r="L202" s="24"/>
      <c r="M202" s="24"/>
      <c r="N202" s="24"/>
      <c r="O202" s="24"/>
      <c r="P202" s="97" t="str">
        <f t="shared" si="37"/>
        <v/>
      </c>
      <c r="Q202" s="113" t="str">
        <f t="shared" si="38"/>
        <v/>
      </c>
      <c r="R202" s="88"/>
      <c r="S202" s="24"/>
      <c r="T202" s="24"/>
      <c r="U202" s="78" t="str">
        <f t="shared" si="39"/>
        <v/>
      </c>
      <c r="V202" s="24"/>
      <c r="W202" s="24"/>
      <c r="X202" s="24"/>
      <c r="Y202" s="24"/>
      <c r="Z202" s="98" t="str">
        <f t="shared" si="40"/>
        <v/>
      </c>
      <c r="AA202" s="40" t="str">
        <f t="shared" si="46"/>
        <v/>
      </c>
      <c r="AB202" s="88"/>
      <c r="AC202" s="24"/>
      <c r="AD202" s="24"/>
      <c r="AE202" s="79" t="str">
        <f t="shared" si="41"/>
        <v/>
      </c>
      <c r="AF202" s="24"/>
      <c r="AG202" s="24"/>
      <c r="AH202" s="24"/>
      <c r="AI202" s="24"/>
      <c r="AJ202" s="99" t="str">
        <f t="shared" si="42"/>
        <v/>
      </c>
      <c r="AK202" s="31" t="str">
        <f t="shared" si="47"/>
        <v/>
      </c>
      <c r="AN202" s="139" t="str">
        <f>IF($K202="","",VLOOKUP($K202,'ORF Accuracy Value LookUp'!$G$4:$H$104,2,TRUE))</f>
        <v/>
      </c>
      <c r="AO202" s="94" t="str">
        <f t="shared" si="43"/>
        <v/>
      </c>
      <c r="AP202" s="47" t="str">
        <f>IF($U202="","",VLOOKUP($U202,'ORF Accuracy Value LookUp'!$G$4:$H$104,2,TRUE))</f>
        <v/>
      </c>
      <c r="AQ202" s="94" t="str">
        <f t="shared" si="44"/>
        <v/>
      </c>
      <c r="AR202" s="46" t="str">
        <f>IF($AE202="","",VLOOKUP($AE202,'ORF Accuracy Value LookUp'!$G$4:$H$104,2,TRUE))</f>
        <v/>
      </c>
      <c r="AS202" s="140" t="str">
        <f t="shared" si="45"/>
        <v/>
      </c>
    </row>
    <row r="203" spans="1:45">
      <c r="A203" s="10"/>
      <c r="B203" s="9"/>
      <c r="C203" s="9"/>
      <c r="D203" s="9"/>
      <c r="E203" s="10"/>
      <c r="F203" s="11"/>
      <c r="G203" s="15"/>
      <c r="H203" s="88"/>
      <c r="I203" s="24"/>
      <c r="J203" s="24"/>
      <c r="K203" s="114" t="str">
        <f t="shared" si="36"/>
        <v/>
      </c>
      <c r="L203" s="24"/>
      <c r="M203" s="24"/>
      <c r="N203" s="24"/>
      <c r="O203" s="24"/>
      <c r="P203" s="97" t="str">
        <f t="shared" si="37"/>
        <v/>
      </c>
      <c r="Q203" s="113" t="str">
        <f t="shared" si="38"/>
        <v/>
      </c>
      <c r="R203" s="88"/>
      <c r="S203" s="24"/>
      <c r="T203" s="24"/>
      <c r="U203" s="78" t="str">
        <f t="shared" si="39"/>
        <v/>
      </c>
      <c r="V203" s="24"/>
      <c r="W203" s="24"/>
      <c r="X203" s="24"/>
      <c r="Y203" s="24"/>
      <c r="Z203" s="98" t="str">
        <f t="shared" si="40"/>
        <v/>
      </c>
      <c r="AA203" s="40" t="str">
        <f t="shared" si="46"/>
        <v/>
      </c>
      <c r="AB203" s="88"/>
      <c r="AC203" s="24"/>
      <c r="AD203" s="24"/>
      <c r="AE203" s="79" t="str">
        <f t="shared" si="41"/>
        <v/>
      </c>
      <c r="AF203" s="24"/>
      <c r="AG203" s="24"/>
      <c r="AH203" s="24"/>
      <c r="AI203" s="24"/>
      <c r="AJ203" s="99" t="str">
        <f t="shared" si="42"/>
        <v/>
      </c>
      <c r="AK203" s="31" t="str">
        <f t="shared" si="47"/>
        <v/>
      </c>
      <c r="AN203" s="139" t="str">
        <f>IF($K203="","",VLOOKUP($K203,'ORF Accuracy Value LookUp'!$G$4:$H$104,2,TRUE))</f>
        <v/>
      </c>
      <c r="AO203" s="94" t="str">
        <f t="shared" si="43"/>
        <v/>
      </c>
      <c r="AP203" s="47" t="str">
        <f>IF($U203="","",VLOOKUP($U203,'ORF Accuracy Value LookUp'!$G$4:$H$104,2,TRUE))</f>
        <v/>
      </c>
      <c r="AQ203" s="94" t="str">
        <f t="shared" si="44"/>
        <v/>
      </c>
      <c r="AR203" s="46" t="str">
        <f>IF($AE203="","",VLOOKUP($AE203,'ORF Accuracy Value LookUp'!$G$4:$H$104,2,TRUE))</f>
        <v/>
      </c>
      <c r="AS203" s="140" t="str">
        <f t="shared" si="45"/>
        <v/>
      </c>
    </row>
    <row r="204" spans="1:45">
      <c r="A204" s="10"/>
      <c r="B204" s="9"/>
      <c r="C204" s="9"/>
      <c r="D204" s="9"/>
      <c r="E204" s="10"/>
      <c r="F204" s="11"/>
      <c r="G204" s="15"/>
      <c r="H204" s="88"/>
      <c r="I204" s="24"/>
      <c r="J204" s="24"/>
      <c r="K204" s="114" t="str">
        <f t="shared" si="36"/>
        <v/>
      </c>
      <c r="L204" s="24"/>
      <c r="M204" s="24"/>
      <c r="N204" s="24"/>
      <c r="O204" s="24"/>
      <c r="P204" s="97" t="str">
        <f t="shared" si="37"/>
        <v/>
      </c>
      <c r="Q204" s="113" t="str">
        <f t="shared" si="38"/>
        <v/>
      </c>
      <c r="R204" s="88"/>
      <c r="S204" s="24"/>
      <c r="T204" s="24"/>
      <c r="U204" s="78" t="str">
        <f t="shared" si="39"/>
        <v/>
      </c>
      <c r="V204" s="24"/>
      <c r="W204" s="24"/>
      <c r="X204" s="24"/>
      <c r="Y204" s="24"/>
      <c r="Z204" s="98" t="str">
        <f t="shared" si="40"/>
        <v/>
      </c>
      <c r="AA204" s="40" t="str">
        <f t="shared" si="46"/>
        <v/>
      </c>
      <c r="AB204" s="88"/>
      <c r="AC204" s="24"/>
      <c r="AD204" s="24"/>
      <c r="AE204" s="79" t="str">
        <f t="shared" si="41"/>
        <v/>
      </c>
      <c r="AF204" s="24"/>
      <c r="AG204" s="24"/>
      <c r="AH204" s="24"/>
      <c r="AI204" s="24"/>
      <c r="AJ204" s="99" t="str">
        <f t="shared" si="42"/>
        <v/>
      </c>
      <c r="AK204" s="31" t="str">
        <f t="shared" si="47"/>
        <v/>
      </c>
      <c r="AN204" s="139" t="str">
        <f>IF($K204="","",VLOOKUP($K204,'ORF Accuracy Value LookUp'!$G$4:$H$104,2,TRUE))</f>
        <v/>
      </c>
      <c r="AO204" s="94" t="str">
        <f t="shared" si="43"/>
        <v/>
      </c>
      <c r="AP204" s="47" t="str">
        <f>IF($U204="","",VLOOKUP($U204,'ORF Accuracy Value LookUp'!$G$4:$H$104,2,TRUE))</f>
        <v/>
      </c>
      <c r="AQ204" s="94" t="str">
        <f t="shared" si="44"/>
        <v/>
      </c>
      <c r="AR204" s="46" t="str">
        <f>IF($AE204="","",VLOOKUP($AE204,'ORF Accuracy Value LookUp'!$G$4:$H$104,2,TRUE))</f>
        <v/>
      </c>
      <c r="AS204" s="140" t="str">
        <f t="shared" si="45"/>
        <v/>
      </c>
    </row>
    <row r="205" spans="1:45">
      <c r="A205" s="10"/>
      <c r="B205" s="9"/>
      <c r="C205" s="9"/>
      <c r="D205" s="9"/>
      <c r="E205" s="10"/>
      <c r="F205" s="11"/>
      <c r="G205" s="15"/>
      <c r="H205" s="88"/>
      <c r="I205" s="24"/>
      <c r="J205" s="24"/>
      <c r="K205" s="114" t="str">
        <f t="shared" si="36"/>
        <v/>
      </c>
      <c r="L205" s="24"/>
      <c r="M205" s="24"/>
      <c r="N205" s="24"/>
      <c r="O205" s="24"/>
      <c r="P205" s="97" t="str">
        <f t="shared" si="37"/>
        <v/>
      </c>
      <c r="Q205" s="113" t="str">
        <f t="shared" si="38"/>
        <v/>
      </c>
      <c r="R205" s="88"/>
      <c r="S205" s="24"/>
      <c r="T205" s="24"/>
      <c r="U205" s="78" t="str">
        <f t="shared" si="39"/>
        <v/>
      </c>
      <c r="V205" s="24"/>
      <c r="W205" s="24"/>
      <c r="X205" s="24"/>
      <c r="Y205" s="24"/>
      <c r="Z205" s="98" t="str">
        <f t="shared" si="40"/>
        <v/>
      </c>
      <c r="AA205" s="40" t="str">
        <f t="shared" si="46"/>
        <v/>
      </c>
      <c r="AB205" s="88"/>
      <c r="AC205" s="24"/>
      <c r="AD205" s="24"/>
      <c r="AE205" s="79" t="str">
        <f t="shared" si="41"/>
        <v/>
      </c>
      <c r="AF205" s="24"/>
      <c r="AG205" s="24"/>
      <c r="AH205" s="24"/>
      <c r="AI205" s="24"/>
      <c r="AJ205" s="99" t="str">
        <f t="shared" si="42"/>
        <v/>
      </c>
      <c r="AK205" s="31" t="str">
        <f t="shared" si="47"/>
        <v/>
      </c>
      <c r="AN205" s="139" t="str">
        <f>IF($K205="","",VLOOKUP($K205,'ORF Accuracy Value LookUp'!$G$4:$H$104,2,TRUE))</f>
        <v/>
      </c>
      <c r="AO205" s="94" t="str">
        <f t="shared" si="43"/>
        <v/>
      </c>
      <c r="AP205" s="47" t="str">
        <f>IF($U205="","",VLOOKUP($U205,'ORF Accuracy Value LookUp'!$G$4:$H$104,2,TRUE))</f>
        <v/>
      </c>
      <c r="AQ205" s="94" t="str">
        <f t="shared" si="44"/>
        <v/>
      </c>
      <c r="AR205" s="46" t="str">
        <f>IF($AE205="","",VLOOKUP($AE205,'ORF Accuracy Value LookUp'!$G$4:$H$104,2,TRUE))</f>
        <v/>
      </c>
      <c r="AS205" s="140" t="str">
        <f t="shared" si="45"/>
        <v/>
      </c>
    </row>
    <row r="206" spans="1:45">
      <c r="A206" s="10"/>
      <c r="B206" s="9"/>
      <c r="C206" s="9"/>
      <c r="D206" s="9"/>
      <c r="E206" s="10"/>
      <c r="F206" s="11"/>
      <c r="G206" s="15"/>
      <c r="H206" s="88"/>
      <c r="I206" s="24"/>
      <c r="J206" s="24"/>
      <c r="K206" s="114" t="str">
        <f t="shared" si="36"/>
        <v/>
      </c>
      <c r="L206" s="24"/>
      <c r="M206" s="24"/>
      <c r="N206" s="24"/>
      <c r="O206" s="24"/>
      <c r="P206" s="97" t="str">
        <f t="shared" si="37"/>
        <v/>
      </c>
      <c r="Q206" s="113" t="str">
        <f t="shared" si="38"/>
        <v/>
      </c>
      <c r="R206" s="88"/>
      <c r="S206" s="24"/>
      <c r="T206" s="24"/>
      <c r="U206" s="78" t="str">
        <f t="shared" si="39"/>
        <v/>
      </c>
      <c r="V206" s="24"/>
      <c r="W206" s="24"/>
      <c r="X206" s="24"/>
      <c r="Y206" s="24"/>
      <c r="Z206" s="98" t="str">
        <f t="shared" si="40"/>
        <v/>
      </c>
      <c r="AA206" s="40" t="str">
        <f t="shared" si="46"/>
        <v/>
      </c>
      <c r="AB206" s="88"/>
      <c r="AC206" s="24"/>
      <c r="AD206" s="24"/>
      <c r="AE206" s="79" t="str">
        <f t="shared" si="41"/>
        <v/>
      </c>
      <c r="AF206" s="24"/>
      <c r="AG206" s="24"/>
      <c r="AH206" s="24"/>
      <c r="AI206" s="24"/>
      <c r="AJ206" s="99" t="str">
        <f t="shared" si="42"/>
        <v/>
      </c>
      <c r="AK206" s="31" t="str">
        <f t="shared" si="47"/>
        <v/>
      </c>
      <c r="AN206" s="139" t="str">
        <f>IF($K206="","",VLOOKUP($K206,'ORF Accuracy Value LookUp'!$G$4:$H$104,2,TRUE))</f>
        <v/>
      </c>
      <c r="AO206" s="94" t="str">
        <f t="shared" si="43"/>
        <v/>
      </c>
      <c r="AP206" s="47" t="str">
        <f>IF($U206="","",VLOOKUP($U206,'ORF Accuracy Value LookUp'!$G$4:$H$104,2,TRUE))</f>
        <v/>
      </c>
      <c r="AQ206" s="94" t="str">
        <f t="shared" si="44"/>
        <v/>
      </c>
      <c r="AR206" s="46" t="str">
        <f>IF($AE206="","",VLOOKUP($AE206,'ORF Accuracy Value LookUp'!$G$4:$H$104,2,TRUE))</f>
        <v/>
      </c>
      <c r="AS206" s="140" t="str">
        <f t="shared" si="45"/>
        <v/>
      </c>
    </row>
    <row r="207" spans="1:45">
      <c r="A207" s="10"/>
      <c r="B207" s="9"/>
      <c r="C207" s="9"/>
      <c r="D207" s="9"/>
      <c r="E207" s="10"/>
      <c r="F207" s="11"/>
      <c r="G207" s="15"/>
      <c r="H207" s="88"/>
      <c r="I207" s="24"/>
      <c r="J207" s="24"/>
      <c r="K207" s="114" t="str">
        <f t="shared" si="36"/>
        <v/>
      </c>
      <c r="L207" s="24"/>
      <c r="M207" s="24"/>
      <c r="N207" s="24"/>
      <c r="O207" s="24"/>
      <c r="P207" s="97" t="str">
        <f t="shared" si="37"/>
        <v/>
      </c>
      <c r="Q207" s="113" t="str">
        <f t="shared" si="38"/>
        <v/>
      </c>
      <c r="R207" s="88"/>
      <c r="S207" s="24"/>
      <c r="T207" s="24"/>
      <c r="U207" s="78" t="str">
        <f t="shared" si="39"/>
        <v/>
      </c>
      <c r="V207" s="24"/>
      <c r="W207" s="24"/>
      <c r="X207" s="24"/>
      <c r="Y207" s="24"/>
      <c r="Z207" s="98" t="str">
        <f t="shared" si="40"/>
        <v/>
      </c>
      <c r="AA207" s="40" t="str">
        <f t="shared" si="46"/>
        <v/>
      </c>
      <c r="AB207" s="88"/>
      <c r="AC207" s="24"/>
      <c r="AD207" s="24"/>
      <c r="AE207" s="79" t="str">
        <f t="shared" si="41"/>
        <v/>
      </c>
      <c r="AF207" s="24"/>
      <c r="AG207" s="24"/>
      <c r="AH207" s="24"/>
      <c r="AI207" s="24"/>
      <c r="AJ207" s="99" t="str">
        <f t="shared" si="42"/>
        <v/>
      </c>
      <c r="AK207" s="31" t="str">
        <f t="shared" si="47"/>
        <v/>
      </c>
      <c r="AN207" s="139" t="str">
        <f>IF($K207="","",VLOOKUP($K207,'ORF Accuracy Value LookUp'!$G$4:$H$104,2,TRUE))</f>
        <v/>
      </c>
      <c r="AO207" s="94" t="str">
        <f t="shared" si="43"/>
        <v/>
      </c>
      <c r="AP207" s="47" t="str">
        <f>IF($U207="","",VLOOKUP($U207,'ORF Accuracy Value LookUp'!$G$4:$H$104,2,TRUE))</f>
        <v/>
      </c>
      <c r="AQ207" s="94" t="str">
        <f t="shared" si="44"/>
        <v/>
      </c>
      <c r="AR207" s="46" t="str">
        <f>IF($AE207="","",VLOOKUP($AE207,'ORF Accuracy Value LookUp'!$G$4:$H$104,2,TRUE))</f>
        <v/>
      </c>
      <c r="AS207" s="140" t="str">
        <f t="shared" si="45"/>
        <v/>
      </c>
    </row>
    <row r="208" spans="1:45">
      <c r="A208" s="10"/>
      <c r="B208" s="9"/>
      <c r="C208" s="9"/>
      <c r="D208" s="9"/>
      <c r="E208" s="10"/>
      <c r="F208" s="11"/>
      <c r="G208" s="15"/>
      <c r="H208" s="88"/>
      <c r="I208" s="24"/>
      <c r="J208" s="24"/>
      <c r="K208" s="114" t="str">
        <f t="shared" si="36"/>
        <v/>
      </c>
      <c r="L208" s="24"/>
      <c r="M208" s="24"/>
      <c r="N208" s="24"/>
      <c r="O208" s="24"/>
      <c r="P208" s="97" t="str">
        <f t="shared" si="37"/>
        <v/>
      </c>
      <c r="Q208" s="113" t="str">
        <f t="shared" si="38"/>
        <v/>
      </c>
      <c r="R208" s="88"/>
      <c r="S208" s="24"/>
      <c r="T208" s="24"/>
      <c r="U208" s="78" t="str">
        <f t="shared" si="39"/>
        <v/>
      </c>
      <c r="V208" s="24"/>
      <c r="W208" s="24"/>
      <c r="X208" s="24"/>
      <c r="Y208" s="24"/>
      <c r="Z208" s="98" t="str">
        <f t="shared" si="40"/>
        <v/>
      </c>
      <c r="AA208" s="40" t="str">
        <f t="shared" si="46"/>
        <v/>
      </c>
      <c r="AB208" s="88"/>
      <c r="AC208" s="24"/>
      <c r="AD208" s="24"/>
      <c r="AE208" s="79" t="str">
        <f t="shared" si="41"/>
        <v/>
      </c>
      <c r="AF208" s="24"/>
      <c r="AG208" s="24"/>
      <c r="AH208" s="24"/>
      <c r="AI208" s="24"/>
      <c r="AJ208" s="99" t="str">
        <f t="shared" si="42"/>
        <v/>
      </c>
      <c r="AK208" s="31" t="str">
        <f t="shared" si="47"/>
        <v/>
      </c>
      <c r="AN208" s="139" t="str">
        <f>IF($K208="","",VLOOKUP($K208,'ORF Accuracy Value LookUp'!$G$4:$H$104,2,TRUE))</f>
        <v/>
      </c>
      <c r="AO208" s="94" t="str">
        <f t="shared" si="43"/>
        <v/>
      </c>
      <c r="AP208" s="47" t="str">
        <f>IF($U208="","",VLOOKUP($U208,'ORF Accuracy Value LookUp'!$G$4:$H$104,2,TRUE))</f>
        <v/>
      </c>
      <c r="AQ208" s="94" t="str">
        <f t="shared" si="44"/>
        <v/>
      </c>
      <c r="AR208" s="46" t="str">
        <f>IF($AE208="","",VLOOKUP($AE208,'ORF Accuracy Value LookUp'!$G$4:$H$104,2,TRUE))</f>
        <v/>
      </c>
      <c r="AS208" s="140" t="str">
        <f t="shared" si="45"/>
        <v/>
      </c>
    </row>
    <row r="209" spans="1:45">
      <c r="A209" s="10"/>
      <c r="B209" s="9"/>
      <c r="C209" s="9"/>
      <c r="D209" s="9"/>
      <c r="E209" s="10"/>
      <c r="F209" s="11"/>
      <c r="G209" s="15"/>
      <c r="H209" s="88"/>
      <c r="I209" s="24"/>
      <c r="J209" s="24"/>
      <c r="K209" s="114" t="str">
        <f t="shared" si="36"/>
        <v/>
      </c>
      <c r="L209" s="24"/>
      <c r="M209" s="24"/>
      <c r="N209" s="24"/>
      <c r="O209" s="24"/>
      <c r="P209" s="97" t="str">
        <f t="shared" si="37"/>
        <v/>
      </c>
      <c r="Q209" s="113" t="str">
        <f t="shared" si="38"/>
        <v/>
      </c>
      <c r="R209" s="88"/>
      <c r="S209" s="24"/>
      <c r="T209" s="24"/>
      <c r="U209" s="78" t="str">
        <f t="shared" si="39"/>
        <v/>
      </c>
      <c r="V209" s="24"/>
      <c r="W209" s="24"/>
      <c r="X209" s="24"/>
      <c r="Y209" s="24"/>
      <c r="Z209" s="98" t="str">
        <f t="shared" si="40"/>
        <v/>
      </c>
      <c r="AA209" s="40" t="str">
        <f t="shared" si="46"/>
        <v/>
      </c>
      <c r="AB209" s="88"/>
      <c r="AC209" s="24"/>
      <c r="AD209" s="24"/>
      <c r="AE209" s="79" t="str">
        <f t="shared" si="41"/>
        <v/>
      </c>
      <c r="AF209" s="24"/>
      <c r="AG209" s="24"/>
      <c r="AH209" s="24"/>
      <c r="AI209" s="24"/>
      <c r="AJ209" s="99" t="str">
        <f t="shared" si="42"/>
        <v/>
      </c>
      <c r="AK209" s="31" t="str">
        <f t="shared" si="47"/>
        <v/>
      </c>
      <c r="AN209" s="139" t="str">
        <f>IF($K209="","",VLOOKUP($K209,'ORF Accuracy Value LookUp'!$G$4:$H$104,2,TRUE))</f>
        <v/>
      </c>
      <c r="AO209" s="94" t="str">
        <f t="shared" si="43"/>
        <v/>
      </c>
      <c r="AP209" s="47" t="str">
        <f>IF($U209="","",VLOOKUP($U209,'ORF Accuracy Value LookUp'!$G$4:$H$104,2,TRUE))</f>
        <v/>
      </c>
      <c r="AQ209" s="94" t="str">
        <f t="shared" si="44"/>
        <v/>
      </c>
      <c r="AR209" s="46" t="str">
        <f>IF($AE209="","",VLOOKUP($AE209,'ORF Accuracy Value LookUp'!$G$4:$H$104,2,TRUE))</f>
        <v/>
      </c>
      <c r="AS209" s="140" t="str">
        <f t="shared" si="45"/>
        <v/>
      </c>
    </row>
    <row r="210" spans="1:45">
      <c r="A210" s="10"/>
      <c r="B210" s="9"/>
      <c r="C210" s="9"/>
      <c r="D210" s="9"/>
      <c r="E210" s="10"/>
      <c r="F210" s="11"/>
      <c r="G210" s="15"/>
      <c r="H210" s="88"/>
      <c r="I210" s="24"/>
      <c r="J210" s="24"/>
      <c r="K210" s="114" t="str">
        <f t="shared" si="36"/>
        <v/>
      </c>
      <c r="L210" s="24"/>
      <c r="M210" s="24"/>
      <c r="N210" s="24"/>
      <c r="O210" s="24"/>
      <c r="P210" s="97" t="str">
        <f t="shared" si="37"/>
        <v/>
      </c>
      <c r="Q210" s="113" t="str">
        <f t="shared" si="38"/>
        <v/>
      </c>
      <c r="R210" s="88"/>
      <c r="S210" s="24"/>
      <c r="T210" s="24"/>
      <c r="U210" s="78" t="str">
        <f t="shared" si="39"/>
        <v/>
      </c>
      <c r="V210" s="24"/>
      <c r="W210" s="24"/>
      <c r="X210" s="24"/>
      <c r="Y210" s="24"/>
      <c r="Z210" s="98" t="str">
        <f t="shared" si="40"/>
        <v/>
      </c>
      <c r="AA210" s="40" t="str">
        <f t="shared" si="46"/>
        <v/>
      </c>
      <c r="AB210" s="88"/>
      <c r="AC210" s="24"/>
      <c r="AD210" s="24"/>
      <c r="AE210" s="79" t="str">
        <f t="shared" si="41"/>
        <v/>
      </c>
      <c r="AF210" s="24"/>
      <c r="AG210" s="24"/>
      <c r="AH210" s="24"/>
      <c r="AI210" s="24"/>
      <c r="AJ210" s="99" t="str">
        <f t="shared" si="42"/>
        <v/>
      </c>
      <c r="AK210" s="31" t="str">
        <f t="shared" si="47"/>
        <v/>
      </c>
      <c r="AN210" s="139" t="str">
        <f>IF($K210="","",VLOOKUP($K210,'ORF Accuracy Value LookUp'!$G$4:$H$104,2,TRUE))</f>
        <v/>
      </c>
      <c r="AO210" s="94" t="str">
        <f t="shared" si="43"/>
        <v/>
      </c>
      <c r="AP210" s="47" t="str">
        <f>IF($U210="","",VLOOKUP($U210,'ORF Accuracy Value LookUp'!$G$4:$H$104,2,TRUE))</f>
        <v/>
      </c>
      <c r="AQ210" s="94" t="str">
        <f t="shared" si="44"/>
        <v/>
      </c>
      <c r="AR210" s="46" t="str">
        <f>IF($AE210="","",VLOOKUP($AE210,'ORF Accuracy Value LookUp'!$G$4:$H$104,2,TRUE))</f>
        <v/>
      </c>
      <c r="AS210" s="140" t="str">
        <f t="shared" si="45"/>
        <v/>
      </c>
    </row>
    <row r="211" spans="1:45">
      <c r="A211" s="10"/>
      <c r="B211" s="9"/>
      <c r="C211" s="9"/>
      <c r="D211" s="9"/>
      <c r="E211" s="10"/>
      <c r="F211" s="11"/>
      <c r="G211" s="15"/>
      <c r="H211" s="88"/>
      <c r="I211" s="24"/>
      <c r="J211" s="24"/>
      <c r="K211" s="114" t="str">
        <f t="shared" si="36"/>
        <v/>
      </c>
      <c r="L211" s="24"/>
      <c r="M211" s="24"/>
      <c r="N211" s="24"/>
      <c r="O211" s="24"/>
      <c r="P211" s="97" t="str">
        <f t="shared" si="37"/>
        <v/>
      </c>
      <c r="Q211" s="113" t="str">
        <f t="shared" si="38"/>
        <v/>
      </c>
      <c r="R211" s="88"/>
      <c r="S211" s="24"/>
      <c r="T211" s="24"/>
      <c r="U211" s="78" t="str">
        <f t="shared" si="39"/>
        <v/>
      </c>
      <c r="V211" s="24"/>
      <c r="W211" s="24"/>
      <c r="X211" s="24"/>
      <c r="Y211" s="24"/>
      <c r="Z211" s="98" t="str">
        <f t="shared" si="40"/>
        <v/>
      </c>
      <c r="AA211" s="40" t="str">
        <f t="shared" si="46"/>
        <v/>
      </c>
      <c r="AB211" s="88"/>
      <c r="AC211" s="24"/>
      <c r="AD211" s="24"/>
      <c r="AE211" s="79" t="str">
        <f t="shared" si="41"/>
        <v/>
      </c>
      <c r="AF211" s="24"/>
      <c r="AG211" s="24"/>
      <c r="AH211" s="24"/>
      <c r="AI211" s="24"/>
      <c r="AJ211" s="99" t="str">
        <f t="shared" si="42"/>
        <v/>
      </c>
      <c r="AK211" s="31" t="str">
        <f t="shared" si="47"/>
        <v/>
      </c>
      <c r="AN211" s="139" t="str">
        <f>IF($K211="","",VLOOKUP($K211,'ORF Accuracy Value LookUp'!$G$4:$H$104,2,TRUE))</f>
        <v/>
      </c>
      <c r="AO211" s="94" t="str">
        <f t="shared" si="43"/>
        <v/>
      </c>
      <c r="AP211" s="47" t="str">
        <f>IF($U211="","",VLOOKUP($U211,'ORF Accuracy Value LookUp'!$G$4:$H$104,2,TRUE))</f>
        <v/>
      </c>
      <c r="AQ211" s="94" t="str">
        <f t="shared" si="44"/>
        <v/>
      </c>
      <c r="AR211" s="46" t="str">
        <f>IF($AE211="","",VLOOKUP($AE211,'ORF Accuracy Value LookUp'!$G$4:$H$104,2,TRUE))</f>
        <v/>
      </c>
      <c r="AS211" s="140" t="str">
        <f t="shared" si="45"/>
        <v/>
      </c>
    </row>
    <row r="212" spans="1:45">
      <c r="A212" s="10"/>
      <c r="B212" s="9"/>
      <c r="C212" s="9"/>
      <c r="D212" s="9"/>
      <c r="E212" s="10"/>
      <c r="F212" s="11"/>
      <c r="G212" s="15"/>
      <c r="H212" s="88"/>
      <c r="I212" s="24"/>
      <c r="J212" s="24"/>
      <c r="K212" s="114" t="str">
        <f t="shared" si="36"/>
        <v/>
      </c>
      <c r="L212" s="24"/>
      <c r="M212" s="24"/>
      <c r="N212" s="24"/>
      <c r="O212" s="24"/>
      <c r="P212" s="97" t="str">
        <f t="shared" si="37"/>
        <v/>
      </c>
      <c r="Q212" s="113" t="str">
        <f t="shared" si="38"/>
        <v/>
      </c>
      <c r="R212" s="88"/>
      <c r="S212" s="24"/>
      <c r="T212" s="24"/>
      <c r="U212" s="78" t="str">
        <f t="shared" si="39"/>
        <v/>
      </c>
      <c r="V212" s="24"/>
      <c r="W212" s="24"/>
      <c r="X212" s="24"/>
      <c r="Y212" s="24"/>
      <c r="Z212" s="98" t="str">
        <f t="shared" si="40"/>
        <v/>
      </c>
      <c r="AA212" s="40" t="str">
        <f t="shared" si="46"/>
        <v/>
      </c>
      <c r="AB212" s="88"/>
      <c r="AC212" s="24"/>
      <c r="AD212" s="24"/>
      <c r="AE212" s="79" t="str">
        <f t="shared" si="41"/>
        <v/>
      </c>
      <c r="AF212" s="24"/>
      <c r="AG212" s="24"/>
      <c r="AH212" s="24"/>
      <c r="AI212" s="24"/>
      <c r="AJ212" s="99" t="str">
        <f t="shared" si="42"/>
        <v/>
      </c>
      <c r="AK212" s="31" t="str">
        <f t="shared" si="47"/>
        <v/>
      </c>
      <c r="AN212" s="139" t="str">
        <f>IF($K212="","",VLOOKUP($K212,'ORF Accuracy Value LookUp'!$G$4:$H$104,2,TRUE))</f>
        <v/>
      </c>
      <c r="AO212" s="94" t="str">
        <f t="shared" si="43"/>
        <v/>
      </c>
      <c r="AP212" s="47" t="str">
        <f>IF($U212="","",VLOOKUP($U212,'ORF Accuracy Value LookUp'!$G$4:$H$104,2,TRUE))</f>
        <v/>
      </c>
      <c r="AQ212" s="94" t="str">
        <f t="shared" si="44"/>
        <v/>
      </c>
      <c r="AR212" s="46" t="str">
        <f>IF($AE212="","",VLOOKUP($AE212,'ORF Accuracy Value LookUp'!$G$4:$H$104,2,TRUE))</f>
        <v/>
      </c>
      <c r="AS212" s="140" t="str">
        <f t="shared" si="45"/>
        <v/>
      </c>
    </row>
    <row r="213" spans="1:45">
      <c r="A213" s="10"/>
      <c r="B213" s="9"/>
      <c r="C213" s="9"/>
      <c r="D213" s="9"/>
      <c r="E213" s="10"/>
      <c r="F213" s="11"/>
      <c r="G213" s="15"/>
      <c r="H213" s="88"/>
      <c r="I213" s="24"/>
      <c r="J213" s="24"/>
      <c r="K213" s="114" t="str">
        <f t="shared" si="36"/>
        <v/>
      </c>
      <c r="L213" s="24"/>
      <c r="M213" s="24"/>
      <c r="N213" s="24"/>
      <c r="O213" s="24"/>
      <c r="P213" s="97" t="str">
        <f t="shared" si="37"/>
        <v/>
      </c>
      <c r="Q213" s="113" t="str">
        <f t="shared" si="38"/>
        <v/>
      </c>
      <c r="R213" s="88"/>
      <c r="S213" s="24"/>
      <c r="T213" s="24"/>
      <c r="U213" s="78" t="str">
        <f t="shared" si="39"/>
        <v/>
      </c>
      <c r="V213" s="24"/>
      <c r="W213" s="24"/>
      <c r="X213" s="24"/>
      <c r="Y213" s="24"/>
      <c r="Z213" s="98" t="str">
        <f t="shared" si="40"/>
        <v/>
      </c>
      <c r="AA213" s="40" t="str">
        <f t="shared" si="46"/>
        <v/>
      </c>
      <c r="AB213" s="88"/>
      <c r="AC213" s="24"/>
      <c r="AD213" s="24"/>
      <c r="AE213" s="79" t="str">
        <f t="shared" si="41"/>
        <v/>
      </c>
      <c r="AF213" s="24"/>
      <c r="AG213" s="24"/>
      <c r="AH213" s="24"/>
      <c r="AI213" s="24"/>
      <c r="AJ213" s="99" t="str">
        <f t="shared" si="42"/>
        <v/>
      </c>
      <c r="AK213" s="31" t="str">
        <f t="shared" si="47"/>
        <v/>
      </c>
      <c r="AN213" s="139" t="str">
        <f>IF($K213="","",VLOOKUP($K213,'ORF Accuracy Value LookUp'!$G$4:$H$104,2,TRUE))</f>
        <v/>
      </c>
      <c r="AO213" s="94" t="str">
        <f t="shared" si="43"/>
        <v/>
      </c>
      <c r="AP213" s="47" t="str">
        <f>IF($U213="","",VLOOKUP($U213,'ORF Accuracy Value LookUp'!$G$4:$H$104,2,TRUE))</f>
        <v/>
      </c>
      <c r="AQ213" s="94" t="str">
        <f t="shared" si="44"/>
        <v/>
      </c>
      <c r="AR213" s="46" t="str">
        <f>IF($AE213="","",VLOOKUP($AE213,'ORF Accuracy Value LookUp'!$G$4:$H$104,2,TRUE))</f>
        <v/>
      </c>
      <c r="AS213" s="140" t="str">
        <f t="shared" si="45"/>
        <v/>
      </c>
    </row>
    <row r="214" spans="1:45">
      <c r="A214" s="10"/>
      <c r="B214" s="9"/>
      <c r="C214" s="9"/>
      <c r="D214" s="9"/>
      <c r="E214" s="10"/>
      <c r="F214" s="11"/>
      <c r="G214" s="15"/>
      <c r="H214" s="88"/>
      <c r="I214" s="24"/>
      <c r="J214" s="24"/>
      <c r="K214" s="114" t="str">
        <f t="shared" si="36"/>
        <v/>
      </c>
      <c r="L214" s="24"/>
      <c r="M214" s="24"/>
      <c r="N214" s="24"/>
      <c r="O214" s="24"/>
      <c r="P214" s="97" t="str">
        <f t="shared" si="37"/>
        <v/>
      </c>
      <c r="Q214" s="113" t="str">
        <f t="shared" si="38"/>
        <v/>
      </c>
      <c r="R214" s="88"/>
      <c r="S214" s="24"/>
      <c r="T214" s="24"/>
      <c r="U214" s="78" t="str">
        <f t="shared" si="39"/>
        <v/>
      </c>
      <c r="V214" s="24"/>
      <c r="W214" s="24"/>
      <c r="X214" s="24"/>
      <c r="Y214" s="24"/>
      <c r="Z214" s="98" t="str">
        <f t="shared" si="40"/>
        <v/>
      </c>
      <c r="AA214" s="40" t="str">
        <f t="shared" si="46"/>
        <v/>
      </c>
      <c r="AB214" s="88"/>
      <c r="AC214" s="24"/>
      <c r="AD214" s="24"/>
      <c r="AE214" s="79" t="str">
        <f t="shared" si="41"/>
        <v/>
      </c>
      <c r="AF214" s="24"/>
      <c r="AG214" s="24"/>
      <c r="AH214" s="24"/>
      <c r="AI214" s="24"/>
      <c r="AJ214" s="99" t="str">
        <f t="shared" si="42"/>
        <v/>
      </c>
      <c r="AK214" s="31" t="str">
        <f t="shared" si="47"/>
        <v/>
      </c>
      <c r="AN214" s="139" t="str">
        <f>IF($K214="","",VLOOKUP($K214,'ORF Accuracy Value LookUp'!$G$4:$H$104,2,TRUE))</f>
        <v/>
      </c>
      <c r="AO214" s="94" t="str">
        <f t="shared" si="43"/>
        <v/>
      </c>
      <c r="AP214" s="47" t="str">
        <f>IF($U214="","",VLOOKUP($U214,'ORF Accuracy Value LookUp'!$G$4:$H$104,2,TRUE))</f>
        <v/>
      </c>
      <c r="AQ214" s="94" t="str">
        <f t="shared" si="44"/>
        <v/>
      </c>
      <c r="AR214" s="46" t="str">
        <f>IF($AE214="","",VLOOKUP($AE214,'ORF Accuracy Value LookUp'!$G$4:$H$104,2,TRUE))</f>
        <v/>
      </c>
      <c r="AS214" s="140" t="str">
        <f t="shared" si="45"/>
        <v/>
      </c>
    </row>
    <row r="215" spans="1:45">
      <c r="A215" s="10"/>
      <c r="B215" s="9"/>
      <c r="C215" s="9"/>
      <c r="D215" s="9"/>
      <c r="E215" s="10"/>
      <c r="F215" s="11"/>
      <c r="G215" s="15"/>
      <c r="H215" s="88"/>
      <c r="I215" s="24"/>
      <c r="J215" s="24"/>
      <c r="K215" s="114" t="str">
        <f t="shared" si="36"/>
        <v/>
      </c>
      <c r="L215" s="24"/>
      <c r="M215" s="24"/>
      <c r="N215" s="24"/>
      <c r="O215" s="24"/>
      <c r="P215" s="97" t="str">
        <f t="shared" si="37"/>
        <v/>
      </c>
      <c r="Q215" s="113" t="str">
        <f t="shared" si="38"/>
        <v/>
      </c>
      <c r="R215" s="88"/>
      <c r="S215" s="24"/>
      <c r="T215" s="24"/>
      <c r="U215" s="78" t="str">
        <f t="shared" si="39"/>
        <v/>
      </c>
      <c r="V215" s="24"/>
      <c r="W215" s="24"/>
      <c r="X215" s="24"/>
      <c r="Y215" s="24"/>
      <c r="Z215" s="98" t="str">
        <f t="shared" si="40"/>
        <v/>
      </c>
      <c r="AA215" s="40" t="str">
        <f t="shared" si="46"/>
        <v/>
      </c>
      <c r="AB215" s="88"/>
      <c r="AC215" s="24"/>
      <c r="AD215" s="24"/>
      <c r="AE215" s="79" t="str">
        <f t="shared" si="41"/>
        <v/>
      </c>
      <c r="AF215" s="24"/>
      <c r="AG215" s="24"/>
      <c r="AH215" s="24"/>
      <c r="AI215" s="24"/>
      <c r="AJ215" s="99" t="str">
        <f t="shared" si="42"/>
        <v/>
      </c>
      <c r="AK215" s="31" t="str">
        <f t="shared" si="47"/>
        <v/>
      </c>
      <c r="AN215" s="139" t="str">
        <f>IF($K215="","",VLOOKUP($K215,'ORF Accuracy Value LookUp'!$G$4:$H$104,2,TRUE))</f>
        <v/>
      </c>
      <c r="AO215" s="94" t="str">
        <f t="shared" si="43"/>
        <v/>
      </c>
      <c r="AP215" s="47" t="str">
        <f>IF($U215="","",VLOOKUP($U215,'ORF Accuracy Value LookUp'!$G$4:$H$104,2,TRUE))</f>
        <v/>
      </c>
      <c r="AQ215" s="94" t="str">
        <f t="shared" si="44"/>
        <v/>
      </c>
      <c r="AR215" s="46" t="str">
        <f>IF($AE215="","",VLOOKUP($AE215,'ORF Accuracy Value LookUp'!$G$4:$H$104,2,TRUE))</f>
        <v/>
      </c>
      <c r="AS215" s="140" t="str">
        <f t="shared" si="45"/>
        <v/>
      </c>
    </row>
    <row r="216" spans="1:45">
      <c r="A216" s="10"/>
      <c r="B216" s="9"/>
      <c r="C216" s="9"/>
      <c r="D216" s="9"/>
      <c r="E216" s="10"/>
      <c r="F216" s="11"/>
      <c r="G216" s="15"/>
      <c r="H216" s="88"/>
      <c r="I216" s="24"/>
      <c r="J216" s="24"/>
      <c r="K216" s="114" t="str">
        <f t="shared" si="36"/>
        <v/>
      </c>
      <c r="L216" s="24"/>
      <c r="M216" s="24"/>
      <c r="N216" s="24"/>
      <c r="O216" s="24"/>
      <c r="P216" s="97" t="str">
        <f t="shared" si="37"/>
        <v/>
      </c>
      <c r="Q216" s="113" t="str">
        <f t="shared" si="38"/>
        <v/>
      </c>
      <c r="R216" s="88"/>
      <c r="S216" s="24"/>
      <c r="T216" s="24"/>
      <c r="U216" s="78" t="str">
        <f t="shared" si="39"/>
        <v/>
      </c>
      <c r="V216" s="24"/>
      <c r="W216" s="24"/>
      <c r="X216" s="24"/>
      <c r="Y216" s="24"/>
      <c r="Z216" s="98" t="str">
        <f t="shared" si="40"/>
        <v/>
      </c>
      <c r="AA216" s="40" t="str">
        <f t="shared" si="46"/>
        <v/>
      </c>
      <c r="AB216" s="88"/>
      <c r="AC216" s="24"/>
      <c r="AD216" s="24"/>
      <c r="AE216" s="79" t="str">
        <f t="shared" si="41"/>
        <v/>
      </c>
      <c r="AF216" s="24"/>
      <c r="AG216" s="24"/>
      <c r="AH216" s="24"/>
      <c r="AI216" s="24"/>
      <c r="AJ216" s="99" t="str">
        <f t="shared" si="42"/>
        <v/>
      </c>
      <c r="AK216" s="31" t="str">
        <f t="shared" si="47"/>
        <v/>
      </c>
      <c r="AN216" s="139" t="str">
        <f>IF($K216="","",VLOOKUP($K216,'ORF Accuracy Value LookUp'!$G$4:$H$104,2,TRUE))</f>
        <v/>
      </c>
      <c r="AO216" s="94" t="str">
        <f t="shared" si="43"/>
        <v/>
      </c>
      <c r="AP216" s="47" t="str">
        <f>IF($U216="","",VLOOKUP($U216,'ORF Accuracy Value LookUp'!$G$4:$H$104,2,TRUE))</f>
        <v/>
      </c>
      <c r="AQ216" s="94" t="str">
        <f t="shared" si="44"/>
        <v/>
      </c>
      <c r="AR216" s="46" t="str">
        <f>IF($AE216="","",VLOOKUP($AE216,'ORF Accuracy Value LookUp'!$G$4:$H$104,2,TRUE))</f>
        <v/>
      </c>
      <c r="AS216" s="140" t="str">
        <f t="shared" si="45"/>
        <v/>
      </c>
    </row>
    <row r="217" spans="1:45">
      <c r="A217" s="10"/>
      <c r="B217" s="9"/>
      <c r="C217" s="9"/>
      <c r="D217" s="9"/>
      <c r="E217" s="10"/>
      <c r="F217" s="11"/>
      <c r="G217" s="15"/>
      <c r="H217" s="88"/>
      <c r="I217" s="24"/>
      <c r="J217" s="24"/>
      <c r="K217" s="114" t="str">
        <f t="shared" si="36"/>
        <v/>
      </c>
      <c r="L217" s="24"/>
      <c r="M217" s="24"/>
      <c r="N217" s="24"/>
      <c r="O217" s="24"/>
      <c r="P217" s="97" t="str">
        <f t="shared" si="37"/>
        <v/>
      </c>
      <c r="Q217" s="113" t="str">
        <f t="shared" si="38"/>
        <v/>
      </c>
      <c r="R217" s="88"/>
      <c r="S217" s="24"/>
      <c r="T217" s="24"/>
      <c r="U217" s="78" t="str">
        <f t="shared" si="39"/>
        <v/>
      </c>
      <c r="V217" s="24"/>
      <c r="W217" s="24"/>
      <c r="X217" s="24"/>
      <c r="Y217" s="24"/>
      <c r="Z217" s="98" t="str">
        <f t="shared" si="40"/>
        <v/>
      </c>
      <c r="AA217" s="40" t="str">
        <f t="shared" si="46"/>
        <v/>
      </c>
      <c r="AB217" s="88"/>
      <c r="AC217" s="24"/>
      <c r="AD217" s="24"/>
      <c r="AE217" s="79" t="str">
        <f t="shared" si="41"/>
        <v/>
      </c>
      <c r="AF217" s="24"/>
      <c r="AG217" s="24"/>
      <c r="AH217" s="24"/>
      <c r="AI217" s="24"/>
      <c r="AJ217" s="99" t="str">
        <f t="shared" si="42"/>
        <v/>
      </c>
      <c r="AK217" s="31" t="str">
        <f t="shared" si="47"/>
        <v/>
      </c>
      <c r="AN217" s="139" t="str">
        <f>IF($K217="","",VLOOKUP($K217,'ORF Accuracy Value LookUp'!$G$4:$H$104,2,TRUE))</f>
        <v/>
      </c>
      <c r="AO217" s="94" t="str">
        <f t="shared" si="43"/>
        <v/>
      </c>
      <c r="AP217" s="47" t="str">
        <f>IF($U217="","",VLOOKUP($U217,'ORF Accuracy Value LookUp'!$G$4:$H$104,2,TRUE))</f>
        <v/>
      </c>
      <c r="AQ217" s="94" t="str">
        <f t="shared" si="44"/>
        <v/>
      </c>
      <c r="AR217" s="46" t="str">
        <f>IF($AE217="","",VLOOKUP($AE217,'ORF Accuracy Value LookUp'!$G$4:$H$104,2,TRUE))</f>
        <v/>
      </c>
      <c r="AS217" s="140" t="str">
        <f t="shared" si="45"/>
        <v/>
      </c>
    </row>
    <row r="218" spans="1:45">
      <c r="A218" s="10"/>
      <c r="B218" s="9"/>
      <c r="C218" s="9"/>
      <c r="D218" s="9"/>
      <c r="E218" s="10"/>
      <c r="F218" s="11"/>
      <c r="G218" s="15"/>
      <c r="H218" s="88"/>
      <c r="I218" s="24"/>
      <c r="J218" s="24"/>
      <c r="K218" s="114" t="str">
        <f t="shared" si="36"/>
        <v/>
      </c>
      <c r="L218" s="24"/>
      <c r="M218" s="24"/>
      <c r="N218" s="24"/>
      <c r="O218" s="24"/>
      <c r="P218" s="97" t="str">
        <f t="shared" si="37"/>
        <v/>
      </c>
      <c r="Q218" s="113" t="str">
        <f t="shared" si="38"/>
        <v/>
      </c>
      <c r="R218" s="88"/>
      <c r="S218" s="24"/>
      <c r="T218" s="24"/>
      <c r="U218" s="78" t="str">
        <f t="shared" si="39"/>
        <v/>
      </c>
      <c r="V218" s="24"/>
      <c r="W218" s="24"/>
      <c r="X218" s="24"/>
      <c r="Y218" s="24"/>
      <c r="Z218" s="98" t="str">
        <f t="shared" si="40"/>
        <v/>
      </c>
      <c r="AA218" s="40" t="str">
        <f t="shared" si="46"/>
        <v/>
      </c>
      <c r="AB218" s="88"/>
      <c r="AC218" s="24"/>
      <c r="AD218" s="24"/>
      <c r="AE218" s="79" t="str">
        <f t="shared" si="41"/>
        <v/>
      </c>
      <c r="AF218" s="24"/>
      <c r="AG218" s="24"/>
      <c r="AH218" s="24"/>
      <c r="AI218" s="24"/>
      <c r="AJ218" s="99" t="str">
        <f t="shared" si="42"/>
        <v/>
      </c>
      <c r="AK218" s="31" t="str">
        <f t="shared" si="47"/>
        <v/>
      </c>
      <c r="AN218" s="139" t="str">
        <f>IF($K218="","",VLOOKUP($K218,'ORF Accuracy Value LookUp'!$G$4:$H$104,2,TRUE))</f>
        <v/>
      </c>
      <c r="AO218" s="94" t="str">
        <f t="shared" si="43"/>
        <v/>
      </c>
      <c r="AP218" s="47" t="str">
        <f>IF($U218="","",VLOOKUP($U218,'ORF Accuracy Value LookUp'!$G$4:$H$104,2,TRUE))</f>
        <v/>
      </c>
      <c r="AQ218" s="94" t="str">
        <f t="shared" si="44"/>
        <v/>
      </c>
      <c r="AR218" s="46" t="str">
        <f>IF($AE218="","",VLOOKUP($AE218,'ORF Accuracy Value LookUp'!$G$4:$H$104,2,TRUE))</f>
        <v/>
      </c>
      <c r="AS218" s="140" t="str">
        <f t="shared" si="45"/>
        <v/>
      </c>
    </row>
    <row r="219" spans="1:45">
      <c r="A219" s="10"/>
      <c r="B219" s="9"/>
      <c r="C219" s="9"/>
      <c r="D219" s="9"/>
      <c r="E219" s="10"/>
      <c r="F219" s="11"/>
      <c r="G219" s="15"/>
      <c r="H219" s="88"/>
      <c r="I219" s="24"/>
      <c r="J219" s="24"/>
      <c r="K219" s="114" t="str">
        <f t="shared" si="36"/>
        <v/>
      </c>
      <c r="L219" s="24"/>
      <c r="M219" s="24"/>
      <c r="N219" s="24"/>
      <c r="O219" s="24"/>
      <c r="P219" s="97" t="str">
        <f t="shared" si="37"/>
        <v/>
      </c>
      <c r="Q219" s="113" t="str">
        <f t="shared" si="38"/>
        <v/>
      </c>
      <c r="R219" s="88"/>
      <c r="S219" s="24"/>
      <c r="T219" s="24"/>
      <c r="U219" s="78" t="str">
        <f t="shared" si="39"/>
        <v/>
      </c>
      <c r="V219" s="24"/>
      <c r="W219" s="24"/>
      <c r="X219" s="24"/>
      <c r="Y219" s="24"/>
      <c r="Z219" s="98" t="str">
        <f t="shared" si="40"/>
        <v/>
      </c>
      <c r="AA219" s="40" t="str">
        <f t="shared" si="46"/>
        <v/>
      </c>
      <c r="AB219" s="88"/>
      <c r="AC219" s="24"/>
      <c r="AD219" s="24"/>
      <c r="AE219" s="79" t="str">
        <f t="shared" si="41"/>
        <v/>
      </c>
      <c r="AF219" s="24"/>
      <c r="AG219" s="24"/>
      <c r="AH219" s="24"/>
      <c r="AI219" s="24"/>
      <c r="AJ219" s="99" t="str">
        <f t="shared" si="42"/>
        <v/>
      </c>
      <c r="AK219" s="31" t="str">
        <f t="shared" si="47"/>
        <v/>
      </c>
      <c r="AN219" s="139" t="str">
        <f>IF($K219="","",VLOOKUP($K219,'ORF Accuracy Value LookUp'!$G$4:$H$104,2,TRUE))</f>
        <v/>
      </c>
      <c r="AO219" s="94" t="str">
        <f t="shared" si="43"/>
        <v/>
      </c>
      <c r="AP219" s="47" t="str">
        <f>IF($U219="","",VLOOKUP($U219,'ORF Accuracy Value LookUp'!$G$4:$H$104,2,TRUE))</f>
        <v/>
      </c>
      <c r="AQ219" s="94" t="str">
        <f t="shared" si="44"/>
        <v/>
      </c>
      <c r="AR219" s="46" t="str">
        <f>IF($AE219="","",VLOOKUP($AE219,'ORF Accuracy Value LookUp'!$G$4:$H$104,2,TRUE))</f>
        <v/>
      </c>
      <c r="AS219" s="140" t="str">
        <f t="shared" si="45"/>
        <v/>
      </c>
    </row>
    <row r="220" spans="1:45">
      <c r="A220" s="10"/>
      <c r="B220" s="9"/>
      <c r="C220" s="9"/>
      <c r="D220" s="9"/>
      <c r="E220" s="10"/>
      <c r="F220" s="11"/>
      <c r="G220" s="15"/>
      <c r="H220" s="88"/>
      <c r="I220" s="24"/>
      <c r="J220" s="24"/>
      <c r="K220" s="114" t="str">
        <f t="shared" si="36"/>
        <v/>
      </c>
      <c r="L220" s="24"/>
      <c r="M220" s="24"/>
      <c r="N220" s="24"/>
      <c r="O220" s="24"/>
      <c r="P220" s="97" t="str">
        <f t="shared" si="37"/>
        <v/>
      </c>
      <c r="Q220" s="113" t="str">
        <f t="shared" si="38"/>
        <v/>
      </c>
      <c r="R220" s="88"/>
      <c r="S220" s="24"/>
      <c r="T220" s="24"/>
      <c r="U220" s="78" t="str">
        <f t="shared" si="39"/>
        <v/>
      </c>
      <c r="V220" s="24"/>
      <c r="W220" s="24"/>
      <c r="X220" s="24"/>
      <c r="Y220" s="24"/>
      <c r="Z220" s="98" t="str">
        <f t="shared" si="40"/>
        <v/>
      </c>
      <c r="AA220" s="40" t="str">
        <f t="shared" si="46"/>
        <v/>
      </c>
      <c r="AB220" s="88"/>
      <c r="AC220" s="24"/>
      <c r="AD220" s="24"/>
      <c r="AE220" s="79" t="str">
        <f t="shared" si="41"/>
        <v/>
      </c>
      <c r="AF220" s="24"/>
      <c r="AG220" s="24"/>
      <c r="AH220" s="24"/>
      <c r="AI220" s="24"/>
      <c r="AJ220" s="99" t="str">
        <f t="shared" si="42"/>
        <v/>
      </c>
      <c r="AK220" s="31" t="str">
        <f t="shared" si="47"/>
        <v/>
      </c>
      <c r="AN220" s="139" t="str">
        <f>IF($K220="","",VLOOKUP($K220,'ORF Accuracy Value LookUp'!$G$4:$H$104,2,TRUE))</f>
        <v/>
      </c>
      <c r="AO220" s="94" t="str">
        <f t="shared" si="43"/>
        <v/>
      </c>
      <c r="AP220" s="47" t="str">
        <f>IF($U220="","",VLOOKUP($U220,'ORF Accuracy Value LookUp'!$G$4:$H$104,2,TRUE))</f>
        <v/>
      </c>
      <c r="AQ220" s="94" t="str">
        <f t="shared" si="44"/>
        <v/>
      </c>
      <c r="AR220" s="46" t="str">
        <f>IF($AE220="","",VLOOKUP($AE220,'ORF Accuracy Value LookUp'!$G$4:$H$104,2,TRUE))</f>
        <v/>
      </c>
      <c r="AS220" s="140" t="str">
        <f t="shared" si="45"/>
        <v/>
      </c>
    </row>
    <row r="221" spans="1:45">
      <c r="A221" s="10"/>
      <c r="B221" s="9"/>
      <c r="C221" s="9"/>
      <c r="D221" s="9"/>
      <c r="E221" s="10"/>
      <c r="F221" s="11"/>
      <c r="G221" s="15"/>
      <c r="H221" s="88"/>
      <c r="I221" s="24"/>
      <c r="J221" s="24"/>
      <c r="K221" s="114" t="str">
        <f t="shared" si="36"/>
        <v/>
      </c>
      <c r="L221" s="24"/>
      <c r="M221" s="24"/>
      <c r="N221" s="24"/>
      <c r="O221" s="24"/>
      <c r="P221" s="97" t="str">
        <f t="shared" si="37"/>
        <v/>
      </c>
      <c r="Q221" s="113" t="str">
        <f t="shared" si="38"/>
        <v/>
      </c>
      <c r="R221" s="88"/>
      <c r="S221" s="24"/>
      <c r="T221" s="24"/>
      <c r="U221" s="78" t="str">
        <f t="shared" si="39"/>
        <v/>
      </c>
      <c r="V221" s="24"/>
      <c r="W221" s="24"/>
      <c r="X221" s="24"/>
      <c r="Y221" s="24"/>
      <c r="Z221" s="98" t="str">
        <f t="shared" si="40"/>
        <v/>
      </c>
      <c r="AA221" s="40" t="str">
        <f t="shared" si="46"/>
        <v/>
      </c>
      <c r="AB221" s="88"/>
      <c r="AC221" s="24"/>
      <c r="AD221" s="24"/>
      <c r="AE221" s="79" t="str">
        <f t="shared" si="41"/>
        <v/>
      </c>
      <c r="AF221" s="24"/>
      <c r="AG221" s="24"/>
      <c r="AH221" s="24"/>
      <c r="AI221" s="24"/>
      <c r="AJ221" s="99" t="str">
        <f t="shared" si="42"/>
        <v/>
      </c>
      <c r="AK221" s="31" t="str">
        <f t="shared" si="47"/>
        <v/>
      </c>
      <c r="AN221" s="139" t="str">
        <f>IF($K221="","",VLOOKUP($K221,'ORF Accuracy Value LookUp'!$G$4:$H$104,2,TRUE))</f>
        <v/>
      </c>
      <c r="AO221" s="94" t="str">
        <f t="shared" si="43"/>
        <v/>
      </c>
      <c r="AP221" s="47" t="str">
        <f>IF($U221="","",VLOOKUP($U221,'ORF Accuracy Value LookUp'!$G$4:$H$104,2,TRUE))</f>
        <v/>
      </c>
      <c r="AQ221" s="94" t="str">
        <f t="shared" si="44"/>
        <v/>
      </c>
      <c r="AR221" s="46" t="str">
        <f>IF($AE221="","",VLOOKUP($AE221,'ORF Accuracy Value LookUp'!$G$4:$H$104,2,TRUE))</f>
        <v/>
      </c>
      <c r="AS221" s="140" t="str">
        <f t="shared" si="45"/>
        <v/>
      </c>
    </row>
    <row r="222" spans="1:45">
      <c r="A222" s="10"/>
      <c r="B222" s="9"/>
      <c r="C222" s="9"/>
      <c r="D222" s="9"/>
      <c r="E222" s="10"/>
      <c r="F222" s="11"/>
      <c r="G222" s="15"/>
      <c r="H222" s="88"/>
      <c r="I222" s="24"/>
      <c r="J222" s="24"/>
      <c r="K222" s="114" t="str">
        <f t="shared" si="36"/>
        <v/>
      </c>
      <c r="L222" s="24"/>
      <c r="M222" s="24"/>
      <c r="N222" s="24"/>
      <c r="O222" s="24"/>
      <c r="P222" s="97" t="str">
        <f t="shared" si="37"/>
        <v/>
      </c>
      <c r="Q222" s="113" t="str">
        <f t="shared" si="38"/>
        <v/>
      </c>
      <c r="R222" s="88"/>
      <c r="S222" s="24"/>
      <c r="T222" s="24"/>
      <c r="U222" s="78" t="str">
        <f t="shared" si="39"/>
        <v/>
      </c>
      <c r="V222" s="24"/>
      <c r="W222" s="24"/>
      <c r="X222" s="24"/>
      <c r="Y222" s="24"/>
      <c r="Z222" s="98" t="str">
        <f t="shared" si="40"/>
        <v/>
      </c>
      <c r="AA222" s="40" t="str">
        <f t="shared" si="46"/>
        <v/>
      </c>
      <c r="AB222" s="88"/>
      <c r="AC222" s="24"/>
      <c r="AD222" s="24"/>
      <c r="AE222" s="79" t="str">
        <f t="shared" si="41"/>
        <v/>
      </c>
      <c r="AF222" s="24"/>
      <c r="AG222" s="24"/>
      <c r="AH222" s="24"/>
      <c r="AI222" s="24"/>
      <c r="AJ222" s="99" t="str">
        <f t="shared" si="42"/>
        <v/>
      </c>
      <c r="AK222" s="31" t="str">
        <f t="shared" si="47"/>
        <v/>
      </c>
      <c r="AN222" s="139" t="str">
        <f>IF($K222="","",VLOOKUP($K222,'ORF Accuracy Value LookUp'!$G$4:$H$104,2,TRUE))</f>
        <v/>
      </c>
      <c r="AO222" s="94" t="str">
        <f t="shared" si="43"/>
        <v/>
      </c>
      <c r="AP222" s="47" t="str">
        <f>IF($U222="","",VLOOKUP($U222,'ORF Accuracy Value LookUp'!$G$4:$H$104,2,TRUE))</f>
        <v/>
      </c>
      <c r="AQ222" s="94" t="str">
        <f t="shared" si="44"/>
        <v/>
      </c>
      <c r="AR222" s="46" t="str">
        <f>IF($AE222="","",VLOOKUP($AE222,'ORF Accuracy Value LookUp'!$G$4:$H$104,2,TRUE))</f>
        <v/>
      </c>
      <c r="AS222" s="140" t="str">
        <f t="shared" si="45"/>
        <v/>
      </c>
    </row>
    <row r="223" spans="1:45">
      <c r="A223" s="10"/>
      <c r="B223" s="9"/>
      <c r="C223" s="9"/>
      <c r="D223" s="9"/>
      <c r="E223" s="10"/>
      <c r="F223" s="11"/>
      <c r="G223" s="15"/>
      <c r="H223" s="88"/>
      <c r="I223" s="24"/>
      <c r="J223" s="24"/>
      <c r="K223" s="114" t="str">
        <f t="shared" si="36"/>
        <v/>
      </c>
      <c r="L223" s="24"/>
      <c r="M223" s="24"/>
      <c r="N223" s="24"/>
      <c r="O223" s="24"/>
      <c r="P223" s="97" t="str">
        <f t="shared" si="37"/>
        <v/>
      </c>
      <c r="Q223" s="113" t="str">
        <f t="shared" si="38"/>
        <v/>
      </c>
      <c r="R223" s="88"/>
      <c r="S223" s="24"/>
      <c r="T223" s="24"/>
      <c r="U223" s="78" t="str">
        <f t="shared" si="39"/>
        <v/>
      </c>
      <c r="V223" s="24"/>
      <c r="W223" s="24"/>
      <c r="X223" s="24"/>
      <c r="Y223" s="24"/>
      <c r="Z223" s="98" t="str">
        <f t="shared" si="40"/>
        <v/>
      </c>
      <c r="AA223" s="40" t="str">
        <f t="shared" si="46"/>
        <v/>
      </c>
      <c r="AB223" s="88"/>
      <c r="AC223" s="24"/>
      <c r="AD223" s="24"/>
      <c r="AE223" s="79" t="str">
        <f t="shared" si="41"/>
        <v/>
      </c>
      <c r="AF223" s="24"/>
      <c r="AG223" s="24"/>
      <c r="AH223" s="24"/>
      <c r="AI223" s="24"/>
      <c r="AJ223" s="99" t="str">
        <f t="shared" si="42"/>
        <v/>
      </c>
      <c r="AK223" s="31" t="str">
        <f t="shared" si="47"/>
        <v/>
      </c>
      <c r="AN223" s="139" t="str">
        <f>IF($K223="","",VLOOKUP($K223,'ORF Accuracy Value LookUp'!$G$4:$H$104,2,TRUE))</f>
        <v/>
      </c>
      <c r="AO223" s="94" t="str">
        <f t="shared" si="43"/>
        <v/>
      </c>
      <c r="AP223" s="47" t="str">
        <f>IF($U223="","",VLOOKUP($U223,'ORF Accuracy Value LookUp'!$G$4:$H$104,2,TRUE))</f>
        <v/>
      </c>
      <c r="AQ223" s="94" t="str">
        <f t="shared" si="44"/>
        <v/>
      </c>
      <c r="AR223" s="46" t="str">
        <f>IF($AE223="","",VLOOKUP($AE223,'ORF Accuracy Value LookUp'!$G$4:$H$104,2,TRUE))</f>
        <v/>
      </c>
      <c r="AS223" s="140" t="str">
        <f t="shared" si="45"/>
        <v/>
      </c>
    </row>
    <row r="224" spans="1:45">
      <c r="A224" s="10"/>
      <c r="B224" s="9"/>
      <c r="C224" s="9"/>
      <c r="D224" s="9"/>
      <c r="E224" s="10"/>
      <c r="F224" s="11"/>
      <c r="G224" s="15"/>
      <c r="H224" s="88"/>
      <c r="I224" s="24"/>
      <c r="J224" s="24"/>
      <c r="K224" s="114" t="str">
        <f t="shared" si="36"/>
        <v/>
      </c>
      <c r="L224" s="24"/>
      <c r="M224" s="24"/>
      <c r="N224" s="24"/>
      <c r="O224" s="24"/>
      <c r="P224" s="97" t="str">
        <f t="shared" si="37"/>
        <v/>
      </c>
      <c r="Q224" s="113" t="str">
        <f t="shared" si="38"/>
        <v/>
      </c>
      <c r="R224" s="88"/>
      <c r="S224" s="24"/>
      <c r="T224" s="24"/>
      <c r="U224" s="78" t="str">
        <f t="shared" si="39"/>
        <v/>
      </c>
      <c r="V224" s="24"/>
      <c r="W224" s="24"/>
      <c r="X224" s="24"/>
      <c r="Y224" s="24"/>
      <c r="Z224" s="98" t="str">
        <f t="shared" si="40"/>
        <v/>
      </c>
      <c r="AA224" s="40" t="str">
        <f t="shared" si="46"/>
        <v/>
      </c>
      <c r="AB224" s="88"/>
      <c r="AC224" s="24"/>
      <c r="AD224" s="24"/>
      <c r="AE224" s="79" t="str">
        <f t="shared" si="41"/>
        <v/>
      </c>
      <c r="AF224" s="24"/>
      <c r="AG224" s="24"/>
      <c r="AH224" s="24"/>
      <c r="AI224" s="24"/>
      <c r="AJ224" s="99" t="str">
        <f t="shared" si="42"/>
        <v/>
      </c>
      <c r="AK224" s="31" t="str">
        <f t="shared" si="47"/>
        <v/>
      </c>
      <c r="AN224" s="139" t="str">
        <f>IF($K224="","",VLOOKUP($K224,'ORF Accuracy Value LookUp'!$G$4:$H$104,2,TRUE))</f>
        <v/>
      </c>
      <c r="AO224" s="94" t="str">
        <f t="shared" si="43"/>
        <v/>
      </c>
      <c r="AP224" s="47" t="str">
        <f>IF($U224="","",VLOOKUP($U224,'ORF Accuracy Value LookUp'!$G$4:$H$104,2,TRUE))</f>
        <v/>
      </c>
      <c r="AQ224" s="94" t="str">
        <f t="shared" si="44"/>
        <v/>
      </c>
      <c r="AR224" s="46" t="str">
        <f>IF($AE224="","",VLOOKUP($AE224,'ORF Accuracy Value LookUp'!$G$4:$H$104,2,TRUE))</f>
        <v/>
      </c>
      <c r="AS224" s="140" t="str">
        <f t="shared" si="45"/>
        <v/>
      </c>
    </row>
    <row r="225" spans="1:45">
      <c r="A225" s="10"/>
      <c r="B225" s="9"/>
      <c r="C225" s="9"/>
      <c r="D225" s="9"/>
      <c r="E225" s="10"/>
      <c r="F225" s="11"/>
      <c r="G225" s="15"/>
      <c r="H225" s="88"/>
      <c r="I225" s="24"/>
      <c r="J225" s="24"/>
      <c r="K225" s="114" t="str">
        <f t="shared" si="36"/>
        <v/>
      </c>
      <c r="L225" s="24"/>
      <c r="M225" s="24"/>
      <c r="N225" s="24"/>
      <c r="O225" s="24"/>
      <c r="P225" s="97" t="str">
        <f t="shared" si="37"/>
        <v/>
      </c>
      <c r="Q225" s="113" t="str">
        <f t="shared" si="38"/>
        <v/>
      </c>
      <c r="R225" s="88"/>
      <c r="S225" s="24"/>
      <c r="T225" s="24"/>
      <c r="U225" s="78" t="str">
        <f t="shared" si="39"/>
        <v/>
      </c>
      <c r="V225" s="24"/>
      <c r="W225" s="24"/>
      <c r="X225" s="24"/>
      <c r="Y225" s="24"/>
      <c r="Z225" s="98" t="str">
        <f t="shared" si="40"/>
        <v/>
      </c>
      <c r="AA225" s="40" t="str">
        <f t="shared" si="46"/>
        <v/>
      </c>
      <c r="AB225" s="88"/>
      <c r="AC225" s="24"/>
      <c r="AD225" s="24"/>
      <c r="AE225" s="79" t="str">
        <f t="shared" si="41"/>
        <v/>
      </c>
      <c r="AF225" s="24"/>
      <c r="AG225" s="24"/>
      <c r="AH225" s="24"/>
      <c r="AI225" s="24"/>
      <c r="AJ225" s="99" t="str">
        <f t="shared" si="42"/>
        <v/>
      </c>
      <c r="AK225" s="31" t="str">
        <f t="shared" si="47"/>
        <v/>
      </c>
      <c r="AN225" s="139" t="str">
        <f>IF($K225="","",VLOOKUP($K225,'ORF Accuracy Value LookUp'!$G$4:$H$104,2,TRUE))</f>
        <v/>
      </c>
      <c r="AO225" s="94" t="str">
        <f t="shared" si="43"/>
        <v/>
      </c>
      <c r="AP225" s="47" t="str">
        <f>IF($U225="","",VLOOKUP($U225,'ORF Accuracy Value LookUp'!$G$4:$H$104,2,TRUE))</f>
        <v/>
      </c>
      <c r="AQ225" s="94" t="str">
        <f t="shared" si="44"/>
        <v/>
      </c>
      <c r="AR225" s="46" t="str">
        <f>IF($AE225="","",VLOOKUP($AE225,'ORF Accuracy Value LookUp'!$G$4:$H$104,2,TRUE))</f>
        <v/>
      </c>
      <c r="AS225" s="140" t="str">
        <f t="shared" si="45"/>
        <v/>
      </c>
    </row>
    <row r="226" spans="1:45">
      <c r="A226" s="10"/>
      <c r="B226" s="9"/>
      <c r="C226" s="9"/>
      <c r="D226" s="9"/>
      <c r="E226" s="10"/>
      <c r="F226" s="11"/>
      <c r="G226" s="15"/>
      <c r="H226" s="88"/>
      <c r="I226" s="24"/>
      <c r="J226" s="24"/>
      <c r="K226" s="114" t="str">
        <f t="shared" si="36"/>
        <v/>
      </c>
      <c r="L226" s="24"/>
      <c r="M226" s="24"/>
      <c r="N226" s="24"/>
      <c r="O226" s="24"/>
      <c r="P226" s="97" t="str">
        <f t="shared" si="37"/>
        <v/>
      </c>
      <c r="Q226" s="113" t="str">
        <f t="shared" si="38"/>
        <v/>
      </c>
      <c r="R226" s="88"/>
      <c r="S226" s="24"/>
      <c r="T226" s="24"/>
      <c r="U226" s="78" t="str">
        <f t="shared" si="39"/>
        <v/>
      </c>
      <c r="V226" s="24"/>
      <c r="W226" s="24"/>
      <c r="X226" s="24"/>
      <c r="Y226" s="24"/>
      <c r="Z226" s="98" t="str">
        <f t="shared" si="40"/>
        <v/>
      </c>
      <c r="AA226" s="40" t="str">
        <f t="shared" si="46"/>
        <v/>
      </c>
      <c r="AB226" s="88"/>
      <c r="AC226" s="24"/>
      <c r="AD226" s="24"/>
      <c r="AE226" s="79" t="str">
        <f t="shared" si="41"/>
        <v/>
      </c>
      <c r="AF226" s="24"/>
      <c r="AG226" s="24"/>
      <c r="AH226" s="24"/>
      <c r="AI226" s="24"/>
      <c r="AJ226" s="99" t="str">
        <f t="shared" si="42"/>
        <v/>
      </c>
      <c r="AK226" s="31" t="str">
        <f t="shared" si="47"/>
        <v/>
      </c>
      <c r="AN226" s="139" t="str">
        <f>IF($K226="","",VLOOKUP($K226,'ORF Accuracy Value LookUp'!$G$4:$H$104,2,TRUE))</f>
        <v/>
      </c>
      <c r="AO226" s="94" t="str">
        <f t="shared" si="43"/>
        <v/>
      </c>
      <c r="AP226" s="47" t="str">
        <f>IF($U226="","",VLOOKUP($U226,'ORF Accuracy Value LookUp'!$G$4:$H$104,2,TRUE))</f>
        <v/>
      </c>
      <c r="AQ226" s="94" t="str">
        <f t="shared" si="44"/>
        <v/>
      </c>
      <c r="AR226" s="46" t="str">
        <f>IF($AE226="","",VLOOKUP($AE226,'ORF Accuracy Value LookUp'!$G$4:$H$104,2,TRUE))</f>
        <v/>
      </c>
      <c r="AS226" s="140" t="str">
        <f t="shared" si="45"/>
        <v/>
      </c>
    </row>
    <row r="227" spans="1:45">
      <c r="A227" s="10"/>
      <c r="B227" s="9"/>
      <c r="C227" s="9"/>
      <c r="D227" s="9"/>
      <c r="E227" s="10"/>
      <c r="F227" s="11"/>
      <c r="G227" s="15"/>
      <c r="H227" s="88"/>
      <c r="I227" s="24"/>
      <c r="J227" s="24"/>
      <c r="K227" s="114" t="str">
        <f t="shared" si="36"/>
        <v/>
      </c>
      <c r="L227" s="24"/>
      <c r="M227" s="24"/>
      <c r="N227" s="24"/>
      <c r="O227" s="24"/>
      <c r="P227" s="97" t="str">
        <f t="shared" si="37"/>
        <v/>
      </c>
      <c r="Q227" s="113" t="str">
        <f t="shared" si="38"/>
        <v/>
      </c>
      <c r="R227" s="88"/>
      <c r="S227" s="24"/>
      <c r="T227" s="24"/>
      <c r="U227" s="78" t="str">
        <f t="shared" si="39"/>
        <v/>
      </c>
      <c r="V227" s="24"/>
      <c r="W227" s="24"/>
      <c r="X227" s="24"/>
      <c r="Y227" s="24"/>
      <c r="Z227" s="98" t="str">
        <f t="shared" si="40"/>
        <v/>
      </c>
      <c r="AA227" s="40" t="str">
        <f t="shared" si="46"/>
        <v/>
      </c>
      <c r="AB227" s="88"/>
      <c r="AC227" s="24"/>
      <c r="AD227" s="24"/>
      <c r="AE227" s="79" t="str">
        <f t="shared" si="41"/>
        <v/>
      </c>
      <c r="AF227" s="24"/>
      <c r="AG227" s="24"/>
      <c r="AH227" s="24"/>
      <c r="AI227" s="24"/>
      <c r="AJ227" s="99" t="str">
        <f t="shared" si="42"/>
        <v/>
      </c>
      <c r="AK227" s="31" t="str">
        <f t="shared" si="47"/>
        <v/>
      </c>
      <c r="AN227" s="139" t="str">
        <f>IF($K227="","",VLOOKUP($K227,'ORF Accuracy Value LookUp'!$G$4:$H$104,2,TRUE))</f>
        <v/>
      </c>
      <c r="AO227" s="94" t="str">
        <f t="shared" si="43"/>
        <v/>
      </c>
      <c r="AP227" s="47" t="str">
        <f>IF($U227="","",VLOOKUP($U227,'ORF Accuracy Value LookUp'!$G$4:$H$104,2,TRUE))</f>
        <v/>
      </c>
      <c r="AQ227" s="94" t="str">
        <f t="shared" si="44"/>
        <v/>
      </c>
      <c r="AR227" s="46" t="str">
        <f>IF($AE227="","",VLOOKUP($AE227,'ORF Accuracy Value LookUp'!$G$4:$H$104,2,TRUE))</f>
        <v/>
      </c>
      <c r="AS227" s="140" t="str">
        <f t="shared" si="45"/>
        <v/>
      </c>
    </row>
    <row r="228" spans="1:45">
      <c r="A228" s="10"/>
      <c r="B228" s="9"/>
      <c r="C228" s="9"/>
      <c r="D228" s="9"/>
      <c r="E228" s="10"/>
      <c r="F228" s="11"/>
      <c r="G228" s="15"/>
      <c r="H228" s="88"/>
      <c r="I228" s="24"/>
      <c r="J228" s="24"/>
      <c r="K228" s="114" t="str">
        <f t="shared" si="36"/>
        <v/>
      </c>
      <c r="L228" s="24"/>
      <c r="M228" s="24"/>
      <c r="N228" s="24"/>
      <c r="O228" s="24"/>
      <c r="P228" s="97" t="str">
        <f t="shared" si="37"/>
        <v/>
      </c>
      <c r="Q228" s="113" t="str">
        <f t="shared" si="38"/>
        <v/>
      </c>
      <c r="R228" s="88"/>
      <c r="S228" s="24"/>
      <c r="T228" s="24"/>
      <c r="U228" s="78" t="str">
        <f t="shared" si="39"/>
        <v/>
      </c>
      <c r="V228" s="24"/>
      <c r="W228" s="24"/>
      <c r="X228" s="24"/>
      <c r="Y228" s="24"/>
      <c r="Z228" s="98" t="str">
        <f t="shared" si="40"/>
        <v/>
      </c>
      <c r="AA228" s="40" t="str">
        <f t="shared" si="46"/>
        <v/>
      </c>
      <c r="AB228" s="88"/>
      <c r="AC228" s="24"/>
      <c r="AD228" s="24"/>
      <c r="AE228" s="79" t="str">
        <f t="shared" si="41"/>
        <v/>
      </c>
      <c r="AF228" s="24"/>
      <c r="AG228" s="24"/>
      <c r="AH228" s="24"/>
      <c r="AI228" s="24"/>
      <c r="AJ228" s="99" t="str">
        <f t="shared" si="42"/>
        <v/>
      </c>
      <c r="AK228" s="31" t="str">
        <f t="shared" si="47"/>
        <v/>
      </c>
      <c r="AN228" s="139" t="str">
        <f>IF($K228="","",VLOOKUP($K228,'ORF Accuracy Value LookUp'!$G$4:$H$104,2,TRUE))</f>
        <v/>
      </c>
      <c r="AO228" s="94" t="str">
        <f t="shared" si="43"/>
        <v/>
      </c>
      <c r="AP228" s="47" t="str">
        <f>IF($U228="","",VLOOKUP($U228,'ORF Accuracy Value LookUp'!$G$4:$H$104,2,TRUE))</f>
        <v/>
      </c>
      <c r="AQ228" s="94" t="str">
        <f t="shared" si="44"/>
        <v/>
      </c>
      <c r="AR228" s="46" t="str">
        <f>IF($AE228="","",VLOOKUP($AE228,'ORF Accuracy Value LookUp'!$G$4:$H$104,2,TRUE))</f>
        <v/>
      </c>
      <c r="AS228" s="140" t="str">
        <f t="shared" si="45"/>
        <v/>
      </c>
    </row>
    <row r="229" spans="1:45">
      <c r="A229" s="10"/>
      <c r="B229" s="9"/>
      <c r="C229" s="9"/>
      <c r="D229" s="9"/>
      <c r="E229" s="10"/>
      <c r="F229" s="11"/>
      <c r="G229" s="15"/>
      <c r="H229" s="88"/>
      <c r="I229" s="24"/>
      <c r="J229" s="24"/>
      <c r="K229" s="114" t="str">
        <f t="shared" si="36"/>
        <v/>
      </c>
      <c r="L229" s="24"/>
      <c r="M229" s="24"/>
      <c r="N229" s="24"/>
      <c r="O229" s="24"/>
      <c r="P229" s="97" t="str">
        <f t="shared" si="37"/>
        <v/>
      </c>
      <c r="Q229" s="113" t="str">
        <f t="shared" si="38"/>
        <v/>
      </c>
      <c r="R229" s="88"/>
      <c r="S229" s="24"/>
      <c r="T229" s="24"/>
      <c r="U229" s="78" t="str">
        <f t="shared" si="39"/>
        <v/>
      </c>
      <c r="V229" s="24"/>
      <c r="W229" s="24"/>
      <c r="X229" s="24"/>
      <c r="Y229" s="24"/>
      <c r="Z229" s="98" t="str">
        <f t="shared" si="40"/>
        <v/>
      </c>
      <c r="AA229" s="40" t="str">
        <f t="shared" si="46"/>
        <v/>
      </c>
      <c r="AB229" s="88"/>
      <c r="AC229" s="24"/>
      <c r="AD229" s="24"/>
      <c r="AE229" s="79" t="str">
        <f t="shared" si="41"/>
        <v/>
      </c>
      <c r="AF229" s="24"/>
      <c r="AG229" s="24"/>
      <c r="AH229" s="24"/>
      <c r="AI229" s="24"/>
      <c r="AJ229" s="99" t="str">
        <f t="shared" si="42"/>
        <v/>
      </c>
      <c r="AK229" s="31" t="str">
        <f t="shared" si="47"/>
        <v/>
      </c>
      <c r="AN229" s="139" t="str">
        <f>IF($K229="","",VLOOKUP($K229,'ORF Accuracy Value LookUp'!$G$4:$H$104,2,TRUE))</f>
        <v/>
      </c>
      <c r="AO229" s="94" t="str">
        <f t="shared" si="43"/>
        <v/>
      </c>
      <c r="AP229" s="47" t="str">
        <f>IF($U229="","",VLOOKUP($U229,'ORF Accuracy Value LookUp'!$G$4:$H$104,2,TRUE))</f>
        <v/>
      </c>
      <c r="AQ229" s="94" t="str">
        <f t="shared" si="44"/>
        <v/>
      </c>
      <c r="AR229" s="46" t="str">
        <f>IF($AE229="","",VLOOKUP($AE229,'ORF Accuracy Value LookUp'!$G$4:$H$104,2,TRUE))</f>
        <v/>
      </c>
      <c r="AS229" s="140" t="str">
        <f t="shared" si="45"/>
        <v/>
      </c>
    </row>
    <row r="230" spans="1:45">
      <c r="A230" s="10"/>
      <c r="B230" s="9"/>
      <c r="C230" s="9"/>
      <c r="D230" s="9"/>
      <c r="E230" s="10"/>
      <c r="F230" s="11"/>
      <c r="G230" s="15"/>
      <c r="H230" s="88"/>
      <c r="I230" s="24"/>
      <c r="J230" s="24"/>
      <c r="K230" s="114" t="str">
        <f t="shared" si="36"/>
        <v/>
      </c>
      <c r="L230" s="24"/>
      <c r="M230" s="24"/>
      <c r="N230" s="24"/>
      <c r="O230" s="24"/>
      <c r="P230" s="97" t="str">
        <f t="shared" si="37"/>
        <v/>
      </c>
      <c r="Q230" s="113" t="str">
        <f t="shared" si="38"/>
        <v/>
      </c>
      <c r="R230" s="88"/>
      <c r="S230" s="24"/>
      <c r="T230" s="24"/>
      <c r="U230" s="78" t="str">
        <f t="shared" si="39"/>
        <v/>
      </c>
      <c r="V230" s="24"/>
      <c r="W230" s="24"/>
      <c r="X230" s="24"/>
      <c r="Y230" s="24"/>
      <c r="Z230" s="98" t="str">
        <f t="shared" si="40"/>
        <v/>
      </c>
      <c r="AA230" s="40" t="str">
        <f t="shared" si="46"/>
        <v/>
      </c>
      <c r="AB230" s="88"/>
      <c r="AC230" s="24"/>
      <c r="AD230" s="24"/>
      <c r="AE230" s="79" t="str">
        <f t="shared" si="41"/>
        <v/>
      </c>
      <c r="AF230" s="24"/>
      <c r="AG230" s="24"/>
      <c r="AH230" s="24"/>
      <c r="AI230" s="24"/>
      <c r="AJ230" s="99" t="str">
        <f t="shared" si="42"/>
        <v/>
      </c>
      <c r="AK230" s="31" t="str">
        <f t="shared" si="47"/>
        <v/>
      </c>
      <c r="AN230" s="139" t="str">
        <f>IF($K230="","",VLOOKUP($K230,'ORF Accuracy Value LookUp'!$G$4:$H$104,2,TRUE))</f>
        <v/>
      </c>
      <c r="AO230" s="94" t="str">
        <f t="shared" si="43"/>
        <v/>
      </c>
      <c r="AP230" s="47" t="str">
        <f>IF($U230="","",VLOOKUP($U230,'ORF Accuracy Value LookUp'!$G$4:$H$104,2,TRUE))</f>
        <v/>
      </c>
      <c r="AQ230" s="94" t="str">
        <f t="shared" si="44"/>
        <v/>
      </c>
      <c r="AR230" s="46" t="str">
        <f>IF($AE230="","",VLOOKUP($AE230,'ORF Accuracy Value LookUp'!$G$4:$H$104,2,TRUE))</f>
        <v/>
      </c>
      <c r="AS230" s="140" t="str">
        <f t="shared" si="45"/>
        <v/>
      </c>
    </row>
    <row r="231" spans="1:45">
      <c r="A231" s="10"/>
      <c r="B231" s="9"/>
      <c r="C231" s="9"/>
      <c r="D231" s="9"/>
      <c r="E231" s="10"/>
      <c r="F231" s="11"/>
      <c r="G231" s="15"/>
      <c r="H231" s="88"/>
      <c r="I231" s="24"/>
      <c r="J231" s="24"/>
      <c r="K231" s="114" t="str">
        <f t="shared" si="36"/>
        <v/>
      </c>
      <c r="L231" s="24"/>
      <c r="M231" s="24"/>
      <c r="N231" s="24"/>
      <c r="O231" s="24"/>
      <c r="P231" s="97" t="str">
        <f t="shared" si="37"/>
        <v/>
      </c>
      <c r="Q231" s="113" t="str">
        <f t="shared" si="38"/>
        <v/>
      </c>
      <c r="R231" s="88"/>
      <c r="S231" s="24"/>
      <c r="T231" s="24"/>
      <c r="U231" s="78" t="str">
        <f t="shared" si="39"/>
        <v/>
      </c>
      <c r="V231" s="24"/>
      <c r="W231" s="24"/>
      <c r="X231" s="24"/>
      <c r="Y231" s="24"/>
      <c r="Z231" s="98" t="str">
        <f t="shared" si="40"/>
        <v/>
      </c>
      <c r="AA231" s="40" t="str">
        <f t="shared" si="46"/>
        <v/>
      </c>
      <c r="AB231" s="88"/>
      <c r="AC231" s="24"/>
      <c r="AD231" s="24"/>
      <c r="AE231" s="79" t="str">
        <f t="shared" si="41"/>
        <v/>
      </c>
      <c r="AF231" s="24"/>
      <c r="AG231" s="24"/>
      <c r="AH231" s="24"/>
      <c r="AI231" s="24"/>
      <c r="AJ231" s="99" t="str">
        <f t="shared" si="42"/>
        <v/>
      </c>
      <c r="AK231" s="31" t="str">
        <f t="shared" si="47"/>
        <v/>
      </c>
      <c r="AN231" s="139" t="str">
        <f>IF($K231="","",VLOOKUP($K231,'ORF Accuracy Value LookUp'!$G$4:$H$104,2,TRUE))</f>
        <v/>
      </c>
      <c r="AO231" s="94" t="str">
        <f t="shared" si="43"/>
        <v/>
      </c>
      <c r="AP231" s="47" t="str">
        <f>IF($U231="","",VLOOKUP($U231,'ORF Accuracy Value LookUp'!$G$4:$H$104,2,TRUE))</f>
        <v/>
      </c>
      <c r="AQ231" s="94" t="str">
        <f t="shared" si="44"/>
        <v/>
      </c>
      <c r="AR231" s="46" t="str">
        <f>IF($AE231="","",VLOOKUP($AE231,'ORF Accuracy Value LookUp'!$G$4:$H$104,2,TRUE))</f>
        <v/>
      </c>
      <c r="AS231" s="140" t="str">
        <f t="shared" si="45"/>
        <v/>
      </c>
    </row>
    <row r="232" spans="1:45">
      <c r="A232" s="10"/>
      <c r="B232" s="9"/>
      <c r="C232" s="9"/>
      <c r="D232" s="9"/>
      <c r="E232" s="10"/>
      <c r="F232" s="11"/>
      <c r="G232" s="15"/>
      <c r="H232" s="88"/>
      <c r="I232" s="24"/>
      <c r="J232" s="24"/>
      <c r="K232" s="114" t="str">
        <f t="shared" si="36"/>
        <v/>
      </c>
      <c r="L232" s="24"/>
      <c r="M232" s="24"/>
      <c r="N232" s="24"/>
      <c r="O232" s="24"/>
      <c r="P232" s="97" t="str">
        <f t="shared" si="37"/>
        <v/>
      </c>
      <c r="Q232" s="113" t="str">
        <f t="shared" si="38"/>
        <v/>
      </c>
      <c r="R232" s="88"/>
      <c r="S232" s="24"/>
      <c r="T232" s="24"/>
      <c r="U232" s="78" t="str">
        <f t="shared" si="39"/>
        <v/>
      </c>
      <c r="V232" s="24"/>
      <c r="W232" s="24"/>
      <c r="X232" s="24"/>
      <c r="Y232" s="24"/>
      <c r="Z232" s="98" t="str">
        <f t="shared" si="40"/>
        <v/>
      </c>
      <c r="AA232" s="40" t="str">
        <f t="shared" si="46"/>
        <v/>
      </c>
      <c r="AB232" s="88"/>
      <c r="AC232" s="24"/>
      <c r="AD232" s="24"/>
      <c r="AE232" s="79" t="str">
        <f t="shared" si="41"/>
        <v/>
      </c>
      <c r="AF232" s="24"/>
      <c r="AG232" s="24"/>
      <c r="AH232" s="24"/>
      <c r="AI232" s="24"/>
      <c r="AJ232" s="99" t="str">
        <f t="shared" si="42"/>
        <v/>
      </c>
      <c r="AK232" s="31" t="str">
        <f t="shared" si="47"/>
        <v/>
      </c>
      <c r="AN232" s="139" t="str">
        <f>IF($K232="","",VLOOKUP($K232,'ORF Accuracy Value LookUp'!$G$4:$H$104,2,TRUE))</f>
        <v/>
      </c>
      <c r="AO232" s="94" t="str">
        <f t="shared" si="43"/>
        <v/>
      </c>
      <c r="AP232" s="47" t="str">
        <f>IF($U232="","",VLOOKUP($U232,'ORF Accuracy Value LookUp'!$G$4:$H$104,2,TRUE))</f>
        <v/>
      </c>
      <c r="AQ232" s="94" t="str">
        <f t="shared" si="44"/>
        <v/>
      </c>
      <c r="AR232" s="46" t="str">
        <f>IF($AE232="","",VLOOKUP($AE232,'ORF Accuracy Value LookUp'!$G$4:$H$104,2,TRUE))</f>
        <v/>
      </c>
      <c r="AS232" s="140" t="str">
        <f t="shared" si="45"/>
        <v/>
      </c>
    </row>
    <row r="233" spans="1:45">
      <c r="A233" s="10"/>
      <c r="B233" s="9"/>
      <c r="C233" s="9"/>
      <c r="D233" s="9"/>
      <c r="E233" s="10"/>
      <c r="F233" s="11"/>
      <c r="G233" s="15"/>
      <c r="H233" s="88"/>
      <c r="I233" s="24"/>
      <c r="J233" s="24"/>
      <c r="K233" s="114" t="str">
        <f t="shared" si="36"/>
        <v/>
      </c>
      <c r="L233" s="24"/>
      <c r="M233" s="24"/>
      <c r="N233" s="24"/>
      <c r="O233" s="24"/>
      <c r="P233" s="97" t="str">
        <f t="shared" si="37"/>
        <v/>
      </c>
      <c r="Q233" s="113" t="str">
        <f t="shared" si="38"/>
        <v/>
      </c>
      <c r="R233" s="88"/>
      <c r="S233" s="24"/>
      <c r="T233" s="24"/>
      <c r="U233" s="78" t="str">
        <f t="shared" si="39"/>
        <v/>
      </c>
      <c r="V233" s="24"/>
      <c r="W233" s="24"/>
      <c r="X233" s="24"/>
      <c r="Y233" s="24"/>
      <c r="Z233" s="98" t="str">
        <f t="shared" si="40"/>
        <v/>
      </c>
      <c r="AA233" s="40" t="str">
        <f t="shared" si="46"/>
        <v/>
      </c>
      <c r="AB233" s="88"/>
      <c r="AC233" s="24"/>
      <c r="AD233" s="24"/>
      <c r="AE233" s="79" t="str">
        <f t="shared" si="41"/>
        <v/>
      </c>
      <c r="AF233" s="24"/>
      <c r="AG233" s="24"/>
      <c r="AH233" s="24"/>
      <c r="AI233" s="24"/>
      <c r="AJ233" s="99" t="str">
        <f t="shared" si="42"/>
        <v/>
      </c>
      <c r="AK233" s="31" t="str">
        <f t="shared" si="47"/>
        <v/>
      </c>
      <c r="AN233" s="139" t="str">
        <f>IF($K233="","",VLOOKUP($K233,'ORF Accuracy Value LookUp'!$G$4:$H$104,2,TRUE))</f>
        <v/>
      </c>
      <c r="AO233" s="94" t="str">
        <f t="shared" si="43"/>
        <v/>
      </c>
      <c r="AP233" s="47" t="str">
        <f>IF($U233="","",VLOOKUP($U233,'ORF Accuracy Value LookUp'!$G$4:$H$104,2,TRUE))</f>
        <v/>
      </c>
      <c r="AQ233" s="94" t="str">
        <f t="shared" si="44"/>
        <v/>
      </c>
      <c r="AR233" s="46" t="str">
        <f>IF($AE233="","",VLOOKUP($AE233,'ORF Accuracy Value LookUp'!$G$4:$H$104,2,TRUE))</f>
        <v/>
      </c>
      <c r="AS233" s="140" t="str">
        <f t="shared" si="45"/>
        <v/>
      </c>
    </row>
    <row r="234" spans="1:45">
      <c r="A234" s="10"/>
      <c r="B234" s="9"/>
      <c r="C234" s="9"/>
      <c r="D234" s="9"/>
      <c r="E234" s="10"/>
      <c r="F234" s="11"/>
      <c r="G234" s="15"/>
      <c r="H234" s="88"/>
      <c r="I234" s="24"/>
      <c r="J234" s="24"/>
      <c r="K234" s="114" t="str">
        <f t="shared" si="36"/>
        <v/>
      </c>
      <c r="L234" s="24"/>
      <c r="M234" s="24"/>
      <c r="N234" s="24"/>
      <c r="O234" s="24"/>
      <c r="P234" s="97" t="str">
        <f t="shared" si="37"/>
        <v/>
      </c>
      <c r="Q234" s="113" t="str">
        <f t="shared" si="38"/>
        <v/>
      </c>
      <c r="R234" s="88"/>
      <c r="S234" s="24"/>
      <c r="T234" s="24"/>
      <c r="U234" s="78" t="str">
        <f t="shared" si="39"/>
        <v/>
      </c>
      <c r="V234" s="24"/>
      <c r="W234" s="24"/>
      <c r="X234" s="24"/>
      <c r="Y234" s="24"/>
      <c r="Z234" s="98" t="str">
        <f t="shared" si="40"/>
        <v/>
      </c>
      <c r="AA234" s="40" t="str">
        <f t="shared" si="46"/>
        <v/>
      </c>
      <c r="AB234" s="88"/>
      <c r="AC234" s="24"/>
      <c r="AD234" s="24"/>
      <c r="AE234" s="79" t="str">
        <f t="shared" si="41"/>
        <v/>
      </c>
      <c r="AF234" s="24"/>
      <c r="AG234" s="24"/>
      <c r="AH234" s="24"/>
      <c r="AI234" s="24"/>
      <c r="AJ234" s="99" t="str">
        <f t="shared" si="42"/>
        <v/>
      </c>
      <c r="AK234" s="31" t="str">
        <f t="shared" si="47"/>
        <v/>
      </c>
      <c r="AN234" s="139" t="str">
        <f>IF($K234="","",VLOOKUP($K234,'ORF Accuracy Value LookUp'!$G$4:$H$104,2,TRUE))</f>
        <v/>
      </c>
      <c r="AO234" s="94" t="str">
        <f t="shared" si="43"/>
        <v/>
      </c>
      <c r="AP234" s="47" t="str">
        <f>IF($U234="","",VLOOKUP($U234,'ORF Accuracy Value LookUp'!$G$4:$H$104,2,TRUE))</f>
        <v/>
      </c>
      <c r="AQ234" s="94" t="str">
        <f t="shared" si="44"/>
        <v/>
      </c>
      <c r="AR234" s="46" t="str">
        <f>IF($AE234="","",VLOOKUP($AE234,'ORF Accuracy Value LookUp'!$G$4:$H$104,2,TRUE))</f>
        <v/>
      </c>
      <c r="AS234" s="140" t="str">
        <f t="shared" si="45"/>
        <v/>
      </c>
    </row>
    <row r="235" spans="1:45">
      <c r="A235" s="10"/>
      <c r="B235" s="9"/>
      <c r="C235" s="9"/>
      <c r="D235" s="9"/>
      <c r="E235" s="10"/>
      <c r="F235" s="11"/>
      <c r="G235" s="15"/>
      <c r="H235" s="88"/>
      <c r="I235" s="24"/>
      <c r="J235" s="24"/>
      <c r="K235" s="114" t="str">
        <f t="shared" si="36"/>
        <v/>
      </c>
      <c r="L235" s="24"/>
      <c r="M235" s="24"/>
      <c r="N235" s="24"/>
      <c r="O235" s="24"/>
      <c r="P235" s="97" t="str">
        <f t="shared" si="37"/>
        <v/>
      </c>
      <c r="Q235" s="113" t="str">
        <f t="shared" si="38"/>
        <v/>
      </c>
      <c r="R235" s="88"/>
      <c r="S235" s="24"/>
      <c r="T235" s="24"/>
      <c r="U235" s="78" t="str">
        <f t="shared" si="39"/>
        <v/>
      </c>
      <c r="V235" s="24"/>
      <c r="W235" s="24"/>
      <c r="X235" s="24"/>
      <c r="Y235" s="24"/>
      <c r="Z235" s="98" t="str">
        <f t="shared" si="40"/>
        <v/>
      </c>
      <c r="AA235" s="40" t="str">
        <f t="shared" si="46"/>
        <v/>
      </c>
      <c r="AB235" s="88"/>
      <c r="AC235" s="24"/>
      <c r="AD235" s="24"/>
      <c r="AE235" s="79" t="str">
        <f t="shared" si="41"/>
        <v/>
      </c>
      <c r="AF235" s="24"/>
      <c r="AG235" s="24"/>
      <c r="AH235" s="24"/>
      <c r="AI235" s="24"/>
      <c r="AJ235" s="99" t="str">
        <f t="shared" si="42"/>
        <v/>
      </c>
      <c r="AK235" s="31" t="str">
        <f t="shared" si="47"/>
        <v/>
      </c>
      <c r="AN235" s="139" t="str">
        <f>IF($K235="","",VLOOKUP($K235,'ORF Accuracy Value LookUp'!$G$4:$H$104,2,TRUE))</f>
        <v/>
      </c>
      <c r="AO235" s="94" t="str">
        <f t="shared" si="43"/>
        <v/>
      </c>
      <c r="AP235" s="47" t="str">
        <f>IF($U235="","",VLOOKUP($U235,'ORF Accuracy Value LookUp'!$G$4:$H$104,2,TRUE))</f>
        <v/>
      </c>
      <c r="AQ235" s="94" t="str">
        <f t="shared" si="44"/>
        <v/>
      </c>
      <c r="AR235" s="46" t="str">
        <f>IF($AE235="","",VLOOKUP($AE235,'ORF Accuracy Value LookUp'!$G$4:$H$104,2,TRUE))</f>
        <v/>
      </c>
      <c r="AS235" s="140" t="str">
        <f t="shared" si="45"/>
        <v/>
      </c>
    </row>
    <row r="236" spans="1:45">
      <c r="A236" s="10"/>
      <c r="B236" s="9"/>
      <c r="C236" s="9"/>
      <c r="D236" s="9"/>
      <c r="E236" s="10"/>
      <c r="F236" s="11"/>
      <c r="G236" s="15"/>
      <c r="H236" s="88"/>
      <c r="I236" s="24"/>
      <c r="J236" s="24"/>
      <c r="K236" s="114" t="str">
        <f t="shared" si="36"/>
        <v/>
      </c>
      <c r="L236" s="24"/>
      <c r="M236" s="24"/>
      <c r="N236" s="24"/>
      <c r="O236" s="24"/>
      <c r="P236" s="97" t="str">
        <f t="shared" si="37"/>
        <v/>
      </c>
      <c r="Q236" s="113" t="str">
        <f t="shared" si="38"/>
        <v/>
      </c>
      <c r="R236" s="88"/>
      <c r="S236" s="24"/>
      <c r="T236" s="24"/>
      <c r="U236" s="78" t="str">
        <f t="shared" si="39"/>
        <v/>
      </c>
      <c r="V236" s="24"/>
      <c r="W236" s="24"/>
      <c r="X236" s="24"/>
      <c r="Y236" s="24"/>
      <c r="Z236" s="98" t="str">
        <f t="shared" si="40"/>
        <v/>
      </c>
      <c r="AA236" s="40" t="str">
        <f t="shared" si="46"/>
        <v/>
      </c>
      <c r="AB236" s="88"/>
      <c r="AC236" s="24"/>
      <c r="AD236" s="24"/>
      <c r="AE236" s="79" t="str">
        <f t="shared" si="41"/>
        <v/>
      </c>
      <c r="AF236" s="24"/>
      <c r="AG236" s="24"/>
      <c r="AH236" s="24"/>
      <c r="AI236" s="24"/>
      <c r="AJ236" s="99" t="str">
        <f t="shared" si="42"/>
        <v/>
      </c>
      <c r="AK236" s="31" t="str">
        <f t="shared" si="47"/>
        <v/>
      </c>
      <c r="AN236" s="139" t="str">
        <f>IF($K236="","",VLOOKUP($K236,'ORF Accuracy Value LookUp'!$G$4:$H$104,2,TRUE))</f>
        <v/>
      </c>
      <c r="AO236" s="94" t="str">
        <f t="shared" si="43"/>
        <v/>
      </c>
      <c r="AP236" s="47" t="str">
        <f>IF($U236="","",VLOOKUP($U236,'ORF Accuracy Value LookUp'!$G$4:$H$104,2,TRUE))</f>
        <v/>
      </c>
      <c r="AQ236" s="94" t="str">
        <f t="shared" si="44"/>
        <v/>
      </c>
      <c r="AR236" s="46" t="str">
        <f>IF($AE236="","",VLOOKUP($AE236,'ORF Accuracy Value LookUp'!$G$4:$H$104,2,TRUE))</f>
        <v/>
      </c>
      <c r="AS236" s="140" t="str">
        <f t="shared" si="45"/>
        <v/>
      </c>
    </row>
    <row r="237" spans="1:45">
      <c r="A237" s="10"/>
      <c r="B237" s="9"/>
      <c r="C237" s="9"/>
      <c r="D237" s="9"/>
      <c r="E237" s="10"/>
      <c r="F237" s="11"/>
      <c r="G237" s="15"/>
      <c r="H237" s="88"/>
      <c r="I237" s="24"/>
      <c r="J237" s="24"/>
      <c r="K237" s="114" t="str">
        <f t="shared" si="36"/>
        <v/>
      </c>
      <c r="L237" s="24"/>
      <c r="M237" s="24"/>
      <c r="N237" s="24"/>
      <c r="O237" s="24"/>
      <c r="P237" s="97" t="str">
        <f t="shared" si="37"/>
        <v/>
      </c>
      <c r="Q237" s="113" t="str">
        <f t="shared" si="38"/>
        <v/>
      </c>
      <c r="R237" s="88"/>
      <c r="S237" s="24"/>
      <c r="T237" s="24"/>
      <c r="U237" s="78" t="str">
        <f t="shared" si="39"/>
        <v/>
      </c>
      <c r="V237" s="24"/>
      <c r="W237" s="24"/>
      <c r="X237" s="24"/>
      <c r="Y237" s="24"/>
      <c r="Z237" s="98" t="str">
        <f t="shared" si="40"/>
        <v/>
      </c>
      <c r="AA237" s="40" t="str">
        <f t="shared" si="46"/>
        <v/>
      </c>
      <c r="AB237" s="88"/>
      <c r="AC237" s="24"/>
      <c r="AD237" s="24"/>
      <c r="AE237" s="79" t="str">
        <f t="shared" si="41"/>
        <v/>
      </c>
      <c r="AF237" s="24"/>
      <c r="AG237" s="24"/>
      <c r="AH237" s="24"/>
      <c r="AI237" s="24"/>
      <c r="AJ237" s="99" t="str">
        <f t="shared" si="42"/>
        <v/>
      </c>
      <c r="AK237" s="31" t="str">
        <f t="shared" si="47"/>
        <v/>
      </c>
      <c r="AN237" s="139" t="str">
        <f>IF($K237="","",VLOOKUP($K237,'ORF Accuracy Value LookUp'!$G$4:$H$104,2,TRUE))</f>
        <v/>
      </c>
      <c r="AO237" s="94" t="str">
        <f t="shared" si="43"/>
        <v/>
      </c>
      <c r="AP237" s="47" t="str">
        <f>IF($U237="","",VLOOKUP($U237,'ORF Accuracy Value LookUp'!$G$4:$H$104,2,TRUE))</f>
        <v/>
      </c>
      <c r="AQ237" s="94" t="str">
        <f t="shared" si="44"/>
        <v/>
      </c>
      <c r="AR237" s="46" t="str">
        <f>IF($AE237="","",VLOOKUP($AE237,'ORF Accuracy Value LookUp'!$G$4:$H$104,2,TRUE))</f>
        <v/>
      </c>
      <c r="AS237" s="140" t="str">
        <f t="shared" si="45"/>
        <v/>
      </c>
    </row>
    <row r="238" spans="1:45">
      <c r="A238" s="10"/>
      <c r="B238" s="9"/>
      <c r="C238" s="9"/>
      <c r="D238" s="9"/>
      <c r="E238" s="10"/>
      <c r="F238" s="11"/>
      <c r="G238" s="15"/>
      <c r="H238" s="88"/>
      <c r="I238" s="24"/>
      <c r="J238" s="24"/>
      <c r="K238" s="114" t="str">
        <f t="shared" si="36"/>
        <v/>
      </c>
      <c r="L238" s="24"/>
      <c r="M238" s="24"/>
      <c r="N238" s="24"/>
      <c r="O238" s="24"/>
      <c r="P238" s="97" t="str">
        <f t="shared" si="37"/>
        <v/>
      </c>
      <c r="Q238" s="113" t="str">
        <f t="shared" si="38"/>
        <v/>
      </c>
      <c r="R238" s="88"/>
      <c r="S238" s="24"/>
      <c r="T238" s="24"/>
      <c r="U238" s="78" t="str">
        <f t="shared" si="39"/>
        <v/>
      </c>
      <c r="V238" s="24"/>
      <c r="W238" s="24"/>
      <c r="X238" s="24"/>
      <c r="Y238" s="24"/>
      <c r="Z238" s="98" t="str">
        <f t="shared" si="40"/>
        <v/>
      </c>
      <c r="AA238" s="40" t="str">
        <f t="shared" si="46"/>
        <v/>
      </c>
      <c r="AB238" s="88"/>
      <c r="AC238" s="24"/>
      <c r="AD238" s="24"/>
      <c r="AE238" s="79" t="str">
        <f t="shared" si="41"/>
        <v/>
      </c>
      <c r="AF238" s="24"/>
      <c r="AG238" s="24"/>
      <c r="AH238" s="24"/>
      <c r="AI238" s="24"/>
      <c r="AJ238" s="99" t="str">
        <f t="shared" si="42"/>
        <v/>
      </c>
      <c r="AK238" s="31" t="str">
        <f t="shared" si="47"/>
        <v/>
      </c>
      <c r="AN238" s="139" t="str">
        <f>IF($K238="","",VLOOKUP($K238,'ORF Accuracy Value LookUp'!$G$4:$H$104,2,TRUE))</f>
        <v/>
      </c>
      <c r="AO238" s="94" t="str">
        <f t="shared" si="43"/>
        <v/>
      </c>
      <c r="AP238" s="47" t="str">
        <f>IF($U238="","",VLOOKUP($U238,'ORF Accuracy Value LookUp'!$G$4:$H$104,2,TRUE))</f>
        <v/>
      </c>
      <c r="AQ238" s="94" t="str">
        <f t="shared" si="44"/>
        <v/>
      </c>
      <c r="AR238" s="46" t="str">
        <f>IF($AE238="","",VLOOKUP($AE238,'ORF Accuracy Value LookUp'!$G$4:$H$104,2,TRUE))</f>
        <v/>
      </c>
      <c r="AS238" s="140" t="str">
        <f t="shared" si="45"/>
        <v/>
      </c>
    </row>
    <row r="239" spans="1:45">
      <c r="A239" s="10"/>
      <c r="B239" s="9"/>
      <c r="C239" s="9"/>
      <c r="D239" s="9"/>
      <c r="E239" s="10"/>
      <c r="F239" s="11"/>
      <c r="G239" s="15"/>
      <c r="H239" s="88"/>
      <c r="I239" s="24"/>
      <c r="J239" s="24"/>
      <c r="K239" s="114" t="str">
        <f t="shared" si="36"/>
        <v/>
      </c>
      <c r="L239" s="24"/>
      <c r="M239" s="24"/>
      <c r="N239" s="24"/>
      <c r="O239" s="24"/>
      <c r="P239" s="97" t="str">
        <f t="shared" si="37"/>
        <v/>
      </c>
      <c r="Q239" s="113" t="str">
        <f t="shared" si="38"/>
        <v/>
      </c>
      <c r="R239" s="88"/>
      <c r="S239" s="24"/>
      <c r="T239" s="24"/>
      <c r="U239" s="78" t="str">
        <f t="shared" si="39"/>
        <v/>
      </c>
      <c r="V239" s="24"/>
      <c r="W239" s="24"/>
      <c r="X239" s="24"/>
      <c r="Y239" s="24"/>
      <c r="Z239" s="98" t="str">
        <f t="shared" si="40"/>
        <v/>
      </c>
      <c r="AA239" s="40" t="str">
        <f t="shared" si="46"/>
        <v/>
      </c>
      <c r="AB239" s="88"/>
      <c r="AC239" s="24"/>
      <c r="AD239" s="24"/>
      <c r="AE239" s="79" t="str">
        <f t="shared" si="41"/>
        <v/>
      </c>
      <c r="AF239" s="24"/>
      <c r="AG239" s="24"/>
      <c r="AH239" s="24"/>
      <c r="AI239" s="24"/>
      <c r="AJ239" s="99" t="str">
        <f t="shared" si="42"/>
        <v/>
      </c>
      <c r="AK239" s="31" t="str">
        <f t="shared" si="47"/>
        <v/>
      </c>
      <c r="AN239" s="139" t="str">
        <f>IF($K239="","",VLOOKUP($K239,'ORF Accuracy Value LookUp'!$G$4:$H$104,2,TRUE))</f>
        <v/>
      </c>
      <c r="AO239" s="94" t="str">
        <f t="shared" si="43"/>
        <v/>
      </c>
      <c r="AP239" s="47" t="str">
        <f>IF($U239="","",VLOOKUP($U239,'ORF Accuracy Value LookUp'!$G$4:$H$104,2,TRUE))</f>
        <v/>
      </c>
      <c r="AQ239" s="94" t="str">
        <f t="shared" si="44"/>
        <v/>
      </c>
      <c r="AR239" s="46" t="str">
        <f>IF($AE239="","",VLOOKUP($AE239,'ORF Accuracy Value LookUp'!$G$4:$H$104,2,TRUE))</f>
        <v/>
      </c>
      <c r="AS239" s="140" t="str">
        <f t="shared" si="45"/>
        <v/>
      </c>
    </row>
    <row r="240" spans="1:45">
      <c r="A240" s="10"/>
      <c r="B240" s="9"/>
      <c r="C240" s="9"/>
      <c r="D240" s="9"/>
      <c r="E240" s="10"/>
      <c r="F240" s="11"/>
      <c r="G240" s="15"/>
      <c r="H240" s="88"/>
      <c r="I240" s="24"/>
      <c r="J240" s="24"/>
      <c r="K240" s="114" t="str">
        <f t="shared" si="36"/>
        <v/>
      </c>
      <c r="L240" s="24"/>
      <c r="M240" s="24"/>
      <c r="N240" s="24"/>
      <c r="O240" s="24"/>
      <c r="P240" s="97" t="str">
        <f t="shared" si="37"/>
        <v/>
      </c>
      <c r="Q240" s="113" t="str">
        <f t="shared" si="38"/>
        <v/>
      </c>
      <c r="R240" s="88"/>
      <c r="S240" s="24"/>
      <c r="T240" s="24"/>
      <c r="U240" s="78" t="str">
        <f t="shared" si="39"/>
        <v/>
      </c>
      <c r="V240" s="24"/>
      <c r="W240" s="24"/>
      <c r="X240" s="24"/>
      <c r="Y240" s="24"/>
      <c r="Z240" s="98" t="str">
        <f t="shared" si="40"/>
        <v/>
      </c>
      <c r="AA240" s="40" t="str">
        <f t="shared" si="46"/>
        <v/>
      </c>
      <c r="AB240" s="88"/>
      <c r="AC240" s="24"/>
      <c r="AD240" s="24"/>
      <c r="AE240" s="79" t="str">
        <f t="shared" si="41"/>
        <v/>
      </c>
      <c r="AF240" s="24"/>
      <c r="AG240" s="24"/>
      <c r="AH240" s="24"/>
      <c r="AI240" s="24"/>
      <c r="AJ240" s="99" t="str">
        <f t="shared" si="42"/>
        <v/>
      </c>
      <c r="AK240" s="31" t="str">
        <f t="shared" si="47"/>
        <v/>
      </c>
      <c r="AN240" s="139" t="str">
        <f>IF($K240="","",VLOOKUP($K240,'ORF Accuracy Value LookUp'!$G$4:$H$104,2,TRUE))</f>
        <v/>
      </c>
      <c r="AO240" s="94" t="str">
        <f t="shared" si="43"/>
        <v/>
      </c>
      <c r="AP240" s="47" t="str">
        <f>IF($U240="","",VLOOKUP($U240,'ORF Accuracy Value LookUp'!$G$4:$H$104,2,TRUE))</f>
        <v/>
      </c>
      <c r="AQ240" s="94" t="str">
        <f t="shared" si="44"/>
        <v/>
      </c>
      <c r="AR240" s="46" t="str">
        <f>IF($AE240="","",VLOOKUP($AE240,'ORF Accuracy Value LookUp'!$G$4:$H$104,2,TRUE))</f>
        <v/>
      </c>
      <c r="AS240" s="140" t="str">
        <f t="shared" si="45"/>
        <v/>
      </c>
    </row>
    <row r="241" spans="1:45">
      <c r="A241" s="10"/>
      <c r="B241" s="9"/>
      <c r="C241" s="9"/>
      <c r="D241" s="9"/>
      <c r="E241" s="10"/>
      <c r="F241" s="11"/>
      <c r="G241" s="15"/>
      <c r="H241" s="88"/>
      <c r="I241" s="24"/>
      <c r="J241" s="24"/>
      <c r="K241" s="114" t="str">
        <f t="shared" si="36"/>
        <v/>
      </c>
      <c r="L241" s="24"/>
      <c r="M241" s="24"/>
      <c r="N241" s="24"/>
      <c r="O241" s="24"/>
      <c r="P241" s="97" t="str">
        <f t="shared" si="37"/>
        <v/>
      </c>
      <c r="Q241" s="113" t="str">
        <f t="shared" si="38"/>
        <v/>
      </c>
      <c r="R241" s="88"/>
      <c r="S241" s="24"/>
      <c r="T241" s="24"/>
      <c r="U241" s="78" t="str">
        <f t="shared" si="39"/>
        <v/>
      </c>
      <c r="V241" s="24"/>
      <c r="W241" s="24"/>
      <c r="X241" s="24"/>
      <c r="Y241" s="24"/>
      <c r="Z241" s="98" t="str">
        <f t="shared" si="40"/>
        <v/>
      </c>
      <c r="AA241" s="40" t="str">
        <f t="shared" si="46"/>
        <v/>
      </c>
      <c r="AB241" s="88"/>
      <c r="AC241" s="24"/>
      <c r="AD241" s="24"/>
      <c r="AE241" s="79" t="str">
        <f t="shared" si="41"/>
        <v/>
      </c>
      <c r="AF241" s="24"/>
      <c r="AG241" s="24"/>
      <c r="AH241" s="24"/>
      <c r="AI241" s="24"/>
      <c r="AJ241" s="99" t="str">
        <f t="shared" si="42"/>
        <v/>
      </c>
      <c r="AK241" s="31" t="str">
        <f t="shared" si="47"/>
        <v/>
      </c>
      <c r="AN241" s="139" t="str">
        <f>IF($K241="","",VLOOKUP($K241,'ORF Accuracy Value LookUp'!$G$4:$H$104,2,TRUE))</f>
        <v/>
      </c>
      <c r="AO241" s="94" t="str">
        <f t="shared" si="43"/>
        <v/>
      </c>
      <c r="AP241" s="47" t="str">
        <f>IF($U241="","",VLOOKUP($U241,'ORF Accuracy Value LookUp'!$G$4:$H$104,2,TRUE))</f>
        <v/>
      </c>
      <c r="AQ241" s="94" t="str">
        <f t="shared" si="44"/>
        <v/>
      </c>
      <c r="AR241" s="46" t="str">
        <f>IF($AE241="","",VLOOKUP($AE241,'ORF Accuracy Value LookUp'!$G$4:$H$104,2,TRUE))</f>
        <v/>
      </c>
      <c r="AS241" s="140" t="str">
        <f t="shared" si="45"/>
        <v/>
      </c>
    </row>
    <row r="242" spans="1:45">
      <c r="A242" s="10"/>
      <c r="B242" s="9"/>
      <c r="C242" s="9"/>
      <c r="D242" s="9"/>
      <c r="E242" s="10"/>
      <c r="F242" s="11"/>
      <c r="G242" s="15"/>
      <c r="H242" s="88"/>
      <c r="I242" s="24"/>
      <c r="J242" s="24"/>
      <c r="K242" s="114" t="str">
        <f t="shared" si="36"/>
        <v/>
      </c>
      <c r="L242" s="24"/>
      <c r="M242" s="24"/>
      <c r="N242" s="24"/>
      <c r="O242" s="24"/>
      <c r="P242" s="97" t="str">
        <f t="shared" si="37"/>
        <v/>
      </c>
      <c r="Q242" s="113" t="str">
        <f t="shared" si="38"/>
        <v/>
      </c>
      <c r="R242" s="88"/>
      <c r="S242" s="24"/>
      <c r="T242" s="24"/>
      <c r="U242" s="78" t="str">
        <f t="shared" si="39"/>
        <v/>
      </c>
      <c r="V242" s="24"/>
      <c r="W242" s="24"/>
      <c r="X242" s="24"/>
      <c r="Y242" s="24"/>
      <c r="Z242" s="98" t="str">
        <f t="shared" si="40"/>
        <v/>
      </c>
      <c r="AA242" s="40" t="str">
        <f t="shared" si="46"/>
        <v/>
      </c>
      <c r="AB242" s="88"/>
      <c r="AC242" s="24"/>
      <c r="AD242" s="24"/>
      <c r="AE242" s="79" t="str">
        <f t="shared" si="41"/>
        <v/>
      </c>
      <c r="AF242" s="24"/>
      <c r="AG242" s="24"/>
      <c r="AH242" s="24"/>
      <c r="AI242" s="24"/>
      <c r="AJ242" s="99" t="str">
        <f t="shared" si="42"/>
        <v/>
      </c>
      <c r="AK242" s="31" t="str">
        <f t="shared" si="47"/>
        <v/>
      </c>
      <c r="AN242" s="139" t="str">
        <f>IF($K242="","",VLOOKUP($K242,'ORF Accuracy Value LookUp'!$G$4:$H$104,2,TRUE))</f>
        <v/>
      </c>
      <c r="AO242" s="94" t="str">
        <f t="shared" si="43"/>
        <v/>
      </c>
      <c r="AP242" s="47" t="str">
        <f>IF($U242="","",VLOOKUP($U242,'ORF Accuracy Value LookUp'!$G$4:$H$104,2,TRUE))</f>
        <v/>
      </c>
      <c r="AQ242" s="94" t="str">
        <f t="shared" si="44"/>
        <v/>
      </c>
      <c r="AR242" s="46" t="str">
        <f>IF($AE242="","",VLOOKUP($AE242,'ORF Accuracy Value LookUp'!$G$4:$H$104,2,TRUE))</f>
        <v/>
      </c>
      <c r="AS242" s="140" t="str">
        <f t="shared" si="45"/>
        <v/>
      </c>
    </row>
    <row r="243" spans="1:45">
      <c r="A243" s="10"/>
      <c r="B243" s="9"/>
      <c r="C243" s="9"/>
      <c r="D243" s="9"/>
      <c r="E243" s="10"/>
      <c r="F243" s="11"/>
      <c r="G243" s="15"/>
      <c r="H243" s="88"/>
      <c r="I243" s="24"/>
      <c r="J243" s="24"/>
      <c r="K243" s="114" t="str">
        <f t="shared" si="36"/>
        <v/>
      </c>
      <c r="L243" s="24"/>
      <c r="M243" s="24"/>
      <c r="N243" s="24"/>
      <c r="O243" s="24"/>
      <c r="P243" s="97" t="str">
        <f t="shared" si="37"/>
        <v/>
      </c>
      <c r="Q243" s="113" t="str">
        <f t="shared" si="38"/>
        <v/>
      </c>
      <c r="R243" s="88"/>
      <c r="S243" s="24"/>
      <c r="T243" s="24"/>
      <c r="U243" s="78" t="str">
        <f t="shared" si="39"/>
        <v/>
      </c>
      <c r="V243" s="24"/>
      <c r="W243" s="24"/>
      <c r="X243" s="24"/>
      <c r="Y243" s="24"/>
      <c r="Z243" s="98" t="str">
        <f t="shared" si="40"/>
        <v/>
      </c>
      <c r="AA243" s="40" t="str">
        <f t="shared" si="46"/>
        <v/>
      </c>
      <c r="AB243" s="88"/>
      <c r="AC243" s="24"/>
      <c r="AD243" s="24"/>
      <c r="AE243" s="79" t="str">
        <f t="shared" si="41"/>
        <v/>
      </c>
      <c r="AF243" s="24"/>
      <c r="AG243" s="24"/>
      <c r="AH243" s="24"/>
      <c r="AI243" s="24"/>
      <c r="AJ243" s="99" t="str">
        <f t="shared" si="42"/>
        <v/>
      </c>
      <c r="AK243" s="31" t="str">
        <f t="shared" si="47"/>
        <v/>
      </c>
      <c r="AN243" s="139" t="str">
        <f>IF($K243="","",VLOOKUP($K243,'ORF Accuracy Value LookUp'!$G$4:$H$104,2,TRUE))</f>
        <v/>
      </c>
      <c r="AO243" s="94" t="str">
        <f t="shared" si="43"/>
        <v/>
      </c>
      <c r="AP243" s="47" t="str">
        <f>IF($U243="","",VLOOKUP($U243,'ORF Accuracy Value LookUp'!$G$4:$H$104,2,TRUE))</f>
        <v/>
      </c>
      <c r="AQ243" s="94" t="str">
        <f t="shared" si="44"/>
        <v/>
      </c>
      <c r="AR243" s="46" t="str">
        <f>IF($AE243="","",VLOOKUP($AE243,'ORF Accuracy Value LookUp'!$G$4:$H$104,2,TRUE))</f>
        <v/>
      </c>
      <c r="AS243" s="140" t="str">
        <f t="shared" si="45"/>
        <v/>
      </c>
    </row>
    <row r="244" spans="1:45">
      <c r="A244" s="10"/>
      <c r="B244" s="9"/>
      <c r="C244" s="9"/>
      <c r="D244" s="9"/>
      <c r="E244" s="10"/>
      <c r="F244" s="11"/>
      <c r="G244" s="15"/>
      <c r="H244" s="88"/>
      <c r="I244" s="24"/>
      <c r="J244" s="24"/>
      <c r="K244" s="114" t="str">
        <f t="shared" si="36"/>
        <v/>
      </c>
      <c r="L244" s="24"/>
      <c r="M244" s="24"/>
      <c r="N244" s="24"/>
      <c r="O244" s="24"/>
      <c r="P244" s="97" t="str">
        <f t="shared" si="37"/>
        <v/>
      </c>
      <c r="Q244" s="113" t="str">
        <f t="shared" si="38"/>
        <v/>
      </c>
      <c r="R244" s="88"/>
      <c r="S244" s="24"/>
      <c r="T244" s="24"/>
      <c r="U244" s="78" t="str">
        <f t="shared" si="39"/>
        <v/>
      </c>
      <c r="V244" s="24"/>
      <c r="W244" s="24"/>
      <c r="X244" s="24"/>
      <c r="Y244" s="24"/>
      <c r="Z244" s="98" t="str">
        <f t="shared" si="40"/>
        <v/>
      </c>
      <c r="AA244" s="40" t="str">
        <f t="shared" si="46"/>
        <v/>
      </c>
      <c r="AB244" s="88"/>
      <c r="AC244" s="24"/>
      <c r="AD244" s="24"/>
      <c r="AE244" s="79" t="str">
        <f t="shared" si="41"/>
        <v/>
      </c>
      <c r="AF244" s="24"/>
      <c r="AG244" s="24"/>
      <c r="AH244" s="24"/>
      <c r="AI244" s="24"/>
      <c r="AJ244" s="99" t="str">
        <f t="shared" si="42"/>
        <v/>
      </c>
      <c r="AK244" s="31" t="str">
        <f t="shared" si="47"/>
        <v/>
      </c>
      <c r="AN244" s="139" t="str">
        <f>IF($K244="","",VLOOKUP($K244,'ORF Accuracy Value LookUp'!$G$4:$H$104,2,TRUE))</f>
        <v/>
      </c>
      <c r="AO244" s="94" t="str">
        <f t="shared" si="43"/>
        <v/>
      </c>
      <c r="AP244" s="47" t="str">
        <f>IF($U244="","",VLOOKUP($U244,'ORF Accuracy Value LookUp'!$G$4:$H$104,2,TRUE))</f>
        <v/>
      </c>
      <c r="AQ244" s="94" t="str">
        <f t="shared" si="44"/>
        <v/>
      </c>
      <c r="AR244" s="46" t="str">
        <f>IF($AE244="","",VLOOKUP($AE244,'ORF Accuracy Value LookUp'!$G$4:$H$104,2,TRUE))</f>
        <v/>
      </c>
      <c r="AS244" s="140" t="str">
        <f t="shared" si="45"/>
        <v/>
      </c>
    </row>
    <row r="245" spans="1:45">
      <c r="A245" s="10"/>
      <c r="B245" s="9"/>
      <c r="C245" s="9"/>
      <c r="D245" s="9"/>
      <c r="E245" s="10"/>
      <c r="F245" s="11"/>
      <c r="G245" s="15"/>
      <c r="H245" s="88"/>
      <c r="I245" s="24"/>
      <c r="J245" s="24"/>
      <c r="K245" s="114" t="str">
        <f t="shared" si="36"/>
        <v/>
      </c>
      <c r="L245" s="24"/>
      <c r="M245" s="24"/>
      <c r="N245" s="24"/>
      <c r="O245" s="24"/>
      <c r="P245" s="97" t="str">
        <f t="shared" si="37"/>
        <v/>
      </c>
      <c r="Q245" s="113" t="str">
        <f t="shared" si="38"/>
        <v/>
      </c>
      <c r="R245" s="88"/>
      <c r="S245" s="24"/>
      <c r="T245" s="24"/>
      <c r="U245" s="78" t="str">
        <f t="shared" si="39"/>
        <v/>
      </c>
      <c r="V245" s="24"/>
      <c r="W245" s="24"/>
      <c r="X245" s="24"/>
      <c r="Y245" s="24"/>
      <c r="Z245" s="98" t="str">
        <f t="shared" si="40"/>
        <v/>
      </c>
      <c r="AA245" s="40" t="str">
        <f t="shared" si="46"/>
        <v/>
      </c>
      <c r="AB245" s="88"/>
      <c r="AC245" s="24"/>
      <c r="AD245" s="24"/>
      <c r="AE245" s="79" t="str">
        <f t="shared" si="41"/>
        <v/>
      </c>
      <c r="AF245" s="24"/>
      <c r="AG245" s="24"/>
      <c r="AH245" s="24"/>
      <c r="AI245" s="24"/>
      <c r="AJ245" s="99" t="str">
        <f t="shared" si="42"/>
        <v/>
      </c>
      <c r="AK245" s="31" t="str">
        <f t="shared" si="47"/>
        <v/>
      </c>
      <c r="AN245" s="139" t="str">
        <f>IF($K245="","",VLOOKUP($K245,'ORF Accuracy Value LookUp'!$G$4:$H$104,2,TRUE))</f>
        <v/>
      </c>
      <c r="AO245" s="94" t="str">
        <f t="shared" si="43"/>
        <v/>
      </c>
      <c r="AP245" s="47" t="str">
        <f>IF($U245="","",VLOOKUP($U245,'ORF Accuracy Value LookUp'!$G$4:$H$104,2,TRUE))</f>
        <v/>
      </c>
      <c r="AQ245" s="94" t="str">
        <f t="shared" si="44"/>
        <v/>
      </c>
      <c r="AR245" s="46" t="str">
        <f>IF($AE245="","",VLOOKUP($AE245,'ORF Accuracy Value LookUp'!$G$4:$H$104,2,TRUE))</f>
        <v/>
      </c>
      <c r="AS245" s="140" t="str">
        <f t="shared" si="45"/>
        <v/>
      </c>
    </row>
    <row r="246" spans="1:45">
      <c r="A246" s="10"/>
      <c r="B246" s="9"/>
      <c r="C246" s="9"/>
      <c r="D246" s="9"/>
      <c r="E246" s="10"/>
      <c r="F246" s="11"/>
      <c r="G246" s="15"/>
      <c r="H246" s="88"/>
      <c r="I246" s="24"/>
      <c r="J246" s="24"/>
      <c r="K246" s="114" t="str">
        <f t="shared" si="36"/>
        <v/>
      </c>
      <c r="L246" s="24"/>
      <c r="M246" s="24"/>
      <c r="N246" s="24"/>
      <c r="O246" s="24"/>
      <c r="P246" s="97" t="str">
        <f t="shared" si="37"/>
        <v/>
      </c>
      <c r="Q246" s="113" t="str">
        <f t="shared" si="38"/>
        <v/>
      </c>
      <c r="R246" s="88"/>
      <c r="S246" s="24"/>
      <c r="T246" s="24"/>
      <c r="U246" s="78" t="str">
        <f t="shared" si="39"/>
        <v/>
      </c>
      <c r="V246" s="24"/>
      <c r="W246" s="24"/>
      <c r="X246" s="24"/>
      <c r="Y246" s="24"/>
      <c r="Z246" s="98" t="str">
        <f t="shared" si="40"/>
        <v/>
      </c>
      <c r="AA246" s="40" t="str">
        <f t="shared" si="46"/>
        <v/>
      </c>
      <c r="AB246" s="88"/>
      <c r="AC246" s="24"/>
      <c r="AD246" s="24"/>
      <c r="AE246" s="79" t="str">
        <f t="shared" si="41"/>
        <v/>
      </c>
      <c r="AF246" s="24"/>
      <c r="AG246" s="24"/>
      <c r="AH246" s="24"/>
      <c r="AI246" s="24"/>
      <c r="AJ246" s="99" t="str">
        <f t="shared" si="42"/>
        <v/>
      </c>
      <c r="AK246" s="31" t="str">
        <f t="shared" si="47"/>
        <v/>
      </c>
      <c r="AN246" s="139" t="str">
        <f>IF($K246="","",VLOOKUP($K246,'ORF Accuracy Value LookUp'!$G$4:$H$104,2,TRUE))</f>
        <v/>
      </c>
      <c r="AO246" s="94" t="str">
        <f t="shared" si="43"/>
        <v/>
      </c>
      <c r="AP246" s="47" t="str">
        <f>IF($U246="","",VLOOKUP($U246,'ORF Accuracy Value LookUp'!$G$4:$H$104,2,TRUE))</f>
        <v/>
      </c>
      <c r="AQ246" s="94" t="str">
        <f t="shared" si="44"/>
        <v/>
      </c>
      <c r="AR246" s="46" t="str">
        <f>IF($AE246="","",VLOOKUP($AE246,'ORF Accuracy Value LookUp'!$G$4:$H$104,2,TRUE))</f>
        <v/>
      </c>
      <c r="AS246" s="140" t="str">
        <f t="shared" si="45"/>
        <v/>
      </c>
    </row>
    <row r="247" spans="1:45">
      <c r="A247" s="10"/>
      <c r="B247" s="9"/>
      <c r="C247" s="9"/>
      <c r="D247" s="9"/>
      <c r="E247" s="10"/>
      <c r="F247" s="11"/>
      <c r="G247" s="15"/>
      <c r="H247" s="88"/>
      <c r="I247" s="24"/>
      <c r="J247" s="24"/>
      <c r="K247" s="114" t="str">
        <f t="shared" si="36"/>
        <v/>
      </c>
      <c r="L247" s="24"/>
      <c r="M247" s="24"/>
      <c r="N247" s="24"/>
      <c r="O247" s="24"/>
      <c r="P247" s="97" t="str">
        <f t="shared" si="37"/>
        <v/>
      </c>
      <c r="Q247" s="113" t="str">
        <f t="shared" si="38"/>
        <v/>
      </c>
      <c r="R247" s="88"/>
      <c r="S247" s="24"/>
      <c r="T247" s="24"/>
      <c r="U247" s="78" t="str">
        <f t="shared" si="39"/>
        <v/>
      </c>
      <c r="V247" s="24"/>
      <c r="W247" s="24"/>
      <c r="X247" s="24"/>
      <c r="Y247" s="24"/>
      <c r="Z247" s="98" t="str">
        <f t="shared" si="40"/>
        <v/>
      </c>
      <c r="AA247" s="40" t="str">
        <f t="shared" si="46"/>
        <v/>
      </c>
      <c r="AB247" s="88"/>
      <c r="AC247" s="24"/>
      <c r="AD247" s="24"/>
      <c r="AE247" s="79" t="str">
        <f t="shared" si="41"/>
        <v/>
      </c>
      <c r="AF247" s="24"/>
      <c r="AG247" s="24"/>
      <c r="AH247" s="24"/>
      <c r="AI247" s="24"/>
      <c r="AJ247" s="99" t="str">
        <f t="shared" si="42"/>
        <v/>
      </c>
      <c r="AK247" s="31" t="str">
        <f t="shared" si="47"/>
        <v/>
      </c>
      <c r="AN247" s="139" t="str">
        <f>IF($K247="","",VLOOKUP($K247,'ORF Accuracy Value LookUp'!$G$4:$H$104,2,TRUE))</f>
        <v/>
      </c>
      <c r="AO247" s="94" t="str">
        <f t="shared" si="43"/>
        <v/>
      </c>
      <c r="AP247" s="47" t="str">
        <f>IF($U247="","",VLOOKUP($U247,'ORF Accuracy Value LookUp'!$G$4:$H$104,2,TRUE))</f>
        <v/>
      </c>
      <c r="AQ247" s="94" t="str">
        <f t="shared" si="44"/>
        <v/>
      </c>
      <c r="AR247" s="46" t="str">
        <f>IF($AE247="","",VLOOKUP($AE247,'ORF Accuracy Value LookUp'!$G$4:$H$104,2,TRUE))</f>
        <v/>
      </c>
      <c r="AS247" s="140" t="str">
        <f t="shared" si="45"/>
        <v/>
      </c>
    </row>
    <row r="248" spans="1:45">
      <c r="A248" s="10"/>
      <c r="B248" s="9"/>
      <c r="C248" s="9"/>
      <c r="D248" s="9"/>
      <c r="E248" s="10"/>
      <c r="F248" s="11"/>
      <c r="G248" s="15"/>
      <c r="H248" s="88"/>
      <c r="I248" s="24"/>
      <c r="J248" s="24"/>
      <c r="K248" s="114" t="str">
        <f t="shared" si="36"/>
        <v/>
      </c>
      <c r="L248" s="24"/>
      <c r="M248" s="24"/>
      <c r="N248" s="24"/>
      <c r="O248" s="24"/>
      <c r="P248" s="97" t="str">
        <f t="shared" si="37"/>
        <v/>
      </c>
      <c r="Q248" s="113" t="str">
        <f t="shared" si="38"/>
        <v/>
      </c>
      <c r="R248" s="88"/>
      <c r="S248" s="24"/>
      <c r="T248" s="24"/>
      <c r="U248" s="78" t="str">
        <f t="shared" si="39"/>
        <v/>
      </c>
      <c r="V248" s="24"/>
      <c r="W248" s="24"/>
      <c r="X248" s="24"/>
      <c r="Y248" s="24"/>
      <c r="Z248" s="98" t="str">
        <f t="shared" si="40"/>
        <v/>
      </c>
      <c r="AA248" s="40" t="str">
        <f t="shared" si="46"/>
        <v/>
      </c>
      <c r="AB248" s="88"/>
      <c r="AC248" s="24"/>
      <c r="AD248" s="24"/>
      <c r="AE248" s="79" t="str">
        <f t="shared" si="41"/>
        <v/>
      </c>
      <c r="AF248" s="24"/>
      <c r="AG248" s="24"/>
      <c r="AH248" s="24"/>
      <c r="AI248" s="24"/>
      <c r="AJ248" s="99" t="str">
        <f t="shared" si="42"/>
        <v/>
      </c>
      <c r="AK248" s="31" t="str">
        <f t="shared" si="47"/>
        <v/>
      </c>
      <c r="AN248" s="139" t="str">
        <f>IF($K248="","",VLOOKUP($K248,'ORF Accuracy Value LookUp'!$G$4:$H$104,2,TRUE))</f>
        <v/>
      </c>
      <c r="AO248" s="94" t="str">
        <f t="shared" si="43"/>
        <v/>
      </c>
      <c r="AP248" s="47" t="str">
        <f>IF($U248="","",VLOOKUP($U248,'ORF Accuracy Value LookUp'!$G$4:$H$104,2,TRUE))</f>
        <v/>
      </c>
      <c r="AQ248" s="94" t="str">
        <f t="shared" si="44"/>
        <v/>
      </c>
      <c r="AR248" s="46" t="str">
        <f>IF($AE248="","",VLOOKUP($AE248,'ORF Accuracy Value LookUp'!$G$4:$H$104,2,TRUE))</f>
        <v/>
      </c>
      <c r="AS248" s="140" t="str">
        <f t="shared" si="45"/>
        <v/>
      </c>
    </row>
    <row r="249" spans="1:45">
      <c r="A249" s="10"/>
      <c r="B249" s="9"/>
      <c r="C249" s="9"/>
      <c r="D249" s="9"/>
      <c r="E249" s="10"/>
      <c r="F249" s="11"/>
      <c r="G249" s="15"/>
      <c r="H249" s="88"/>
      <c r="I249" s="24"/>
      <c r="J249" s="24"/>
      <c r="K249" s="114" t="str">
        <f t="shared" si="36"/>
        <v/>
      </c>
      <c r="L249" s="24"/>
      <c r="M249" s="24"/>
      <c r="N249" s="24"/>
      <c r="O249" s="24"/>
      <c r="P249" s="97" t="str">
        <f t="shared" si="37"/>
        <v/>
      </c>
      <c r="Q249" s="113" t="str">
        <f t="shared" si="38"/>
        <v/>
      </c>
      <c r="R249" s="88"/>
      <c r="S249" s="24"/>
      <c r="T249" s="24"/>
      <c r="U249" s="78" t="str">
        <f t="shared" si="39"/>
        <v/>
      </c>
      <c r="V249" s="24"/>
      <c r="W249" s="24"/>
      <c r="X249" s="24"/>
      <c r="Y249" s="24"/>
      <c r="Z249" s="98" t="str">
        <f t="shared" si="40"/>
        <v/>
      </c>
      <c r="AA249" s="40" t="str">
        <f t="shared" si="46"/>
        <v/>
      </c>
      <c r="AB249" s="88"/>
      <c r="AC249" s="24"/>
      <c r="AD249" s="24"/>
      <c r="AE249" s="79" t="str">
        <f t="shared" si="41"/>
        <v/>
      </c>
      <c r="AF249" s="24"/>
      <c r="AG249" s="24"/>
      <c r="AH249" s="24"/>
      <c r="AI249" s="24"/>
      <c r="AJ249" s="99" t="str">
        <f t="shared" si="42"/>
        <v/>
      </c>
      <c r="AK249" s="31" t="str">
        <f t="shared" si="47"/>
        <v/>
      </c>
      <c r="AN249" s="139" t="str">
        <f>IF($K249="","",VLOOKUP($K249,'ORF Accuracy Value LookUp'!$G$4:$H$104,2,TRUE))</f>
        <v/>
      </c>
      <c r="AO249" s="94" t="str">
        <f t="shared" si="43"/>
        <v/>
      </c>
      <c r="AP249" s="47" t="str">
        <f>IF($U249="","",VLOOKUP($U249,'ORF Accuracy Value LookUp'!$G$4:$H$104,2,TRUE))</f>
        <v/>
      </c>
      <c r="AQ249" s="94" t="str">
        <f t="shared" si="44"/>
        <v/>
      </c>
      <c r="AR249" s="46" t="str">
        <f>IF($AE249="","",VLOOKUP($AE249,'ORF Accuracy Value LookUp'!$G$4:$H$104,2,TRUE))</f>
        <v/>
      </c>
      <c r="AS249" s="140" t="str">
        <f t="shared" si="45"/>
        <v/>
      </c>
    </row>
    <row r="250" spans="1:45">
      <c r="A250" s="10"/>
      <c r="B250" s="9"/>
      <c r="C250" s="9"/>
      <c r="D250" s="9"/>
      <c r="E250" s="10"/>
      <c r="F250" s="11"/>
      <c r="G250" s="15"/>
      <c r="H250" s="88"/>
      <c r="I250" s="24"/>
      <c r="J250" s="24"/>
      <c r="K250" s="114" t="str">
        <f t="shared" si="36"/>
        <v/>
      </c>
      <c r="L250" s="24"/>
      <c r="M250" s="24"/>
      <c r="N250" s="24"/>
      <c r="O250" s="24"/>
      <c r="P250" s="97" t="str">
        <f t="shared" si="37"/>
        <v/>
      </c>
      <c r="Q250" s="113" t="str">
        <f t="shared" si="38"/>
        <v/>
      </c>
      <c r="R250" s="88"/>
      <c r="S250" s="24"/>
      <c r="T250" s="24"/>
      <c r="U250" s="78" t="str">
        <f t="shared" si="39"/>
        <v/>
      </c>
      <c r="V250" s="24"/>
      <c r="W250" s="24"/>
      <c r="X250" s="24"/>
      <c r="Y250" s="24"/>
      <c r="Z250" s="98" t="str">
        <f t="shared" si="40"/>
        <v/>
      </c>
      <c r="AA250" s="40" t="str">
        <f t="shared" si="46"/>
        <v/>
      </c>
      <c r="AB250" s="88"/>
      <c r="AC250" s="24"/>
      <c r="AD250" s="24"/>
      <c r="AE250" s="79" t="str">
        <f t="shared" si="41"/>
        <v/>
      </c>
      <c r="AF250" s="24"/>
      <c r="AG250" s="24"/>
      <c r="AH250" s="24"/>
      <c r="AI250" s="24"/>
      <c r="AJ250" s="99" t="str">
        <f t="shared" si="42"/>
        <v/>
      </c>
      <c r="AK250" s="31" t="str">
        <f t="shared" si="47"/>
        <v/>
      </c>
      <c r="AN250" s="139" t="str">
        <f>IF($K250="","",VLOOKUP($K250,'ORF Accuracy Value LookUp'!$G$4:$H$104,2,TRUE))</f>
        <v/>
      </c>
      <c r="AO250" s="94" t="str">
        <f t="shared" si="43"/>
        <v/>
      </c>
      <c r="AP250" s="47" t="str">
        <f>IF($U250="","",VLOOKUP($U250,'ORF Accuracy Value LookUp'!$G$4:$H$104,2,TRUE))</f>
        <v/>
      </c>
      <c r="AQ250" s="94" t="str">
        <f t="shared" si="44"/>
        <v/>
      </c>
      <c r="AR250" s="46" t="str">
        <f>IF($AE250="","",VLOOKUP($AE250,'ORF Accuracy Value LookUp'!$G$4:$H$104,2,TRUE))</f>
        <v/>
      </c>
      <c r="AS250" s="140" t="str">
        <f t="shared" si="45"/>
        <v/>
      </c>
    </row>
    <row r="251" spans="1:45">
      <c r="A251" s="10"/>
      <c r="B251" s="9"/>
      <c r="C251" s="9"/>
      <c r="D251" s="9"/>
      <c r="E251" s="10"/>
      <c r="F251" s="11"/>
      <c r="G251" s="15"/>
      <c r="H251" s="88"/>
      <c r="I251" s="24"/>
      <c r="J251" s="24"/>
      <c r="K251" s="114" t="str">
        <f t="shared" si="36"/>
        <v/>
      </c>
      <c r="L251" s="24"/>
      <c r="M251" s="24"/>
      <c r="N251" s="24"/>
      <c r="O251" s="24"/>
      <c r="P251" s="97" t="str">
        <f t="shared" si="37"/>
        <v/>
      </c>
      <c r="Q251" s="113" t="str">
        <f t="shared" si="38"/>
        <v/>
      </c>
      <c r="R251" s="88"/>
      <c r="S251" s="24"/>
      <c r="T251" s="24"/>
      <c r="U251" s="78" t="str">
        <f t="shared" si="39"/>
        <v/>
      </c>
      <c r="V251" s="24"/>
      <c r="W251" s="24"/>
      <c r="X251" s="24"/>
      <c r="Y251" s="24"/>
      <c r="Z251" s="98" t="str">
        <f t="shared" si="40"/>
        <v/>
      </c>
      <c r="AA251" s="40" t="str">
        <f t="shared" si="46"/>
        <v/>
      </c>
      <c r="AB251" s="88"/>
      <c r="AC251" s="24"/>
      <c r="AD251" s="24"/>
      <c r="AE251" s="79" t="str">
        <f t="shared" si="41"/>
        <v/>
      </c>
      <c r="AF251" s="24"/>
      <c r="AG251" s="24"/>
      <c r="AH251" s="24"/>
      <c r="AI251" s="24"/>
      <c r="AJ251" s="99" t="str">
        <f t="shared" si="42"/>
        <v/>
      </c>
      <c r="AK251" s="31" t="str">
        <f t="shared" si="47"/>
        <v/>
      </c>
      <c r="AN251" s="139" t="str">
        <f>IF($K251="","",VLOOKUP($K251,'ORF Accuracy Value LookUp'!$G$4:$H$104,2,TRUE))</f>
        <v/>
      </c>
      <c r="AO251" s="94" t="str">
        <f t="shared" si="43"/>
        <v/>
      </c>
      <c r="AP251" s="47" t="str">
        <f>IF($U251="","",VLOOKUP($U251,'ORF Accuracy Value LookUp'!$G$4:$H$104,2,TRUE))</f>
        <v/>
      </c>
      <c r="AQ251" s="94" t="str">
        <f t="shared" si="44"/>
        <v/>
      </c>
      <c r="AR251" s="46" t="str">
        <f>IF($AE251="","",VLOOKUP($AE251,'ORF Accuracy Value LookUp'!$G$4:$H$104,2,TRUE))</f>
        <v/>
      </c>
      <c r="AS251" s="140" t="str">
        <f t="shared" si="45"/>
        <v/>
      </c>
    </row>
    <row r="252" spans="1:45">
      <c r="A252" s="10"/>
      <c r="B252" s="9"/>
      <c r="C252" s="9"/>
      <c r="D252" s="9"/>
      <c r="E252" s="10"/>
      <c r="F252" s="11"/>
      <c r="G252" s="15"/>
      <c r="H252" s="88"/>
      <c r="I252" s="24"/>
      <c r="J252" s="24"/>
      <c r="K252" s="114" t="str">
        <f t="shared" si="36"/>
        <v/>
      </c>
      <c r="L252" s="24"/>
      <c r="M252" s="24"/>
      <c r="N252" s="24"/>
      <c r="O252" s="24"/>
      <c r="P252" s="97" t="str">
        <f t="shared" si="37"/>
        <v/>
      </c>
      <c r="Q252" s="113" t="str">
        <f t="shared" si="38"/>
        <v/>
      </c>
      <c r="R252" s="88"/>
      <c r="S252" s="24"/>
      <c r="T252" s="24"/>
      <c r="U252" s="78" t="str">
        <f t="shared" si="39"/>
        <v/>
      </c>
      <c r="V252" s="24"/>
      <c r="W252" s="24"/>
      <c r="X252" s="24"/>
      <c r="Y252" s="24"/>
      <c r="Z252" s="98" t="str">
        <f t="shared" si="40"/>
        <v/>
      </c>
      <c r="AA252" s="40" t="str">
        <f t="shared" si="46"/>
        <v/>
      </c>
      <c r="AB252" s="88"/>
      <c r="AC252" s="24"/>
      <c r="AD252" s="24"/>
      <c r="AE252" s="79" t="str">
        <f t="shared" si="41"/>
        <v/>
      </c>
      <c r="AF252" s="24"/>
      <c r="AG252" s="24"/>
      <c r="AH252" s="24"/>
      <c r="AI252" s="24"/>
      <c r="AJ252" s="99" t="str">
        <f t="shared" si="42"/>
        <v/>
      </c>
      <c r="AK252" s="31" t="str">
        <f t="shared" si="47"/>
        <v/>
      </c>
      <c r="AN252" s="139" t="str">
        <f>IF($K252="","",VLOOKUP($K252,'ORF Accuracy Value LookUp'!$G$4:$H$104,2,TRUE))</f>
        <v/>
      </c>
      <c r="AO252" s="94" t="str">
        <f t="shared" si="43"/>
        <v/>
      </c>
      <c r="AP252" s="47" t="str">
        <f>IF($U252="","",VLOOKUP($U252,'ORF Accuracy Value LookUp'!$G$4:$H$104,2,TRUE))</f>
        <v/>
      </c>
      <c r="AQ252" s="94" t="str">
        <f t="shared" si="44"/>
        <v/>
      </c>
      <c r="AR252" s="46" t="str">
        <f>IF($AE252="","",VLOOKUP($AE252,'ORF Accuracy Value LookUp'!$G$4:$H$104,2,TRUE))</f>
        <v/>
      </c>
      <c r="AS252" s="140" t="str">
        <f t="shared" si="45"/>
        <v/>
      </c>
    </row>
    <row r="253" spans="1:45">
      <c r="A253" s="10"/>
      <c r="B253" s="9"/>
      <c r="C253" s="9"/>
      <c r="D253" s="9"/>
      <c r="E253" s="10"/>
      <c r="F253" s="11"/>
      <c r="G253" s="15"/>
      <c r="H253" s="88"/>
      <c r="I253" s="24"/>
      <c r="J253" s="24"/>
      <c r="K253" s="114" t="str">
        <f t="shared" si="36"/>
        <v/>
      </c>
      <c r="L253" s="24"/>
      <c r="M253" s="24"/>
      <c r="N253" s="24"/>
      <c r="O253" s="24"/>
      <c r="P253" s="97" t="str">
        <f t="shared" si="37"/>
        <v/>
      </c>
      <c r="Q253" s="113" t="str">
        <f t="shared" si="38"/>
        <v/>
      </c>
      <c r="R253" s="88"/>
      <c r="S253" s="24"/>
      <c r="T253" s="24"/>
      <c r="U253" s="78" t="str">
        <f t="shared" si="39"/>
        <v/>
      </c>
      <c r="V253" s="24"/>
      <c r="W253" s="24"/>
      <c r="X253" s="24"/>
      <c r="Y253" s="24"/>
      <c r="Z253" s="98" t="str">
        <f t="shared" si="40"/>
        <v/>
      </c>
      <c r="AA253" s="40" t="str">
        <f t="shared" si="46"/>
        <v/>
      </c>
      <c r="AB253" s="88"/>
      <c r="AC253" s="24"/>
      <c r="AD253" s="24"/>
      <c r="AE253" s="79" t="str">
        <f t="shared" si="41"/>
        <v/>
      </c>
      <c r="AF253" s="24"/>
      <c r="AG253" s="24"/>
      <c r="AH253" s="24"/>
      <c r="AI253" s="24"/>
      <c r="AJ253" s="99" t="str">
        <f t="shared" si="42"/>
        <v/>
      </c>
      <c r="AK253" s="31" t="str">
        <f t="shared" si="47"/>
        <v/>
      </c>
      <c r="AN253" s="139" t="str">
        <f>IF($K253="","",VLOOKUP($K253,'ORF Accuracy Value LookUp'!$G$4:$H$104,2,TRUE))</f>
        <v/>
      </c>
      <c r="AO253" s="94" t="str">
        <f t="shared" si="43"/>
        <v/>
      </c>
      <c r="AP253" s="47" t="str">
        <f>IF($U253="","",VLOOKUP($U253,'ORF Accuracy Value LookUp'!$G$4:$H$104,2,TRUE))</f>
        <v/>
      </c>
      <c r="AQ253" s="94" t="str">
        <f t="shared" si="44"/>
        <v/>
      </c>
      <c r="AR253" s="46" t="str">
        <f>IF($AE253="","",VLOOKUP($AE253,'ORF Accuracy Value LookUp'!$G$4:$H$104,2,TRUE))</f>
        <v/>
      </c>
      <c r="AS253" s="140" t="str">
        <f t="shared" si="45"/>
        <v/>
      </c>
    </row>
    <row r="254" spans="1:45">
      <c r="A254" s="10"/>
      <c r="B254" s="9"/>
      <c r="C254" s="9"/>
      <c r="D254" s="9"/>
      <c r="E254" s="10"/>
      <c r="F254" s="11"/>
      <c r="G254" s="15"/>
      <c r="H254" s="88"/>
      <c r="I254" s="24"/>
      <c r="J254" s="24"/>
      <c r="K254" s="114" t="str">
        <f t="shared" si="36"/>
        <v/>
      </c>
      <c r="L254" s="24"/>
      <c r="M254" s="24"/>
      <c r="N254" s="24"/>
      <c r="O254" s="24"/>
      <c r="P254" s="97" t="str">
        <f t="shared" si="37"/>
        <v/>
      </c>
      <c r="Q254" s="113" t="str">
        <f t="shared" si="38"/>
        <v/>
      </c>
      <c r="R254" s="88"/>
      <c r="S254" s="24"/>
      <c r="T254" s="24"/>
      <c r="U254" s="78" t="str">
        <f t="shared" si="39"/>
        <v/>
      </c>
      <c r="V254" s="24"/>
      <c r="W254" s="24"/>
      <c r="X254" s="24"/>
      <c r="Y254" s="24"/>
      <c r="Z254" s="98" t="str">
        <f t="shared" si="40"/>
        <v/>
      </c>
      <c r="AA254" s="40" t="str">
        <f t="shared" si="46"/>
        <v/>
      </c>
      <c r="AB254" s="88"/>
      <c r="AC254" s="24"/>
      <c r="AD254" s="24"/>
      <c r="AE254" s="79" t="str">
        <f t="shared" si="41"/>
        <v/>
      </c>
      <c r="AF254" s="24"/>
      <c r="AG254" s="24"/>
      <c r="AH254" s="24"/>
      <c r="AI254" s="24"/>
      <c r="AJ254" s="99" t="str">
        <f t="shared" si="42"/>
        <v/>
      </c>
      <c r="AK254" s="31" t="str">
        <f t="shared" si="47"/>
        <v/>
      </c>
      <c r="AN254" s="139" t="str">
        <f>IF($K254="","",VLOOKUP($K254,'ORF Accuracy Value LookUp'!$G$4:$H$104,2,TRUE))</f>
        <v/>
      </c>
      <c r="AO254" s="94" t="str">
        <f t="shared" si="43"/>
        <v/>
      </c>
      <c r="AP254" s="47" t="str">
        <f>IF($U254="","",VLOOKUP($U254,'ORF Accuracy Value LookUp'!$G$4:$H$104,2,TRUE))</f>
        <v/>
      </c>
      <c r="AQ254" s="94" t="str">
        <f t="shared" si="44"/>
        <v/>
      </c>
      <c r="AR254" s="46" t="str">
        <f>IF($AE254="","",VLOOKUP($AE254,'ORF Accuracy Value LookUp'!$G$4:$H$104,2,TRUE))</f>
        <v/>
      </c>
      <c r="AS254" s="140" t="str">
        <f t="shared" si="45"/>
        <v/>
      </c>
    </row>
    <row r="255" spans="1:45">
      <c r="A255" s="10"/>
      <c r="B255" s="9"/>
      <c r="C255" s="9"/>
      <c r="D255" s="9"/>
      <c r="E255" s="10"/>
      <c r="F255" s="11"/>
      <c r="G255" s="15"/>
      <c r="H255" s="88"/>
      <c r="I255" s="24"/>
      <c r="J255" s="24"/>
      <c r="K255" s="114" t="str">
        <f t="shared" si="36"/>
        <v/>
      </c>
      <c r="L255" s="24"/>
      <c r="M255" s="24"/>
      <c r="N255" s="24"/>
      <c r="O255" s="24"/>
      <c r="P255" s="97" t="str">
        <f t="shared" si="37"/>
        <v/>
      </c>
      <c r="Q255" s="113" t="str">
        <f t="shared" si="38"/>
        <v/>
      </c>
      <c r="R255" s="88"/>
      <c r="S255" s="24"/>
      <c r="T255" s="24"/>
      <c r="U255" s="78" t="str">
        <f t="shared" si="39"/>
        <v/>
      </c>
      <c r="V255" s="24"/>
      <c r="W255" s="24"/>
      <c r="X255" s="24"/>
      <c r="Y255" s="24"/>
      <c r="Z255" s="98" t="str">
        <f t="shared" si="40"/>
        <v/>
      </c>
      <c r="AA255" s="40" t="str">
        <f t="shared" si="46"/>
        <v/>
      </c>
      <c r="AB255" s="88"/>
      <c r="AC255" s="24"/>
      <c r="AD255" s="24"/>
      <c r="AE255" s="79" t="str">
        <f t="shared" si="41"/>
        <v/>
      </c>
      <c r="AF255" s="24"/>
      <c r="AG255" s="24"/>
      <c r="AH255" s="24"/>
      <c r="AI255" s="24"/>
      <c r="AJ255" s="99" t="str">
        <f t="shared" si="42"/>
        <v/>
      </c>
      <c r="AK255" s="31" t="str">
        <f t="shared" si="47"/>
        <v/>
      </c>
      <c r="AN255" s="139" t="str">
        <f>IF($K255="","",VLOOKUP($K255,'ORF Accuracy Value LookUp'!$G$4:$H$104,2,TRUE))</f>
        <v/>
      </c>
      <c r="AO255" s="94" t="str">
        <f t="shared" si="43"/>
        <v/>
      </c>
      <c r="AP255" s="47" t="str">
        <f>IF($U255="","",VLOOKUP($U255,'ORF Accuracy Value LookUp'!$G$4:$H$104,2,TRUE))</f>
        <v/>
      </c>
      <c r="AQ255" s="94" t="str">
        <f t="shared" si="44"/>
        <v/>
      </c>
      <c r="AR255" s="46" t="str">
        <f>IF($AE255="","",VLOOKUP($AE255,'ORF Accuracy Value LookUp'!$G$4:$H$104,2,TRUE))</f>
        <v/>
      </c>
      <c r="AS255" s="140" t="str">
        <f t="shared" si="45"/>
        <v/>
      </c>
    </row>
    <row r="256" spans="1:45">
      <c r="A256" s="10"/>
      <c r="B256" s="9"/>
      <c r="C256" s="9"/>
      <c r="D256" s="9"/>
      <c r="E256" s="10"/>
      <c r="F256" s="11"/>
      <c r="G256" s="15"/>
      <c r="H256" s="88"/>
      <c r="I256" s="24"/>
      <c r="J256" s="24"/>
      <c r="K256" s="114" t="str">
        <f t="shared" si="36"/>
        <v/>
      </c>
      <c r="L256" s="24"/>
      <c r="M256" s="24"/>
      <c r="N256" s="24"/>
      <c r="O256" s="24"/>
      <c r="P256" s="97" t="str">
        <f t="shared" si="37"/>
        <v/>
      </c>
      <c r="Q256" s="113" t="str">
        <f t="shared" si="38"/>
        <v/>
      </c>
      <c r="R256" s="88"/>
      <c r="S256" s="24"/>
      <c r="T256" s="24"/>
      <c r="U256" s="78" t="str">
        <f t="shared" si="39"/>
        <v/>
      </c>
      <c r="V256" s="24"/>
      <c r="W256" s="24"/>
      <c r="X256" s="24"/>
      <c r="Y256" s="24"/>
      <c r="Z256" s="98" t="str">
        <f t="shared" si="40"/>
        <v/>
      </c>
      <c r="AA256" s="40" t="str">
        <f t="shared" si="46"/>
        <v/>
      </c>
      <c r="AB256" s="88"/>
      <c r="AC256" s="24"/>
      <c r="AD256" s="24"/>
      <c r="AE256" s="79" t="str">
        <f t="shared" si="41"/>
        <v/>
      </c>
      <c r="AF256" s="24"/>
      <c r="AG256" s="24"/>
      <c r="AH256" s="24"/>
      <c r="AI256" s="24"/>
      <c r="AJ256" s="99" t="str">
        <f t="shared" si="42"/>
        <v/>
      </c>
      <c r="AK256" s="31" t="str">
        <f t="shared" si="47"/>
        <v/>
      </c>
      <c r="AN256" s="139" t="str">
        <f>IF($K256="","",VLOOKUP($K256,'ORF Accuracy Value LookUp'!$G$4:$H$104,2,TRUE))</f>
        <v/>
      </c>
      <c r="AO256" s="94" t="str">
        <f t="shared" si="43"/>
        <v/>
      </c>
      <c r="AP256" s="47" t="str">
        <f>IF($U256="","",VLOOKUP($U256,'ORF Accuracy Value LookUp'!$G$4:$H$104,2,TRUE))</f>
        <v/>
      </c>
      <c r="AQ256" s="94" t="str">
        <f t="shared" si="44"/>
        <v/>
      </c>
      <c r="AR256" s="46" t="str">
        <f>IF($AE256="","",VLOOKUP($AE256,'ORF Accuracy Value LookUp'!$G$4:$H$104,2,TRUE))</f>
        <v/>
      </c>
      <c r="AS256" s="140" t="str">
        <f t="shared" si="45"/>
        <v/>
      </c>
    </row>
    <row r="257" spans="1:45">
      <c r="A257" s="10"/>
      <c r="B257" s="9"/>
      <c r="C257" s="9"/>
      <c r="D257" s="9"/>
      <c r="E257" s="10"/>
      <c r="F257" s="11"/>
      <c r="G257" s="15"/>
      <c r="H257" s="88"/>
      <c r="I257" s="24"/>
      <c r="J257" s="24"/>
      <c r="K257" s="114" t="str">
        <f t="shared" si="36"/>
        <v/>
      </c>
      <c r="L257" s="24"/>
      <c r="M257" s="24"/>
      <c r="N257" s="24"/>
      <c r="O257" s="24"/>
      <c r="P257" s="97" t="str">
        <f t="shared" si="37"/>
        <v/>
      </c>
      <c r="Q257" s="113" t="str">
        <f t="shared" si="38"/>
        <v/>
      </c>
      <c r="R257" s="88"/>
      <c r="S257" s="24"/>
      <c r="T257" s="24"/>
      <c r="U257" s="78" t="str">
        <f t="shared" si="39"/>
        <v/>
      </c>
      <c r="V257" s="24"/>
      <c r="W257" s="24"/>
      <c r="X257" s="24"/>
      <c r="Y257" s="24"/>
      <c r="Z257" s="98" t="str">
        <f t="shared" si="40"/>
        <v/>
      </c>
      <c r="AA257" s="40" t="str">
        <f t="shared" si="46"/>
        <v/>
      </c>
      <c r="AB257" s="88"/>
      <c r="AC257" s="24"/>
      <c r="AD257" s="24"/>
      <c r="AE257" s="79" t="str">
        <f t="shared" si="41"/>
        <v/>
      </c>
      <c r="AF257" s="24"/>
      <c r="AG257" s="24"/>
      <c r="AH257" s="24"/>
      <c r="AI257" s="24"/>
      <c r="AJ257" s="99" t="str">
        <f t="shared" si="42"/>
        <v/>
      </c>
      <c r="AK257" s="31" t="str">
        <f t="shared" si="47"/>
        <v/>
      </c>
      <c r="AN257" s="139" t="str">
        <f>IF($K257="","",VLOOKUP($K257,'ORF Accuracy Value LookUp'!$G$4:$H$104,2,TRUE))</f>
        <v/>
      </c>
      <c r="AO257" s="94" t="str">
        <f t="shared" si="43"/>
        <v/>
      </c>
      <c r="AP257" s="47" t="str">
        <f>IF($U257="","",VLOOKUP($U257,'ORF Accuracy Value LookUp'!$G$4:$H$104,2,TRUE))</f>
        <v/>
      </c>
      <c r="AQ257" s="94" t="str">
        <f t="shared" si="44"/>
        <v/>
      </c>
      <c r="AR257" s="46" t="str">
        <f>IF($AE257="","",VLOOKUP($AE257,'ORF Accuracy Value LookUp'!$G$4:$H$104,2,TRUE))</f>
        <v/>
      </c>
      <c r="AS257" s="140" t="str">
        <f t="shared" si="45"/>
        <v/>
      </c>
    </row>
    <row r="258" spans="1:45">
      <c r="A258" s="10"/>
      <c r="B258" s="9"/>
      <c r="C258" s="9"/>
      <c r="D258" s="9"/>
      <c r="E258" s="10"/>
      <c r="F258" s="11"/>
      <c r="G258" s="15"/>
      <c r="H258" s="88"/>
      <c r="I258" s="24"/>
      <c r="J258" s="24"/>
      <c r="K258" s="114" t="str">
        <f t="shared" si="36"/>
        <v/>
      </c>
      <c r="L258" s="24"/>
      <c r="M258" s="24"/>
      <c r="N258" s="24"/>
      <c r="O258" s="24"/>
      <c r="P258" s="97" t="str">
        <f t="shared" si="37"/>
        <v/>
      </c>
      <c r="Q258" s="113" t="str">
        <f t="shared" si="38"/>
        <v/>
      </c>
      <c r="R258" s="88"/>
      <c r="S258" s="24"/>
      <c r="T258" s="24"/>
      <c r="U258" s="78" t="str">
        <f t="shared" si="39"/>
        <v/>
      </c>
      <c r="V258" s="24"/>
      <c r="W258" s="24"/>
      <c r="X258" s="24"/>
      <c r="Y258" s="24"/>
      <c r="Z258" s="98" t="str">
        <f t="shared" si="40"/>
        <v/>
      </c>
      <c r="AA258" s="40" t="str">
        <f t="shared" si="46"/>
        <v/>
      </c>
      <c r="AB258" s="88"/>
      <c r="AC258" s="24"/>
      <c r="AD258" s="24"/>
      <c r="AE258" s="79" t="str">
        <f t="shared" si="41"/>
        <v/>
      </c>
      <c r="AF258" s="24"/>
      <c r="AG258" s="24"/>
      <c r="AH258" s="24"/>
      <c r="AI258" s="24"/>
      <c r="AJ258" s="99" t="str">
        <f t="shared" si="42"/>
        <v/>
      </c>
      <c r="AK258" s="31" t="str">
        <f t="shared" si="47"/>
        <v/>
      </c>
      <c r="AN258" s="139" t="str">
        <f>IF($K258="","",VLOOKUP($K258,'ORF Accuracy Value LookUp'!$G$4:$H$104,2,TRUE))</f>
        <v/>
      </c>
      <c r="AO258" s="94" t="str">
        <f t="shared" si="43"/>
        <v/>
      </c>
      <c r="AP258" s="47" t="str">
        <f>IF($U258="","",VLOOKUP($U258,'ORF Accuracy Value LookUp'!$G$4:$H$104,2,TRUE))</f>
        <v/>
      </c>
      <c r="AQ258" s="94" t="str">
        <f t="shared" si="44"/>
        <v/>
      </c>
      <c r="AR258" s="46" t="str">
        <f>IF($AE258="","",VLOOKUP($AE258,'ORF Accuracy Value LookUp'!$G$4:$H$104,2,TRUE))</f>
        <v/>
      </c>
      <c r="AS258" s="140" t="str">
        <f t="shared" si="45"/>
        <v/>
      </c>
    </row>
    <row r="259" spans="1:45">
      <c r="A259" s="10"/>
      <c r="B259" s="9"/>
      <c r="C259" s="9"/>
      <c r="D259" s="9"/>
      <c r="E259" s="10"/>
      <c r="F259" s="11"/>
      <c r="G259" s="15"/>
      <c r="H259" s="88"/>
      <c r="I259" s="24"/>
      <c r="J259" s="24"/>
      <c r="K259" s="114" t="str">
        <f t="shared" si="36"/>
        <v/>
      </c>
      <c r="L259" s="24"/>
      <c r="M259" s="24"/>
      <c r="N259" s="24"/>
      <c r="O259" s="24"/>
      <c r="P259" s="97" t="str">
        <f t="shared" si="37"/>
        <v/>
      </c>
      <c r="Q259" s="113" t="str">
        <f t="shared" si="38"/>
        <v/>
      </c>
      <c r="R259" s="88"/>
      <c r="S259" s="24"/>
      <c r="T259" s="24"/>
      <c r="U259" s="78" t="str">
        <f t="shared" si="39"/>
        <v/>
      </c>
      <c r="V259" s="24"/>
      <c r="W259" s="24"/>
      <c r="X259" s="24"/>
      <c r="Y259" s="24"/>
      <c r="Z259" s="98" t="str">
        <f t="shared" si="40"/>
        <v/>
      </c>
      <c r="AA259" s="40" t="str">
        <f t="shared" si="46"/>
        <v/>
      </c>
      <c r="AB259" s="88"/>
      <c r="AC259" s="24"/>
      <c r="AD259" s="24"/>
      <c r="AE259" s="79" t="str">
        <f t="shared" si="41"/>
        <v/>
      </c>
      <c r="AF259" s="24"/>
      <c r="AG259" s="24"/>
      <c r="AH259" s="24"/>
      <c r="AI259" s="24"/>
      <c r="AJ259" s="99" t="str">
        <f t="shared" si="42"/>
        <v/>
      </c>
      <c r="AK259" s="31" t="str">
        <f t="shared" si="47"/>
        <v/>
      </c>
      <c r="AN259" s="139" t="str">
        <f>IF($K259="","",VLOOKUP($K259,'ORF Accuracy Value LookUp'!$G$4:$H$104,2,TRUE))</f>
        <v/>
      </c>
      <c r="AO259" s="94" t="str">
        <f t="shared" si="43"/>
        <v/>
      </c>
      <c r="AP259" s="47" t="str">
        <f>IF($U259="","",VLOOKUP($U259,'ORF Accuracy Value LookUp'!$G$4:$H$104,2,TRUE))</f>
        <v/>
      </c>
      <c r="AQ259" s="94" t="str">
        <f t="shared" si="44"/>
        <v/>
      </c>
      <c r="AR259" s="46" t="str">
        <f>IF($AE259="","",VLOOKUP($AE259,'ORF Accuracy Value LookUp'!$G$4:$H$104,2,TRUE))</f>
        <v/>
      </c>
      <c r="AS259" s="140" t="str">
        <f t="shared" si="45"/>
        <v/>
      </c>
    </row>
    <row r="260" spans="1:45">
      <c r="A260" s="10"/>
      <c r="B260" s="9"/>
      <c r="C260" s="9"/>
      <c r="D260" s="9"/>
      <c r="E260" s="10"/>
      <c r="F260" s="11"/>
      <c r="G260" s="15"/>
      <c r="H260" s="88"/>
      <c r="I260" s="24"/>
      <c r="J260" s="24"/>
      <c r="K260" s="114" t="str">
        <f t="shared" si="36"/>
        <v/>
      </c>
      <c r="L260" s="24"/>
      <c r="M260" s="24"/>
      <c r="N260" s="24"/>
      <c r="O260" s="24"/>
      <c r="P260" s="97" t="str">
        <f t="shared" si="37"/>
        <v/>
      </c>
      <c r="Q260" s="113" t="str">
        <f t="shared" si="38"/>
        <v/>
      </c>
      <c r="R260" s="88"/>
      <c r="S260" s="24"/>
      <c r="T260" s="24"/>
      <c r="U260" s="78" t="str">
        <f t="shared" si="39"/>
        <v/>
      </c>
      <c r="V260" s="24"/>
      <c r="W260" s="24"/>
      <c r="X260" s="24"/>
      <c r="Y260" s="24"/>
      <c r="Z260" s="98" t="str">
        <f t="shared" si="40"/>
        <v/>
      </c>
      <c r="AA260" s="40" t="str">
        <f t="shared" si="46"/>
        <v/>
      </c>
      <c r="AB260" s="88"/>
      <c r="AC260" s="24"/>
      <c r="AD260" s="24"/>
      <c r="AE260" s="79" t="str">
        <f t="shared" si="41"/>
        <v/>
      </c>
      <c r="AF260" s="24"/>
      <c r="AG260" s="24"/>
      <c r="AH260" s="24"/>
      <c r="AI260" s="24"/>
      <c r="AJ260" s="99" t="str">
        <f t="shared" si="42"/>
        <v/>
      </c>
      <c r="AK260" s="31" t="str">
        <f t="shared" si="47"/>
        <v/>
      </c>
      <c r="AN260" s="139" t="str">
        <f>IF($K260="","",VLOOKUP($K260,'ORF Accuracy Value LookUp'!$G$4:$H$104,2,TRUE))</f>
        <v/>
      </c>
      <c r="AO260" s="94" t="str">
        <f t="shared" si="43"/>
        <v/>
      </c>
      <c r="AP260" s="47" t="str">
        <f>IF($U260="","",VLOOKUP($U260,'ORF Accuracy Value LookUp'!$G$4:$H$104,2,TRUE))</f>
        <v/>
      </c>
      <c r="AQ260" s="94" t="str">
        <f t="shared" si="44"/>
        <v/>
      </c>
      <c r="AR260" s="46" t="str">
        <f>IF($AE260="","",VLOOKUP($AE260,'ORF Accuracy Value LookUp'!$G$4:$H$104,2,TRUE))</f>
        <v/>
      </c>
      <c r="AS260" s="140" t="str">
        <f t="shared" si="45"/>
        <v/>
      </c>
    </row>
    <row r="261" spans="1:45">
      <c r="A261" s="10"/>
      <c r="B261" s="9"/>
      <c r="C261" s="9"/>
      <c r="D261" s="9"/>
      <c r="E261" s="10"/>
      <c r="F261" s="11"/>
      <c r="G261" s="15"/>
      <c r="H261" s="88"/>
      <c r="I261" s="24"/>
      <c r="J261" s="24"/>
      <c r="K261" s="114" t="str">
        <f t="shared" si="36"/>
        <v/>
      </c>
      <c r="L261" s="24"/>
      <c r="M261" s="24"/>
      <c r="N261" s="24"/>
      <c r="O261" s="24"/>
      <c r="P261" s="97" t="str">
        <f t="shared" si="37"/>
        <v/>
      </c>
      <c r="Q261" s="113" t="str">
        <f t="shared" si="38"/>
        <v/>
      </c>
      <c r="R261" s="88"/>
      <c r="S261" s="24"/>
      <c r="T261" s="24"/>
      <c r="U261" s="78" t="str">
        <f t="shared" si="39"/>
        <v/>
      </c>
      <c r="V261" s="24"/>
      <c r="W261" s="24"/>
      <c r="X261" s="24"/>
      <c r="Y261" s="24"/>
      <c r="Z261" s="98" t="str">
        <f t="shared" si="40"/>
        <v/>
      </c>
      <c r="AA261" s="40" t="str">
        <f t="shared" si="46"/>
        <v/>
      </c>
      <c r="AB261" s="88"/>
      <c r="AC261" s="24"/>
      <c r="AD261" s="24"/>
      <c r="AE261" s="79" t="str">
        <f t="shared" si="41"/>
        <v/>
      </c>
      <c r="AF261" s="24"/>
      <c r="AG261" s="24"/>
      <c r="AH261" s="24"/>
      <c r="AI261" s="24"/>
      <c r="AJ261" s="99" t="str">
        <f t="shared" si="42"/>
        <v/>
      </c>
      <c r="AK261" s="31" t="str">
        <f t="shared" si="47"/>
        <v/>
      </c>
      <c r="AN261" s="139" t="str">
        <f>IF($K261="","",VLOOKUP($K261,'ORF Accuracy Value LookUp'!$G$4:$H$104,2,TRUE))</f>
        <v/>
      </c>
      <c r="AO261" s="94" t="str">
        <f t="shared" si="43"/>
        <v/>
      </c>
      <c r="AP261" s="47" t="str">
        <f>IF($U261="","",VLOOKUP($U261,'ORF Accuracy Value LookUp'!$G$4:$H$104,2,TRUE))</f>
        <v/>
      </c>
      <c r="AQ261" s="94" t="str">
        <f t="shared" si="44"/>
        <v/>
      </c>
      <c r="AR261" s="46" t="str">
        <f>IF($AE261="","",VLOOKUP($AE261,'ORF Accuracy Value LookUp'!$G$4:$H$104,2,TRUE))</f>
        <v/>
      </c>
      <c r="AS261" s="140" t="str">
        <f t="shared" si="45"/>
        <v/>
      </c>
    </row>
    <row r="262" spans="1:45">
      <c r="A262" s="10"/>
      <c r="B262" s="9"/>
      <c r="C262" s="9"/>
      <c r="D262" s="9"/>
      <c r="E262" s="10"/>
      <c r="F262" s="11"/>
      <c r="G262" s="15"/>
      <c r="H262" s="88"/>
      <c r="I262" s="24"/>
      <c r="J262" s="24"/>
      <c r="K262" s="114" t="str">
        <f t="shared" si="36"/>
        <v/>
      </c>
      <c r="L262" s="24"/>
      <c r="M262" s="24"/>
      <c r="N262" s="24"/>
      <c r="O262" s="24"/>
      <c r="P262" s="97" t="str">
        <f t="shared" si="37"/>
        <v/>
      </c>
      <c r="Q262" s="113" t="str">
        <f t="shared" si="38"/>
        <v/>
      </c>
      <c r="R262" s="88"/>
      <c r="S262" s="24"/>
      <c r="T262" s="24"/>
      <c r="U262" s="78" t="str">
        <f t="shared" si="39"/>
        <v/>
      </c>
      <c r="V262" s="24"/>
      <c r="W262" s="24"/>
      <c r="X262" s="24"/>
      <c r="Y262" s="24"/>
      <c r="Z262" s="98" t="str">
        <f t="shared" si="40"/>
        <v/>
      </c>
      <c r="AA262" s="40" t="str">
        <f t="shared" si="46"/>
        <v/>
      </c>
      <c r="AB262" s="88"/>
      <c r="AC262" s="24"/>
      <c r="AD262" s="24"/>
      <c r="AE262" s="79" t="str">
        <f t="shared" si="41"/>
        <v/>
      </c>
      <c r="AF262" s="24"/>
      <c r="AG262" s="24"/>
      <c r="AH262" s="24"/>
      <c r="AI262" s="24"/>
      <c r="AJ262" s="99" t="str">
        <f t="shared" si="42"/>
        <v/>
      </c>
      <c r="AK262" s="31" t="str">
        <f t="shared" si="47"/>
        <v/>
      </c>
      <c r="AN262" s="139" t="str">
        <f>IF($K262="","",VLOOKUP($K262,'ORF Accuracy Value LookUp'!$G$4:$H$104,2,TRUE))</f>
        <v/>
      </c>
      <c r="AO262" s="94" t="str">
        <f t="shared" si="43"/>
        <v/>
      </c>
      <c r="AP262" s="47" t="str">
        <f>IF($U262="","",VLOOKUP($U262,'ORF Accuracy Value LookUp'!$G$4:$H$104,2,TRUE))</f>
        <v/>
      </c>
      <c r="AQ262" s="94" t="str">
        <f t="shared" si="44"/>
        <v/>
      </c>
      <c r="AR262" s="46" t="str">
        <f>IF($AE262="","",VLOOKUP($AE262,'ORF Accuracy Value LookUp'!$G$4:$H$104,2,TRUE))</f>
        <v/>
      </c>
      <c r="AS262" s="140" t="str">
        <f t="shared" si="45"/>
        <v/>
      </c>
    </row>
    <row r="263" spans="1:45">
      <c r="A263" s="10"/>
      <c r="B263" s="9"/>
      <c r="C263" s="9"/>
      <c r="D263" s="9"/>
      <c r="E263" s="10"/>
      <c r="F263" s="11"/>
      <c r="G263" s="15"/>
      <c r="H263" s="88"/>
      <c r="I263" s="24"/>
      <c r="J263" s="24"/>
      <c r="K263" s="114" t="str">
        <f t="shared" si="36"/>
        <v/>
      </c>
      <c r="L263" s="24"/>
      <c r="M263" s="24"/>
      <c r="N263" s="24"/>
      <c r="O263" s="24"/>
      <c r="P263" s="97" t="str">
        <f t="shared" si="37"/>
        <v/>
      </c>
      <c r="Q263" s="113" t="str">
        <f t="shared" si="38"/>
        <v/>
      </c>
      <c r="R263" s="88"/>
      <c r="S263" s="24"/>
      <c r="T263" s="24"/>
      <c r="U263" s="78" t="str">
        <f t="shared" si="39"/>
        <v/>
      </c>
      <c r="V263" s="24"/>
      <c r="W263" s="24"/>
      <c r="X263" s="24"/>
      <c r="Y263" s="24"/>
      <c r="Z263" s="98" t="str">
        <f t="shared" si="40"/>
        <v/>
      </c>
      <c r="AA263" s="40" t="str">
        <f t="shared" si="46"/>
        <v/>
      </c>
      <c r="AB263" s="88"/>
      <c r="AC263" s="24"/>
      <c r="AD263" s="24"/>
      <c r="AE263" s="79" t="str">
        <f t="shared" si="41"/>
        <v/>
      </c>
      <c r="AF263" s="24"/>
      <c r="AG263" s="24"/>
      <c r="AH263" s="24"/>
      <c r="AI263" s="24"/>
      <c r="AJ263" s="99" t="str">
        <f t="shared" si="42"/>
        <v/>
      </c>
      <c r="AK263" s="31" t="str">
        <f t="shared" si="47"/>
        <v/>
      </c>
      <c r="AN263" s="139" t="str">
        <f>IF($K263="","",VLOOKUP($K263,'ORF Accuracy Value LookUp'!$G$4:$H$104,2,TRUE))</f>
        <v/>
      </c>
      <c r="AO263" s="94" t="str">
        <f t="shared" si="43"/>
        <v/>
      </c>
      <c r="AP263" s="47" t="str">
        <f>IF($U263="","",VLOOKUP($U263,'ORF Accuracy Value LookUp'!$G$4:$H$104,2,TRUE))</f>
        <v/>
      </c>
      <c r="AQ263" s="94" t="str">
        <f t="shared" si="44"/>
        <v/>
      </c>
      <c r="AR263" s="46" t="str">
        <f>IF($AE263="","",VLOOKUP($AE263,'ORF Accuracy Value LookUp'!$G$4:$H$104,2,TRUE))</f>
        <v/>
      </c>
      <c r="AS263" s="140" t="str">
        <f t="shared" si="45"/>
        <v/>
      </c>
    </row>
    <row r="264" spans="1:45">
      <c r="A264" s="10"/>
      <c r="B264" s="9"/>
      <c r="C264" s="9"/>
      <c r="D264" s="9"/>
      <c r="E264" s="10"/>
      <c r="F264" s="11"/>
      <c r="G264" s="15"/>
      <c r="H264" s="88"/>
      <c r="I264" s="24"/>
      <c r="J264" s="24"/>
      <c r="K264" s="114" t="str">
        <f t="shared" ref="K264:K327" si="48">IF($I264="","",SUM($I264/($I264+$J264)))</f>
        <v/>
      </c>
      <c r="L264" s="24"/>
      <c r="M264" s="24"/>
      <c r="N264" s="24"/>
      <c r="O264" s="24"/>
      <c r="P264" s="97" t="str">
        <f t="shared" ref="P264:P327" si="49">IF($AO264&gt;0,$AO264,0)</f>
        <v/>
      </c>
      <c r="Q264" s="113" t="str">
        <f t="shared" ref="Q264:Q327" si="50">IF($B264="","",SUM($I264+$AN264+($L264*2)+($P264*2)))</f>
        <v/>
      </c>
      <c r="R264" s="88"/>
      <c r="S264" s="24"/>
      <c r="T264" s="24"/>
      <c r="U264" s="78" t="str">
        <f t="shared" ref="U264:U327" si="51">IF($S264="","",SUM($S264/($S264+$T264)))</f>
        <v/>
      </c>
      <c r="V264" s="24"/>
      <c r="W264" s="24"/>
      <c r="X264" s="24"/>
      <c r="Y264" s="24"/>
      <c r="Z264" s="98" t="str">
        <f t="shared" ref="Z264:Z327" si="52">IF($AQ264&gt;0,$AQ264,0)</f>
        <v/>
      </c>
      <c r="AA264" s="40" t="str">
        <f t="shared" si="46"/>
        <v/>
      </c>
      <c r="AB264" s="88"/>
      <c r="AC264" s="24"/>
      <c r="AD264" s="24"/>
      <c r="AE264" s="79" t="str">
        <f t="shared" ref="AE264:AE327" si="53">IF($AC264="","",SUM($AC264/($AC264+$AD264)))</f>
        <v/>
      </c>
      <c r="AF264" s="24"/>
      <c r="AG264" s="24"/>
      <c r="AH264" s="24"/>
      <c r="AI264" s="24"/>
      <c r="AJ264" s="99" t="str">
        <f t="shared" ref="AJ264:AJ327" si="54">IF($AS264&gt;0,$AS264,0)</f>
        <v/>
      </c>
      <c r="AK264" s="31" t="str">
        <f t="shared" si="47"/>
        <v/>
      </c>
      <c r="AN264" s="139" t="str">
        <f>IF($K264="","",VLOOKUP($K264,'ORF Accuracy Value LookUp'!$G$4:$H$104,2,TRUE))</f>
        <v/>
      </c>
      <c r="AO264" s="94" t="str">
        <f t="shared" ref="AO264:AO327" si="55">IF($N264="","",($N264-($O264/2)))</f>
        <v/>
      </c>
      <c r="AP264" s="47" t="str">
        <f>IF($U264="","",VLOOKUP($U264,'ORF Accuracy Value LookUp'!$G$4:$H$104,2,TRUE))</f>
        <v/>
      </c>
      <c r="AQ264" s="94" t="str">
        <f t="shared" ref="AQ264:AQ327" si="56">IF($X264="","",$X264-($Y264/2))</f>
        <v/>
      </c>
      <c r="AR264" s="46" t="str">
        <f>IF($AE264="","",VLOOKUP($AE264,'ORF Accuracy Value LookUp'!$G$4:$H$104,2,TRUE))</f>
        <v/>
      </c>
      <c r="AS264" s="140" t="str">
        <f t="shared" ref="AS264:AS327" si="57">IF($AH264="","",$AH264-($AI264/2))</f>
        <v/>
      </c>
    </row>
    <row r="265" spans="1:45">
      <c r="A265" s="10"/>
      <c r="B265" s="9"/>
      <c r="C265" s="9"/>
      <c r="D265" s="9"/>
      <c r="E265" s="10"/>
      <c r="F265" s="11"/>
      <c r="G265" s="15"/>
      <c r="H265" s="88"/>
      <c r="I265" s="24"/>
      <c r="J265" s="24"/>
      <c r="K265" s="114" t="str">
        <f t="shared" si="48"/>
        <v/>
      </c>
      <c r="L265" s="24"/>
      <c r="M265" s="24"/>
      <c r="N265" s="24"/>
      <c r="O265" s="24"/>
      <c r="P265" s="97" t="str">
        <f t="shared" si="49"/>
        <v/>
      </c>
      <c r="Q265" s="113" t="str">
        <f t="shared" si="50"/>
        <v/>
      </c>
      <c r="R265" s="88"/>
      <c r="S265" s="24"/>
      <c r="T265" s="24"/>
      <c r="U265" s="78" t="str">
        <f t="shared" si="51"/>
        <v/>
      </c>
      <c r="V265" s="24"/>
      <c r="W265" s="24"/>
      <c r="X265" s="24"/>
      <c r="Y265" s="24"/>
      <c r="Z265" s="98" t="str">
        <f t="shared" si="52"/>
        <v/>
      </c>
      <c r="AA265" s="40" t="str">
        <f t="shared" ref="AA265:AA328" si="58">IF($R265="","",SUM($S265+$AP265+($V265*2)+($Z265*4)))</f>
        <v/>
      </c>
      <c r="AB265" s="88"/>
      <c r="AC265" s="24"/>
      <c r="AD265" s="24"/>
      <c r="AE265" s="79" t="str">
        <f t="shared" si="53"/>
        <v/>
      </c>
      <c r="AF265" s="24"/>
      <c r="AG265" s="24"/>
      <c r="AH265" s="24"/>
      <c r="AI265" s="24"/>
      <c r="AJ265" s="99" t="str">
        <f t="shared" si="54"/>
        <v/>
      </c>
      <c r="AK265" s="31" t="str">
        <f t="shared" ref="AK265:AK328" si="59">IF($AB265="","",SUM($AC265+$AR265+($AF265*2)+($AJ265*4)))</f>
        <v/>
      </c>
      <c r="AN265" s="139" t="str">
        <f>IF($K265="","",VLOOKUP($K265,'ORF Accuracy Value LookUp'!$G$4:$H$104,2,TRUE))</f>
        <v/>
      </c>
      <c r="AO265" s="94" t="str">
        <f t="shared" si="55"/>
        <v/>
      </c>
      <c r="AP265" s="47" t="str">
        <f>IF($U265="","",VLOOKUP($U265,'ORF Accuracy Value LookUp'!$G$4:$H$104,2,TRUE))</f>
        <v/>
      </c>
      <c r="AQ265" s="94" t="str">
        <f t="shared" si="56"/>
        <v/>
      </c>
      <c r="AR265" s="46" t="str">
        <f>IF($AE265="","",VLOOKUP($AE265,'ORF Accuracy Value LookUp'!$G$4:$H$104,2,TRUE))</f>
        <v/>
      </c>
      <c r="AS265" s="140" t="str">
        <f t="shared" si="57"/>
        <v/>
      </c>
    </row>
    <row r="266" spans="1:45">
      <c r="A266" s="10"/>
      <c r="B266" s="9"/>
      <c r="C266" s="9"/>
      <c r="D266" s="9"/>
      <c r="E266" s="10"/>
      <c r="F266" s="11"/>
      <c r="G266" s="15"/>
      <c r="H266" s="88"/>
      <c r="I266" s="24"/>
      <c r="J266" s="24"/>
      <c r="K266" s="114" t="str">
        <f t="shared" si="48"/>
        <v/>
      </c>
      <c r="L266" s="24"/>
      <c r="M266" s="24"/>
      <c r="N266" s="24"/>
      <c r="O266" s="24"/>
      <c r="P266" s="97" t="str">
        <f t="shared" si="49"/>
        <v/>
      </c>
      <c r="Q266" s="113" t="str">
        <f t="shared" si="50"/>
        <v/>
      </c>
      <c r="R266" s="88"/>
      <c r="S266" s="24"/>
      <c r="T266" s="24"/>
      <c r="U266" s="78" t="str">
        <f t="shared" si="51"/>
        <v/>
      </c>
      <c r="V266" s="24"/>
      <c r="W266" s="24"/>
      <c r="X266" s="24"/>
      <c r="Y266" s="24"/>
      <c r="Z266" s="98" t="str">
        <f t="shared" si="52"/>
        <v/>
      </c>
      <c r="AA266" s="40" t="str">
        <f t="shared" si="58"/>
        <v/>
      </c>
      <c r="AB266" s="88"/>
      <c r="AC266" s="24"/>
      <c r="AD266" s="24"/>
      <c r="AE266" s="79" t="str">
        <f t="shared" si="53"/>
        <v/>
      </c>
      <c r="AF266" s="24"/>
      <c r="AG266" s="24"/>
      <c r="AH266" s="24"/>
      <c r="AI266" s="24"/>
      <c r="AJ266" s="99" t="str">
        <f t="shared" si="54"/>
        <v/>
      </c>
      <c r="AK266" s="31" t="str">
        <f t="shared" si="59"/>
        <v/>
      </c>
      <c r="AN266" s="139" t="str">
        <f>IF($K266="","",VLOOKUP($K266,'ORF Accuracy Value LookUp'!$G$4:$H$104,2,TRUE))</f>
        <v/>
      </c>
      <c r="AO266" s="94" t="str">
        <f t="shared" si="55"/>
        <v/>
      </c>
      <c r="AP266" s="47" t="str">
        <f>IF($U266="","",VLOOKUP($U266,'ORF Accuracy Value LookUp'!$G$4:$H$104,2,TRUE))</f>
        <v/>
      </c>
      <c r="AQ266" s="94" t="str">
        <f t="shared" si="56"/>
        <v/>
      </c>
      <c r="AR266" s="46" t="str">
        <f>IF($AE266="","",VLOOKUP($AE266,'ORF Accuracy Value LookUp'!$G$4:$H$104,2,TRUE))</f>
        <v/>
      </c>
      <c r="AS266" s="140" t="str">
        <f t="shared" si="57"/>
        <v/>
      </c>
    </row>
    <row r="267" spans="1:45">
      <c r="A267" s="10"/>
      <c r="B267" s="9"/>
      <c r="C267" s="9"/>
      <c r="D267" s="9"/>
      <c r="E267" s="10"/>
      <c r="F267" s="11"/>
      <c r="G267" s="15"/>
      <c r="H267" s="88"/>
      <c r="I267" s="24"/>
      <c r="J267" s="24"/>
      <c r="K267" s="114" t="str">
        <f t="shared" si="48"/>
        <v/>
      </c>
      <c r="L267" s="24"/>
      <c r="M267" s="24"/>
      <c r="N267" s="24"/>
      <c r="O267" s="24"/>
      <c r="P267" s="97" t="str">
        <f t="shared" si="49"/>
        <v/>
      </c>
      <c r="Q267" s="113" t="str">
        <f t="shared" si="50"/>
        <v/>
      </c>
      <c r="R267" s="88"/>
      <c r="S267" s="24"/>
      <c r="T267" s="24"/>
      <c r="U267" s="78" t="str">
        <f t="shared" si="51"/>
        <v/>
      </c>
      <c r="V267" s="24"/>
      <c r="W267" s="24"/>
      <c r="X267" s="24"/>
      <c r="Y267" s="24"/>
      <c r="Z267" s="98" t="str">
        <f t="shared" si="52"/>
        <v/>
      </c>
      <c r="AA267" s="40" t="str">
        <f t="shared" si="58"/>
        <v/>
      </c>
      <c r="AB267" s="88"/>
      <c r="AC267" s="24"/>
      <c r="AD267" s="24"/>
      <c r="AE267" s="79" t="str">
        <f t="shared" si="53"/>
        <v/>
      </c>
      <c r="AF267" s="24"/>
      <c r="AG267" s="24"/>
      <c r="AH267" s="24"/>
      <c r="AI267" s="24"/>
      <c r="AJ267" s="99" t="str">
        <f t="shared" si="54"/>
        <v/>
      </c>
      <c r="AK267" s="31" t="str">
        <f t="shared" si="59"/>
        <v/>
      </c>
      <c r="AN267" s="139" t="str">
        <f>IF($K267="","",VLOOKUP($K267,'ORF Accuracy Value LookUp'!$G$4:$H$104,2,TRUE))</f>
        <v/>
      </c>
      <c r="AO267" s="94" t="str">
        <f t="shared" si="55"/>
        <v/>
      </c>
      <c r="AP267" s="47" t="str">
        <f>IF($U267="","",VLOOKUP($U267,'ORF Accuracy Value LookUp'!$G$4:$H$104,2,TRUE))</f>
        <v/>
      </c>
      <c r="AQ267" s="94" t="str">
        <f t="shared" si="56"/>
        <v/>
      </c>
      <c r="AR267" s="46" t="str">
        <f>IF($AE267="","",VLOOKUP($AE267,'ORF Accuracy Value LookUp'!$G$4:$H$104,2,TRUE))</f>
        <v/>
      </c>
      <c r="AS267" s="140" t="str">
        <f t="shared" si="57"/>
        <v/>
      </c>
    </row>
    <row r="268" spans="1:45">
      <c r="A268" s="10"/>
      <c r="B268" s="9"/>
      <c r="C268" s="9"/>
      <c r="D268" s="9"/>
      <c r="E268" s="10"/>
      <c r="F268" s="11"/>
      <c r="G268" s="15"/>
      <c r="H268" s="88"/>
      <c r="I268" s="24"/>
      <c r="J268" s="24"/>
      <c r="K268" s="114" t="str">
        <f t="shared" si="48"/>
        <v/>
      </c>
      <c r="L268" s="24"/>
      <c r="M268" s="24"/>
      <c r="N268" s="24"/>
      <c r="O268" s="24"/>
      <c r="P268" s="97" t="str">
        <f t="shared" si="49"/>
        <v/>
      </c>
      <c r="Q268" s="113" t="str">
        <f t="shared" si="50"/>
        <v/>
      </c>
      <c r="R268" s="88"/>
      <c r="S268" s="24"/>
      <c r="T268" s="24"/>
      <c r="U268" s="78" t="str">
        <f t="shared" si="51"/>
        <v/>
      </c>
      <c r="V268" s="24"/>
      <c r="W268" s="24"/>
      <c r="X268" s="24"/>
      <c r="Y268" s="24"/>
      <c r="Z268" s="98" t="str">
        <f t="shared" si="52"/>
        <v/>
      </c>
      <c r="AA268" s="40" t="str">
        <f t="shared" si="58"/>
        <v/>
      </c>
      <c r="AB268" s="88"/>
      <c r="AC268" s="24"/>
      <c r="AD268" s="24"/>
      <c r="AE268" s="79" t="str">
        <f t="shared" si="53"/>
        <v/>
      </c>
      <c r="AF268" s="24"/>
      <c r="AG268" s="24"/>
      <c r="AH268" s="24"/>
      <c r="AI268" s="24"/>
      <c r="AJ268" s="99" t="str">
        <f t="shared" si="54"/>
        <v/>
      </c>
      <c r="AK268" s="31" t="str">
        <f t="shared" si="59"/>
        <v/>
      </c>
      <c r="AN268" s="139" t="str">
        <f>IF($K268="","",VLOOKUP($K268,'ORF Accuracy Value LookUp'!$G$4:$H$104,2,TRUE))</f>
        <v/>
      </c>
      <c r="AO268" s="94" t="str">
        <f t="shared" si="55"/>
        <v/>
      </c>
      <c r="AP268" s="47" t="str">
        <f>IF($U268="","",VLOOKUP($U268,'ORF Accuracy Value LookUp'!$G$4:$H$104,2,TRUE))</f>
        <v/>
      </c>
      <c r="AQ268" s="94" t="str">
        <f t="shared" si="56"/>
        <v/>
      </c>
      <c r="AR268" s="46" t="str">
        <f>IF($AE268="","",VLOOKUP($AE268,'ORF Accuracy Value LookUp'!$G$4:$H$104,2,TRUE))</f>
        <v/>
      </c>
      <c r="AS268" s="140" t="str">
        <f t="shared" si="57"/>
        <v/>
      </c>
    </row>
    <row r="269" spans="1:45">
      <c r="A269" s="10"/>
      <c r="B269" s="9"/>
      <c r="C269" s="9"/>
      <c r="D269" s="9"/>
      <c r="E269" s="10"/>
      <c r="F269" s="11"/>
      <c r="G269" s="15"/>
      <c r="H269" s="88"/>
      <c r="I269" s="24"/>
      <c r="J269" s="24"/>
      <c r="K269" s="114" t="str">
        <f t="shared" si="48"/>
        <v/>
      </c>
      <c r="L269" s="24"/>
      <c r="M269" s="24"/>
      <c r="N269" s="24"/>
      <c r="O269" s="24"/>
      <c r="P269" s="97" t="str">
        <f t="shared" si="49"/>
        <v/>
      </c>
      <c r="Q269" s="113" t="str">
        <f t="shared" si="50"/>
        <v/>
      </c>
      <c r="R269" s="88"/>
      <c r="S269" s="24"/>
      <c r="T269" s="24"/>
      <c r="U269" s="78" t="str">
        <f t="shared" si="51"/>
        <v/>
      </c>
      <c r="V269" s="24"/>
      <c r="W269" s="24"/>
      <c r="X269" s="24"/>
      <c r="Y269" s="24"/>
      <c r="Z269" s="98" t="str">
        <f t="shared" si="52"/>
        <v/>
      </c>
      <c r="AA269" s="40" t="str">
        <f t="shared" si="58"/>
        <v/>
      </c>
      <c r="AB269" s="88"/>
      <c r="AC269" s="24"/>
      <c r="AD269" s="24"/>
      <c r="AE269" s="79" t="str">
        <f t="shared" si="53"/>
        <v/>
      </c>
      <c r="AF269" s="24"/>
      <c r="AG269" s="24"/>
      <c r="AH269" s="24"/>
      <c r="AI269" s="24"/>
      <c r="AJ269" s="99" t="str">
        <f t="shared" si="54"/>
        <v/>
      </c>
      <c r="AK269" s="31" t="str">
        <f t="shared" si="59"/>
        <v/>
      </c>
      <c r="AN269" s="139" t="str">
        <f>IF($K269="","",VLOOKUP($K269,'ORF Accuracy Value LookUp'!$G$4:$H$104,2,TRUE))</f>
        <v/>
      </c>
      <c r="AO269" s="94" t="str">
        <f t="shared" si="55"/>
        <v/>
      </c>
      <c r="AP269" s="47" t="str">
        <f>IF($U269="","",VLOOKUP($U269,'ORF Accuracy Value LookUp'!$G$4:$H$104,2,TRUE))</f>
        <v/>
      </c>
      <c r="AQ269" s="94" t="str">
        <f t="shared" si="56"/>
        <v/>
      </c>
      <c r="AR269" s="46" t="str">
        <f>IF($AE269="","",VLOOKUP($AE269,'ORF Accuracy Value LookUp'!$G$4:$H$104,2,TRUE))</f>
        <v/>
      </c>
      <c r="AS269" s="140" t="str">
        <f t="shared" si="57"/>
        <v/>
      </c>
    </row>
    <row r="270" spans="1:45">
      <c r="A270" s="10"/>
      <c r="B270" s="9"/>
      <c r="C270" s="9"/>
      <c r="D270" s="9"/>
      <c r="E270" s="10"/>
      <c r="F270" s="11"/>
      <c r="G270" s="15"/>
      <c r="H270" s="88"/>
      <c r="I270" s="24"/>
      <c r="J270" s="24"/>
      <c r="K270" s="114" t="str">
        <f t="shared" si="48"/>
        <v/>
      </c>
      <c r="L270" s="24"/>
      <c r="M270" s="24"/>
      <c r="N270" s="24"/>
      <c r="O270" s="24"/>
      <c r="P270" s="97" t="str">
        <f t="shared" si="49"/>
        <v/>
      </c>
      <c r="Q270" s="113" t="str">
        <f t="shared" si="50"/>
        <v/>
      </c>
      <c r="R270" s="88"/>
      <c r="S270" s="24"/>
      <c r="T270" s="24"/>
      <c r="U270" s="78" t="str">
        <f t="shared" si="51"/>
        <v/>
      </c>
      <c r="V270" s="24"/>
      <c r="W270" s="24"/>
      <c r="X270" s="24"/>
      <c r="Y270" s="24"/>
      <c r="Z270" s="98" t="str">
        <f t="shared" si="52"/>
        <v/>
      </c>
      <c r="AA270" s="40" t="str">
        <f t="shared" si="58"/>
        <v/>
      </c>
      <c r="AB270" s="88"/>
      <c r="AC270" s="24"/>
      <c r="AD270" s="24"/>
      <c r="AE270" s="79" t="str">
        <f t="shared" si="53"/>
        <v/>
      </c>
      <c r="AF270" s="24"/>
      <c r="AG270" s="24"/>
      <c r="AH270" s="24"/>
      <c r="AI270" s="24"/>
      <c r="AJ270" s="99" t="str">
        <f t="shared" si="54"/>
        <v/>
      </c>
      <c r="AK270" s="31" t="str">
        <f t="shared" si="59"/>
        <v/>
      </c>
      <c r="AN270" s="139" t="str">
        <f>IF($K270="","",VLOOKUP($K270,'ORF Accuracy Value LookUp'!$G$4:$H$104,2,TRUE))</f>
        <v/>
      </c>
      <c r="AO270" s="94" t="str">
        <f t="shared" si="55"/>
        <v/>
      </c>
      <c r="AP270" s="47" t="str">
        <f>IF($U270="","",VLOOKUP($U270,'ORF Accuracy Value LookUp'!$G$4:$H$104,2,TRUE))</f>
        <v/>
      </c>
      <c r="AQ270" s="94" t="str">
        <f t="shared" si="56"/>
        <v/>
      </c>
      <c r="AR270" s="46" t="str">
        <f>IF($AE270="","",VLOOKUP($AE270,'ORF Accuracy Value LookUp'!$G$4:$H$104,2,TRUE))</f>
        <v/>
      </c>
      <c r="AS270" s="140" t="str">
        <f t="shared" si="57"/>
        <v/>
      </c>
    </row>
    <row r="271" spans="1:45">
      <c r="A271" s="10"/>
      <c r="B271" s="9"/>
      <c r="C271" s="9"/>
      <c r="D271" s="9"/>
      <c r="E271" s="10"/>
      <c r="F271" s="11"/>
      <c r="G271" s="15"/>
      <c r="H271" s="88"/>
      <c r="I271" s="24"/>
      <c r="J271" s="24"/>
      <c r="K271" s="114" t="str">
        <f t="shared" si="48"/>
        <v/>
      </c>
      <c r="L271" s="24"/>
      <c r="M271" s="24"/>
      <c r="N271" s="24"/>
      <c r="O271" s="24"/>
      <c r="P271" s="97" t="str">
        <f t="shared" si="49"/>
        <v/>
      </c>
      <c r="Q271" s="113" t="str">
        <f t="shared" si="50"/>
        <v/>
      </c>
      <c r="R271" s="88"/>
      <c r="S271" s="24"/>
      <c r="T271" s="24"/>
      <c r="U271" s="78" t="str">
        <f t="shared" si="51"/>
        <v/>
      </c>
      <c r="V271" s="24"/>
      <c r="W271" s="24"/>
      <c r="X271" s="24"/>
      <c r="Y271" s="24"/>
      <c r="Z271" s="98" t="str">
        <f t="shared" si="52"/>
        <v/>
      </c>
      <c r="AA271" s="40" t="str">
        <f t="shared" si="58"/>
        <v/>
      </c>
      <c r="AB271" s="88"/>
      <c r="AC271" s="24"/>
      <c r="AD271" s="24"/>
      <c r="AE271" s="79" t="str">
        <f t="shared" si="53"/>
        <v/>
      </c>
      <c r="AF271" s="24"/>
      <c r="AG271" s="24"/>
      <c r="AH271" s="24"/>
      <c r="AI271" s="24"/>
      <c r="AJ271" s="99" t="str">
        <f t="shared" si="54"/>
        <v/>
      </c>
      <c r="AK271" s="31" t="str">
        <f t="shared" si="59"/>
        <v/>
      </c>
      <c r="AN271" s="139" t="str">
        <f>IF($K271="","",VLOOKUP($K271,'ORF Accuracy Value LookUp'!$G$4:$H$104,2,TRUE))</f>
        <v/>
      </c>
      <c r="AO271" s="94" t="str">
        <f t="shared" si="55"/>
        <v/>
      </c>
      <c r="AP271" s="47" t="str">
        <f>IF($U271="","",VLOOKUP($U271,'ORF Accuracy Value LookUp'!$G$4:$H$104,2,TRUE))</f>
        <v/>
      </c>
      <c r="AQ271" s="94" t="str">
        <f t="shared" si="56"/>
        <v/>
      </c>
      <c r="AR271" s="46" t="str">
        <f>IF($AE271="","",VLOOKUP($AE271,'ORF Accuracy Value LookUp'!$G$4:$H$104,2,TRUE))</f>
        <v/>
      </c>
      <c r="AS271" s="140" t="str">
        <f t="shared" si="57"/>
        <v/>
      </c>
    </row>
    <row r="272" spans="1:45">
      <c r="A272" s="10"/>
      <c r="B272" s="9"/>
      <c r="C272" s="9"/>
      <c r="D272" s="9"/>
      <c r="E272" s="10"/>
      <c r="F272" s="11"/>
      <c r="G272" s="15"/>
      <c r="H272" s="88"/>
      <c r="I272" s="24"/>
      <c r="J272" s="24"/>
      <c r="K272" s="114" t="str">
        <f t="shared" si="48"/>
        <v/>
      </c>
      <c r="L272" s="24"/>
      <c r="M272" s="24"/>
      <c r="N272" s="24"/>
      <c r="O272" s="24"/>
      <c r="P272" s="97" t="str">
        <f t="shared" si="49"/>
        <v/>
      </c>
      <c r="Q272" s="113" t="str">
        <f t="shared" si="50"/>
        <v/>
      </c>
      <c r="R272" s="88"/>
      <c r="S272" s="24"/>
      <c r="T272" s="24"/>
      <c r="U272" s="78" t="str">
        <f t="shared" si="51"/>
        <v/>
      </c>
      <c r="V272" s="24"/>
      <c r="W272" s="24"/>
      <c r="X272" s="24"/>
      <c r="Y272" s="24"/>
      <c r="Z272" s="98" t="str">
        <f t="shared" si="52"/>
        <v/>
      </c>
      <c r="AA272" s="40" t="str">
        <f t="shared" si="58"/>
        <v/>
      </c>
      <c r="AB272" s="88"/>
      <c r="AC272" s="24"/>
      <c r="AD272" s="24"/>
      <c r="AE272" s="79" t="str">
        <f t="shared" si="53"/>
        <v/>
      </c>
      <c r="AF272" s="24"/>
      <c r="AG272" s="24"/>
      <c r="AH272" s="24"/>
      <c r="AI272" s="24"/>
      <c r="AJ272" s="99" t="str">
        <f t="shared" si="54"/>
        <v/>
      </c>
      <c r="AK272" s="31" t="str">
        <f t="shared" si="59"/>
        <v/>
      </c>
      <c r="AN272" s="139" t="str">
        <f>IF($K272="","",VLOOKUP($K272,'ORF Accuracy Value LookUp'!$G$4:$H$104,2,TRUE))</f>
        <v/>
      </c>
      <c r="AO272" s="94" t="str">
        <f t="shared" si="55"/>
        <v/>
      </c>
      <c r="AP272" s="47" t="str">
        <f>IF($U272="","",VLOOKUP($U272,'ORF Accuracy Value LookUp'!$G$4:$H$104,2,TRUE))</f>
        <v/>
      </c>
      <c r="AQ272" s="94" t="str">
        <f t="shared" si="56"/>
        <v/>
      </c>
      <c r="AR272" s="46" t="str">
        <f>IF($AE272="","",VLOOKUP($AE272,'ORF Accuracy Value LookUp'!$G$4:$H$104,2,TRUE))</f>
        <v/>
      </c>
      <c r="AS272" s="140" t="str">
        <f t="shared" si="57"/>
        <v/>
      </c>
    </row>
    <row r="273" spans="1:45">
      <c r="A273" s="10"/>
      <c r="B273" s="9"/>
      <c r="C273" s="9"/>
      <c r="D273" s="9"/>
      <c r="E273" s="10"/>
      <c r="F273" s="11"/>
      <c r="G273" s="15"/>
      <c r="H273" s="88"/>
      <c r="I273" s="24"/>
      <c r="J273" s="24"/>
      <c r="K273" s="114" t="str">
        <f t="shared" si="48"/>
        <v/>
      </c>
      <c r="L273" s="24"/>
      <c r="M273" s="24"/>
      <c r="N273" s="24"/>
      <c r="O273" s="24"/>
      <c r="P273" s="97" t="str">
        <f t="shared" si="49"/>
        <v/>
      </c>
      <c r="Q273" s="113" t="str">
        <f t="shared" si="50"/>
        <v/>
      </c>
      <c r="R273" s="88"/>
      <c r="S273" s="24"/>
      <c r="T273" s="24"/>
      <c r="U273" s="78" t="str">
        <f t="shared" si="51"/>
        <v/>
      </c>
      <c r="V273" s="24"/>
      <c r="W273" s="24"/>
      <c r="X273" s="24"/>
      <c r="Y273" s="24"/>
      <c r="Z273" s="98" t="str">
        <f t="shared" si="52"/>
        <v/>
      </c>
      <c r="AA273" s="40" t="str">
        <f t="shared" si="58"/>
        <v/>
      </c>
      <c r="AB273" s="88"/>
      <c r="AC273" s="24"/>
      <c r="AD273" s="24"/>
      <c r="AE273" s="79" t="str">
        <f t="shared" si="53"/>
        <v/>
      </c>
      <c r="AF273" s="24"/>
      <c r="AG273" s="24"/>
      <c r="AH273" s="24"/>
      <c r="AI273" s="24"/>
      <c r="AJ273" s="99" t="str">
        <f t="shared" si="54"/>
        <v/>
      </c>
      <c r="AK273" s="31" t="str">
        <f t="shared" si="59"/>
        <v/>
      </c>
      <c r="AN273" s="139" t="str">
        <f>IF($K273="","",VLOOKUP($K273,'ORF Accuracy Value LookUp'!$G$4:$H$104,2,TRUE))</f>
        <v/>
      </c>
      <c r="AO273" s="94" t="str">
        <f t="shared" si="55"/>
        <v/>
      </c>
      <c r="AP273" s="47" t="str">
        <f>IF($U273="","",VLOOKUP($U273,'ORF Accuracy Value LookUp'!$G$4:$H$104,2,TRUE))</f>
        <v/>
      </c>
      <c r="AQ273" s="94" t="str">
        <f t="shared" si="56"/>
        <v/>
      </c>
      <c r="AR273" s="46" t="str">
        <f>IF($AE273="","",VLOOKUP($AE273,'ORF Accuracy Value LookUp'!$G$4:$H$104,2,TRUE))</f>
        <v/>
      </c>
      <c r="AS273" s="140" t="str">
        <f t="shared" si="57"/>
        <v/>
      </c>
    </row>
    <row r="274" spans="1:45">
      <c r="A274" s="10"/>
      <c r="B274" s="9"/>
      <c r="C274" s="9"/>
      <c r="D274" s="9"/>
      <c r="E274" s="10"/>
      <c r="F274" s="11"/>
      <c r="G274" s="15"/>
      <c r="H274" s="88"/>
      <c r="I274" s="24"/>
      <c r="J274" s="24"/>
      <c r="K274" s="114" t="str">
        <f t="shared" si="48"/>
        <v/>
      </c>
      <c r="L274" s="24"/>
      <c r="M274" s="24"/>
      <c r="N274" s="24"/>
      <c r="O274" s="24"/>
      <c r="P274" s="97" t="str">
        <f t="shared" si="49"/>
        <v/>
      </c>
      <c r="Q274" s="113" t="str">
        <f t="shared" si="50"/>
        <v/>
      </c>
      <c r="R274" s="88"/>
      <c r="S274" s="24"/>
      <c r="T274" s="24"/>
      <c r="U274" s="78" t="str">
        <f t="shared" si="51"/>
        <v/>
      </c>
      <c r="V274" s="24"/>
      <c r="W274" s="24"/>
      <c r="X274" s="24"/>
      <c r="Y274" s="24"/>
      <c r="Z274" s="98" t="str">
        <f t="shared" si="52"/>
        <v/>
      </c>
      <c r="AA274" s="40" t="str">
        <f t="shared" si="58"/>
        <v/>
      </c>
      <c r="AB274" s="88"/>
      <c r="AC274" s="24"/>
      <c r="AD274" s="24"/>
      <c r="AE274" s="79" t="str">
        <f t="shared" si="53"/>
        <v/>
      </c>
      <c r="AF274" s="24"/>
      <c r="AG274" s="24"/>
      <c r="AH274" s="24"/>
      <c r="AI274" s="24"/>
      <c r="AJ274" s="99" t="str">
        <f t="shared" si="54"/>
        <v/>
      </c>
      <c r="AK274" s="31" t="str">
        <f t="shared" si="59"/>
        <v/>
      </c>
      <c r="AN274" s="139" t="str">
        <f>IF($K274="","",VLOOKUP($K274,'ORF Accuracy Value LookUp'!$G$4:$H$104,2,TRUE))</f>
        <v/>
      </c>
      <c r="AO274" s="94" t="str">
        <f t="shared" si="55"/>
        <v/>
      </c>
      <c r="AP274" s="47" t="str">
        <f>IF($U274="","",VLOOKUP($U274,'ORF Accuracy Value LookUp'!$G$4:$H$104,2,TRUE))</f>
        <v/>
      </c>
      <c r="AQ274" s="94" t="str">
        <f t="shared" si="56"/>
        <v/>
      </c>
      <c r="AR274" s="46" t="str">
        <f>IF($AE274="","",VLOOKUP($AE274,'ORF Accuracy Value LookUp'!$G$4:$H$104,2,TRUE))</f>
        <v/>
      </c>
      <c r="AS274" s="140" t="str">
        <f t="shared" si="57"/>
        <v/>
      </c>
    </row>
    <row r="275" spans="1:45">
      <c r="A275" s="10"/>
      <c r="B275" s="9"/>
      <c r="C275" s="9"/>
      <c r="D275" s="9"/>
      <c r="E275" s="10"/>
      <c r="F275" s="11"/>
      <c r="G275" s="15"/>
      <c r="H275" s="88"/>
      <c r="I275" s="24"/>
      <c r="J275" s="24"/>
      <c r="K275" s="114" t="str">
        <f t="shared" si="48"/>
        <v/>
      </c>
      <c r="L275" s="24"/>
      <c r="M275" s="24"/>
      <c r="N275" s="24"/>
      <c r="O275" s="24"/>
      <c r="P275" s="97" t="str">
        <f t="shared" si="49"/>
        <v/>
      </c>
      <c r="Q275" s="113" t="str">
        <f t="shared" si="50"/>
        <v/>
      </c>
      <c r="R275" s="88"/>
      <c r="S275" s="24"/>
      <c r="T275" s="24"/>
      <c r="U275" s="78" t="str">
        <f t="shared" si="51"/>
        <v/>
      </c>
      <c r="V275" s="24"/>
      <c r="W275" s="24"/>
      <c r="X275" s="24"/>
      <c r="Y275" s="24"/>
      <c r="Z275" s="98" t="str">
        <f t="shared" si="52"/>
        <v/>
      </c>
      <c r="AA275" s="40" t="str">
        <f t="shared" si="58"/>
        <v/>
      </c>
      <c r="AB275" s="88"/>
      <c r="AC275" s="24"/>
      <c r="AD275" s="24"/>
      <c r="AE275" s="79" t="str">
        <f t="shared" si="53"/>
        <v/>
      </c>
      <c r="AF275" s="24"/>
      <c r="AG275" s="24"/>
      <c r="AH275" s="24"/>
      <c r="AI275" s="24"/>
      <c r="AJ275" s="99" t="str">
        <f t="shared" si="54"/>
        <v/>
      </c>
      <c r="AK275" s="31" t="str">
        <f t="shared" si="59"/>
        <v/>
      </c>
      <c r="AN275" s="139" t="str">
        <f>IF($K275="","",VLOOKUP($K275,'ORF Accuracy Value LookUp'!$G$4:$H$104,2,TRUE))</f>
        <v/>
      </c>
      <c r="AO275" s="94" t="str">
        <f t="shared" si="55"/>
        <v/>
      </c>
      <c r="AP275" s="47" t="str">
        <f>IF($U275="","",VLOOKUP($U275,'ORF Accuracy Value LookUp'!$G$4:$H$104,2,TRUE))</f>
        <v/>
      </c>
      <c r="AQ275" s="94" t="str">
        <f t="shared" si="56"/>
        <v/>
      </c>
      <c r="AR275" s="46" t="str">
        <f>IF($AE275="","",VLOOKUP($AE275,'ORF Accuracy Value LookUp'!$G$4:$H$104,2,TRUE))</f>
        <v/>
      </c>
      <c r="AS275" s="140" t="str">
        <f t="shared" si="57"/>
        <v/>
      </c>
    </row>
    <row r="276" spans="1:45">
      <c r="A276" s="10"/>
      <c r="B276" s="9"/>
      <c r="C276" s="9"/>
      <c r="D276" s="9"/>
      <c r="E276" s="10"/>
      <c r="F276" s="11"/>
      <c r="G276" s="15"/>
      <c r="H276" s="88"/>
      <c r="I276" s="24"/>
      <c r="J276" s="24"/>
      <c r="K276" s="114" t="str">
        <f t="shared" si="48"/>
        <v/>
      </c>
      <c r="L276" s="24"/>
      <c r="M276" s="24"/>
      <c r="N276" s="24"/>
      <c r="O276" s="24"/>
      <c r="P276" s="97" t="str">
        <f t="shared" si="49"/>
        <v/>
      </c>
      <c r="Q276" s="113" t="str">
        <f t="shared" si="50"/>
        <v/>
      </c>
      <c r="R276" s="88"/>
      <c r="S276" s="24"/>
      <c r="T276" s="24"/>
      <c r="U276" s="78" t="str">
        <f t="shared" si="51"/>
        <v/>
      </c>
      <c r="V276" s="24"/>
      <c r="W276" s="24"/>
      <c r="X276" s="24"/>
      <c r="Y276" s="24"/>
      <c r="Z276" s="98" t="str">
        <f t="shared" si="52"/>
        <v/>
      </c>
      <c r="AA276" s="40" t="str">
        <f t="shared" si="58"/>
        <v/>
      </c>
      <c r="AB276" s="88"/>
      <c r="AC276" s="24"/>
      <c r="AD276" s="24"/>
      <c r="AE276" s="79" t="str">
        <f t="shared" si="53"/>
        <v/>
      </c>
      <c r="AF276" s="24"/>
      <c r="AG276" s="24"/>
      <c r="AH276" s="24"/>
      <c r="AI276" s="24"/>
      <c r="AJ276" s="99" t="str">
        <f t="shared" si="54"/>
        <v/>
      </c>
      <c r="AK276" s="31" t="str">
        <f t="shared" si="59"/>
        <v/>
      </c>
      <c r="AN276" s="139" t="str">
        <f>IF($K276="","",VLOOKUP($K276,'ORF Accuracy Value LookUp'!$G$4:$H$104,2,TRUE))</f>
        <v/>
      </c>
      <c r="AO276" s="94" t="str">
        <f t="shared" si="55"/>
        <v/>
      </c>
      <c r="AP276" s="47" t="str">
        <f>IF($U276="","",VLOOKUP($U276,'ORF Accuracy Value LookUp'!$G$4:$H$104,2,TRUE))</f>
        <v/>
      </c>
      <c r="AQ276" s="94" t="str">
        <f t="shared" si="56"/>
        <v/>
      </c>
      <c r="AR276" s="46" t="str">
        <f>IF($AE276="","",VLOOKUP($AE276,'ORF Accuracy Value LookUp'!$G$4:$H$104,2,TRUE))</f>
        <v/>
      </c>
      <c r="AS276" s="140" t="str">
        <f t="shared" si="57"/>
        <v/>
      </c>
    </row>
    <row r="277" spans="1:45">
      <c r="A277" s="10"/>
      <c r="B277" s="9"/>
      <c r="C277" s="9"/>
      <c r="D277" s="9"/>
      <c r="E277" s="10"/>
      <c r="F277" s="11"/>
      <c r="G277" s="15"/>
      <c r="H277" s="88"/>
      <c r="I277" s="24"/>
      <c r="J277" s="24"/>
      <c r="K277" s="114" t="str">
        <f t="shared" si="48"/>
        <v/>
      </c>
      <c r="L277" s="24"/>
      <c r="M277" s="24"/>
      <c r="N277" s="24"/>
      <c r="O277" s="24"/>
      <c r="P277" s="97" t="str">
        <f t="shared" si="49"/>
        <v/>
      </c>
      <c r="Q277" s="113" t="str">
        <f t="shared" si="50"/>
        <v/>
      </c>
      <c r="R277" s="88"/>
      <c r="S277" s="24"/>
      <c r="T277" s="24"/>
      <c r="U277" s="78" t="str">
        <f t="shared" si="51"/>
        <v/>
      </c>
      <c r="V277" s="24"/>
      <c r="W277" s="24"/>
      <c r="X277" s="24"/>
      <c r="Y277" s="24"/>
      <c r="Z277" s="98" t="str">
        <f t="shared" si="52"/>
        <v/>
      </c>
      <c r="AA277" s="40" t="str">
        <f t="shared" si="58"/>
        <v/>
      </c>
      <c r="AB277" s="88"/>
      <c r="AC277" s="24"/>
      <c r="AD277" s="24"/>
      <c r="AE277" s="79" t="str">
        <f t="shared" si="53"/>
        <v/>
      </c>
      <c r="AF277" s="24"/>
      <c r="AG277" s="24"/>
      <c r="AH277" s="24"/>
      <c r="AI277" s="24"/>
      <c r="AJ277" s="99" t="str">
        <f t="shared" si="54"/>
        <v/>
      </c>
      <c r="AK277" s="31" t="str">
        <f t="shared" si="59"/>
        <v/>
      </c>
      <c r="AN277" s="139" t="str">
        <f>IF($K277="","",VLOOKUP($K277,'ORF Accuracy Value LookUp'!$G$4:$H$104,2,TRUE))</f>
        <v/>
      </c>
      <c r="AO277" s="94" t="str">
        <f t="shared" si="55"/>
        <v/>
      </c>
      <c r="AP277" s="47" t="str">
        <f>IF($U277="","",VLOOKUP($U277,'ORF Accuracy Value LookUp'!$G$4:$H$104,2,TRUE))</f>
        <v/>
      </c>
      <c r="AQ277" s="94" t="str">
        <f t="shared" si="56"/>
        <v/>
      </c>
      <c r="AR277" s="46" t="str">
        <f>IF($AE277="","",VLOOKUP($AE277,'ORF Accuracy Value LookUp'!$G$4:$H$104,2,TRUE))</f>
        <v/>
      </c>
      <c r="AS277" s="140" t="str">
        <f t="shared" si="57"/>
        <v/>
      </c>
    </row>
    <row r="278" spans="1:45">
      <c r="A278" s="10"/>
      <c r="B278" s="9"/>
      <c r="C278" s="9"/>
      <c r="D278" s="9"/>
      <c r="E278" s="10"/>
      <c r="F278" s="11"/>
      <c r="G278" s="15"/>
      <c r="H278" s="88"/>
      <c r="I278" s="24"/>
      <c r="J278" s="24"/>
      <c r="K278" s="114" t="str">
        <f t="shared" si="48"/>
        <v/>
      </c>
      <c r="L278" s="24"/>
      <c r="M278" s="24"/>
      <c r="N278" s="24"/>
      <c r="O278" s="24"/>
      <c r="P278" s="97" t="str">
        <f t="shared" si="49"/>
        <v/>
      </c>
      <c r="Q278" s="113" t="str">
        <f t="shared" si="50"/>
        <v/>
      </c>
      <c r="R278" s="88"/>
      <c r="S278" s="24"/>
      <c r="T278" s="24"/>
      <c r="U278" s="78" t="str">
        <f t="shared" si="51"/>
        <v/>
      </c>
      <c r="V278" s="24"/>
      <c r="W278" s="24"/>
      <c r="X278" s="24"/>
      <c r="Y278" s="24"/>
      <c r="Z278" s="98" t="str">
        <f t="shared" si="52"/>
        <v/>
      </c>
      <c r="AA278" s="40" t="str">
        <f t="shared" si="58"/>
        <v/>
      </c>
      <c r="AB278" s="88"/>
      <c r="AC278" s="24"/>
      <c r="AD278" s="24"/>
      <c r="AE278" s="79" t="str">
        <f t="shared" si="53"/>
        <v/>
      </c>
      <c r="AF278" s="24"/>
      <c r="AG278" s="24"/>
      <c r="AH278" s="24"/>
      <c r="AI278" s="24"/>
      <c r="AJ278" s="99" t="str">
        <f t="shared" si="54"/>
        <v/>
      </c>
      <c r="AK278" s="31" t="str">
        <f t="shared" si="59"/>
        <v/>
      </c>
      <c r="AN278" s="139" t="str">
        <f>IF($K278="","",VLOOKUP($K278,'ORF Accuracy Value LookUp'!$G$4:$H$104,2,TRUE))</f>
        <v/>
      </c>
      <c r="AO278" s="94" t="str">
        <f t="shared" si="55"/>
        <v/>
      </c>
      <c r="AP278" s="47" t="str">
        <f>IF($U278="","",VLOOKUP($U278,'ORF Accuracy Value LookUp'!$G$4:$H$104,2,TRUE))</f>
        <v/>
      </c>
      <c r="AQ278" s="94" t="str">
        <f t="shared" si="56"/>
        <v/>
      </c>
      <c r="AR278" s="46" t="str">
        <f>IF($AE278="","",VLOOKUP($AE278,'ORF Accuracy Value LookUp'!$G$4:$H$104,2,TRUE))</f>
        <v/>
      </c>
      <c r="AS278" s="140" t="str">
        <f t="shared" si="57"/>
        <v/>
      </c>
    </row>
    <row r="279" spans="1:45">
      <c r="A279" s="10"/>
      <c r="B279" s="9"/>
      <c r="C279" s="9"/>
      <c r="D279" s="9"/>
      <c r="E279" s="10"/>
      <c r="F279" s="11"/>
      <c r="G279" s="15"/>
      <c r="H279" s="88"/>
      <c r="I279" s="24"/>
      <c r="J279" s="24"/>
      <c r="K279" s="114" t="str">
        <f t="shared" si="48"/>
        <v/>
      </c>
      <c r="L279" s="24"/>
      <c r="M279" s="24"/>
      <c r="N279" s="24"/>
      <c r="O279" s="24"/>
      <c r="P279" s="97" t="str">
        <f t="shared" si="49"/>
        <v/>
      </c>
      <c r="Q279" s="113" t="str">
        <f t="shared" si="50"/>
        <v/>
      </c>
      <c r="R279" s="88"/>
      <c r="S279" s="24"/>
      <c r="T279" s="24"/>
      <c r="U279" s="78" t="str">
        <f t="shared" si="51"/>
        <v/>
      </c>
      <c r="V279" s="24"/>
      <c r="W279" s="24"/>
      <c r="X279" s="24"/>
      <c r="Y279" s="24"/>
      <c r="Z279" s="98" t="str">
        <f t="shared" si="52"/>
        <v/>
      </c>
      <c r="AA279" s="40" t="str">
        <f t="shared" si="58"/>
        <v/>
      </c>
      <c r="AB279" s="88"/>
      <c r="AC279" s="24"/>
      <c r="AD279" s="24"/>
      <c r="AE279" s="79" t="str">
        <f t="shared" si="53"/>
        <v/>
      </c>
      <c r="AF279" s="24"/>
      <c r="AG279" s="24"/>
      <c r="AH279" s="24"/>
      <c r="AI279" s="24"/>
      <c r="AJ279" s="99" t="str">
        <f t="shared" si="54"/>
        <v/>
      </c>
      <c r="AK279" s="31" t="str">
        <f t="shared" si="59"/>
        <v/>
      </c>
      <c r="AN279" s="139" t="str">
        <f>IF($K279="","",VLOOKUP($K279,'ORF Accuracy Value LookUp'!$G$4:$H$104,2,TRUE))</f>
        <v/>
      </c>
      <c r="AO279" s="94" t="str">
        <f t="shared" si="55"/>
        <v/>
      </c>
      <c r="AP279" s="47" t="str">
        <f>IF($U279="","",VLOOKUP($U279,'ORF Accuracy Value LookUp'!$G$4:$H$104,2,TRUE))</f>
        <v/>
      </c>
      <c r="AQ279" s="94" t="str">
        <f t="shared" si="56"/>
        <v/>
      </c>
      <c r="AR279" s="46" t="str">
        <f>IF($AE279="","",VLOOKUP($AE279,'ORF Accuracy Value LookUp'!$G$4:$H$104,2,TRUE))</f>
        <v/>
      </c>
      <c r="AS279" s="140" t="str">
        <f t="shared" si="57"/>
        <v/>
      </c>
    </row>
    <row r="280" spans="1:45">
      <c r="A280" s="10"/>
      <c r="B280" s="9"/>
      <c r="C280" s="9"/>
      <c r="D280" s="9"/>
      <c r="E280" s="10"/>
      <c r="F280" s="11"/>
      <c r="G280" s="15"/>
      <c r="H280" s="88"/>
      <c r="I280" s="24"/>
      <c r="J280" s="24"/>
      <c r="K280" s="114" t="str">
        <f t="shared" si="48"/>
        <v/>
      </c>
      <c r="L280" s="24"/>
      <c r="M280" s="24"/>
      <c r="N280" s="24"/>
      <c r="O280" s="24"/>
      <c r="P280" s="97" t="str">
        <f t="shared" si="49"/>
        <v/>
      </c>
      <c r="Q280" s="113" t="str">
        <f t="shared" si="50"/>
        <v/>
      </c>
      <c r="R280" s="88"/>
      <c r="S280" s="24"/>
      <c r="T280" s="24"/>
      <c r="U280" s="78" t="str">
        <f t="shared" si="51"/>
        <v/>
      </c>
      <c r="V280" s="24"/>
      <c r="W280" s="24"/>
      <c r="X280" s="24"/>
      <c r="Y280" s="24"/>
      <c r="Z280" s="98" t="str">
        <f t="shared" si="52"/>
        <v/>
      </c>
      <c r="AA280" s="40" t="str">
        <f t="shared" si="58"/>
        <v/>
      </c>
      <c r="AB280" s="88"/>
      <c r="AC280" s="24"/>
      <c r="AD280" s="24"/>
      <c r="AE280" s="79" t="str">
        <f t="shared" si="53"/>
        <v/>
      </c>
      <c r="AF280" s="24"/>
      <c r="AG280" s="24"/>
      <c r="AH280" s="24"/>
      <c r="AI280" s="24"/>
      <c r="AJ280" s="99" t="str">
        <f t="shared" si="54"/>
        <v/>
      </c>
      <c r="AK280" s="31" t="str">
        <f t="shared" si="59"/>
        <v/>
      </c>
      <c r="AN280" s="139" t="str">
        <f>IF($K280="","",VLOOKUP($K280,'ORF Accuracy Value LookUp'!$G$4:$H$104,2,TRUE))</f>
        <v/>
      </c>
      <c r="AO280" s="94" t="str">
        <f t="shared" si="55"/>
        <v/>
      </c>
      <c r="AP280" s="47" t="str">
        <f>IF($U280="","",VLOOKUP($U280,'ORF Accuracy Value LookUp'!$G$4:$H$104,2,TRUE))</f>
        <v/>
      </c>
      <c r="AQ280" s="94" t="str">
        <f t="shared" si="56"/>
        <v/>
      </c>
      <c r="AR280" s="46" t="str">
        <f>IF($AE280="","",VLOOKUP($AE280,'ORF Accuracy Value LookUp'!$G$4:$H$104,2,TRUE))</f>
        <v/>
      </c>
      <c r="AS280" s="140" t="str">
        <f t="shared" si="57"/>
        <v/>
      </c>
    </row>
    <row r="281" spans="1:45">
      <c r="A281" s="10"/>
      <c r="B281" s="9"/>
      <c r="C281" s="9"/>
      <c r="D281" s="9"/>
      <c r="E281" s="10"/>
      <c r="F281" s="11"/>
      <c r="G281" s="15"/>
      <c r="H281" s="88"/>
      <c r="I281" s="24"/>
      <c r="J281" s="24"/>
      <c r="K281" s="114" t="str">
        <f t="shared" si="48"/>
        <v/>
      </c>
      <c r="L281" s="24"/>
      <c r="M281" s="24"/>
      <c r="N281" s="24"/>
      <c r="O281" s="24"/>
      <c r="P281" s="97" t="str">
        <f t="shared" si="49"/>
        <v/>
      </c>
      <c r="Q281" s="113" t="str">
        <f t="shared" si="50"/>
        <v/>
      </c>
      <c r="R281" s="88"/>
      <c r="S281" s="24"/>
      <c r="T281" s="24"/>
      <c r="U281" s="78" t="str">
        <f t="shared" si="51"/>
        <v/>
      </c>
      <c r="V281" s="24"/>
      <c r="W281" s="24"/>
      <c r="X281" s="24"/>
      <c r="Y281" s="24"/>
      <c r="Z281" s="98" t="str">
        <f t="shared" si="52"/>
        <v/>
      </c>
      <c r="AA281" s="40" t="str">
        <f t="shared" si="58"/>
        <v/>
      </c>
      <c r="AB281" s="88"/>
      <c r="AC281" s="24"/>
      <c r="AD281" s="24"/>
      <c r="AE281" s="79" t="str">
        <f t="shared" si="53"/>
        <v/>
      </c>
      <c r="AF281" s="24"/>
      <c r="AG281" s="24"/>
      <c r="AH281" s="24"/>
      <c r="AI281" s="24"/>
      <c r="AJ281" s="99" t="str">
        <f t="shared" si="54"/>
        <v/>
      </c>
      <c r="AK281" s="31" t="str">
        <f t="shared" si="59"/>
        <v/>
      </c>
      <c r="AN281" s="139" t="str">
        <f>IF($K281="","",VLOOKUP($K281,'ORF Accuracy Value LookUp'!$G$4:$H$104,2,TRUE))</f>
        <v/>
      </c>
      <c r="AO281" s="94" t="str">
        <f t="shared" si="55"/>
        <v/>
      </c>
      <c r="AP281" s="47" t="str">
        <f>IF($U281="","",VLOOKUP($U281,'ORF Accuracy Value LookUp'!$G$4:$H$104,2,TRUE))</f>
        <v/>
      </c>
      <c r="AQ281" s="94" t="str">
        <f t="shared" si="56"/>
        <v/>
      </c>
      <c r="AR281" s="46" t="str">
        <f>IF($AE281="","",VLOOKUP($AE281,'ORF Accuracy Value LookUp'!$G$4:$H$104,2,TRUE))</f>
        <v/>
      </c>
      <c r="AS281" s="140" t="str">
        <f t="shared" si="57"/>
        <v/>
      </c>
    </row>
    <row r="282" spans="1:45">
      <c r="A282" s="10"/>
      <c r="B282" s="9"/>
      <c r="C282" s="9"/>
      <c r="D282" s="9"/>
      <c r="E282" s="10"/>
      <c r="F282" s="11"/>
      <c r="G282" s="15"/>
      <c r="H282" s="88"/>
      <c r="I282" s="24"/>
      <c r="J282" s="24"/>
      <c r="K282" s="114" t="str">
        <f t="shared" si="48"/>
        <v/>
      </c>
      <c r="L282" s="24"/>
      <c r="M282" s="24"/>
      <c r="N282" s="24"/>
      <c r="O282" s="24"/>
      <c r="P282" s="97" t="str">
        <f t="shared" si="49"/>
        <v/>
      </c>
      <c r="Q282" s="113" t="str">
        <f t="shared" si="50"/>
        <v/>
      </c>
      <c r="R282" s="88"/>
      <c r="S282" s="24"/>
      <c r="T282" s="24"/>
      <c r="U282" s="78" t="str">
        <f t="shared" si="51"/>
        <v/>
      </c>
      <c r="V282" s="24"/>
      <c r="W282" s="24"/>
      <c r="X282" s="24"/>
      <c r="Y282" s="24"/>
      <c r="Z282" s="98" t="str">
        <f t="shared" si="52"/>
        <v/>
      </c>
      <c r="AA282" s="40" t="str">
        <f t="shared" si="58"/>
        <v/>
      </c>
      <c r="AB282" s="88"/>
      <c r="AC282" s="24"/>
      <c r="AD282" s="24"/>
      <c r="AE282" s="79" t="str">
        <f t="shared" si="53"/>
        <v/>
      </c>
      <c r="AF282" s="24"/>
      <c r="AG282" s="24"/>
      <c r="AH282" s="24"/>
      <c r="AI282" s="24"/>
      <c r="AJ282" s="99" t="str">
        <f t="shared" si="54"/>
        <v/>
      </c>
      <c r="AK282" s="31" t="str">
        <f t="shared" si="59"/>
        <v/>
      </c>
      <c r="AN282" s="139" t="str">
        <f>IF($K282="","",VLOOKUP($K282,'ORF Accuracy Value LookUp'!$G$4:$H$104,2,TRUE))</f>
        <v/>
      </c>
      <c r="AO282" s="94" t="str">
        <f t="shared" si="55"/>
        <v/>
      </c>
      <c r="AP282" s="47" t="str">
        <f>IF($U282="","",VLOOKUP($U282,'ORF Accuracy Value LookUp'!$G$4:$H$104,2,TRUE))</f>
        <v/>
      </c>
      <c r="AQ282" s="94" t="str">
        <f t="shared" si="56"/>
        <v/>
      </c>
      <c r="AR282" s="46" t="str">
        <f>IF($AE282="","",VLOOKUP($AE282,'ORF Accuracy Value LookUp'!$G$4:$H$104,2,TRUE))</f>
        <v/>
      </c>
      <c r="AS282" s="140" t="str">
        <f t="shared" si="57"/>
        <v/>
      </c>
    </row>
    <row r="283" spans="1:45">
      <c r="A283" s="10"/>
      <c r="B283" s="9"/>
      <c r="C283" s="9"/>
      <c r="D283" s="9"/>
      <c r="E283" s="10"/>
      <c r="F283" s="11"/>
      <c r="G283" s="15"/>
      <c r="H283" s="88"/>
      <c r="I283" s="24"/>
      <c r="J283" s="24"/>
      <c r="K283" s="114" t="str">
        <f t="shared" si="48"/>
        <v/>
      </c>
      <c r="L283" s="24"/>
      <c r="M283" s="24"/>
      <c r="N283" s="24"/>
      <c r="O283" s="24"/>
      <c r="P283" s="97" t="str">
        <f t="shared" si="49"/>
        <v/>
      </c>
      <c r="Q283" s="113" t="str">
        <f t="shared" si="50"/>
        <v/>
      </c>
      <c r="R283" s="88"/>
      <c r="S283" s="24"/>
      <c r="T283" s="24"/>
      <c r="U283" s="78" t="str">
        <f t="shared" si="51"/>
        <v/>
      </c>
      <c r="V283" s="24"/>
      <c r="W283" s="24"/>
      <c r="X283" s="24"/>
      <c r="Y283" s="24"/>
      <c r="Z283" s="98" t="str">
        <f t="shared" si="52"/>
        <v/>
      </c>
      <c r="AA283" s="40" t="str">
        <f t="shared" si="58"/>
        <v/>
      </c>
      <c r="AB283" s="88"/>
      <c r="AC283" s="24"/>
      <c r="AD283" s="24"/>
      <c r="AE283" s="79" t="str">
        <f t="shared" si="53"/>
        <v/>
      </c>
      <c r="AF283" s="24"/>
      <c r="AG283" s="24"/>
      <c r="AH283" s="24"/>
      <c r="AI283" s="24"/>
      <c r="AJ283" s="99" t="str">
        <f t="shared" si="54"/>
        <v/>
      </c>
      <c r="AK283" s="31" t="str">
        <f t="shared" si="59"/>
        <v/>
      </c>
      <c r="AN283" s="139" t="str">
        <f>IF($K283="","",VLOOKUP($K283,'ORF Accuracy Value LookUp'!$G$4:$H$104,2,TRUE))</f>
        <v/>
      </c>
      <c r="AO283" s="94" t="str">
        <f t="shared" si="55"/>
        <v/>
      </c>
      <c r="AP283" s="47" t="str">
        <f>IF($U283="","",VLOOKUP($U283,'ORF Accuracy Value LookUp'!$G$4:$H$104,2,TRUE))</f>
        <v/>
      </c>
      <c r="AQ283" s="94" t="str">
        <f t="shared" si="56"/>
        <v/>
      </c>
      <c r="AR283" s="46" t="str">
        <f>IF($AE283="","",VLOOKUP($AE283,'ORF Accuracy Value LookUp'!$G$4:$H$104,2,TRUE))</f>
        <v/>
      </c>
      <c r="AS283" s="140" t="str">
        <f t="shared" si="57"/>
        <v/>
      </c>
    </row>
    <row r="284" spans="1:45">
      <c r="A284" s="10"/>
      <c r="B284" s="9"/>
      <c r="C284" s="9"/>
      <c r="D284" s="9"/>
      <c r="E284" s="10"/>
      <c r="F284" s="11"/>
      <c r="G284" s="15"/>
      <c r="H284" s="88"/>
      <c r="I284" s="24"/>
      <c r="J284" s="24"/>
      <c r="K284" s="114" t="str">
        <f t="shared" si="48"/>
        <v/>
      </c>
      <c r="L284" s="24"/>
      <c r="M284" s="24"/>
      <c r="N284" s="24"/>
      <c r="O284" s="24"/>
      <c r="P284" s="97" t="str">
        <f t="shared" si="49"/>
        <v/>
      </c>
      <c r="Q284" s="113" t="str">
        <f t="shared" si="50"/>
        <v/>
      </c>
      <c r="R284" s="88"/>
      <c r="S284" s="24"/>
      <c r="T284" s="24"/>
      <c r="U284" s="78" t="str">
        <f t="shared" si="51"/>
        <v/>
      </c>
      <c r="V284" s="24"/>
      <c r="W284" s="24"/>
      <c r="X284" s="24"/>
      <c r="Y284" s="24"/>
      <c r="Z284" s="98" t="str">
        <f t="shared" si="52"/>
        <v/>
      </c>
      <c r="AA284" s="40" t="str">
        <f t="shared" si="58"/>
        <v/>
      </c>
      <c r="AB284" s="88"/>
      <c r="AC284" s="24"/>
      <c r="AD284" s="24"/>
      <c r="AE284" s="79" t="str">
        <f t="shared" si="53"/>
        <v/>
      </c>
      <c r="AF284" s="24"/>
      <c r="AG284" s="24"/>
      <c r="AH284" s="24"/>
      <c r="AI284" s="24"/>
      <c r="AJ284" s="99" t="str">
        <f t="shared" si="54"/>
        <v/>
      </c>
      <c r="AK284" s="31" t="str">
        <f t="shared" si="59"/>
        <v/>
      </c>
      <c r="AN284" s="139" t="str">
        <f>IF($K284="","",VLOOKUP($K284,'ORF Accuracy Value LookUp'!$G$4:$H$104,2,TRUE))</f>
        <v/>
      </c>
      <c r="AO284" s="94" t="str">
        <f t="shared" si="55"/>
        <v/>
      </c>
      <c r="AP284" s="47" t="str">
        <f>IF($U284="","",VLOOKUP($U284,'ORF Accuracy Value LookUp'!$G$4:$H$104,2,TRUE))</f>
        <v/>
      </c>
      <c r="AQ284" s="94" t="str">
        <f t="shared" si="56"/>
        <v/>
      </c>
      <c r="AR284" s="46" t="str">
        <f>IF($AE284="","",VLOOKUP($AE284,'ORF Accuracy Value LookUp'!$G$4:$H$104,2,TRUE))</f>
        <v/>
      </c>
      <c r="AS284" s="140" t="str">
        <f t="shared" si="57"/>
        <v/>
      </c>
    </row>
    <row r="285" spans="1:45">
      <c r="A285" s="10"/>
      <c r="B285" s="9"/>
      <c r="C285" s="9"/>
      <c r="D285" s="9"/>
      <c r="E285" s="10"/>
      <c r="F285" s="11"/>
      <c r="G285" s="15"/>
      <c r="H285" s="88"/>
      <c r="I285" s="24"/>
      <c r="J285" s="24"/>
      <c r="K285" s="114" t="str">
        <f t="shared" si="48"/>
        <v/>
      </c>
      <c r="L285" s="24"/>
      <c r="M285" s="24"/>
      <c r="N285" s="24"/>
      <c r="O285" s="24"/>
      <c r="P285" s="97" t="str">
        <f t="shared" si="49"/>
        <v/>
      </c>
      <c r="Q285" s="113" t="str">
        <f t="shared" si="50"/>
        <v/>
      </c>
      <c r="R285" s="88"/>
      <c r="S285" s="24"/>
      <c r="T285" s="24"/>
      <c r="U285" s="78" t="str">
        <f t="shared" si="51"/>
        <v/>
      </c>
      <c r="V285" s="24"/>
      <c r="W285" s="24"/>
      <c r="X285" s="24"/>
      <c r="Y285" s="24"/>
      <c r="Z285" s="98" t="str">
        <f t="shared" si="52"/>
        <v/>
      </c>
      <c r="AA285" s="40" t="str">
        <f t="shared" si="58"/>
        <v/>
      </c>
      <c r="AB285" s="88"/>
      <c r="AC285" s="24"/>
      <c r="AD285" s="24"/>
      <c r="AE285" s="79" t="str">
        <f t="shared" si="53"/>
        <v/>
      </c>
      <c r="AF285" s="24"/>
      <c r="AG285" s="24"/>
      <c r="AH285" s="24"/>
      <c r="AI285" s="24"/>
      <c r="AJ285" s="99" t="str">
        <f t="shared" si="54"/>
        <v/>
      </c>
      <c r="AK285" s="31" t="str">
        <f t="shared" si="59"/>
        <v/>
      </c>
      <c r="AN285" s="139" t="str">
        <f>IF($K285="","",VLOOKUP($K285,'ORF Accuracy Value LookUp'!$G$4:$H$104,2,TRUE))</f>
        <v/>
      </c>
      <c r="AO285" s="94" t="str">
        <f t="shared" si="55"/>
        <v/>
      </c>
      <c r="AP285" s="47" t="str">
        <f>IF($U285="","",VLOOKUP($U285,'ORF Accuracy Value LookUp'!$G$4:$H$104,2,TRUE))</f>
        <v/>
      </c>
      <c r="AQ285" s="94" t="str">
        <f t="shared" si="56"/>
        <v/>
      </c>
      <c r="AR285" s="46" t="str">
        <f>IF($AE285="","",VLOOKUP($AE285,'ORF Accuracy Value LookUp'!$G$4:$H$104,2,TRUE))</f>
        <v/>
      </c>
      <c r="AS285" s="140" t="str">
        <f t="shared" si="57"/>
        <v/>
      </c>
    </row>
    <row r="286" spans="1:45">
      <c r="A286" s="10"/>
      <c r="B286" s="9"/>
      <c r="C286" s="9"/>
      <c r="D286" s="9"/>
      <c r="E286" s="10"/>
      <c r="F286" s="11"/>
      <c r="G286" s="15"/>
      <c r="H286" s="88"/>
      <c r="I286" s="24"/>
      <c r="J286" s="24"/>
      <c r="K286" s="114" t="str">
        <f t="shared" si="48"/>
        <v/>
      </c>
      <c r="L286" s="24"/>
      <c r="M286" s="24"/>
      <c r="N286" s="24"/>
      <c r="O286" s="24"/>
      <c r="P286" s="97" t="str">
        <f t="shared" si="49"/>
        <v/>
      </c>
      <c r="Q286" s="113" t="str">
        <f t="shared" si="50"/>
        <v/>
      </c>
      <c r="R286" s="88"/>
      <c r="S286" s="24"/>
      <c r="T286" s="24"/>
      <c r="U286" s="78" t="str">
        <f t="shared" si="51"/>
        <v/>
      </c>
      <c r="V286" s="24"/>
      <c r="W286" s="24"/>
      <c r="X286" s="24"/>
      <c r="Y286" s="24"/>
      <c r="Z286" s="98" t="str">
        <f t="shared" si="52"/>
        <v/>
      </c>
      <c r="AA286" s="40" t="str">
        <f t="shared" si="58"/>
        <v/>
      </c>
      <c r="AB286" s="88"/>
      <c r="AC286" s="24"/>
      <c r="AD286" s="24"/>
      <c r="AE286" s="79" t="str">
        <f t="shared" si="53"/>
        <v/>
      </c>
      <c r="AF286" s="24"/>
      <c r="AG286" s="24"/>
      <c r="AH286" s="24"/>
      <c r="AI286" s="24"/>
      <c r="AJ286" s="99" t="str">
        <f t="shared" si="54"/>
        <v/>
      </c>
      <c r="AK286" s="31" t="str">
        <f t="shared" si="59"/>
        <v/>
      </c>
      <c r="AN286" s="139" t="str">
        <f>IF($K286="","",VLOOKUP($K286,'ORF Accuracy Value LookUp'!$G$4:$H$104,2,TRUE))</f>
        <v/>
      </c>
      <c r="AO286" s="94" t="str">
        <f t="shared" si="55"/>
        <v/>
      </c>
      <c r="AP286" s="47" t="str">
        <f>IF($U286="","",VLOOKUP($U286,'ORF Accuracy Value LookUp'!$G$4:$H$104,2,TRUE))</f>
        <v/>
      </c>
      <c r="AQ286" s="94" t="str">
        <f t="shared" si="56"/>
        <v/>
      </c>
      <c r="AR286" s="46" t="str">
        <f>IF($AE286="","",VLOOKUP($AE286,'ORF Accuracy Value LookUp'!$G$4:$H$104,2,TRUE))</f>
        <v/>
      </c>
      <c r="AS286" s="140" t="str">
        <f t="shared" si="57"/>
        <v/>
      </c>
    </row>
    <row r="287" spans="1:45">
      <c r="A287" s="10"/>
      <c r="B287" s="9"/>
      <c r="C287" s="9"/>
      <c r="D287" s="9"/>
      <c r="E287" s="10"/>
      <c r="F287" s="11"/>
      <c r="G287" s="15"/>
      <c r="H287" s="88"/>
      <c r="I287" s="24"/>
      <c r="J287" s="24"/>
      <c r="K287" s="114" t="str">
        <f t="shared" si="48"/>
        <v/>
      </c>
      <c r="L287" s="24"/>
      <c r="M287" s="24"/>
      <c r="N287" s="24"/>
      <c r="O287" s="24"/>
      <c r="P287" s="97" t="str">
        <f t="shared" si="49"/>
        <v/>
      </c>
      <c r="Q287" s="113" t="str">
        <f t="shared" si="50"/>
        <v/>
      </c>
      <c r="R287" s="88"/>
      <c r="S287" s="24"/>
      <c r="T287" s="24"/>
      <c r="U287" s="78" t="str">
        <f t="shared" si="51"/>
        <v/>
      </c>
      <c r="V287" s="24"/>
      <c r="W287" s="24"/>
      <c r="X287" s="24"/>
      <c r="Y287" s="24"/>
      <c r="Z287" s="98" t="str">
        <f t="shared" si="52"/>
        <v/>
      </c>
      <c r="AA287" s="40" t="str">
        <f t="shared" si="58"/>
        <v/>
      </c>
      <c r="AB287" s="88"/>
      <c r="AC287" s="24"/>
      <c r="AD287" s="24"/>
      <c r="AE287" s="79" t="str">
        <f t="shared" si="53"/>
        <v/>
      </c>
      <c r="AF287" s="24"/>
      <c r="AG287" s="24"/>
      <c r="AH287" s="24"/>
      <c r="AI287" s="24"/>
      <c r="AJ287" s="99" t="str">
        <f t="shared" si="54"/>
        <v/>
      </c>
      <c r="AK287" s="31" t="str">
        <f t="shared" si="59"/>
        <v/>
      </c>
      <c r="AN287" s="139" t="str">
        <f>IF($K287="","",VLOOKUP($K287,'ORF Accuracy Value LookUp'!$G$4:$H$104,2,TRUE))</f>
        <v/>
      </c>
      <c r="AO287" s="94" t="str">
        <f t="shared" si="55"/>
        <v/>
      </c>
      <c r="AP287" s="47" t="str">
        <f>IF($U287="","",VLOOKUP($U287,'ORF Accuracy Value LookUp'!$G$4:$H$104,2,TRUE))</f>
        <v/>
      </c>
      <c r="AQ287" s="94" t="str">
        <f t="shared" si="56"/>
        <v/>
      </c>
      <c r="AR287" s="46" t="str">
        <f>IF($AE287="","",VLOOKUP($AE287,'ORF Accuracy Value LookUp'!$G$4:$H$104,2,TRUE))</f>
        <v/>
      </c>
      <c r="AS287" s="140" t="str">
        <f t="shared" si="57"/>
        <v/>
      </c>
    </row>
    <row r="288" spans="1:45">
      <c r="A288" s="10"/>
      <c r="B288" s="9"/>
      <c r="C288" s="9"/>
      <c r="D288" s="9"/>
      <c r="E288" s="10"/>
      <c r="F288" s="11"/>
      <c r="G288" s="15"/>
      <c r="H288" s="88"/>
      <c r="I288" s="24"/>
      <c r="J288" s="24"/>
      <c r="K288" s="114" t="str">
        <f t="shared" si="48"/>
        <v/>
      </c>
      <c r="L288" s="24"/>
      <c r="M288" s="24"/>
      <c r="N288" s="24"/>
      <c r="O288" s="24"/>
      <c r="P288" s="97" t="str">
        <f t="shared" si="49"/>
        <v/>
      </c>
      <c r="Q288" s="113" t="str">
        <f t="shared" si="50"/>
        <v/>
      </c>
      <c r="R288" s="88"/>
      <c r="S288" s="24"/>
      <c r="T288" s="24"/>
      <c r="U288" s="78" t="str">
        <f t="shared" si="51"/>
        <v/>
      </c>
      <c r="V288" s="24"/>
      <c r="W288" s="24"/>
      <c r="X288" s="24"/>
      <c r="Y288" s="24"/>
      <c r="Z288" s="98" t="str">
        <f t="shared" si="52"/>
        <v/>
      </c>
      <c r="AA288" s="40" t="str">
        <f t="shared" si="58"/>
        <v/>
      </c>
      <c r="AB288" s="88"/>
      <c r="AC288" s="24"/>
      <c r="AD288" s="24"/>
      <c r="AE288" s="79" t="str">
        <f t="shared" si="53"/>
        <v/>
      </c>
      <c r="AF288" s="24"/>
      <c r="AG288" s="24"/>
      <c r="AH288" s="24"/>
      <c r="AI288" s="24"/>
      <c r="AJ288" s="99" t="str">
        <f t="shared" si="54"/>
        <v/>
      </c>
      <c r="AK288" s="31" t="str">
        <f t="shared" si="59"/>
        <v/>
      </c>
      <c r="AN288" s="139" t="str">
        <f>IF($K288="","",VLOOKUP($K288,'ORF Accuracy Value LookUp'!$G$4:$H$104,2,TRUE))</f>
        <v/>
      </c>
      <c r="AO288" s="94" t="str">
        <f t="shared" si="55"/>
        <v/>
      </c>
      <c r="AP288" s="47" t="str">
        <f>IF($U288="","",VLOOKUP($U288,'ORF Accuracy Value LookUp'!$G$4:$H$104,2,TRUE))</f>
        <v/>
      </c>
      <c r="AQ288" s="94" t="str">
        <f t="shared" si="56"/>
        <v/>
      </c>
      <c r="AR288" s="46" t="str">
        <f>IF($AE288="","",VLOOKUP($AE288,'ORF Accuracy Value LookUp'!$G$4:$H$104,2,TRUE))</f>
        <v/>
      </c>
      <c r="AS288" s="140" t="str">
        <f t="shared" si="57"/>
        <v/>
      </c>
    </row>
    <row r="289" spans="1:45">
      <c r="A289" s="10"/>
      <c r="B289" s="9"/>
      <c r="C289" s="9"/>
      <c r="D289" s="9"/>
      <c r="E289" s="10"/>
      <c r="F289" s="11"/>
      <c r="G289" s="15"/>
      <c r="H289" s="88"/>
      <c r="I289" s="24"/>
      <c r="J289" s="24"/>
      <c r="K289" s="114" t="str">
        <f t="shared" si="48"/>
        <v/>
      </c>
      <c r="L289" s="24"/>
      <c r="M289" s="24"/>
      <c r="N289" s="24"/>
      <c r="O289" s="24"/>
      <c r="P289" s="97" t="str">
        <f t="shared" si="49"/>
        <v/>
      </c>
      <c r="Q289" s="113" t="str">
        <f t="shared" si="50"/>
        <v/>
      </c>
      <c r="R289" s="88"/>
      <c r="S289" s="24"/>
      <c r="T289" s="24"/>
      <c r="U289" s="78" t="str">
        <f t="shared" si="51"/>
        <v/>
      </c>
      <c r="V289" s="24"/>
      <c r="W289" s="24"/>
      <c r="X289" s="24"/>
      <c r="Y289" s="24"/>
      <c r="Z289" s="98" t="str">
        <f t="shared" si="52"/>
        <v/>
      </c>
      <c r="AA289" s="40" t="str">
        <f t="shared" si="58"/>
        <v/>
      </c>
      <c r="AB289" s="88"/>
      <c r="AC289" s="24"/>
      <c r="AD289" s="24"/>
      <c r="AE289" s="79" t="str">
        <f t="shared" si="53"/>
        <v/>
      </c>
      <c r="AF289" s="24"/>
      <c r="AG289" s="24"/>
      <c r="AH289" s="24"/>
      <c r="AI289" s="24"/>
      <c r="AJ289" s="99" t="str">
        <f t="shared" si="54"/>
        <v/>
      </c>
      <c r="AK289" s="31" t="str">
        <f t="shared" si="59"/>
        <v/>
      </c>
      <c r="AN289" s="139" t="str">
        <f>IF($K289="","",VLOOKUP($K289,'ORF Accuracy Value LookUp'!$G$4:$H$104,2,TRUE))</f>
        <v/>
      </c>
      <c r="AO289" s="94" t="str">
        <f t="shared" si="55"/>
        <v/>
      </c>
      <c r="AP289" s="47" t="str">
        <f>IF($U289="","",VLOOKUP($U289,'ORF Accuracy Value LookUp'!$G$4:$H$104,2,TRUE))</f>
        <v/>
      </c>
      <c r="AQ289" s="94" t="str">
        <f t="shared" si="56"/>
        <v/>
      </c>
      <c r="AR289" s="46" t="str">
        <f>IF($AE289="","",VLOOKUP($AE289,'ORF Accuracy Value LookUp'!$G$4:$H$104,2,TRUE))</f>
        <v/>
      </c>
      <c r="AS289" s="140" t="str">
        <f t="shared" si="57"/>
        <v/>
      </c>
    </row>
    <row r="290" spans="1:45">
      <c r="A290" s="10"/>
      <c r="B290" s="9"/>
      <c r="C290" s="9"/>
      <c r="D290" s="9"/>
      <c r="E290" s="10"/>
      <c r="F290" s="11"/>
      <c r="G290" s="15"/>
      <c r="H290" s="88"/>
      <c r="I290" s="24"/>
      <c r="J290" s="24"/>
      <c r="K290" s="114" t="str">
        <f t="shared" si="48"/>
        <v/>
      </c>
      <c r="L290" s="24"/>
      <c r="M290" s="24"/>
      <c r="N290" s="24"/>
      <c r="O290" s="24"/>
      <c r="P290" s="97" t="str">
        <f t="shared" si="49"/>
        <v/>
      </c>
      <c r="Q290" s="113" t="str">
        <f t="shared" si="50"/>
        <v/>
      </c>
      <c r="R290" s="88"/>
      <c r="S290" s="24"/>
      <c r="T290" s="24"/>
      <c r="U290" s="78" t="str">
        <f t="shared" si="51"/>
        <v/>
      </c>
      <c r="V290" s="24"/>
      <c r="W290" s="24"/>
      <c r="X290" s="24"/>
      <c r="Y290" s="24"/>
      <c r="Z290" s="98" t="str">
        <f t="shared" si="52"/>
        <v/>
      </c>
      <c r="AA290" s="40" t="str">
        <f t="shared" si="58"/>
        <v/>
      </c>
      <c r="AB290" s="88"/>
      <c r="AC290" s="24"/>
      <c r="AD290" s="24"/>
      <c r="AE290" s="79" t="str">
        <f t="shared" si="53"/>
        <v/>
      </c>
      <c r="AF290" s="24"/>
      <c r="AG290" s="24"/>
      <c r="AH290" s="24"/>
      <c r="AI290" s="24"/>
      <c r="AJ290" s="99" t="str">
        <f t="shared" si="54"/>
        <v/>
      </c>
      <c r="AK290" s="31" t="str">
        <f t="shared" si="59"/>
        <v/>
      </c>
      <c r="AN290" s="139" t="str">
        <f>IF($K290="","",VLOOKUP($K290,'ORF Accuracy Value LookUp'!$G$4:$H$104,2,TRUE))</f>
        <v/>
      </c>
      <c r="AO290" s="94" t="str">
        <f t="shared" si="55"/>
        <v/>
      </c>
      <c r="AP290" s="47" t="str">
        <f>IF($U290="","",VLOOKUP($U290,'ORF Accuracy Value LookUp'!$G$4:$H$104,2,TRUE))</f>
        <v/>
      </c>
      <c r="AQ290" s="94" t="str">
        <f t="shared" si="56"/>
        <v/>
      </c>
      <c r="AR290" s="46" t="str">
        <f>IF($AE290="","",VLOOKUP($AE290,'ORF Accuracy Value LookUp'!$G$4:$H$104,2,TRUE))</f>
        <v/>
      </c>
      <c r="AS290" s="140" t="str">
        <f t="shared" si="57"/>
        <v/>
      </c>
    </row>
    <row r="291" spans="1:45">
      <c r="A291" s="10"/>
      <c r="B291" s="9"/>
      <c r="C291" s="9"/>
      <c r="D291" s="9"/>
      <c r="E291" s="10"/>
      <c r="F291" s="11"/>
      <c r="G291" s="15"/>
      <c r="H291" s="88"/>
      <c r="I291" s="24"/>
      <c r="J291" s="24"/>
      <c r="K291" s="114" t="str">
        <f t="shared" si="48"/>
        <v/>
      </c>
      <c r="L291" s="24"/>
      <c r="M291" s="24"/>
      <c r="N291" s="24"/>
      <c r="O291" s="24"/>
      <c r="P291" s="97" t="str">
        <f t="shared" si="49"/>
        <v/>
      </c>
      <c r="Q291" s="113" t="str">
        <f t="shared" si="50"/>
        <v/>
      </c>
      <c r="R291" s="88"/>
      <c r="S291" s="24"/>
      <c r="T291" s="24"/>
      <c r="U291" s="78" t="str">
        <f t="shared" si="51"/>
        <v/>
      </c>
      <c r="V291" s="24"/>
      <c r="W291" s="24"/>
      <c r="X291" s="24"/>
      <c r="Y291" s="24"/>
      <c r="Z291" s="98" t="str">
        <f t="shared" si="52"/>
        <v/>
      </c>
      <c r="AA291" s="40" t="str">
        <f t="shared" si="58"/>
        <v/>
      </c>
      <c r="AB291" s="88"/>
      <c r="AC291" s="24"/>
      <c r="AD291" s="24"/>
      <c r="AE291" s="79" t="str">
        <f t="shared" si="53"/>
        <v/>
      </c>
      <c r="AF291" s="24"/>
      <c r="AG291" s="24"/>
      <c r="AH291" s="24"/>
      <c r="AI291" s="24"/>
      <c r="AJ291" s="99" t="str">
        <f t="shared" si="54"/>
        <v/>
      </c>
      <c r="AK291" s="31" t="str">
        <f t="shared" si="59"/>
        <v/>
      </c>
      <c r="AN291" s="139" t="str">
        <f>IF($K291="","",VLOOKUP($K291,'ORF Accuracy Value LookUp'!$G$4:$H$104,2,TRUE))</f>
        <v/>
      </c>
      <c r="AO291" s="94" t="str">
        <f t="shared" si="55"/>
        <v/>
      </c>
      <c r="AP291" s="47" t="str">
        <f>IF($U291="","",VLOOKUP($U291,'ORF Accuracy Value LookUp'!$G$4:$H$104,2,TRUE))</f>
        <v/>
      </c>
      <c r="AQ291" s="94" t="str">
        <f t="shared" si="56"/>
        <v/>
      </c>
      <c r="AR291" s="46" t="str">
        <f>IF($AE291="","",VLOOKUP($AE291,'ORF Accuracy Value LookUp'!$G$4:$H$104,2,TRUE))</f>
        <v/>
      </c>
      <c r="AS291" s="140" t="str">
        <f t="shared" si="57"/>
        <v/>
      </c>
    </row>
    <row r="292" spans="1:45">
      <c r="A292" s="10"/>
      <c r="B292" s="9"/>
      <c r="C292" s="9"/>
      <c r="D292" s="9"/>
      <c r="E292" s="10"/>
      <c r="F292" s="11"/>
      <c r="G292" s="15"/>
      <c r="H292" s="88"/>
      <c r="I292" s="24"/>
      <c r="J292" s="24"/>
      <c r="K292" s="114" t="str">
        <f t="shared" si="48"/>
        <v/>
      </c>
      <c r="L292" s="24"/>
      <c r="M292" s="24"/>
      <c r="N292" s="24"/>
      <c r="O292" s="24"/>
      <c r="P292" s="97" t="str">
        <f t="shared" si="49"/>
        <v/>
      </c>
      <c r="Q292" s="113" t="str">
        <f t="shared" si="50"/>
        <v/>
      </c>
      <c r="R292" s="88"/>
      <c r="S292" s="24"/>
      <c r="T292" s="24"/>
      <c r="U292" s="78" t="str">
        <f t="shared" si="51"/>
        <v/>
      </c>
      <c r="V292" s="24"/>
      <c r="W292" s="24"/>
      <c r="X292" s="24"/>
      <c r="Y292" s="24"/>
      <c r="Z292" s="98" t="str">
        <f t="shared" si="52"/>
        <v/>
      </c>
      <c r="AA292" s="40" t="str">
        <f t="shared" si="58"/>
        <v/>
      </c>
      <c r="AB292" s="88"/>
      <c r="AC292" s="24"/>
      <c r="AD292" s="24"/>
      <c r="AE292" s="79" t="str">
        <f t="shared" si="53"/>
        <v/>
      </c>
      <c r="AF292" s="24"/>
      <c r="AG292" s="24"/>
      <c r="AH292" s="24"/>
      <c r="AI292" s="24"/>
      <c r="AJ292" s="99" t="str">
        <f t="shared" si="54"/>
        <v/>
      </c>
      <c r="AK292" s="31" t="str">
        <f t="shared" si="59"/>
        <v/>
      </c>
      <c r="AN292" s="139" t="str">
        <f>IF($K292="","",VLOOKUP($K292,'ORF Accuracy Value LookUp'!$G$4:$H$104,2,TRUE))</f>
        <v/>
      </c>
      <c r="AO292" s="94" t="str">
        <f t="shared" si="55"/>
        <v/>
      </c>
      <c r="AP292" s="47" t="str">
        <f>IF($U292="","",VLOOKUP($U292,'ORF Accuracy Value LookUp'!$G$4:$H$104,2,TRUE))</f>
        <v/>
      </c>
      <c r="AQ292" s="94" t="str">
        <f t="shared" si="56"/>
        <v/>
      </c>
      <c r="AR292" s="46" t="str">
        <f>IF($AE292="","",VLOOKUP($AE292,'ORF Accuracy Value LookUp'!$G$4:$H$104,2,TRUE))</f>
        <v/>
      </c>
      <c r="AS292" s="140" t="str">
        <f t="shared" si="57"/>
        <v/>
      </c>
    </row>
    <row r="293" spans="1:45">
      <c r="A293" s="10"/>
      <c r="B293" s="9"/>
      <c r="C293" s="9"/>
      <c r="D293" s="9"/>
      <c r="E293" s="10"/>
      <c r="F293" s="11"/>
      <c r="G293" s="15"/>
      <c r="H293" s="88"/>
      <c r="I293" s="24"/>
      <c r="J293" s="24"/>
      <c r="K293" s="114" t="str">
        <f t="shared" si="48"/>
        <v/>
      </c>
      <c r="L293" s="24"/>
      <c r="M293" s="24"/>
      <c r="N293" s="24"/>
      <c r="O293" s="24"/>
      <c r="P293" s="97" t="str">
        <f t="shared" si="49"/>
        <v/>
      </c>
      <c r="Q293" s="113" t="str">
        <f t="shared" si="50"/>
        <v/>
      </c>
      <c r="R293" s="88"/>
      <c r="S293" s="24"/>
      <c r="T293" s="24"/>
      <c r="U293" s="78" t="str">
        <f t="shared" si="51"/>
        <v/>
      </c>
      <c r="V293" s="24"/>
      <c r="W293" s="24"/>
      <c r="X293" s="24"/>
      <c r="Y293" s="24"/>
      <c r="Z293" s="98" t="str">
        <f t="shared" si="52"/>
        <v/>
      </c>
      <c r="AA293" s="40" t="str">
        <f t="shared" si="58"/>
        <v/>
      </c>
      <c r="AB293" s="88"/>
      <c r="AC293" s="24"/>
      <c r="AD293" s="24"/>
      <c r="AE293" s="79" t="str">
        <f t="shared" si="53"/>
        <v/>
      </c>
      <c r="AF293" s="24"/>
      <c r="AG293" s="24"/>
      <c r="AH293" s="24"/>
      <c r="AI293" s="24"/>
      <c r="AJ293" s="99" t="str">
        <f t="shared" si="54"/>
        <v/>
      </c>
      <c r="AK293" s="31" t="str">
        <f t="shared" si="59"/>
        <v/>
      </c>
      <c r="AN293" s="139" t="str">
        <f>IF($K293="","",VLOOKUP($K293,'ORF Accuracy Value LookUp'!$G$4:$H$104,2,TRUE))</f>
        <v/>
      </c>
      <c r="AO293" s="94" t="str">
        <f t="shared" si="55"/>
        <v/>
      </c>
      <c r="AP293" s="47" t="str">
        <f>IF($U293="","",VLOOKUP($U293,'ORF Accuracy Value LookUp'!$G$4:$H$104,2,TRUE))</f>
        <v/>
      </c>
      <c r="AQ293" s="94" t="str">
        <f t="shared" si="56"/>
        <v/>
      </c>
      <c r="AR293" s="46" t="str">
        <f>IF($AE293="","",VLOOKUP($AE293,'ORF Accuracy Value LookUp'!$G$4:$H$104,2,TRUE))</f>
        <v/>
      </c>
      <c r="AS293" s="140" t="str">
        <f t="shared" si="57"/>
        <v/>
      </c>
    </row>
    <row r="294" spans="1:45">
      <c r="A294" s="10"/>
      <c r="B294" s="9"/>
      <c r="C294" s="9"/>
      <c r="D294" s="9"/>
      <c r="E294" s="10"/>
      <c r="F294" s="11"/>
      <c r="G294" s="15"/>
      <c r="H294" s="88"/>
      <c r="I294" s="24"/>
      <c r="J294" s="24"/>
      <c r="K294" s="114" t="str">
        <f t="shared" si="48"/>
        <v/>
      </c>
      <c r="L294" s="24"/>
      <c r="M294" s="24"/>
      <c r="N294" s="24"/>
      <c r="O294" s="24"/>
      <c r="P294" s="97" t="str">
        <f t="shared" si="49"/>
        <v/>
      </c>
      <c r="Q294" s="113" t="str">
        <f t="shared" si="50"/>
        <v/>
      </c>
      <c r="R294" s="88"/>
      <c r="S294" s="24"/>
      <c r="T294" s="24"/>
      <c r="U294" s="78" t="str">
        <f t="shared" si="51"/>
        <v/>
      </c>
      <c r="V294" s="24"/>
      <c r="W294" s="24"/>
      <c r="X294" s="24"/>
      <c r="Y294" s="24"/>
      <c r="Z294" s="98" t="str">
        <f t="shared" si="52"/>
        <v/>
      </c>
      <c r="AA294" s="40" t="str">
        <f t="shared" si="58"/>
        <v/>
      </c>
      <c r="AB294" s="88"/>
      <c r="AC294" s="24"/>
      <c r="AD294" s="24"/>
      <c r="AE294" s="79" t="str">
        <f t="shared" si="53"/>
        <v/>
      </c>
      <c r="AF294" s="24"/>
      <c r="AG294" s="24"/>
      <c r="AH294" s="24"/>
      <c r="AI294" s="24"/>
      <c r="AJ294" s="99" t="str">
        <f t="shared" si="54"/>
        <v/>
      </c>
      <c r="AK294" s="31" t="str">
        <f t="shared" si="59"/>
        <v/>
      </c>
      <c r="AN294" s="139" t="str">
        <f>IF($K294="","",VLOOKUP($K294,'ORF Accuracy Value LookUp'!$G$4:$H$104,2,TRUE))</f>
        <v/>
      </c>
      <c r="AO294" s="94" t="str">
        <f t="shared" si="55"/>
        <v/>
      </c>
      <c r="AP294" s="47" t="str">
        <f>IF($U294="","",VLOOKUP($U294,'ORF Accuracy Value LookUp'!$G$4:$H$104,2,TRUE))</f>
        <v/>
      </c>
      <c r="AQ294" s="94" t="str">
        <f t="shared" si="56"/>
        <v/>
      </c>
      <c r="AR294" s="46" t="str">
        <f>IF($AE294="","",VLOOKUP($AE294,'ORF Accuracy Value LookUp'!$G$4:$H$104,2,TRUE))</f>
        <v/>
      </c>
      <c r="AS294" s="140" t="str">
        <f t="shared" si="57"/>
        <v/>
      </c>
    </row>
    <row r="295" spans="1:45">
      <c r="A295" s="10"/>
      <c r="B295" s="9"/>
      <c r="C295" s="9"/>
      <c r="D295" s="9"/>
      <c r="E295" s="10"/>
      <c r="F295" s="11"/>
      <c r="G295" s="15"/>
      <c r="H295" s="88"/>
      <c r="I295" s="24"/>
      <c r="J295" s="24"/>
      <c r="K295" s="114" t="str">
        <f t="shared" si="48"/>
        <v/>
      </c>
      <c r="L295" s="24"/>
      <c r="M295" s="24"/>
      <c r="N295" s="24"/>
      <c r="O295" s="24"/>
      <c r="P295" s="97" t="str">
        <f t="shared" si="49"/>
        <v/>
      </c>
      <c r="Q295" s="113" t="str">
        <f t="shared" si="50"/>
        <v/>
      </c>
      <c r="R295" s="88"/>
      <c r="S295" s="24"/>
      <c r="T295" s="24"/>
      <c r="U295" s="78" t="str">
        <f t="shared" si="51"/>
        <v/>
      </c>
      <c r="V295" s="24"/>
      <c r="W295" s="24"/>
      <c r="X295" s="24"/>
      <c r="Y295" s="24"/>
      <c r="Z295" s="98" t="str">
        <f t="shared" si="52"/>
        <v/>
      </c>
      <c r="AA295" s="40" t="str">
        <f t="shared" si="58"/>
        <v/>
      </c>
      <c r="AB295" s="88"/>
      <c r="AC295" s="24"/>
      <c r="AD295" s="24"/>
      <c r="AE295" s="79" t="str">
        <f t="shared" si="53"/>
        <v/>
      </c>
      <c r="AF295" s="24"/>
      <c r="AG295" s="24"/>
      <c r="AH295" s="24"/>
      <c r="AI295" s="24"/>
      <c r="AJ295" s="99" t="str">
        <f t="shared" si="54"/>
        <v/>
      </c>
      <c r="AK295" s="31" t="str">
        <f t="shared" si="59"/>
        <v/>
      </c>
      <c r="AN295" s="139" t="str">
        <f>IF($K295="","",VLOOKUP($K295,'ORF Accuracy Value LookUp'!$G$4:$H$104,2,TRUE))</f>
        <v/>
      </c>
      <c r="AO295" s="94" t="str">
        <f t="shared" si="55"/>
        <v/>
      </c>
      <c r="AP295" s="47" t="str">
        <f>IF($U295="","",VLOOKUP($U295,'ORF Accuracy Value LookUp'!$G$4:$H$104,2,TRUE))</f>
        <v/>
      </c>
      <c r="AQ295" s="94" t="str">
        <f t="shared" si="56"/>
        <v/>
      </c>
      <c r="AR295" s="46" t="str">
        <f>IF($AE295="","",VLOOKUP($AE295,'ORF Accuracy Value LookUp'!$G$4:$H$104,2,TRUE))</f>
        <v/>
      </c>
      <c r="AS295" s="140" t="str">
        <f t="shared" si="57"/>
        <v/>
      </c>
    </row>
    <row r="296" spans="1:45">
      <c r="A296" s="10"/>
      <c r="B296" s="9"/>
      <c r="C296" s="9"/>
      <c r="D296" s="9"/>
      <c r="E296" s="10"/>
      <c r="F296" s="11"/>
      <c r="G296" s="15"/>
      <c r="H296" s="88"/>
      <c r="I296" s="24"/>
      <c r="J296" s="24"/>
      <c r="K296" s="114" t="str">
        <f t="shared" si="48"/>
        <v/>
      </c>
      <c r="L296" s="24"/>
      <c r="M296" s="24"/>
      <c r="N296" s="24"/>
      <c r="O296" s="24"/>
      <c r="P296" s="97" t="str">
        <f t="shared" si="49"/>
        <v/>
      </c>
      <c r="Q296" s="113" t="str">
        <f t="shared" si="50"/>
        <v/>
      </c>
      <c r="R296" s="88"/>
      <c r="S296" s="24"/>
      <c r="T296" s="24"/>
      <c r="U296" s="78" t="str">
        <f t="shared" si="51"/>
        <v/>
      </c>
      <c r="V296" s="24"/>
      <c r="W296" s="24"/>
      <c r="X296" s="24"/>
      <c r="Y296" s="24"/>
      <c r="Z296" s="98" t="str">
        <f t="shared" si="52"/>
        <v/>
      </c>
      <c r="AA296" s="40" t="str">
        <f t="shared" si="58"/>
        <v/>
      </c>
      <c r="AB296" s="88"/>
      <c r="AC296" s="24"/>
      <c r="AD296" s="24"/>
      <c r="AE296" s="79" t="str">
        <f t="shared" si="53"/>
        <v/>
      </c>
      <c r="AF296" s="24"/>
      <c r="AG296" s="24"/>
      <c r="AH296" s="24"/>
      <c r="AI296" s="24"/>
      <c r="AJ296" s="99" t="str">
        <f t="shared" si="54"/>
        <v/>
      </c>
      <c r="AK296" s="31" t="str">
        <f t="shared" si="59"/>
        <v/>
      </c>
      <c r="AN296" s="139" t="str">
        <f>IF($K296="","",VLOOKUP($K296,'ORF Accuracy Value LookUp'!$G$4:$H$104,2,TRUE))</f>
        <v/>
      </c>
      <c r="AO296" s="94" t="str">
        <f t="shared" si="55"/>
        <v/>
      </c>
      <c r="AP296" s="47" t="str">
        <f>IF($U296="","",VLOOKUP($U296,'ORF Accuracy Value LookUp'!$G$4:$H$104,2,TRUE))</f>
        <v/>
      </c>
      <c r="AQ296" s="94" t="str">
        <f t="shared" si="56"/>
        <v/>
      </c>
      <c r="AR296" s="46" t="str">
        <f>IF($AE296="","",VLOOKUP($AE296,'ORF Accuracy Value LookUp'!$G$4:$H$104,2,TRUE))</f>
        <v/>
      </c>
      <c r="AS296" s="140" t="str">
        <f t="shared" si="57"/>
        <v/>
      </c>
    </row>
    <row r="297" spans="1:45">
      <c r="A297" s="10"/>
      <c r="B297" s="9"/>
      <c r="C297" s="9"/>
      <c r="D297" s="9"/>
      <c r="E297" s="10"/>
      <c r="F297" s="11"/>
      <c r="G297" s="15"/>
      <c r="H297" s="88"/>
      <c r="I297" s="24"/>
      <c r="J297" s="24"/>
      <c r="K297" s="114" t="str">
        <f t="shared" si="48"/>
        <v/>
      </c>
      <c r="L297" s="24"/>
      <c r="M297" s="24"/>
      <c r="N297" s="24"/>
      <c r="O297" s="24"/>
      <c r="P297" s="97" t="str">
        <f t="shared" si="49"/>
        <v/>
      </c>
      <c r="Q297" s="113" t="str">
        <f t="shared" si="50"/>
        <v/>
      </c>
      <c r="R297" s="88"/>
      <c r="S297" s="24"/>
      <c r="T297" s="24"/>
      <c r="U297" s="78" t="str">
        <f t="shared" si="51"/>
        <v/>
      </c>
      <c r="V297" s="24"/>
      <c r="W297" s="24"/>
      <c r="X297" s="24"/>
      <c r="Y297" s="24"/>
      <c r="Z297" s="98" t="str">
        <f t="shared" si="52"/>
        <v/>
      </c>
      <c r="AA297" s="40" t="str">
        <f t="shared" si="58"/>
        <v/>
      </c>
      <c r="AB297" s="88"/>
      <c r="AC297" s="24"/>
      <c r="AD297" s="24"/>
      <c r="AE297" s="79" t="str">
        <f t="shared" si="53"/>
        <v/>
      </c>
      <c r="AF297" s="24"/>
      <c r="AG297" s="24"/>
      <c r="AH297" s="24"/>
      <c r="AI297" s="24"/>
      <c r="AJ297" s="99" t="str">
        <f t="shared" si="54"/>
        <v/>
      </c>
      <c r="AK297" s="31" t="str">
        <f t="shared" si="59"/>
        <v/>
      </c>
      <c r="AN297" s="139" t="str">
        <f>IF($K297="","",VLOOKUP($K297,'ORF Accuracy Value LookUp'!$G$4:$H$104,2,TRUE))</f>
        <v/>
      </c>
      <c r="AO297" s="94" t="str">
        <f t="shared" si="55"/>
        <v/>
      </c>
      <c r="AP297" s="47" t="str">
        <f>IF($U297="","",VLOOKUP($U297,'ORF Accuracy Value LookUp'!$G$4:$H$104,2,TRUE))</f>
        <v/>
      </c>
      <c r="AQ297" s="94" t="str">
        <f t="shared" si="56"/>
        <v/>
      </c>
      <c r="AR297" s="46" t="str">
        <f>IF($AE297="","",VLOOKUP($AE297,'ORF Accuracy Value LookUp'!$G$4:$H$104,2,TRUE))</f>
        <v/>
      </c>
      <c r="AS297" s="140" t="str">
        <f t="shared" si="57"/>
        <v/>
      </c>
    </row>
    <row r="298" spans="1:45">
      <c r="A298" s="10"/>
      <c r="B298" s="9"/>
      <c r="C298" s="9"/>
      <c r="D298" s="9"/>
      <c r="E298" s="10"/>
      <c r="F298" s="11"/>
      <c r="G298" s="15"/>
      <c r="H298" s="88"/>
      <c r="I298" s="24"/>
      <c r="J298" s="24"/>
      <c r="K298" s="114" t="str">
        <f t="shared" si="48"/>
        <v/>
      </c>
      <c r="L298" s="24"/>
      <c r="M298" s="24"/>
      <c r="N298" s="24"/>
      <c r="O298" s="24"/>
      <c r="P298" s="97" t="str">
        <f t="shared" si="49"/>
        <v/>
      </c>
      <c r="Q298" s="113" t="str">
        <f t="shared" si="50"/>
        <v/>
      </c>
      <c r="R298" s="88"/>
      <c r="S298" s="24"/>
      <c r="T298" s="24"/>
      <c r="U298" s="78" t="str">
        <f t="shared" si="51"/>
        <v/>
      </c>
      <c r="V298" s="24"/>
      <c r="W298" s="24"/>
      <c r="X298" s="24"/>
      <c r="Y298" s="24"/>
      <c r="Z298" s="98" t="str">
        <f t="shared" si="52"/>
        <v/>
      </c>
      <c r="AA298" s="40" t="str">
        <f t="shared" si="58"/>
        <v/>
      </c>
      <c r="AB298" s="88"/>
      <c r="AC298" s="24"/>
      <c r="AD298" s="24"/>
      <c r="AE298" s="79" t="str">
        <f t="shared" si="53"/>
        <v/>
      </c>
      <c r="AF298" s="24"/>
      <c r="AG298" s="24"/>
      <c r="AH298" s="24"/>
      <c r="AI298" s="24"/>
      <c r="AJ298" s="99" t="str">
        <f t="shared" si="54"/>
        <v/>
      </c>
      <c r="AK298" s="31" t="str">
        <f t="shared" si="59"/>
        <v/>
      </c>
      <c r="AN298" s="139" t="str">
        <f>IF($K298="","",VLOOKUP($K298,'ORF Accuracy Value LookUp'!$G$4:$H$104,2,TRUE))</f>
        <v/>
      </c>
      <c r="AO298" s="94" t="str">
        <f t="shared" si="55"/>
        <v/>
      </c>
      <c r="AP298" s="47" t="str">
        <f>IF($U298="","",VLOOKUP($U298,'ORF Accuracy Value LookUp'!$G$4:$H$104,2,TRUE))</f>
        <v/>
      </c>
      <c r="AQ298" s="94" t="str">
        <f t="shared" si="56"/>
        <v/>
      </c>
      <c r="AR298" s="46" t="str">
        <f>IF($AE298="","",VLOOKUP($AE298,'ORF Accuracy Value LookUp'!$G$4:$H$104,2,TRUE))</f>
        <v/>
      </c>
      <c r="AS298" s="140" t="str">
        <f t="shared" si="57"/>
        <v/>
      </c>
    </row>
    <row r="299" spans="1:45">
      <c r="A299" s="10"/>
      <c r="B299" s="9"/>
      <c r="C299" s="9"/>
      <c r="D299" s="9"/>
      <c r="E299" s="10"/>
      <c r="F299" s="11"/>
      <c r="G299" s="15"/>
      <c r="H299" s="88"/>
      <c r="I299" s="24"/>
      <c r="J299" s="24"/>
      <c r="K299" s="114" t="str">
        <f t="shared" si="48"/>
        <v/>
      </c>
      <c r="L299" s="24"/>
      <c r="M299" s="24"/>
      <c r="N299" s="24"/>
      <c r="O299" s="24"/>
      <c r="P299" s="97" t="str">
        <f t="shared" si="49"/>
        <v/>
      </c>
      <c r="Q299" s="113" t="str">
        <f t="shared" si="50"/>
        <v/>
      </c>
      <c r="R299" s="88"/>
      <c r="S299" s="24"/>
      <c r="T299" s="24"/>
      <c r="U299" s="78" t="str">
        <f t="shared" si="51"/>
        <v/>
      </c>
      <c r="V299" s="24"/>
      <c r="W299" s="24"/>
      <c r="X299" s="24"/>
      <c r="Y299" s="24"/>
      <c r="Z299" s="98" t="str">
        <f t="shared" si="52"/>
        <v/>
      </c>
      <c r="AA299" s="40" t="str">
        <f t="shared" si="58"/>
        <v/>
      </c>
      <c r="AB299" s="88"/>
      <c r="AC299" s="24"/>
      <c r="AD299" s="24"/>
      <c r="AE299" s="79" t="str">
        <f t="shared" si="53"/>
        <v/>
      </c>
      <c r="AF299" s="24"/>
      <c r="AG299" s="24"/>
      <c r="AH299" s="24"/>
      <c r="AI299" s="24"/>
      <c r="AJ299" s="99" t="str">
        <f t="shared" si="54"/>
        <v/>
      </c>
      <c r="AK299" s="31" t="str">
        <f t="shared" si="59"/>
        <v/>
      </c>
      <c r="AN299" s="139" t="str">
        <f>IF($K299="","",VLOOKUP($K299,'ORF Accuracy Value LookUp'!$G$4:$H$104,2,TRUE))</f>
        <v/>
      </c>
      <c r="AO299" s="94" t="str">
        <f t="shared" si="55"/>
        <v/>
      </c>
      <c r="AP299" s="47" t="str">
        <f>IF($U299="","",VLOOKUP($U299,'ORF Accuracy Value LookUp'!$G$4:$H$104,2,TRUE))</f>
        <v/>
      </c>
      <c r="AQ299" s="94" t="str">
        <f t="shared" si="56"/>
        <v/>
      </c>
      <c r="AR299" s="46" t="str">
        <f>IF($AE299="","",VLOOKUP($AE299,'ORF Accuracy Value LookUp'!$G$4:$H$104,2,TRUE))</f>
        <v/>
      </c>
      <c r="AS299" s="140" t="str">
        <f t="shared" si="57"/>
        <v/>
      </c>
    </row>
    <row r="300" spans="1:45">
      <c r="A300" s="10"/>
      <c r="B300" s="9"/>
      <c r="C300" s="9"/>
      <c r="D300" s="9"/>
      <c r="E300" s="10"/>
      <c r="F300" s="11"/>
      <c r="G300" s="15"/>
      <c r="H300" s="88"/>
      <c r="I300" s="24"/>
      <c r="J300" s="24"/>
      <c r="K300" s="114" t="str">
        <f t="shared" si="48"/>
        <v/>
      </c>
      <c r="L300" s="24"/>
      <c r="M300" s="24"/>
      <c r="N300" s="24"/>
      <c r="O300" s="24"/>
      <c r="P300" s="97" t="str">
        <f t="shared" si="49"/>
        <v/>
      </c>
      <c r="Q300" s="113" t="str">
        <f t="shared" si="50"/>
        <v/>
      </c>
      <c r="R300" s="88"/>
      <c r="S300" s="24"/>
      <c r="T300" s="24"/>
      <c r="U300" s="78" t="str">
        <f t="shared" si="51"/>
        <v/>
      </c>
      <c r="V300" s="24"/>
      <c r="W300" s="24"/>
      <c r="X300" s="24"/>
      <c r="Y300" s="24"/>
      <c r="Z300" s="98" t="str">
        <f t="shared" si="52"/>
        <v/>
      </c>
      <c r="AA300" s="40" t="str">
        <f t="shared" si="58"/>
        <v/>
      </c>
      <c r="AB300" s="88"/>
      <c r="AC300" s="24"/>
      <c r="AD300" s="24"/>
      <c r="AE300" s="79" t="str">
        <f t="shared" si="53"/>
        <v/>
      </c>
      <c r="AF300" s="24"/>
      <c r="AG300" s="24"/>
      <c r="AH300" s="24"/>
      <c r="AI300" s="24"/>
      <c r="AJ300" s="99" t="str">
        <f t="shared" si="54"/>
        <v/>
      </c>
      <c r="AK300" s="31" t="str">
        <f t="shared" si="59"/>
        <v/>
      </c>
      <c r="AN300" s="139" t="str">
        <f>IF($K300="","",VLOOKUP($K300,'ORF Accuracy Value LookUp'!$G$4:$H$104,2,TRUE))</f>
        <v/>
      </c>
      <c r="AO300" s="94" t="str">
        <f t="shared" si="55"/>
        <v/>
      </c>
      <c r="AP300" s="47" t="str">
        <f>IF($U300="","",VLOOKUP($U300,'ORF Accuracy Value LookUp'!$G$4:$H$104,2,TRUE))</f>
        <v/>
      </c>
      <c r="AQ300" s="94" t="str">
        <f t="shared" si="56"/>
        <v/>
      </c>
      <c r="AR300" s="46" t="str">
        <f>IF($AE300="","",VLOOKUP($AE300,'ORF Accuracy Value LookUp'!$G$4:$H$104,2,TRUE))</f>
        <v/>
      </c>
      <c r="AS300" s="140" t="str">
        <f t="shared" si="57"/>
        <v/>
      </c>
    </row>
    <row r="301" spans="1:45">
      <c r="A301" s="10"/>
      <c r="B301" s="9"/>
      <c r="C301" s="9"/>
      <c r="D301" s="9"/>
      <c r="E301" s="10"/>
      <c r="F301" s="11"/>
      <c r="G301" s="15"/>
      <c r="H301" s="88"/>
      <c r="I301" s="24"/>
      <c r="J301" s="24"/>
      <c r="K301" s="114" t="str">
        <f t="shared" si="48"/>
        <v/>
      </c>
      <c r="L301" s="24"/>
      <c r="M301" s="24"/>
      <c r="N301" s="24"/>
      <c r="O301" s="24"/>
      <c r="P301" s="97" t="str">
        <f t="shared" si="49"/>
        <v/>
      </c>
      <c r="Q301" s="113" t="str">
        <f t="shared" si="50"/>
        <v/>
      </c>
      <c r="R301" s="88"/>
      <c r="S301" s="24"/>
      <c r="T301" s="24"/>
      <c r="U301" s="78" t="str">
        <f t="shared" si="51"/>
        <v/>
      </c>
      <c r="V301" s="24"/>
      <c r="W301" s="24"/>
      <c r="X301" s="24"/>
      <c r="Y301" s="24"/>
      <c r="Z301" s="98" t="str">
        <f t="shared" si="52"/>
        <v/>
      </c>
      <c r="AA301" s="40" t="str">
        <f t="shared" si="58"/>
        <v/>
      </c>
      <c r="AB301" s="88"/>
      <c r="AC301" s="24"/>
      <c r="AD301" s="24"/>
      <c r="AE301" s="79" t="str">
        <f t="shared" si="53"/>
        <v/>
      </c>
      <c r="AF301" s="24"/>
      <c r="AG301" s="24"/>
      <c r="AH301" s="24"/>
      <c r="AI301" s="24"/>
      <c r="AJ301" s="99" t="str">
        <f t="shared" si="54"/>
        <v/>
      </c>
      <c r="AK301" s="31" t="str">
        <f t="shared" si="59"/>
        <v/>
      </c>
      <c r="AN301" s="139" t="str">
        <f>IF($K301="","",VLOOKUP($K301,'ORF Accuracy Value LookUp'!$G$4:$H$104,2,TRUE))</f>
        <v/>
      </c>
      <c r="AO301" s="94" t="str">
        <f t="shared" si="55"/>
        <v/>
      </c>
      <c r="AP301" s="47" t="str">
        <f>IF($U301="","",VLOOKUP($U301,'ORF Accuracy Value LookUp'!$G$4:$H$104,2,TRUE))</f>
        <v/>
      </c>
      <c r="AQ301" s="94" t="str">
        <f t="shared" si="56"/>
        <v/>
      </c>
      <c r="AR301" s="46" t="str">
        <f>IF($AE301="","",VLOOKUP($AE301,'ORF Accuracy Value LookUp'!$G$4:$H$104,2,TRUE))</f>
        <v/>
      </c>
      <c r="AS301" s="140" t="str">
        <f t="shared" si="57"/>
        <v/>
      </c>
    </row>
    <row r="302" spans="1:45">
      <c r="A302" s="10"/>
      <c r="B302" s="9"/>
      <c r="C302" s="9"/>
      <c r="D302" s="9"/>
      <c r="E302" s="10"/>
      <c r="F302" s="11"/>
      <c r="G302" s="15"/>
      <c r="H302" s="88"/>
      <c r="I302" s="24"/>
      <c r="J302" s="24"/>
      <c r="K302" s="114" t="str">
        <f t="shared" si="48"/>
        <v/>
      </c>
      <c r="L302" s="24"/>
      <c r="M302" s="24"/>
      <c r="N302" s="24"/>
      <c r="O302" s="24"/>
      <c r="P302" s="97" t="str">
        <f t="shared" si="49"/>
        <v/>
      </c>
      <c r="Q302" s="113" t="str">
        <f t="shared" si="50"/>
        <v/>
      </c>
      <c r="R302" s="88"/>
      <c r="S302" s="24"/>
      <c r="T302" s="24"/>
      <c r="U302" s="78" t="str">
        <f t="shared" si="51"/>
        <v/>
      </c>
      <c r="V302" s="24"/>
      <c r="W302" s="24"/>
      <c r="X302" s="24"/>
      <c r="Y302" s="24"/>
      <c r="Z302" s="98" t="str">
        <f t="shared" si="52"/>
        <v/>
      </c>
      <c r="AA302" s="40" t="str">
        <f t="shared" si="58"/>
        <v/>
      </c>
      <c r="AB302" s="88"/>
      <c r="AC302" s="24"/>
      <c r="AD302" s="24"/>
      <c r="AE302" s="79" t="str">
        <f t="shared" si="53"/>
        <v/>
      </c>
      <c r="AF302" s="24"/>
      <c r="AG302" s="24"/>
      <c r="AH302" s="24"/>
      <c r="AI302" s="24"/>
      <c r="AJ302" s="99" t="str">
        <f t="shared" si="54"/>
        <v/>
      </c>
      <c r="AK302" s="31" t="str">
        <f t="shared" si="59"/>
        <v/>
      </c>
      <c r="AN302" s="139" t="str">
        <f>IF($K302="","",VLOOKUP($K302,'ORF Accuracy Value LookUp'!$G$4:$H$104,2,TRUE))</f>
        <v/>
      </c>
      <c r="AO302" s="94" t="str">
        <f t="shared" si="55"/>
        <v/>
      </c>
      <c r="AP302" s="47" t="str">
        <f>IF($U302="","",VLOOKUP($U302,'ORF Accuracy Value LookUp'!$G$4:$H$104,2,TRUE))</f>
        <v/>
      </c>
      <c r="AQ302" s="94" t="str">
        <f t="shared" si="56"/>
        <v/>
      </c>
      <c r="AR302" s="46" t="str">
        <f>IF($AE302="","",VLOOKUP($AE302,'ORF Accuracy Value LookUp'!$G$4:$H$104,2,TRUE))</f>
        <v/>
      </c>
      <c r="AS302" s="140" t="str">
        <f t="shared" si="57"/>
        <v/>
      </c>
    </row>
    <row r="303" spans="1:45">
      <c r="A303" s="10"/>
      <c r="B303" s="9"/>
      <c r="C303" s="9"/>
      <c r="D303" s="9"/>
      <c r="E303" s="10"/>
      <c r="F303" s="11"/>
      <c r="G303" s="15"/>
      <c r="H303" s="88"/>
      <c r="I303" s="24"/>
      <c r="J303" s="24"/>
      <c r="K303" s="114" t="str">
        <f t="shared" si="48"/>
        <v/>
      </c>
      <c r="L303" s="24"/>
      <c r="M303" s="24"/>
      <c r="N303" s="24"/>
      <c r="O303" s="24"/>
      <c r="P303" s="97" t="str">
        <f t="shared" si="49"/>
        <v/>
      </c>
      <c r="Q303" s="113" t="str">
        <f t="shared" si="50"/>
        <v/>
      </c>
      <c r="R303" s="88"/>
      <c r="S303" s="24"/>
      <c r="T303" s="24"/>
      <c r="U303" s="78" t="str">
        <f t="shared" si="51"/>
        <v/>
      </c>
      <c r="V303" s="24"/>
      <c r="W303" s="24"/>
      <c r="X303" s="24"/>
      <c r="Y303" s="24"/>
      <c r="Z303" s="98" t="str">
        <f t="shared" si="52"/>
        <v/>
      </c>
      <c r="AA303" s="40" t="str">
        <f t="shared" si="58"/>
        <v/>
      </c>
      <c r="AB303" s="88"/>
      <c r="AC303" s="24"/>
      <c r="AD303" s="24"/>
      <c r="AE303" s="79" t="str">
        <f t="shared" si="53"/>
        <v/>
      </c>
      <c r="AF303" s="24"/>
      <c r="AG303" s="24"/>
      <c r="AH303" s="24"/>
      <c r="AI303" s="24"/>
      <c r="AJ303" s="99" t="str">
        <f t="shared" si="54"/>
        <v/>
      </c>
      <c r="AK303" s="31" t="str">
        <f t="shared" si="59"/>
        <v/>
      </c>
      <c r="AN303" s="139" t="str">
        <f>IF($K303="","",VLOOKUP($K303,'ORF Accuracy Value LookUp'!$G$4:$H$104,2,TRUE))</f>
        <v/>
      </c>
      <c r="AO303" s="94" t="str">
        <f t="shared" si="55"/>
        <v/>
      </c>
      <c r="AP303" s="47" t="str">
        <f>IF($U303="","",VLOOKUP($U303,'ORF Accuracy Value LookUp'!$G$4:$H$104,2,TRUE))</f>
        <v/>
      </c>
      <c r="AQ303" s="94" t="str">
        <f t="shared" si="56"/>
        <v/>
      </c>
      <c r="AR303" s="46" t="str">
        <f>IF($AE303="","",VLOOKUP($AE303,'ORF Accuracy Value LookUp'!$G$4:$H$104,2,TRUE))</f>
        <v/>
      </c>
      <c r="AS303" s="140" t="str">
        <f t="shared" si="57"/>
        <v/>
      </c>
    </row>
    <row r="304" spans="1:45">
      <c r="A304" s="10"/>
      <c r="B304" s="9"/>
      <c r="C304" s="9"/>
      <c r="D304" s="9"/>
      <c r="E304" s="10"/>
      <c r="F304" s="11"/>
      <c r="G304" s="15"/>
      <c r="H304" s="88"/>
      <c r="I304" s="24"/>
      <c r="J304" s="24"/>
      <c r="K304" s="114" t="str">
        <f t="shared" si="48"/>
        <v/>
      </c>
      <c r="L304" s="24"/>
      <c r="M304" s="24"/>
      <c r="N304" s="24"/>
      <c r="O304" s="24"/>
      <c r="P304" s="97" t="str">
        <f t="shared" si="49"/>
        <v/>
      </c>
      <c r="Q304" s="113" t="str">
        <f t="shared" si="50"/>
        <v/>
      </c>
      <c r="R304" s="88"/>
      <c r="S304" s="24"/>
      <c r="T304" s="24"/>
      <c r="U304" s="78" t="str">
        <f t="shared" si="51"/>
        <v/>
      </c>
      <c r="V304" s="24"/>
      <c r="W304" s="24"/>
      <c r="X304" s="24"/>
      <c r="Y304" s="24"/>
      <c r="Z304" s="98" t="str">
        <f t="shared" si="52"/>
        <v/>
      </c>
      <c r="AA304" s="40" t="str">
        <f t="shared" si="58"/>
        <v/>
      </c>
      <c r="AB304" s="88"/>
      <c r="AC304" s="24"/>
      <c r="AD304" s="24"/>
      <c r="AE304" s="79" t="str">
        <f t="shared" si="53"/>
        <v/>
      </c>
      <c r="AF304" s="24"/>
      <c r="AG304" s="24"/>
      <c r="AH304" s="24"/>
      <c r="AI304" s="24"/>
      <c r="AJ304" s="99" t="str">
        <f t="shared" si="54"/>
        <v/>
      </c>
      <c r="AK304" s="31" t="str">
        <f t="shared" si="59"/>
        <v/>
      </c>
      <c r="AN304" s="139" t="str">
        <f>IF($K304="","",VLOOKUP($K304,'ORF Accuracy Value LookUp'!$G$4:$H$104,2,TRUE))</f>
        <v/>
      </c>
      <c r="AO304" s="94" t="str">
        <f t="shared" si="55"/>
        <v/>
      </c>
      <c r="AP304" s="47" t="str">
        <f>IF($U304="","",VLOOKUP($U304,'ORF Accuracy Value LookUp'!$G$4:$H$104,2,TRUE))</f>
        <v/>
      </c>
      <c r="AQ304" s="94" t="str">
        <f t="shared" si="56"/>
        <v/>
      </c>
      <c r="AR304" s="46" t="str">
        <f>IF($AE304="","",VLOOKUP($AE304,'ORF Accuracy Value LookUp'!$G$4:$H$104,2,TRUE))</f>
        <v/>
      </c>
      <c r="AS304" s="140" t="str">
        <f t="shared" si="57"/>
        <v/>
      </c>
    </row>
    <row r="305" spans="1:45">
      <c r="A305" s="10"/>
      <c r="B305" s="9"/>
      <c r="C305" s="9"/>
      <c r="D305" s="9"/>
      <c r="E305" s="10"/>
      <c r="F305" s="11"/>
      <c r="G305" s="15"/>
      <c r="H305" s="88"/>
      <c r="I305" s="24"/>
      <c r="J305" s="24"/>
      <c r="K305" s="114" t="str">
        <f t="shared" si="48"/>
        <v/>
      </c>
      <c r="L305" s="24"/>
      <c r="M305" s="24"/>
      <c r="N305" s="24"/>
      <c r="O305" s="24"/>
      <c r="P305" s="97" t="str">
        <f t="shared" si="49"/>
        <v/>
      </c>
      <c r="Q305" s="113" t="str">
        <f t="shared" si="50"/>
        <v/>
      </c>
      <c r="R305" s="88"/>
      <c r="S305" s="24"/>
      <c r="T305" s="24"/>
      <c r="U305" s="78" t="str">
        <f t="shared" si="51"/>
        <v/>
      </c>
      <c r="V305" s="24"/>
      <c r="W305" s="24"/>
      <c r="X305" s="24"/>
      <c r="Y305" s="24"/>
      <c r="Z305" s="98" t="str">
        <f t="shared" si="52"/>
        <v/>
      </c>
      <c r="AA305" s="40" t="str">
        <f t="shared" si="58"/>
        <v/>
      </c>
      <c r="AB305" s="88"/>
      <c r="AC305" s="24"/>
      <c r="AD305" s="24"/>
      <c r="AE305" s="79" t="str">
        <f t="shared" si="53"/>
        <v/>
      </c>
      <c r="AF305" s="24"/>
      <c r="AG305" s="24"/>
      <c r="AH305" s="24"/>
      <c r="AI305" s="24"/>
      <c r="AJ305" s="99" t="str">
        <f t="shared" si="54"/>
        <v/>
      </c>
      <c r="AK305" s="31" t="str">
        <f t="shared" si="59"/>
        <v/>
      </c>
      <c r="AN305" s="139" t="str">
        <f>IF($K305="","",VLOOKUP($K305,'ORF Accuracy Value LookUp'!$G$4:$H$104,2,TRUE))</f>
        <v/>
      </c>
      <c r="AO305" s="94" t="str">
        <f t="shared" si="55"/>
        <v/>
      </c>
      <c r="AP305" s="47" t="str">
        <f>IF($U305="","",VLOOKUP($U305,'ORF Accuracy Value LookUp'!$G$4:$H$104,2,TRUE))</f>
        <v/>
      </c>
      <c r="AQ305" s="94" t="str">
        <f t="shared" si="56"/>
        <v/>
      </c>
      <c r="AR305" s="46" t="str">
        <f>IF($AE305="","",VLOOKUP($AE305,'ORF Accuracy Value LookUp'!$G$4:$H$104,2,TRUE))</f>
        <v/>
      </c>
      <c r="AS305" s="140" t="str">
        <f t="shared" si="57"/>
        <v/>
      </c>
    </row>
    <row r="306" spans="1:45">
      <c r="A306" s="10"/>
      <c r="B306" s="9"/>
      <c r="C306" s="9"/>
      <c r="D306" s="9"/>
      <c r="E306" s="10"/>
      <c r="F306" s="11"/>
      <c r="G306" s="15"/>
      <c r="H306" s="88"/>
      <c r="I306" s="24"/>
      <c r="J306" s="24"/>
      <c r="K306" s="114" t="str">
        <f t="shared" si="48"/>
        <v/>
      </c>
      <c r="L306" s="24"/>
      <c r="M306" s="24"/>
      <c r="N306" s="24"/>
      <c r="O306" s="24"/>
      <c r="P306" s="97" t="str">
        <f t="shared" si="49"/>
        <v/>
      </c>
      <c r="Q306" s="113" t="str">
        <f t="shared" si="50"/>
        <v/>
      </c>
      <c r="R306" s="88"/>
      <c r="S306" s="24"/>
      <c r="T306" s="24"/>
      <c r="U306" s="78" t="str">
        <f t="shared" si="51"/>
        <v/>
      </c>
      <c r="V306" s="24"/>
      <c r="W306" s="24"/>
      <c r="X306" s="24"/>
      <c r="Y306" s="24"/>
      <c r="Z306" s="98" t="str">
        <f t="shared" si="52"/>
        <v/>
      </c>
      <c r="AA306" s="40" t="str">
        <f t="shared" si="58"/>
        <v/>
      </c>
      <c r="AB306" s="88"/>
      <c r="AC306" s="24"/>
      <c r="AD306" s="24"/>
      <c r="AE306" s="79" t="str">
        <f t="shared" si="53"/>
        <v/>
      </c>
      <c r="AF306" s="24"/>
      <c r="AG306" s="24"/>
      <c r="AH306" s="24"/>
      <c r="AI306" s="24"/>
      <c r="AJ306" s="99" t="str">
        <f t="shared" si="54"/>
        <v/>
      </c>
      <c r="AK306" s="31" t="str">
        <f t="shared" si="59"/>
        <v/>
      </c>
      <c r="AN306" s="139" t="str">
        <f>IF($K306="","",VLOOKUP($K306,'ORF Accuracy Value LookUp'!$G$4:$H$104,2,TRUE))</f>
        <v/>
      </c>
      <c r="AO306" s="94" t="str">
        <f t="shared" si="55"/>
        <v/>
      </c>
      <c r="AP306" s="47" t="str">
        <f>IF($U306="","",VLOOKUP($U306,'ORF Accuracy Value LookUp'!$G$4:$H$104,2,TRUE))</f>
        <v/>
      </c>
      <c r="AQ306" s="94" t="str">
        <f t="shared" si="56"/>
        <v/>
      </c>
      <c r="AR306" s="46" t="str">
        <f>IF($AE306="","",VLOOKUP($AE306,'ORF Accuracy Value LookUp'!$G$4:$H$104,2,TRUE))</f>
        <v/>
      </c>
      <c r="AS306" s="140" t="str">
        <f t="shared" si="57"/>
        <v/>
      </c>
    </row>
    <row r="307" spans="1:45">
      <c r="A307" s="10"/>
      <c r="B307" s="9"/>
      <c r="C307" s="9"/>
      <c r="D307" s="9"/>
      <c r="E307" s="10"/>
      <c r="F307" s="11"/>
      <c r="G307" s="15"/>
      <c r="H307" s="88"/>
      <c r="I307" s="24"/>
      <c r="J307" s="24"/>
      <c r="K307" s="114" t="str">
        <f t="shared" si="48"/>
        <v/>
      </c>
      <c r="L307" s="24"/>
      <c r="M307" s="24"/>
      <c r="N307" s="24"/>
      <c r="O307" s="24"/>
      <c r="P307" s="97" t="str">
        <f t="shared" si="49"/>
        <v/>
      </c>
      <c r="Q307" s="113" t="str">
        <f t="shared" si="50"/>
        <v/>
      </c>
      <c r="R307" s="88"/>
      <c r="S307" s="24"/>
      <c r="T307" s="24"/>
      <c r="U307" s="78" t="str">
        <f t="shared" si="51"/>
        <v/>
      </c>
      <c r="V307" s="24"/>
      <c r="W307" s="24"/>
      <c r="X307" s="24"/>
      <c r="Y307" s="24"/>
      <c r="Z307" s="98" t="str">
        <f t="shared" si="52"/>
        <v/>
      </c>
      <c r="AA307" s="40" t="str">
        <f t="shared" si="58"/>
        <v/>
      </c>
      <c r="AB307" s="88"/>
      <c r="AC307" s="24"/>
      <c r="AD307" s="24"/>
      <c r="AE307" s="79" t="str">
        <f t="shared" si="53"/>
        <v/>
      </c>
      <c r="AF307" s="24"/>
      <c r="AG307" s="24"/>
      <c r="AH307" s="24"/>
      <c r="AI307" s="24"/>
      <c r="AJ307" s="99" t="str">
        <f t="shared" si="54"/>
        <v/>
      </c>
      <c r="AK307" s="31" t="str">
        <f t="shared" si="59"/>
        <v/>
      </c>
      <c r="AN307" s="139" t="str">
        <f>IF($K307="","",VLOOKUP($K307,'ORF Accuracy Value LookUp'!$G$4:$H$104,2,TRUE))</f>
        <v/>
      </c>
      <c r="AO307" s="94" t="str">
        <f t="shared" si="55"/>
        <v/>
      </c>
      <c r="AP307" s="47" t="str">
        <f>IF($U307="","",VLOOKUP($U307,'ORF Accuracy Value LookUp'!$G$4:$H$104,2,TRUE))</f>
        <v/>
      </c>
      <c r="AQ307" s="94" t="str">
        <f t="shared" si="56"/>
        <v/>
      </c>
      <c r="AR307" s="46" t="str">
        <f>IF($AE307="","",VLOOKUP($AE307,'ORF Accuracy Value LookUp'!$G$4:$H$104,2,TRUE))</f>
        <v/>
      </c>
      <c r="AS307" s="140" t="str">
        <f t="shared" si="57"/>
        <v/>
      </c>
    </row>
    <row r="308" spans="1:45">
      <c r="A308" s="10"/>
      <c r="B308" s="9"/>
      <c r="C308" s="9"/>
      <c r="D308" s="9"/>
      <c r="E308" s="10"/>
      <c r="F308" s="11"/>
      <c r="G308" s="15"/>
      <c r="H308" s="88"/>
      <c r="I308" s="24"/>
      <c r="J308" s="24"/>
      <c r="K308" s="114" t="str">
        <f t="shared" si="48"/>
        <v/>
      </c>
      <c r="L308" s="24"/>
      <c r="M308" s="24"/>
      <c r="N308" s="24"/>
      <c r="O308" s="24"/>
      <c r="P308" s="97" t="str">
        <f t="shared" si="49"/>
        <v/>
      </c>
      <c r="Q308" s="113" t="str">
        <f t="shared" si="50"/>
        <v/>
      </c>
      <c r="R308" s="88"/>
      <c r="S308" s="24"/>
      <c r="T308" s="24"/>
      <c r="U308" s="78" t="str">
        <f t="shared" si="51"/>
        <v/>
      </c>
      <c r="V308" s="24"/>
      <c r="W308" s="24"/>
      <c r="X308" s="24"/>
      <c r="Y308" s="24"/>
      <c r="Z308" s="98" t="str">
        <f t="shared" si="52"/>
        <v/>
      </c>
      <c r="AA308" s="40" t="str">
        <f t="shared" si="58"/>
        <v/>
      </c>
      <c r="AB308" s="88"/>
      <c r="AC308" s="24"/>
      <c r="AD308" s="24"/>
      <c r="AE308" s="79" t="str">
        <f t="shared" si="53"/>
        <v/>
      </c>
      <c r="AF308" s="24"/>
      <c r="AG308" s="24"/>
      <c r="AH308" s="24"/>
      <c r="AI308" s="24"/>
      <c r="AJ308" s="99" t="str">
        <f t="shared" si="54"/>
        <v/>
      </c>
      <c r="AK308" s="31" t="str">
        <f t="shared" si="59"/>
        <v/>
      </c>
      <c r="AN308" s="139" t="str">
        <f>IF($K308="","",VLOOKUP($K308,'ORF Accuracy Value LookUp'!$G$4:$H$104,2,TRUE))</f>
        <v/>
      </c>
      <c r="AO308" s="94" t="str">
        <f t="shared" si="55"/>
        <v/>
      </c>
      <c r="AP308" s="47" t="str">
        <f>IF($U308="","",VLOOKUP($U308,'ORF Accuracy Value LookUp'!$G$4:$H$104,2,TRUE))</f>
        <v/>
      </c>
      <c r="AQ308" s="94" t="str">
        <f t="shared" si="56"/>
        <v/>
      </c>
      <c r="AR308" s="46" t="str">
        <f>IF($AE308="","",VLOOKUP($AE308,'ORF Accuracy Value LookUp'!$G$4:$H$104,2,TRUE))</f>
        <v/>
      </c>
      <c r="AS308" s="140" t="str">
        <f t="shared" si="57"/>
        <v/>
      </c>
    </row>
    <row r="309" spans="1:45">
      <c r="A309" s="10"/>
      <c r="B309" s="9"/>
      <c r="C309" s="9"/>
      <c r="D309" s="9"/>
      <c r="E309" s="10"/>
      <c r="F309" s="11"/>
      <c r="G309" s="15"/>
      <c r="H309" s="88"/>
      <c r="I309" s="24"/>
      <c r="J309" s="24"/>
      <c r="K309" s="114" t="str">
        <f t="shared" si="48"/>
        <v/>
      </c>
      <c r="L309" s="24"/>
      <c r="M309" s="24"/>
      <c r="N309" s="24"/>
      <c r="O309" s="24"/>
      <c r="P309" s="97" t="str">
        <f t="shared" si="49"/>
        <v/>
      </c>
      <c r="Q309" s="113" t="str">
        <f t="shared" si="50"/>
        <v/>
      </c>
      <c r="R309" s="88"/>
      <c r="S309" s="24"/>
      <c r="T309" s="24"/>
      <c r="U309" s="78" t="str">
        <f t="shared" si="51"/>
        <v/>
      </c>
      <c r="V309" s="24"/>
      <c r="W309" s="24"/>
      <c r="X309" s="24"/>
      <c r="Y309" s="24"/>
      <c r="Z309" s="98" t="str">
        <f t="shared" si="52"/>
        <v/>
      </c>
      <c r="AA309" s="40" t="str">
        <f t="shared" si="58"/>
        <v/>
      </c>
      <c r="AB309" s="88"/>
      <c r="AC309" s="24"/>
      <c r="AD309" s="24"/>
      <c r="AE309" s="79" t="str">
        <f t="shared" si="53"/>
        <v/>
      </c>
      <c r="AF309" s="24"/>
      <c r="AG309" s="24"/>
      <c r="AH309" s="24"/>
      <c r="AI309" s="24"/>
      <c r="AJ309" s="99" t="str">
        <f t="shared" si="54"/>
        <v/>
      </c>
      <c r="AK309" s="31" t="str">
        <f t="shared" si="59"/>
        <v/>
      </c>
      <c r="AN309" s="139" t="str">
        <f>IF($K309="","",VLOOKUP($K309,'ORF Accuracy Value LookUp'!$G$4:$H$104,2,TRUE))</f>
        <v/>
      </c>
      <c r="AO309" s="94" t="str">
        <f t="shared" si="55"/>
        <v/>
      </c>
      <c r="AP309" s="47" t="str">
        <f>IF($U309="","",VLOOKUP($U309,'ORF Accuracy Value LookUp'!$G$4:$H$104,2,TRUE))</f>
        <v/>
      </c>
      <c r="AQ309" s="94" t="str">
        <f t="shared" si="56"/>
        <v/>
      </c>
      <c r="AR309" s="46" t="str">
        <f>IF($AE309="","",VLOOKUP($AE309,'ORF Accuracy Value LookUp'!$G$4:$H$104,2,TRUE))</f>
        <v/>
      </c>
      <c r="AS309" s="140" t="str">
        <f t="shared" si="57"/>
        <v/>
      </c>
    </row>
    <row r="310" spans="1:45">
      <c r="A310" s="10"/>
      <c r="B310" s="9"/>
      <c r="C310" s="9"/>
      <c r="D310" s="9"/>
      <c r="E310" s="10"/>
      <c r="F310" s="11"/>
      <c r="G310" s="15"/>
      <c r="H310" s="88"/>
      <c r="I310" s="24"/>
      <c r="J310" s="24"/>
      <c r="K310" s="114" t="str">
        <f t="shared" si="48"/>
        <v/>
      </c>
      <c r="L310" s="24"/>
      <c r="M310" s="24"/>
      <c r="N310" s="24"/>
      <c r="O310" s="24"/>
      <c r="P310" s="97" t="str">
        <f t="shared" si="49"/>
        <v/>
      </c>
      <c r="Q310" s="113" t="str">
        <f t="shared" si="50"/>
        <v/>
      </c>
      <c r="R310" s="88"/>
      <c r="S310" s="24"/>
      <c r="T310" s="24"/>
      <c r="U310" s="78" t="str">
        <f t="shared" si="51"/>
        <v/>
      </c>
      <c r="V310" s="24"/>
      <c r="W310" s="24"/>
      <c r="X310" s="24"/>
      <c r="Y310" s="24"/>
      <c r="Z310" s="98" t="str">
        <f t="shared" si="52"/>
        <v/>
      </c>
      <c r="AA310" s="40" t="str">
        <f t="shared" si="58"/>
        <v/>
      </c>
      <c r="AB310" s="88"/>
      <c r="AC310" s="24"/>
      <c r="AD310" s="24"/>
      <c r="AE310" s="79" t="str">
        <f t="shared" si="53"/>
        <v/>
      </c>
      <c r="AF310" s="24"/>
      <c r="AG310" s="24"/>
      <c r="AH310" s="24"/>
      <c r="AI310" s="24"/>
      <c r="AJ310" s="99" t="str">
        <f t="shared" si="54"/>
        <v/>
      </c>
      <c r="AK310" s="31" t="str">
        <f t="shared" si="59"/>
        <v/>
      </c>
      <c r="AN310" s="139" t="str">
        <f>IF($K310="","",VLOOKUP($K310,'ORF Accuracy Value LookUp'!$G$4:$H$104,2,TRUE))</f>
        <v/>
      </c>
      <c r="AO310" s="94" t="str">
        <f t="shared" si="55"/>
        <v/>
      </c>
      <c r="AP310" s="47" t="str">
        <f>IF($U310="","",VLOOKUP($U310,'ORF Accuracy Value LookUp'!$G$4:$H$104,2,TRUE))</f>
        <v/>
      </c>
      <c r="AQ310" s="94" t="str">
        <f t="shared" si="56"/>
        <v/>
      </c>
      <c r="AR310" s="46" t="str">
        <f>IF($AE310="","",VLOOKUP($AE310,'ORF Accuracy Value LookUp'!$G$4:$H$104,2,TRUE))</f>
        <v/>
      </c>
      <c r="AS310" s="140" t="str">
        <f t="shared" si="57"/>
        <v/>
      </c>
    </row>
    <row r="311" spans="1:45">
      <c r="A311" s="10"/>
      <c r="B311" s="9"/>
      <c r="C311" s="9"/>
      <c r="D311" s="9"/>
      <c r="E311" s="10"/>
      <c r="F311" s="11"/>
      <c r="G311" s="15"/>
      <c r="H311" s="88"/>
      <c r="I311" s="24"/>
      <c r="J311" s="24"/>
      <c r="K311" s="114" t="str">
        <f t="shared" si="48"/>
        <v/>
      </c>
      <c r="L311" s="24"/>
      <c r="M311" s="24"/>
      <c r="N311" s="24"/>
      <c r="O311" s="24"/>
      <c r="P311" s="97" t="str">
        <f t="shared" si="49"/>
        <v/>
      </c>
      <c r="Q311" s="113" t="str">
        <f t="shared" si="50"/>
        <v/>
      </c>
      <c r="R311" s="88"/>
      <c r="S311" s="24"/>
      <c r="T311" s="24"/>
      <c r="U311" s="78" t="str">
        <f t="shared" si="51"/>
        <v/>
      </c>
      <c r="V311" s="24"/>
      <c r="W311" s="24"/>
      <c r="X311" s="24"/>
      <c r="Y311" s="24"/>
      <c r="Z311" s="98" t="str">
        <f t="shared" si="52"/>
        <v/>
      </c>
      <c r="AA311" s="40" t="str">
        <f t="shared" si="58"/>
        <v/>
      </c>
      <c r="AB311" s="88"/>
      <c r="AC311" s="24"/>
      <c r="AD311" s="24"/>
      <c r="AE311" s="79" t="str">
        <f t="shared" si="53"/>
        <v/>
      </c>
      <c r="AF311" s="24"/>
      <c r="AG311" s="24"/>
      <c r="AH311" s="24"/>
      <c r="AI311" s="24"/>
      <c r="AJ311" s="99" t="str">
        <f t="shared" si="54"/>
        <v/>
      </c>
      <c r="AK311" s="31" t="str">
        <f t="shared" si="59"/>
        <v/>
      </c>
      <c r="AN311" s="139" t="str">
        <f>IF($K311="","",VLOOKUP($K311,'ORF Accuracy Value LookUp'!$G$4:$H$104,2,TRUE))</f>
        <v/>
      </c>
      <c r="AO311" s="94" t="str">
        <f t="shared" si="55"/>
        <v/>
      </c>
      <c r="AP311" s="47" t="str">
        <f>IF($U311="","",VLOOKUP($U311,'ORF Accuracy Value LookUp'!$G$4:$H$104,2,TRUE))</f>
        <v/>
      </c>
      <c r="AQ311" s="94" t="str">
        <f t="shared" si="56"/>
        <v/>
      </c>
      <c r="AR311" s="46" t="str">
        <f>IF($AE311="","",VLOOKUP($AE311,'ORF Accuracy Value LookUp'!$G$4:$H$104,2,TRUE))</f>
        <v/>
      </c>
      <c r="AS311" s="140" t="str">
        <f t="shared" si="57"/>
        <v/>
      </c>
    </row>
    <row r="312" spans="1:45">
      <c r="A312" s="10"/>
      <c r="B312" s="9"/>
      <c r="C312" s="9"/>
      <c r="D312" s="9"/>
      <c r="E312" s="10"/>
      <c r="F312" s="11"/>
      <c r="G312" s="15"/>
      <c r="H312" s="88"/>
      <c r="I312" s="24"/>
      <c r="J312" s="24"/>
      <c r="K312" s="114" t="str">
        <f t="shared" si="48"/>
        <v/>
      </c>
      <c r="L312" s="24"/>
      <c r="M312" s="24"/>
      <c r="N312" s="24"/>
      <c r="O312" s="24"/>
      <c r="P312" s="97" t="str">
        <f t="shared" si="49"/>
        <v/>
      </c>
      <c r="Q312" s="113" t="str">
        <f t="shared" si="50"/>
        <v/>
      </c>
      <c r="R312" s="88"/>
      <c r="S312" s="24"/>
      <c r="T312" s="24"/>
      <c r="U312" s="78" t="str">
        <f t="shared" si="51"/>
        <v/>
      </c>
      <c r="V312" s="24"/>
      <c r="W312" s="24"/>
      <c r="X312" s="24"/>
      <c r="Y312" s="24"/>
      <c r="Z312" s="98" t="str">
        <f t="shared" si="52"/>
        <v/>
      </c>
      <c r="AA312" s="40" t="str">
        <f t="shared" si="58"/>
        <v/>
      </c>
      <c r="AB312" s="88"/>
      <c r="AC312" s="24"/>
      <c r="AD312" s="24"/>
      <c r="AE312" s="79" t="str">
        <f t="shared" si="53"/>
        <v/>
      </c>
      <c r="AF312" s="24"/>
      <c r="AG312" s="24"/>
      <c r="AH312" s="24"/>
      <c r="AI312" s="24"/>
      <c r="AJ312" s="99" t="str">
        <f t="shared" si="54"/>
        <v/>
      </c>
      <c r="AK312" s="31" t="str">
        <f t="shared" si="59"/>
        <v/>
      </c>
      <c r="AN312" s="139" t="str">
        <f>IF($K312="","",VLOOKUP($K312,'ORF Accuracy Value LookUp'!$G$4:$H$104,2,TRUE))</f>
        <v/>
      </c>
      <c r="AO312" s="94" t="str">
        <f t="shared" si="55"/>
        <v/>
      </c>
      <c r="AP312" s="47" t="str">
        <f>IF($U312="","",VLOOKUP($U312,'ORF Accuracy Value LookUp'!$G$4:$H$104,2,TRUE))</f>
        <v/>
      </c>
      <c r="AQ312" s="94" t="str">
        <f t="shared" si="56"/>
        <v/>
      </c>
      <c r="AR312" s="46" t="str">
        <f>IF($AE312="","",VLOOKUP($AE312,'ORF Accuracy Value LookUp'!$G$4:$H$104,2,TRUE))</f>
        <v/>
      </c>
      <c r="AS312" s="140" t="str">
        <f t="shared" si="57"/>
        <v/>
      </c>
    </row>
    <row r="313" spans="1:45">
      <c r="A313" s="10"/>
      <c r="B313" s="9"/>
      <c r="C313" s="9"/>
      <c r="D313" s="9"/>
      <c r="E313" s="10"/>
      <c r="F313" s="11"/>
      <c r="G313" s="15"/>
      <c r="H313" s="88"/>
      <c r="I313" s="24"/>
      <c r="J313" s="24"/>
      <c r="K313" s="114" t="str">
        <f t="shared" si="48"/>
        <v/>
      </c>
      <c r="L313" s="24"/>
      <c r="M313" s="24"/>
      <c r="N313" s="24"/>
      <c r="O313" s="24"/>
      <c r="P313" s="97" t="str">
        <f t="shared" si="49"/>
        <v/>
      </c>
      <c r="Q313" s="113" t="str">
        <f t="shared" si="50"/>
        <v/>
      </c>
      <c r="R313" s="88"/>
      <c r="S313" s="24"/>
      <c r="T313" s="24"/>
      <c r="U313" s="78" t="str">
        <f t="shared" si="51"/>
        <v/>
      </c>
      <c r="V313" s="24"/>
      <c r="W313" s="24"/>
      <c r="X313" s="24"/>
      <c r="Y313" s="24"/>
      <c r="Z313" s="98" t="str">
        <f t="shared" si="52"/>
        <v/>
      </c>
      <c r="AA313" s="40" t="str">
        <f t="shared" si="58"/>
        <v/>
      </c>
      <c r="AB313" s="88"/>
      <c r="AC313" s="24"/>
      <c r="AD313" s="24"/>
      <c r="AE313" s="79" t="str">
        <f t="shared" si="53"/>
        <v/>
      </c>
      <c r="AF313" s="24"/>
      <c r="AG313" s="24"/>
      <c r="AH313" s="24"/>
      <c r="AI313" s="24"/>
      <c r="AJ313" s="99" t="str">
        <f t="shared" si="54"/>
        <v/>
      </c>
      <c r="AK313" s="31" t="str">
        <f t="shared" si="59"/>
        <v/>
      </c>
      <c r="AN313" s="139" t="str">
        <f>IF($K313="","",VLOOKUP($K313,'ORF Accuracy Value LookUp'!$G$4:$H$104,2,TRUE))</f>
        <v/>
      </c>
      <c r="AO313" s="94" t="str">
        <f t="shared" si="55"/>
        <v/>
      </c>
      <c r="AP313" s="47" t="str">
        <f>IF($U313="","",VLOOKUP($U313,'ORF Accuracy Value LookUp'!$G$4:$H$104,2,TRUE))</f>
        <v/>
      </c>
      <c r="AQ313" s="94" t="str">
        <f t="shared" si="56"/>
        <v/>
      </c>
      <c r="AR313" s="46" t="str">
        <f>IF($AE313="","",VLOOKUP($AE313,'ORF Accuracy Value LookUp'!$G$4:$H$104,2,TRUE))</f>
        <v/>
      </c>
      <c r="AS313" s="140" t="str">
        <f t="shared" si="57"/>
        <v/>
      </c>
    </row>
    <row r="314" spans="1:45">
      <c r="A314" s="10"/>
      <c r="B314" s="9"/>
      <c r="C314" s="9"/>
      <c r="D314" s="9"/>
      <c r="E314" s="10"/>
      <c r="F314" s="11"/>
      <c r="G314" s="15"/>
      <c r="H314" s="88"/>
      <c r="I314" s="24"/>
      <c r="J314" s="24"/>
      <c r="K314" s="114" t="str">
        <f t="shared" si="48"/>
        <v/>
      </c>
      <c r="L314" s="24"/>
      <c r="M314" s="24"/>
      <c r="N314" s="24"/>
      <c r="O314" s="24"/>
      <c r="P314" s="97" t="str">
        <f t="shared" si="49"/>
        <v/>
      </c>
      <c r="Q314" s="113" t="str">
        <f t="shared" si="50"/>
        <v/>
      </c>
      <c r="R314" s="88"/>
      <c r="S314" s="24"/>
      <c r="T314" s="24"/>
      <c r="U314" s="78" t="str">
        <f t="shared" si="51"/>
        <v/>
      </c>
      <c r="V314" s="24"/>
      <c r="W314" s="24"/>
      <c r="X314" s="24"/>
      <c r="Y314" s="24"/>
      <c r="Z314" s="98" t="str">
        <f t="shared" si="52"/>
        <v/>
      </c>
      <c r="AA314" s="40" t="str">
        <f t="shared" si="58"/>
        <v/>
      </c>
      <c r="AB314" s="88"/>
      <c r="AC314" s="24"/>
      <c r="AD314" s="24"/>
      <c r="AE314" s="79" t="str">
        <f t="shared" si="53"/>
        <v/>
      </c>
      <c r="AF314" s="24"/>
      <c r="AG314" s="24"/>
      <c r="AH314" s="24"/>
      <c r="AI314" s="24"/>
      <c r="AJ314" s="99" t="str">
        <f t="shared" si="54"/>
        <v/>
      </c>
      <c r="AK314" s="31" t="str">
        <f t="shared" si="59"/>
        <v/>
      </c>
      <c r="AN314" s="139" t="str">
        <f>IF($K314="","",VLOOKUP($K314,'ORF Accuracy Value LookUp'!$G$4:$H$104,2,TRUE))</f>
        <v/>
      </c>
      <c r="AO314" s="94" t="str">
        <f t="shared" si="55"/>
        <v/>
      </c>
      <c r="AP314" s="47" t="str">
        <f>IF($U314="","",VLOOKUP($U314,'ORF Accuracy Value LookUp'!$G$4:$H$104,2,TRUE))</f>
        <v/>
      </c>
      <c r="AQ314" s="94" t="str">
        <f t="shared" si="56"/>
        <v/>
      </c>
      <c r="AR314" s="46" t="str">
        <f>IF($AE314="","",VLOOKUP($AE314,'ORF Accuracy Value LookUp'!$G$4:$H$104,2,TRUE))</f>
        <v/>
      </c>
      <c r="AS314" s="140" t="str">
        <f t="shared" si="57"/>
        <v/>
      </c>
    </row>
    <row r="315" spans="1:45">
      <c r="A315" s="10"/>
      <c r="B315" s="9"/>
      <c r="C315" s="9"/>
      <c r="D315" s="9"/>
      <c r="E315" s="10"/>
      <c r="F315" s="11"/>
      <c r="G315" s="15"/>
      <c r="H315" s="88"/>
      <c r="I315" s="24"/>
      <c r="J315" s="24"/>
      <c r="K315" s="114" t="str">
        <f t="shared" si="48"/>
        <v/>
      </c>
      <c r="L315" s="24"/>
      <c r="M315" s="24"/>
      <c r="N315" s="24"/>
      <c r="O315" s="24"/>
      <c r="P315" s="97" t="str">
        <f t="shared" si="49"/>
        <v/>
      </c>
      <c r="Q315" s="113" t="str">
        <f t="shared" si="50"/>
        <v/>
      </c>
      <c r="R315" s="88"/>
      <c r="S315" s="24"/>
      <c r="T315" s="24"/>
      <c r="U315" s="78" t="str">
        <f t="shared" si="51"/>
        <v/>
      </c>
      <c r="V315" s="24"/>
      <c r="W315" s="24"/>
      <c r="X315" s="24"/>
      <c r="Y315" s="24"/>
      <c r="Z315" s="98" t="str">
        <f t="shared" si="52"/>
        <v/>
      </c>
      <c r="AA315" s="40" t="str">
        <f t="shared" si="58"/>
        <v/>
      </c>
      <c r="AB315" s="88"/>
      <c r="AC315" s="24"/>
      <c r="AD315" s="24"/>
      <c r="AE315" s="79" t="str">
        <f t="shared" si="53"/>
        <v/>
      </c>
      <c r="AF315" s="24"/>
      <c r="AG315" s="24"/>
      <c r="AH315" s="24"/>
      <c r="AI315" s="24"/>
      <c r="AJ315" s="99" t="str">
        <f t="shared" si="54"/>
        <v/>
      </c>
      <c r="AK315" s="31" t="str">
        <f t="shared" si="59"/>
        <v/>
      </c>
      <c r="AN315" s="139" t="str">
        <f>IF($K315="","",VLOOKUP($K315,'ORF Accuracy Value LookUp'!$G$4:$H$104,2,TRUE))</f>
        <v/>
      </c>
      <c r="AO315" s="94" t="str">
        <f t="shared" si="55"/>
        <v/>
      </c>
      <c r="AP315" s="47" t="str">
        <f>IF($U315="","",VLOOKUP($U315,'ORF Accuracy Value LookUp'!$G$4:$H$104,2,TRUE))</f>
        <v/>
      </c>
      <c r="AQ315" s="94" t="str">
        <f t="shared" si="56"/>
        <v/>
      </c>
      <c r="AR315" s="46" t="str">
        <f>IF($AE315="","",VLOOKUP($AE315,'ORF Accuracy Value LookUp'!$G$4:$H$104,2,TRUE))</f>
        <v/>
      </c>
      <c r="AS315" s="140" t="str">
        <f t="shared" si="57"/>
        <v/>
      </c>
    </row>
    <row r="316" spans="1:45">
      <c r="A316" s="10"/>
      <c r="B316" s="9"/>
      <c r="C316" s="9"/>
      <c r="D316" s="9"/>
      <c r="E316" s="10"/>
      <c r="F316" s="11"/>
      <c r="G316" s="15"/>
      <c r="H316" s="88"/>
      <c r="I316" s="24"/>
      <c r="J316" s="24"/>
      <c r="K316" s="114" t="str">
        <f t="shared" si="48"/>
        <v/>
      </c>
      <c r="L316" s="24"/>
      <c r="M316" s="24"/>
      <c r="N316" s="24"/>
      <c r="O316" s="24"/>
      <c r="P316" s="97" t="str">
        <f t="shared" si="49"/>
        <v/>
      </c>
      <c r="Q316" s="113" t="str">
        <f t="shared" si="50"/>
        <v/>
      </c>
      <c r="R316" s="88"/>
      <c r="S316" s="24"/>
      <c r="T316" s="24"/>
      <c r="U316" s="78" t="str">
        <f t="shared" si="51"/>
        <v/>
      </c>
      <c r="V316" s="24"/>
      <c r="W316" s="24"/>
      <c r="X316" s="24"/>
      <c r="Y316" s="24"/>
      <c r="Z316" s="98" t="str">
        <f t="shared" si="52"/>
        <v/>
      </c>
      <c r="AA316" s="40" t="str">
        <f t="shared" si="58"/>
        <v/>
      </c>
      <c r="AB316" s="88"/>
      <c r="AC316" s="24"/>
      <c r="AD316" s="24"/>
      <c r="AE316" s="79" t="str">
        <f t="shared" si="53"/>
        <v/>
      </c>
      <c r="AF316" s="24"/>
      <c r="AG316" s="24"/>
      <c r="AH316" s="24"/>
      <c r="AI316" s="24"/>
      <c r="AJ316" s="99" t="str">
        <f t="shared" si="54"/>
        <v/>
      </c>
      <c r="AK316" s="31" t="str">
        <f t="shared" si="59"/>
        <v/>
      </c>
      <c r="AN316" s="139" t="str">
        <f>IF($K316="","",VLOOKUP($K316,'ORF Accuracy Value LookUp'!$G$4:$H$104,2,TRUE))</f>
        <v/>
      </c>
      <c r="AO316" s="94" t="str">
        <f t="shared" si="55"/>
        <v/>
      </c>
      <c r="AP316" s="47" t="str">
        <f>IF($U316="","",VLOOKUP($U316,'ORF Accuracy Value LookUp'!$G$4:$H$104,2,TRUE))</f>
        <v/>
      </c>
      <c r="AQ316" s="94" t="str">
        <f t="shared" si="56"/>
        <v/>
      </c>
      <c r="AR316" s="46" t="str">
        <f>IF($AE316="","",VLOOKUP($AE316,'ORF Accuracy Value LookUp'!$G$4:$H$104,2,TRUE))</f>
        <v/>
      </c>
      <c r="AS316" s="140" t="str">
        <f t="shared" si="57"/>
        <v/>
      </c>
    </row>
    <row r="317" spans="1:45">
      <c r="A317" s="10"/>
      <c r="B317" s="9"/>
      <c r="C317" s="9"/>
      <c r="D317" s="9"/>
      <c r="E317" s="10"/>
      <c r="F317" s="11"/>
      <c r="G317" s="15"/>
      <c r="H317" s="88"/>
      <c r="I317" s="24"/>
      <c r="J317" s="24"/>
      <c r="K317" s="114" t="str">
        <f t="shared" si="48"/>
        <v/>
      </c>
      <c r="L317" s="24"/>
      <c r="M317" s="24"/>
      <c r="N317" s="24"/>
      <c r="O317" s="24"/>
      <c r="P317" s="97" t="str">
        <f t="shared" si="49"/>
        <v/>
      </c>
      <c r="Q317" s="113" t="str">
        <f t="shared" si="50"/>
        <v/>
      </c>
      <c r="R317" s="88"/>
      <c r="S317" s="24"/>
      <c r="T317" s="24"/>
      <c r="U317" s="78" t="str">
        <f t="shared" si="51"/>
        <v/>
      </c>
      <c r="V317" s="24"/>
      <c r="W317" s="24"/>
      <c r="X317" s="24"/>
      <c r="Y317" s="24"/>
      <c r="Z317" s="98" t="str">
        <f t="shared" si="52"/>
        <v/>
      </c>
      <c r="AA317" s="40" t="str">
        <f t="shared" si="58"/>
        <v/>
      </c>
      <c r="AB317" s="88"/>
      <c r="AC317" s="24"/>
      <c r="AD317" s="24"/>
      <c r="AE317" s="79" t="str">
        <f t="shared" si="53"/>
        <v/>
      </c>
      <c r="AF317" s="24"/>
      <c r="AG317" s="24"/>
      <c r="AH317" s="24"/>
      <c r="AI317" s="24"/>
      <c r="AJ317" s="99" t="str">
        <f t="shared" si="54"/>
        <v/>
      </c>
      <c r="AK317" s="31" t="str">
        <f t="shared" si="59"/>
        <v/>
      </c>
      <c r="AN317" s="139" t="str">
        <f>IF($K317="","",VLOOKUP($K317,'ORF Accuracy Value LookUp'!$G$4:$H$104,2,TRUE))</f>
        <v/>
      </c>
      <c r="AO317" s="94" t="str">
        <f t="shared" si="55"/>
        <v/>
      </c>
      <c r="AP317" s="47" t="str">
        <f>IF($U317="","",VLOOKUP($U317,'ORF Accuracy Value LookUp'!$G$4:$H$104,2,TRUE))</f>
        <v/>
      </c>
      <c r="AQ317" s="94" t="str">
        <f t="shared" si="56"/>
        <v/>
      </c>
      <c r="AR317" s="46" t="str">
        <f>IF($AE317="","",VLOOKUP($AE317,'ORF Accuracy Value LookUp'!$G$4:$H$104,2,TRUE))</f>
        <v/>
      </c>
      <c r="AS317" s="140" t="str">
        <f t="shared" si="57"/>
        <v/>
      </c>
    </row>
    <row r="318" spans="1:45">
      <c r="A318" s="10"/>
      <c r="B318" s="9"/>
      <c r="C318" s="9"/>
      <c r="D318" s="9"/>
      <c r="E318" s="10"/>
      <c r="F318" s="11"/>
      <c r="G318" s="15"/>
      <c r="H318" s="88"/>
      <c r="I318" s="24"/>
      <c r="J318" s="24"/>
      <c r="K318" s="114" t="str">
        <f t="shared" si="48"/>
        <v/>
      </c>
      <c r="L318" s="24"/>
      <c r="M318" s="24"/>
      <c r="N318" s="24"/>
      <c r="O318" s="24"/>
      <c r="P318" s="97" t="str">
        <f t="shared" si="49"/>
        <v/>
      </c>
      <c r="Q318" s="113" t="str">
        <f t="shared" si="50"/>
        <v/>
      </c>
      <c r="R318" s="88"/>
      <c r="S318" s="24"/>
      <c r="T318" s="24"/>
      <c r="U318" s="78" t="str">
        <f t="shared" si="51"/>
        <v/>
      </c>
      <c r="V318" s="24"/>
      <c r="W318" s="24"/>
      <c r="X318" s="24"/>
      <c r="Y318" s="24"/>
      <c r="Z318" s="98" t="str">
        <f t="shared" si="52"/>
        <v/>
      </c>
      <c r="AA318" s="40" t="str">
        <f t="shared" si="58"/>
        <v/>
      </c>
      <c r="AB318" s="88"/>
      <c r="AC318" s="24"/>
      <c r="AD318" s="24"/>
      <c r="AE318" s="79" t="str">
        <f t="shared" si="53"/>
        <v/>
      </c>
      <c r="AF318" s="24"/>
      <c r="AG318" s="24"/>
      <c r="AH318" s="24"/>
      <c r="AI318" s="24"/>
      <c r="AJ318" s="99" t="str">
        <f t="shared" si="54"/>
        <v/>
      </c>
      <c r="AK318" s="31" t="str">
        <f t="shared" si="59"/>
        <v/>
      </c>
      <c r="AN318" s="139" t="str">
        <f>IF($K318="","",VLOOKUP($K318,'ORF Accuracy Value LookUp'!$G$4:$H$104,2,TRUE))</f>
        <v/>
      </c>
      <c r="AO318" s="94" t="str">
        <f t="shared" si="55"/>
        <v/>
      </c>
      <c r="AP318" s="47" t="str">
        <f>IF($U318="","",VLOOKUP($U318,'ORF Accuracy Value LookUp'!$G$4:$H$104,2,TRUE))</f>
        <v/>
      </c>
      <c r="AQ318" s="94" t="str">
        <f t="shared" si="56"/>
        <v/>
      </c>
      <c r="AR318" s="46" t="str">
        <f>IF($AE318="","",VLOOKUP($AE318,'ORF Accuracy Value LookUp'!$G$4:$H$104,2,TRUE))</f>
        <v/>
      </c>
      <c r="AS318" s="140" t="str">
        <f t="shared" si="57"/>
        <v/>
      </c>
    </row>
    <row r="319" spans="1:45">
      <c r="A319" s="10"/>
      <c r="B319" s="9"/>
      <c r="C319" s="9"/>
      <c r="D319" s="9"/>
      <c r="E319" s="10"/>
      <c r="F319" s="11"/>
      <c r="G319" s="15"/>
      <c r="H319" s="88"/>
      <c r="I319" s="24"/>
      <c r="J319" s="24"/>
      <c r="K319" s="114" t="str">
        <f t="shared" si="48"/>
        <v/>
      </c>
      <c r="L319" s="24"/>
      <c r="M319" s="24"/>
      <c r="N319" s="24"/>
      <c r="O319" s="24"/>
      <c r="P319" s="97" t="str">
        <f t="shared" si="49"/>
        <v/>
      </c>
      <c r="Q319" s="113" t="str">
        <f t="shared" si="50"/>
        <v/>
      </c>
      <c r="R319" s="88"/>
      <c r="S319" s="24"/>
      <c r="T319" s="24"/>
      <c r="U319" s="78" t="str">
        <f t="shared" si="51"/>
        <v/>
      </c>
      <c r="V319" s="24"/>
      <c r="W319" s="24"/>
      <c r="X319" s="24"/>
      <c r="Y319" s="24"/>
      <c r="Z319" s="98" t="str">
        <f t="shared" si="52"/>
        <v/>
      </c>
      <c r="AA319" s="40" t="str">
        <f t="shared" si="58"/>
        <v/>
      </c>
      <c r="AB319" s="88"/>
      <c r="AC319" s="24"/>
      <c r="AD319" s="24"/>
      <c r="AE319" s="79" t="str">
        <f t="shared" si="53"/>
        <v/>
      </c>
      <c r="AF319" s="24"/>
      <c r="AG319" s="24"/>
      <c r="AH319" s="24"/>
      <c r="AI319" s="24"/>
      <c r="AJ319" s="99" t="str">
        <f t="shared" si="54"/>
        <v/>
      </c>
      <c r="AK319" s="31" t="str">
        <f t="shared" si="59"/>
        <v/>
      </c>
      <c r="AN319" s="139" t="str">
        <f>IF($K319="","",VLOOKUP($K319,'ORF Accuracy Value LookUp'!$G$4:$H$104,2,TRUE))</f>
        <v/>
      </c>
      <c r="AO319" s="94" t="str">
        <f t="shared" si="55"/>
        <v/>
      </c>
      <c r="AP319" s="47" t="str">
        <f>IF($U319="","",VLOOKUP($U319,'ORF Accuracy Value LookUp'!$G$4:$H$104,2,TRUE))</f>
        <v/>
      </c>
      <c r="AQ319" s="94" t="str">
        <f t="shared" si="56"/>
        <v/>
      </c>
      <c r="AR319" s="46" t="str">
        <f>IF($AE319="","",VLOOKUP($AE319,'ORF Accuracy Value LookUp'!$G$4:$H$104,2,TRUE))</f>
        <v/>
      </c>
      <c r="AS319" s="140" t="str">
        <f t="shared" si="57"/>
        <v/>
      </c>
    </row>
    <row r="320" spans="1:45">
      <c r="A320" s="10"/>
      <c r="B320" s="9"/>
      <c r="C320" s="9"/>
      <c r="D320" s="9"/>
      <c r="E320" s="10"/>
      <c r="F320" s="11"/>
      <c r="G320" s="15"/>
      <c r="H320" s="88"/>
      <c r="I320" s="24"/>
      <c r="J320" s="24"/>
      <c r="K320" s="114" t="str">
        <f t="shared" si="48"/>
        <v/>
      </c>
      <c r="L320" s="24"/>
      <c r="M320" s="24"/>
      <c r="N320" s="24"/>
      <c r="O320" s="24"/>
      <c r="P320" s="97" t="str">
        <f t="shared" si="49"/>
        <v/>
      </c>
      <c r="Q320" s="113" t="str">
        <f t="shared" si="50"/>
        <v/>
      </c>
      <c r="R320" s="88"/>
      <c r="S320" s="24"/>
      <c r="T320" s="24"/>
      <c r="U320" s="78" t="str">
        <f t="shared" si="51"/>
        <v/>
      </c>
      <c r="V320" s="24"/>
      <c r="W320" s="24"/>
      <c r="X320" s="24"/>
      <c r="Y320" s="24"/>
      <c r="Z320" s="98" t="str">
        <f t="shared" si="52"/>
        <v/>
      </c>
      <c r="AA320" s="40" t="str">
        <f t="shared" si="58"/>
        <v/>
      </c>
      <c r="AB320" s="88"/>
      <c r="AC320" s="24"/>
      <c r="AD320" s="24"/>
      <c r="AE320" s="79" t="str">
        <f t="shared" si="53"/>
        <v/>
      </c>
      <c r="AF320" s="24"/>
      <c r="AG320" s="24"/>
      <c r="AH320" s="24"/>
      <c r="AI320" s="24"/>
      <c r="AJ320" s="99" t="str">
        <f t="shared" si="54"/>
        <v/>
      </c>
      <c r="AK320" s="31" t="str">
        <f t="shared" si="59"/>
        <v/>
      </c>
      <c r="AN320" s="139" t="str">
        <f>IF($K320="","",VLOOKUP($K320,'ORF Accuracy Value LookUp'!$G$4:$H$104,2,TRUE))</f>
        <v/>
      </c>
      <c r="AO320" s="94" t="str">
        <f t="shared" si="55"/>
        <v/>
      </c>
      <c r="AP320" s="47" t="str">
        <f>IF($U320="","",VLOOKUP($U320,'ORF Accuracy Value LookUp'!$G$4:$H$104,2,TRUE))</f>
        <v/>
      </c>
      <c r="AQ320" s="94" t="str">
        <f t="shared" si="56"/>
        <v/>
      </c>
      <c r="AR320" s="46" t="str">
        <f>IF($AE320="","",VLOOKUP($AE320,'ORF Accuracy Value LookUp'!$G$4:$H$104,2,TRUE))</f>
        <v/>
      </c>
      <c r="AS320" s="140" t="str">
        <f t="shared" si="57"/>
        <v/>
      </c>
    </row>
    <row r="321" spans="1:45">
      <c r="A321" s="10"/>
      <c r="B321" s="9"/>
      <c r="C321" s="9"/>
      <c r="D321" s="9"/>
      <c r="E321" s="10"/>
      <c r="F321" s="11"/>
      <c r="G321" s="15"/>
      <c r="H321" s="88"/>
      <c r="I321" s="24"/>
      <c r="J321" s="24"/>
      <c r="K321" s="114" t="str">
        <f t="shared" si="48"/>
        <v/>
      </c>
      <c r="L321" s="24"/>
      <c r="M321" s="24"/>
      <c r="N321" s="24"/>
      <c r="O321" s="24"/>
      <c r="P321" s="97" t="str">
        <f t="shared" si="49"/>
        <v/>
      </c>
      <c r="Q321" s="113" t="str">
        <f t="shared" si="50"/>
        <v/>
      </c>
      <c r="R321" s="88"/>
      <c r="S321" s="24"/>
      <c r="T321" s="24"/>
      <c r="U321" s="78" t="str">
        <f t="shared" si="51"/>
        <v/>
      </c>
      <c r="V321" s="24"/>
      <c r="W321" s="24"/>
      <c r="X321" s="24"/>
      <c r="Y321" s="24"/>
      <c r="Z321" s="98" t="str">
        <f t="shared" si="52"/>
        <v/>
      </c>
      <c r="AA321" s="40" t="str">
        <f t="shared" si="58"/>
        <v/>
      </c>
      <c r="AB321" s="88"/>
      <c r="AC321" s="24"/>
      <c r="AD321" s="24"/>
      <c r="AE321" s="79" t="str">
        <f t="shared" si="53"/>
        <v/>
      </c>
      <c r="AF321" s="24"/>
      <c r="AG321" s="24"/>
      <c r="AH321" s="24"/>
      <c r="AI321" s="24"/>
      <c r="AJ321" s="99" t="str">
        <f t="shared" si="54"/>
        <v/>
      </c>
      <c r="AK321" s="31" t="str">
        <f t="shared" si="59"/>
        <v/>
      </c>
      <c r="AN321" s="139" t="str">
        <f>IF($K321="","",VLOOKUP($K321,'ORF Accuracy Value LookUp'!$G$4:$H$104,2,TRUE))</f>
        <v/>
      </c>
      <c r="AO321" s="94" t="str">
        <f t="shared" si="55"/>
        <v/>
      </c>
      <c r="AP321" s="47" t="str">
        <f>IF($U321="","",VLOOKUP($U321,'ORF Accuracy Value LookUp'!$G$4:$H$104,2,TRUE))</f>
        <v/>
      </c>
      <c r="AQ321" s="94" t="str">
        <f t="shared" si="56"/>
        <v/>
      </c>
      <c r="AR321" s="46" t="str">
        <f>IF($AE321="","",VLOOKUP($AE321,'ORF Accuracy Value LookUp'!$G$4:$H$104,2,TRUE))</f>
        <v/>
      </c>
      <c r="AS321" s="140" t="str">
        <f t="shared" si="57"/>
        <v/>
      </c>
    </row>
    <row r="322" spans="1:45">
      <c r="A322" s="10"/>
      <c r="B322" s="9"/>
      <c r="C322" s="9"/>
      <c r="D322" s="9"/>
      <c r="E322" s="10"/>
      <c r="F322" s="11"/>
      <c r="G322" s="15"/>
      <c r="H322" s="88"/>
      <c r="I322" s="24"/>
      <c r="J322" s="24"/>
      <c r="K322" s="114" t="str">
        <f t="shared" si="48"/>
        <v/>
      </c>
      <c r="L322" s="24"/>
      <c r="M322" s="24"/>
      <c r="N322" s="24"/>
      <c r="O322" s="24"/>
      <c r="P322" s="97" t="str">
        <f t="shared" si="49"/>
        <v/>
      </c>
      <c r="Q322" s="113" t="str">
        <f t="shared" si="50"/>
        <v/>
      </c>
      <c r="R322" s="88"/>
      <c r="S322" s="24"/>
      <c r="T322" s="24"/>
      <c r="U322" s="78" t="str">
        <f t="shared" si="51"/>
        <v/>
      </c>
      <c r="V322" s="24"/>
      <c r="W322" s="24"/>
      <c r="X322" s="24"/>
      <c r="Y322" s="24"/>
      <c r="Z322" s="98" t="str">
        <f t="shared" si="52"/>
        <v/>
      </c>
      <c r="AA322" s="40" t="str">
        <f t="shared" si="58"/>
        <v/>
      </c>
      <c r="AB322" s="88"/>
      <c r="AC322" s="24"/>
      <c r="AD322" s="24"/>
      <c r="AE322" s="79" t="str">
        <f t="shared" si="53"/>
        <v/>
      </c>
      <c r="AF322" s="24"/>
      <c r="AG322" s="24"/>
      <c r="AH322" s="24"/>
      <c r="AI322" s="24"/>
      <c r="AJ322" s="99" t="str">
        <f t="shared" si="54"/>
        <v/>
      </c>
      <c r="AK322" s="31" t="str">
        <f t="shared" si="59"/>
        <v/>
      </c>
      <c r="AN322" s="139" t="str">
        <f>IF($K322="","",VLOOKUP($K322,'ORF Accuracy Value LookUp'!$G$4:$H$104,2,TRUE))</f>
        <v/>
      </c>
      <c r="AO322" s="94" t="str">
        <f t="shared" si="55"/>
        <v/>
      </c>
      <c r="AP322" s="47" t="str">
        <f>IF($U322="","",VLOOKUP($U322,'ORF Accuracy Value LookUp'!$G$4:$H$104,2,TRUE))</f>
        <v/>
      </c>
      <c r="AQ322" s="94" t="str">
        <f t="shared" si="56"/>
        <v/>
      </c>
      <c r="AR322" s="46" t="str">
        <f>IF($AE322="","",VLOOKUP($AE322,'ORF Accuracy Value LookUp'!$G$4:$H$104,2,TRUE))</f>
        <v/>
      </c>
      <c r="AS322" s="140" t="str">
        <f t="shared" si="57"/>
        <v/>
      </c>
    </row>
    <row r="323" spans="1:45">
      <c r="A323" s="10"/>
      <c r="B323" s="9"/>
      <c r="C323" s="9"/>
      <c r="D323" s="9"/>
      <c r="E323" s="10"/>
      <c r="F323" s="11"/>
      <c r="G323" s="15"/>
      <c r="H323" s="88"/>
      <c r="I323" s="24"/>
      <c r="J323" s="24"/>
      <c r="K323" s="114" t="str">
        <f t="shared" si="48"/>
        <v/>
      </c>
      <c r="L323" s="24"/>
      <c r="M323" s="24"/>
      <c r="N323" s="24"/>
      <c r="O323" s="24"/>
      <c r="P323" s="97" t="str">
        <f t="shared" si="49"/>
        <v/>
      </c>
      <c r="Q323" s="113" t="str">
        <f t="shared" si="50"/>
        <v/>
      </c>
      <c r="R323" s="88"/>
      <c r="S323" s="24"/>
      <c r="T323" s="24"/>
      <c r="U323" s="78" t="str">
        <f t="shared" si="51"/>
        <v/>
      </c>
      <c r="V323" s="24"/>
      <c r="W323" s="24"/>
      <c r="X323" s="24"/>
      <c r="Y323" s="24"/>
      <c r="Z323" s="98" t="str">
        <f t="shared" si="52"/>
        <v/>
      </c>
      <c r="AA323" s="40" t="str">
        <f t="shared" si="58"/>
        <v/>
      </c>
      <c r="AB323" s="88"/>
      <c r="AC323" s="24"/>
      <c r="AD323" s="24"/>
      <c r="AE323" s="79" t="str">
        <f t="shared" si="53"/>
        <v/>
      </c>
      <c r="AF323" s="24"/>
      <c r="AG323" s="24"/>
      <c r="AH323" s="24"/>
      <c r="AI323" s="24"/>
      <c r="AJ323" s="99" t="str">
        <f t="shared" si="54"/>
        <v/>
      </c>
      <c r="AK323" s="31" t="str">
        <f t="shared" si="59"/>
        <v/>
      </c>
      <c r="AN323" s="139" t="str">
        <f>IF($K323="","",VLOOKUP($K323,'ORF Accuracy Value LookUp'!$G$4:$H$104,2,TRUE))</f>
        <v/>
      </c>
      <c r="AO323" s="94" t="str">
        <f t="shared" si="55"/>
        <v/>
      </c>
      <c r="AP323" s="47" t="str">
        <f>IF($U323="","",VLOOKUP($U323,'ORF Accuracy Value LookUp'!$G$4:$H$104,2,TRUE))</f>
        <v/>
      </c>
      <c r="AQ323" s="94" t="str">
        <f t="shared" si="56"/>
        <v/>
      </c>
      <c r="AR323" s="46" t="str">
        <f>IF($AE323="","",VLOOKUP($AE323,'ORF Accuracy Value LookUp'!$G$4:$H$104,2,TRUE))</f>
        <v/>
      </c>
      <c r="AS323" s="140" t="str">
        <f t="shared" si="57"/>
        <v/>
      </c>
    </row>
    <row r="324" spans="1:45">
      <c r="A324" s="10"/>
      <c r="B324" s="9"/>
      <c r="C324" s="9"/>
      <c r="D324" s="9"/>
      <c r="E324" s="10"/>
      <c r="F324" s="11"/>
      <c r="G324" s="15"/>
      <c r="H324" s="88"/>
      <c r="I324" s="24"/>
      <c r="J324" s="24"/>
      <c r="K324" s="114" t="str">
        <f t="shared" si="48"/>
        <v/>
      </c>
      <c r="L324" s="24"/>
      <c r="M324" s="24"/>
      <c r="N324" s="24"/>
      <c r="O324" s="24"/>
      <c r="P324" s="97" t="str">
        <f t="shared" si="49"/>
        <v/>
      </c>
      <c r="Q324" s="113" t="str">
        <f t="shared" si="50"/>
        <v/>
      </c>
      <c r="R324" s="88"/>
      <c r="S324" s="24"/>
      <c r="T324" s="24"/>
      <c r="U324" s="78" t="str">
        <f t="shared" si="51"/>
        <v/>
      </c>
      <c r="V324" s="24"/>
      <c r="W324" s="24"/>
      <c r="X324" s="24"/>
      <c r="Y324" s="24"/>
      <c r="Z324" s="98" t="str">
        <f t="shared" si="52"/>
        <v/>
      </c>
      <c r="AA324" s="40" t="str">
        <f t="shared" si="58"/>
        <v/>
      </c>
      <c r="AB324" s="88"/>
      <c r="AC324" s="24"/>
      <c r="AD324" s="24"/>
      <c r="AE324" s="79" t="str">
        <f t="shared" si="53"/>
        <v/>
      </c>
      <c r="AF324" s="24"/>
      <c r="AG324" s="24"/>
      <c r="AH324" s="24"/>
      <c r="AI324" s="24"/>
      <c r="AJ324" s="99" t="str">
        <f t="shared" si="54"/>
        <v/>
      </c>
      <c r="AK324" s="31" t="str">
        <f t="shared" si="59"/>
        <v/>
      </c>
      <c r="AN324" s="139" t="str">
        <f>IF($K324="","",VLOOKUP($K324,'ORF Accuracy Value LookUp'!$G$4:$H$104,2,TRUE))</f>
        <v/>
      </c>
      <c r="AO324" s="94" t="str">
        <f t="shared" si="55"/>
        <v/>
      </c>
      <c r="AP324" s="47" t="str">
        <f>IF($U324="","",VLOOKUP($U324,'ORF Accuracy Value LookUp'!$G$4:$H$104,2,TRUE))</f>
        <v/>
      </c>
      <c r="AQ324" s="94" t="str">
        <f t="shared" si="56"/>
        <v/>
      </c>
      <c r="AR324" s="46" t="str">
        <f>IF($AE324="","",VLOOKUP($AE324,'ORF Accuracy Value LookUp'!$G$4:$H$104,2,TRUE))</f>
        <v/>
      </c>
      <c r="AS324" s="140" t="str">
        <f t="shared" si="57"/>
        <v/>
      </c>
    </row>
    <row r="325" spans="1:45">
      <c r="A325" s="10"/>
      <c r="B325" s="9"/>
      <c r="C325" s="9"/>
      <c r="D325" s="9"/>
      <c r="E325" s="10"/>
      <c r="F325" s="11"/>
      <c r="G325" s="15"/>
      <c r="H325" s="88"/>
      <c r="I325" s="24"/>
      <c r="J325" s="24"/>
      <c r="K325" s="114" t="str">
        <f t="shared" si="48"/>
        <v/>
      </c>
      <c r="L325" s="24"/>
      <c r="M325" s="24"/>
      <c r="N325" s="24"/>
      <c r="O325" s="24"/>
      <c r="P325" s="97" t="str">
        <f t="shared" si="49"/>
        <v/>
      </c>
      <c r="Q325" s="113" t="str">
        <f t="shared" si="50"/>
        <v/>
      </c>
      <c r="R325" s="88"/>
      <c r="S325" s="24"/>
      <c r="T325" s="24"/>
      <c r="U325" s="78" t="str">
        <f t="shared" si="51"/>
        <v/>
      </c>
      <c r="V325" s="24"/>
      <c r="W325" s="24"/>
      <c r="X325" s="24"/>
      <c r="Y325" s="24"/>
      <c r="Z325" s="98" t="str">
        <f t="shared" si="52"/>
        <v/>
      </c>
      <c r="AA325" s="40" t="str">
        <f t="shared" si="58"/>
        <v/>
      </c>
      <c r="AB325" s="88"/>
      <c r="AC325" s="24"/>
      <c r="AD325" s="24"/>
      <c r="AE325" s="79" t="str">
        <f t="shared" si="53"/>
        <v/>
      </c>
      <c r="AF325" s="24"/>
      <c r="AG325" s="24"/>
      <c r="AH325" s="24"/>
      <c r="AI325" s="24"/>
      <c r="AJ325" s="99" t="str">
        <f t="shared" si="54"/>
        <v/>
      </c>
      <c r="AK325" s="31" t="str">
        <f t="shared" si="59"/>
        <v/>
      </c>
      <c r="AN325" s="139" t="str">
        <f>IF($K325="","",VLOOKUP($K325,'ORF Accuracy Value LookUp'!$G$4:$H$104,2,TRUE))</f>
        <v/>
      </c>
      <c r="AO325" s="94" t="str">
        <f t="shared" si="55"/>
        <v/>
      </c>
      <c r="AP325" s="47" t="str">
        <f>IF($U325="","",VLOOKUP($U325,'ORF Accuracy Value LookUp'!$G$4:$H$104,2,TRUE))</f>
        <v/>
      </c>
      <c r="AQ325" s="94" t="str">
        <f t="shared" si="56"/>
        <v/>
      </c>
      <c r="AR325" s="46" t="str">
        <f>IF($AE325="","",VLOOKUP($AE325,'ORF Accuracy Value LookUp'!$G$4:$H$104,2,TRUE))</f>
        <v/>
      </c>
      <c r="AS325" s="140" t="str">
        <f t="shared" si="57"/>
        <v/>
      </c>
    </row>
    <row r="326" spans="1:45">
      <c r="A326" s="10"/>
      <c r="B326" s="9"/>
      <c r="C326" s="9"/>
      <c r="D326" s="9"/>
      <c r="E326" s="10"/>
      <c r="F326" s="11"/>
      <c r="G326" s="15"/>
      <c r="H326" s="88"/>
      <c r="I326" s="24"/>
      <c r="J326" s="24"/>
      <c r="K326" s="114" t="str">
        <f t="shared" si="48"/>
        <v/>
      </c>
      <c r="L326" s="24"/>
      <c r="M326" s="24"/>
      <c r="N326" s="24"/>
      <c r="O326" s="24"/>
      <c r="P326" s="97" t="str">
        <f t="shared" si="49"/>
        <v/>
      </c>
      <c r="Q326" s="113" t="str">
        <f t="shared" si="50"/>
        <v/>
      </c>
      <c r="R326" s="88"/>
      <c r="S326" s="24"/>
      <c r="T326" s="24"/>
      <c r="U326" s="78" t="str">
        <f t="shared" si="51"/>
        <v/>
      </c>
      <c r="V326" s="24"/>
      <c r="W326" s="24"/>
      <c r="X326" s="24"/>
      <c r="Y326" s="24"/>
      <c r="Z326" s="98" t="str">
        <f t="shared" si="52"/>
        <v/>
      </c>
      <c r="AA326" s="40" t="str">
        <f t="shared" si="58"/>
        <v/>
      </c>
      <c r="AB326" s="88"/>
      <c r="AC326" s="24"/>
      <c r="AD326" s="24"/>
      <c r="AE326" s="79" t="str">
        <f t="shared" si="53"/>
        <v/>
      </c>
      <c r="AF326" s="24"/>
      <c r="AG326" s="24"/>
      <c r="AH326" s="24"/>
      <c r="AI326" s="24"/>
      <c r="AJ326" s="99" t="str">
        <f t="shared" si="54"/>
        <v/>
      </c>
      <c r="AK326" s="31" t="str">
        <f t="shared" si="59"/>
        <v/>
      </c>
      <c r="AN326" s="139" t="str">
        <f>IF($K326="","",VLOOKUP($K326,'ORF Accuracy Value LookUp'!$G$4:$H$104,2,TRUE))</f>
        <v/>
      </c>
      <c r="AO326" s="94" t="str">
        <f t="shared" si="55"/>
        <v/>
      </c>
      <c r="AP326" s="47" t="str">
        <f>IF($U326="","",VLOOKUP($U326,'ORF Accuracy Value LookUp'!$G$4:$H$104,2,TRUE))</f>
        <v/>
      </c>
      <c r="AQ326" s="94" t="str">
        <f t="shared" si="56"/>
        <v/>
      </c>
      <c r="AR326" s="46" t="str">
        <f>IF($AE326="","",VLOOKUP($AE326,'ORF Accuracy Value LookUp'!$G$4:$H$104,2,TRUE))</f>
        <v/>
      </c>
      <c r="AS326" s="140" t="str">
        <f t="shared" si="57"/>
        <v/>
      </c>
    </row>
    <row r="327" spans="1:45">
      <c r="A327" s="10"/>
      <c r="B327" s="9"/>
      <c r="C327" s="9"/>
      <c r="D327" s="9"/>
      <c r="E327" s="10"/>
      <c r="F327" s="11"/>
      <c r="G327" s="15"/>
      <c r="H327" s="88"/>
      <c r="I327" s="24"/>
      <c r="J327" s="24"/>
      <c r="K327" s="114" t="str">
        <f t="shared" si="48"/>
        <v/>
      </c>
      <c r="L327" s="24"/>
      <c r="M327" s="24"/>
      <c r="N327" s="24"/>
      <c r="O327" s="24"/>
      <c r="P327" s="97" t="str">
        <f t="shared" si="49"/>
        <v/>
      </c>
      <c r="Q327" s="113" t="str">
        <f t="shared" si="50"/>
        <v/>
      </c>
      <c r="R327" s="88"/>
      <c r="S327" s="24"/>
      <c r="T327" s="24"/>
      <c r="U327" s="78" t="str">
        <f t="shared" si="51"/>
        <v/>
      </c>
      <c r="V327" s="24"/>
      <c r="W327" s="24"/>
      <c r="X327" s="24"/>
      <c r="Y327" s="24"/>
      <c r="Z327" s="98" t="str">
        <f t="shared" si="52"/>
        <v/>
      </c>
      <c r="AA327" s="40" t="str">
        <f t="shared" si="58"/>
        <v/>
      </c>
      <c r="AB327" s="88"/>
      <c r="AC327" s="24"/>
      <c r="AD327" s="24"/>
      <c r="AE327" s="79" t="str">
        <f t="shared" si="53"/>
        <v/>
      </c>
      <c r="AF327" s="24"/>
      <c r="AG327" s="24"/>
      <c r="AH327" s="24"/>
      <c r="AI327" s="24"/>
      <c r="AJ327" s="99" t="str">
        <f t="shared" si="54"/>
        <v/>
      </c>
      <c r="AK327" s="31" t="str">
        <f t="shared" si="59"/>
        <v/>
      </c>
      <c r="AN327" s="139" t="str">
        <f>IF($K327="","",VLOOKUP($K327,'ORF Accuracy Value LookUp'!$G$4:$H$104,2,TRUE))</f>
        <v/>
      </c>
      <c r="AO327" s="94" t="str">
        <f t="shared" si="55"/>
        <v/>
      </c>
      <c r="AP327" s="47" t="str">
        <f>IF($U327="","",VLOOKUP($U327,'ORF Accuracy Value LookUp'!$G$4:$H$104,2,TRUE))</f>
        <v/>
      </c>
      <c r="AQ327" s="94" t="str">
        <f t="shared" si="56"/>
        <v/>
      </c>
      <c r="AR327" s="46" t="str">
        <f>IF($AE327="","",VLOOKUP($AE327,'ORF Accuracy Value LookUp'!$G$4:$H$104,2,TRUE))</f>
        <v/>
      </c>
      <c r="AS327" s="140" t="str">
        <f t="shared" si="57"/>
        <v/>
      </c>
    </row>
    <row r="328" spans="1:45">
      <c r="A328" s="10"/>
      <c r="B328" s="9"/>
      <c r="C328" s="9"/>
      <c r="D328" s="9"/>
      <c r="E328" s="10"/>
      <c r="F328" s="11"/>
      <c r="G328" s="15"/>
      <c r="H328" s="88"/>
      <c r="I328" s="24"/>
      <c r="J328" s="24"/>
      <c r="K328" s="114" t="str">
        <f t="shared" ref="K328:K391" si="60">IF($I328="","",SUM($I328/($I328+$J328)))</f>
        <v/>
      </c>
      <c r="L328" s="24"/>
      <c r="M328" s="24"/>
      <c r="N328" s="24"/>
      <c r="O328" s="24"/>
      <c r="P328" s="97" t="str">
        <f t="shared" ref="P328:P391" si="61">IF($AO328&gt;0,$AO328,0)</f>
        <v/>
      </c>
      <c r="Q328" s="113" t="str">
        <f t="shared" ref="Q328:Q391" si="62">IF($B328="","",SUM($I328+$AN328+($L328*2)+($P328*2)))</f>
        <v/>
      </c>
      <c r="R328" s="88"/>
      <c r="S328" s="24"/>
      <c r="T328" s="24"/>
      <c r="U328" s="78" t="str">
        <f t="shared" ref="U328:U391" si="63">IF($S328="","",SUM($S328/($S328+$T328)))</f>
        <v/>
      </c>
      <c r="V328" s="24"/>
      <c r="W328" s="24"/>
      <c r="X328" s="24"/>
      <c r="Y328" s="24"/>
      <c r="Z328" s="98" t="str">
        <f t="shared" ref="Z328:Z391" si="64">IF($AQ328&gt;0,$AQ328,0)</f>
        <v/>
      </c>
      <c r="AA328" s="40" t="str">
        <f t="shared" si="58"/>
        <v/>
      </c>
      <c r="AB328" s="88"/>
      <c r="AC328" s="24"/>
      <c r="AD328" s="24"/>
      <c r="AE328" s="79" t="str">
        <f t="shared" ref="AE328:AE391" si="65">IF($AC328="","",SUM($AC328/($AC328+$AD328)))</f>
        <v/>
      </c>
      <c r="AF328" s="24"/>
      <c r="AG328" s="24"/>
      <c r="AH328" s="24"/>
      <c r="AI328" s="24"/>
      <c r="AJ328" s="99" t="str">
        <f t="shared" ref="AJ328:AJ391" si="66">IF($AS328&gt;0,$AS328,0)</f>
        <v/>
      </c>
      <c r="AK328" s="31" t="str">
        <f t="shared" si="59"/>
        <v/>
      </c>
      <c r="AN328" s="139" t="str">
        <f>IF($K328="","",VLOOKUP($K328,'ORF Accuracy Value LookUp'!$G$4:$H$104,2,TRUE))</f>
        <v/>
      </c>
      <c r="AO328" s="94" t="str">
        <f t="shared" ref="AO328:AO391" si="67">IF($N328="","",($N328-($O328/2)))</f>
        <v/>
      </c>
      <c r="AP328" s="47" t="str">
        <f>IF($U328="","",VLOOKUP($U328,'ORF Accuracy Value LookUp'!$G$4:$H$104,2,TRUE))</f>
        <v/>
      </c>
      <c r="AQ328" s="94" t="str">
        <f t="shared" ref="AQ328:AQ391" si="68">IF($X328="","",$X328-($Y328/2))</f>
        <v/>
      </c>
      <c r="AR328" s="46" t="str">
        <f>IF($AE328="","",VLOOKUP($AE328,'ORF Accuracy Value LookUp'!$G$4:$H$104,2,TRUE))</f>
        <v/>
      </c>
      <c r="AS328" s="140" t="str">
        <f t="shared" ref="AS328:AS391" si="69">IF($AH328="","",$AH328-($AI328/2))</f>
        <v/>
      </c>
    </row>
    <row r="329" spans="1:45">
      <c r="A329" s="10"/>
      <c r="B329" s="9"/>
      <c r="C329" s="9"/>
      <c r="D329" s="9"/>
      <c r="E329" s="10"/>
      <c r="F329" s="11"/>
      <c r="G329" s="15"/>
      <c r="H329" s="88"/>
      <c r="I329" s="24"/>
      <c r="J329" s="24"/>
      <c r="K329" s="114" t="str">
        <f t="shared" si="60"/>
        <v/>
      </c>
      <c r="L329" s="24"/>
      <c r="M329" s="24"/>
      <c r="N329" s="24"/>
      <c r="O329" s="24"/>
      <c r="P329" s="97" t="str">
        <f t="shared" si="61"/>
        <v/>
      </c>
      <c r="Q329" s="113" t="str">
        <f t="shared" si="62"/>
        <v/>
      </c>
      <c r="R329" s="88"/>
      <c r="S329" s="24"/>
      <c r="T329" s="24"/>
      <c r="U329" s="78" t="str">
        <f t="shared" si="63"/>
        <v/>
      </c>
      <c r="V329" s="24"/>
      <c r="W329" s="24"/>
      <c r="X329" s="24"/>
      <c r="Y329" s="24"/>
      <c r="Z329" s="98" t="str">
        <f t="shared" si="64"/>
        <v/>
      </c>
      <c r="AA329" s="40" t="str">
        <f t="shared" ref="AA329:AA392" si="70">IF($R329="","",SUM($S329+$AP329+($V329*2)+($Z329*4)))</f>
        <v/>
      </c>
      <c r="AB329" s="88"/>
      <c r="AC329" s="24"/>
      <c r="AD329" s="24"/>
      <c r="AE329" s="79" t="str">
        <f t="shared" si="65"/>
        <v/>
      </c>
      <c r="AF329" s="24"/>
      <c r="AG329" s="24"/>
      <c r="AH329" s="24"/>
      <c r="AI329" s="24"/>
      <c r="AJ329" s="99" t="str">
        <f t="shared" si="66"/>
        <v/>
      </c>
      <c r="AK329" s="31" t="str">
        <f t="shared" ref="AK329:AK392" si="71">IF($AB329="","",SUM($AC329+$AR329+($AF329*2)+($AJ329*4)))</f>
        <v/>
      </c>
      <c r="AN329" s="139" t="str">
        <f>IF($K329="","",VLOOKUP($K329,'ORF Accuracy Value LookUp'!$G$4:$H$104,2,TRUE))</f>
        <v/>
      </c>
      <c r="AO329" s="94" t="str">
        <f t="shared" si="67"/>
        <v/>
      </c>
      <c r="AP329" s="47" t="str">
        <f>IF($U329="","",VLOOKUP($U329,'ORF Accuracy Value LookUp'!$G$4:$H$104,2,TRUE))</f>
        <v/>
      </c>
      <c r="AQ329" s="94" t="str">
        <f t="shared" si="68"/>
        <v/>
      </c>
      <c r="AR329" s="46" t="str">
        <f>IF($AE329="","",VLOOKUP($AE329,'ORF Accuracy Value LookUp'!$G$4:$H$104,2,TRUE))</f>
        <v/>
      </c>
      <c r="AS329" s="140" t="str">
        <f t="shared" si="69"/>
        <v/>
      </c>
    </row>
    <row r="330" spans="1:45">
      <c r="A330" s="10"/>
      <c r="B330" s="9"/>
      <c r="C330" s="9"/>
      <c r="D330" s="9"/>
      <c r="E330" s="10"/>
      <c r="F330" s="11"/>
      <c r="G330" s="15"/>
      <c r="H330" s="88"/>
      <c r="I330" s="24"/>
      <c r="J330" s="24"/>
      <c r="K330" s="114" t="str">
        <f t="shared" si="60"/>
        <v/>
      </c>
      <c r="L330" s="24"/>
      <c r="M330" s="24"/>
      <c r="N330" s="24"/>
      <c r="O330" s="24"/>
      <c r="P330" s="97" t="str">
        <f t="shared" si="61"/>
        <v/>
      </c>
      <c r="Q330" s="113" t="str">
        <f t="shared" si="62"/>
        <v/>
      </c>
      <c r="R330" s="88"/>
      <c r="S330" s="24"/>
      <c r="T330" s="24"/>
      <c r="U330" s="78" t="str">
        <f t="shared" si="63"/>
        <v/>
      </c>
      <c r="V330" s="24"/>
      <c r="W330" s="24"/>
      <c r="X330" s="24"/>
      <c r="Y330" s="24"/>
      <c r="Z330" s="98" t="str">
        <f t="shared" si="64"/>
        <v/>
      </c>
      <c r="AA330" s="40" t="str">
        <f t="shared" si="70"/>
        <v/>
      </c>
      <c r="AB330" s="88"/>
      <c r="AC330" s="24"/>
      <c r="AD330" s="24"/>
      <c r="AE330" s="79" t="str">
        <f t="shared" si="65"/>
        <v/>
      </c>
      <c r="AF330" s="24"/>
      <c r="AG330" s="24"/>
      <c r="AH330" s="24"/>
      <c r="AI330" s="24"/>
      <c r="AJ330" s="99" t="str">
        <f t="shared" si="66"/>
        <v/>
      </c>
      <c r="AK330" s="31" t="str">
        <f t="shared" si="71"/>
        <v/>
      </c>
      <c r="AN330" s="139" t="str">
        <f>IF($K330="","",VLOOKUP($K330,'ORF Accuracy Value LookUp'!$G$4:$H$104,2,TRUE))</f>
        <v/>
      </c>
      <c r="AO330" s="94" t="str">
        <f t="shared" si="67"/>
        <v/>
      </c>
      <c r="AP330" s="47" t="str">
        <f>IF($U330="","",VLOOKUP($U330,'ORF Accuracy Value LookUp'!$G$4:$H$104,2,TRUE))</f>
        <v/>
      </c>
      <c r="AQ330" s="94" t="str">
        <f t="shared" si="68"/>
        <v/>
      </c>
      <c r="AR330" s="46" t="str">
        <f>IF($AE330="","",VLOOKUP($AE330,'ORF Accuracy Value LookUp'!$G$4:$H$104,2,TRUE))</f>
        <v/>
      </c>
      <c r="AS330" s="140" t="str">
        <f t="shared" si="69"/>
        <v/>
      </c>
    </row>
    <row r="331" spans="1:45">
      <c r="A331" s="10"/>
      <c r="B331" s="9"/>
      <c r="C331" s="9"/>
      <c r="D331" s="9"/>
      <c r="E331" s="10"/>
      <c r="F331" s="11"/>
      <c r="G331" s="15"/>
      <c r="H331" s="88"/>
      <c r="I331" s="24"/>
      <c r="J331" s="24"/>
      <c r="K331" s="114" t="str">
        <f t="shared" si="60"/>
        <v/>
      </c>
      <c r="L331" s="24"/>
      <c r="M331" s="24"/>
      <c r="N331" s="24"/>
      <c r="O331" s="24"/>
      <c r="P331" s="97" t="str">
        <f t="shared" si="61"/>
        <v/>
      </c>
      <c r="Q331" s="113" t="str">
        <f t="shared" si="62"/>
        <v/>
      </c>
      <c r="R331" s="88"/>
      <c r="S331" s="24"/>
      <c r="T331" s="24"/>
      <c r="U331" s="78" t="str">
        <f t="shared" si="63"/>
        <v/>
      </c>
      <c r="V331" s="24"/>
      <c r="W331" s="24"/>
      <c r="X331" s="24"/>
      <c r="Y331" s="24"/>
      <c r="Z331" s="98" t="str">
        <f t="shared" si="64"/>
        <v/>
      </c>
      <c r="AA331" s="40" t="str">
        <f t="shared" si="70"/>
        <v/>
      </c>
      <c r="AB331" s="88"/>
      <c r="AC331" s="24"/>
      <c r="AD331" s="24"/>
      <c r="AE331" s="79" t="str">
        <f t="shared" si="65"/>
        <v/>
      </c>
      <c r="AF331" s="24"/>
      <c r="AG331" s="24"/>
      <c r="AH331" s="24"/>
      <c r="AI331" s="24"/>
      <c r="AJ331" s="99" t="str">
        <f t="shared" si="66"/>
        <v/>
      </c>
      <c r="AK331" s="31" t="str">
        <f t="shared" si="71"/>
        <v/>
      </c>
      <c r="AN331" s="139" t="str">
        <f>IF($K331="","",VLOOKUP($K331,'ORF Accuracy Value LookUp'!$G$4:$H$104,2,TRUE))</f>
        <v/>
      </c>
      <c r="AO331" s="94" t="str">
        <f t="shared" si="67"/>
        <v/>
      </c>
      <c r="AP331" s="47" t="str">
        <f>IF($U331="","",VLOOKUP($U331,'ORF Accuracy Value LookUp'!$G$4:$H$104,2,TRUE))</f>
        <v/>
      </c>
      <c r="AQ331" s="94" t="str">
        <f t="shared" si="68"/>
        <v/>
      </c>
      <c r="AR331" s="46" t="str">
        <f>IF($AE331="","",VLOOKUP($AE331,'ORF Accuracy Value LookUp'!$G$4:$H$104,2,TRUE))</f>
        <v/>
      </c>
      <c r="AS331" s="140" t="str">
        <f t="shared" si="69"/>
        <v/>
      </c>
    </row>
    <row r="332" spans="1:45">
      <c r="A332" s="10"/>
      <c r="B332" s="9"/>
      <c r="C332" s="9"/>
      <c r="D332" s="9"/>
      <c r="E332" s="10"/>
      <c r="F332" s="11"/>
      <c r="G332" s="15"/>
      <c r="H332" s="88"/>
      <c r="I332" s="24"/>
      <c r="J332" s="24"/>
      <c r="K332" s="114" t="str">
        <f t="shared" si="60"/>
        <v/>
      </c>
      <c r="L332" s="24"/>
      <c r="M332" s="24"/>
      <c r="N332" s="24"/>
      <c r="O332" s="24"/>
      <c r="P332" s="97" t="str">
        <f t="shared" si="61"/>
        <v/>
      </c>
      <c r="Q332" s="113" t="str">
        <f t="shared" si="62"/>
        <v/>
      </c>
      <c r="R332" s="88"/>
      <c r="S332" s="24"/>
      <c r="T332" s="24"/>
      <c r="U332" s="78" t="str">
        <f t="shared" si="63"/>
        <v/>
      </c>
      <c r="V332" s="24"/>
      <c r="W332" s="24"/>
      <c r="X332" s="24"/>
      <c r="Y332" s="24"/>
      <c r="Z332" s="98" t="str">
        <f t="shared" si="64"/>
        <v/>
      </c>
      <c r="AA332" s="40" t="str">
        <f t="shared" si="70"/>
        <v/>
      </c>
      <c r="AB332" s="88"/>
      <c r="AC332" s="24"/>
      <c r="AD332" s="24"/>
      <c r="AE332" s="79" t="str">
        <f t="shared" si="65"/>
        <v/>
      </c>
      <c r="AF332" s="24"/>
      <c r="AG332" s="24"/>
      <c r="AH332" s="24"/>
      <c r="AI332" s="24"/>
      <c r="AJ332" s="99" t="str">
        <f t="shared" si="66"/>
        <v/>
      </c>
      <c r="AK332" s="31" t="str">
        <f t="shared" si="71"/>
        <v/>
      </c>
      <c r="AN332" s="139" t="str">
        <f>IF($K332="","",VLOOKUP($K332,'ORF Accuracy Value LookUp'!$G$4:$H$104,2,TRUE))</f>
        <v/>
      </c>
      <c r="AO332" s="94" t="str">
        <f t="shared" si="67"/>
        <v/>
      </c>
      <c r="AP332" s="47" t="str">
        <f>IF($U332="","",VLOOKUP($U332,'ORF Accuracy Value LookUp'!$G$4:$H$104,2,TRUE))</f>
        <v/>
      </c>
      <c r="AQ332" s="94" t="str">
        <f t="shared" si="68"/>
        <v/>
      </c>
      <c r="AR332" s="46" t="str">
        <f>IF($AE332="","",VLOOKUP($AE332,'ORF Accuracy Value LookUp'!$G$4:$H$104,2,TRUE))</f>
        <v/>
      </c>
      <c r="AS332" s="140" t="str">
        <f t="shared" si="69"/>
        <v/>
      </c>
    </row>
    <row r="333" spans="1:45">
      <c r="A333" s="10"/>
      <c r="B333" s="9"/>
      <c r="C333" s="9"/>
      <c r="D333" s="9"/>
      <c r="E333" s="10"/>
      <c r="F333" s="11"/>
      <c r="G333" s="15"/>
      <c r="H333" s="88"/>
      <c r="I333" s="24"/>
      <c r="J333" s="24"/>
      <c r="K333" s="114" t="str">
        <f t="shared" si="60"/>
        <v/>
      </c>
      <c r="L333" s="24"/>
      <c r="M333" s="24"/>
      <c r="N333" s="24"/>
      <c r="O333" s="24"/>
      <c r="P333" s="97" t="str">
        <f t="shared" si="61"/>
        <v/>
      </c>
      <c r="Q333" s="113" t="str">
        <f t="shared" si="62"/>
        <v/>
      </c>
      <c r="R333" s="88"/>
      <c r="S333" s="24"/>
      <c r="T333" s="24"/>
      <c r="U333" s="78" t="str">
        <f t="shared" si="63"/>
        <v/>
      </c>
      <c r="V333" s="24"/>
      <c r="W333" s="24"/>
      <c r="X333" s="24"/>
      <c r="Y333" s="24"/>
      <c r="Z333" s="98" t="str">
        <f t="shared" si="64"/>
        <v/>
      </c>
      <c r="AA333" s="40" t="str">
        <f t="shared" si="70"/>
        <v/>
      </c>
      <c r="AB333" s="88"/>
      <c r="AC333" s="24"/>
      <c r="AD333" s="24"/>
      <c r="AE333" s="79" t="str">
        <f t="shared" si="65"/>
        <v/>
      </c>
      <c r="AF333" s="24"/>
      <c r="AG333" s="24"/>
      <c r="AH333" s="24"/>
      <c r="AI333" s="24"/>
      <c r="AJ333" s="99" t="str">
        <f t="shared" si="66"/>
        <v/>
      </c>
      <c r="AK333" s="31" t="str">
        <f t="shared" si="71"/>
        <v/>
      </c>
      <c r="AN333" s="139" t="str">
        <f>IF($K333="","",VLOOKUP($K333,'ORF Accuracy Value LookUp'!$G$4:$H$104,2,TRUE))</f>
        <v/>
      </c>
      <c r="AO333" s="94" t="str">
        <f t="shared" si="67"/>
        <v/>
      </c>
      <c r="AP333" s="47" t="str">
        <f>IF($U333="","",VLOOKUP($U333,'ORF Accuracy Value LookUp'!$G$4:$H$104,2,TRUE))</f>
        <v/>
      </c>
      <c r="AQ333" s="94" t="str">
        <f t="shared" si="68"/>
        <v/>
      </c>
      <c r="AR333" s="46" t="str">
        <f>IF($AE333="","",VLOOKUP($AE333,'ORF Accuracy Value LookUp'!$G$4:$H$104,2,TRUE))</f>
        <v/>
      </c>
      <c r="AS333" s="140" t="str">
        <f t="shared" si="69"/>
        <v/>
      </c>
    </row>
    <row r="334" spans="1:45">
      <c r="A334" s="10"/>
      <c r="B334" s="9"/>
      <c r="C334" s="9"/>
      <c r="D334" s="9"/>
      <c r="E334" s="10"/>
      <c r="F334" s="11"/>
      <c r="G334" s="15"/>
      <c r="H334" s="88"/>
      <c r="I334" s="24"/>
      <c r="J334" s="24"/>
      <c r="K334" s="114" t="str">
        <f t="shared" si="60"/>
        <v/>
      </c>
      <c r="L334" s="24"/>
      <c r="M334" s="24"/>
      <c r="N334" s="24"/>
      <c r="O334" s="24"/>
      <c r="P334" s="97" t="str">
        <f t="shared" si="61"/>
        <v/>
      </c>
      <c r="Q334" s="113" t="str">
        <f t="shared" si="62"/>
        <v/>
      </c>
      <c r="R334" s="88"/>
      <c r="S334" s="24"/>
      <c r="T334" s="24"/>
      <c r="U334" s="78" t="str">
        <f t="shared" si="63"/>
        <v/>
      </c>
      <c r="V334" s="24"/>
      <c r="W334" s="24"/>
      <c r="X334" s="24"/>
      <c r="Y334" s="24"/>
      <c r="Z334" s="98" t="str">
        <f t="shared" si="64"/>
        <v/>
      </c>
      <c r="AA334" s="40" t="str">
        <f t="shared" si="70"/>
        <v/>
      </c>
      <c r="AB334" s="88"/>
      <c r="AC334" s="24"/>
      <c r="AD334" s="24"/>
      <c r="AE334" s="79" t="str">
        <f t="shared" si="65"/>
        <v/>
      </c>
      <c r="AF334" s="24"/>
      <c r="AG334" s="24"/>
      <c r="AH334" s="24"/>
      <c r="AI334" s="24"/>
      <c r="AJ334" s="99" t="str">
        <f t="shared" si="66"/>
        <v/>
      </c>
      <c r="AK334" s="31" t="str">
        <f t="shared" si="71"/>
        <v/>
      </c>
      <c r="AN334" s="139" t="str">
        <f>IF($K334="","",VLOOKUP($K334,'ORF Accuracy Value LookUp'!$G$4:$H$104,2,TRUE))</f>
        <v/>
      </c>
      <c r="AO334" s="94" t="str">
        <f t="shared" si="67"/>
        <v/>
      </c>
      <c r="AP334" s="47" t="str">
        <f>IF($U334="","",VLOOKUP($U334,'ORF Accuracy Value LookUp'!$G$4:$H$104,2,TRUE))</f>
        <v/>
      </c>
      <c r="AQ334" s="94" t="str">
        <f t="shared" si="68"/>
        <v/>
      </c>
      <c r="AR334" s="46" t="str">
        <f>IF($AE334="","",VLOOKUP($AE334,'ORF Accuracy Value LookUp'!$G$4:$H$104,2,TRUE))</f>
        <v/>
      </c>
      <c r="AS334" s="140" t="str">
        <f t="shared" si="69"/>
        <v/>
      </c>
    </row>
    <row r="335" spans="1:45">
      <c r="A335" s="10"/>
      <c r="B335" s="9"/>
      <c r="C335" s="9"/>
      <c r="D335" s="9"/>
      <c r="E335" s="10"/>
      <c r="F335" s="11"/>
      <c r="G335" s="15"/>
      <c r="H335" s="88"/>
      <c r="I335" s="24"/>
      <c r="J335" s="24"/>
      <c r="K335" s="114" t="str">
        <f t="shared" si="60"/>
        <v/>
      </c>
      <c r="L335" s="24"/>
      <c r="M335" s="24"/>
      <c r="N335" s="24"/>
      <c r="O335" s="24"/>
      <c r="P335" s="97" t="str">
        <f t="shared" si="61"/>
        <v/>
      </c>
      <c r="Q335" s="113" t="str">
        <f t="shared" si="62"/>
        <v/>
      </c>
      <c r="R335" s="88"/>
      <c r="S335" s="24"/>
      <c r="T335" s="24"/>
      <c r="U335" s="78" t="str">
        <f t="shared" si="63"/>
        <v/>
      </c>
      <c r="V335" s="24"/>
      <c r="W335" s="24"/>
      <c r="X335" s="24"/>
      <c r="Y335" s="24"/>
      <c r="Z335" s="98" t="str">
        <f t="shared" si="64"/>
        <v/>
      </c>
      <c r="AA335" s="40" t="str">
        <f t="shared" si="70"/>
        <v/>
      </c>
      <c r="AB335" s="88"/>
      <c r="AC335" s="24"/>
      <c r="AD335" s="24"/>
      <c r="AE335" s="79" t="str">
        <f t="shared" si="65"/>
        <v/>
      </c>
      <c r="AF335" s="24"/>
      <c r="AG335" s="24"/>
      <c r="AH335" s="24"/>
      <c r="AI335" s="24"/>
      <c r="AJ335" s="99" t="str">
        <f t="shared" si="66"/>
        <v/>
      </c>
      <c r="AK335" s="31" t="str">
        <f t="shared" si="71"/>
        <v/>
      </c>
      <c r="AN335" s="139" t="str">
        <f>IF($K335="","",VLOOKUP($K335,'ORF Accuracy Value LookUp'!$G$4:$H$104,2,TRUE))</f>
        <v/>
      </c>
      <c r="AO335" s="94" t="str">
        <f t="shared" si="67"/>
        <v/>
      </c>
      <c r="AP335" s="47" t="str">
        <f>IF($U335="","",VLOOKUP($U335,'ORF Accuracy Value LookUp'!$G$4:$H$104,2,TRUE))</f>
        <v/>
      </c>
      <c r="AQ335" s="94" t="str">
        <f t="shared" si="68"/>
        <v/>
      </c>
      <c r="AR335" s="46" t="str">
        <f>IF($AE335="","",VLOOKUP($AE335,'ORF Accuracy Value LookUp'!$G$4:$H$104,2,TRUE))</f>
        <v/>
      </c>
      <c r="AS335" s="140" t="str">
        <f t="shared" si="69"/>
        <v/>
      </c>
    </row>
    <row r="336" spans="1:45">
      <c r="A336" s="10"/>
      <c r="B336" s="9"/>
      <c r="C336" s="9"/>
      <c r="D336" s="9"/>
      <c r="E336" s="10"/>
      <c r="F336" s="11"/>
      <c r="G336" s="15"/>
      <c r="H336" s="88"/>
      <c r="I336" s="24"/>
      <c r="J336" s="24"/>
      <c r="K336" s="114" t="str">
        <f t="shared" si="60"/>
        <v/>
      </c>
      <c r="L336" s="24"/>
      <c r="M336" s="24"/>
      <c r="N336" s="24"/>
      <c r="O336" s="24"/>
      <c r="P336" s="97" t="str">
        <f t="shared" si="61"/>
        <v/>
      </c>
      <c r="Q336" s="113" t="str">
        <f t="shared" si="62"/>
        <v/>
      </c>
      <c r="R336" s="88"/>
      <c r="S336" s="24"/>
      <c r="T336" s="24"/>
      <c r="U336" s="78" t="str">
        <f t="shared" si="63"/>
        <v/>
      </c>
      <c r="V336" s="24"/>
      <c r="W336" s="24"/>
      <c r="X336" s="24"/>
      <c r="Y336" s="24"/>
      <c r="Z336" s="98" t="str">
        <f t="shared" si="64"/>
        <v/>
      </c>
      <c r="AA336" s="40" t="str">
        <f t="shared" si="70"/>
        <v/>
      </c>
      <c r="AB336" s="88"/>
      <c r="AC336" s="24"/>
      <c r="AD336" s="24"/>
      <c r="AE336" s="79" t="str">
        <f t="shared" si="65"/>
        <v/>
      </c>
      <c r="AF336" s="24"/>
      <c r="AG336" s="24"/>
      <c r="AH336" s="24"/>
      <c r="AI336" s="24"/>
      <c r="AJ336" s="99" t="str">
        <f t="shared" si="66"/>
        <v/>
      </c>
      <c r="AK336" s="31" t="str">
        <f t="shared" si="71"/>
        <v/>
      </c>
      <c r="AN336" s="139" t="str">
        <f>IF($K336="","",VLOOKUP($K336,'ORF Accuracy Value LookUp'!$G$4:$H$104,2,TRUE))</f>
        <v/>
      </c>
      <c r="AO336" s="94" t="str">
        <f t="shared" si="67"/>
        <v/>
      </c>
      <c r="AP336" s="47" t="str">
        <f>IF($U336="","",VLOOKUP($U336,'ORF Accuracy Value LookUp'!$G$4:$H$104,2,TRUE))</f>
        <v/>
      </c>
      <c r="AQ336" s="94" t="str">
        <f t="shared" si="68"/>
        <v/>
      </c>
      <c r="AR336" s="46" t="str">
        <f>IF($AE336="","",VLOOKUP($AE336,'ORF Accuracy Value LookUp'!$G$4:$H$104,2,TRUE))</f>
        <v/>
      </c>
      <c r="AS336" s="140" t="str">
        <f t="shared" si="69"/>
        <v/>
      </c>
    </row>
    <row r="337" spans="1:45">
      <c r="A337" s="10"/>
      <c r="B337" s="9"/>
      <c r="C337" s="9"/>
      <c r="D337" s="9"/>
      <c r="E337" s="10"/>
      <c r="F337" s="11"/>
      <c r="G337" s="15"/>
      <c r="H337" s="88"/>
      <c r="I337" s="24"/>
      <c r="J337" s="24"/>
      <c r="K337" s="114" t="str">
        <f t="shared" si="60"/>
        <v/>
      </c>
      <c r="L337" s="24"/>
      <c r="M337" s="24"/>
      <c r="N337" s="24"/>
      <c r="O337" s="24"/>
      <c r="P337" s="97" t="str">
        <f t="shared" si="61"/>
        <v/>
      </c>
      <c r="Q337" s="113" t="str">
        <f t="shared" si="62"/>
        <v/>
      </c>
      <c r="R337" s="88"/>
      <c r="S337" s="24"/>
      <c r="T337" s="24"/>
      <c r="U337" s="78" t="str">
        <f t="shared" si="63"/>
        <v/>
      </c>
      <c r="V337" s="24"/>
      <c r="W337" s="24"/>
      <c r="X337" s="24"/>
      <c r="Y337" s="24"/>
      <c r="Z337" s="98" t="str">
        <f t="shared" si="64"/>
        <v/>
      </c>
      <c r="AA337" s="40" t="str">
        <f t="shared" si="70"/>
        <v/>
      </c>
      <c r="AB337" s="88"/>
      <c r="AC337" s="24"/>
      <c r="AD337" s="24"/>
      <c r="AE337" s="79" t="str">
        <f t="shared" si="65"/>
        <v/>
      </c>
      <c r="AF337" s="24"/>
      <c r="AG337" s="24"/>
      <c r="AH337" s="24"/>
      <c r="AI337" s="24"/>
      <c r="AJ337" s="99" t="str">
        <f t="shared" si="66"/>
        <v/>
      </c>
      <c r="AK337" s="31" t="str">
        <f t="shared" si="71"/>
        <v/>
      </c>
      <c r="AN337" s="139" t="str">
        <f>IF($K337="","",VLOOKUP($K337,'ORF Accuracy Value LookUp'!$G$4:$H$104,2,TRUE))</f>
        <v/>
      </c>
      <c r="AO337" s="94" t="str">
        <f t="shared" si="67"/>
        <v/>
      </c>
      <c r="AP337" s="47" t="str">
        <f>IF($U337="","",VLOOKUP($U337,'ORF Accuracy Value LookUp'!$G$4:$H$104,2,TRUE))</f>
        <v/>
      </c>
      <c r="AQ337" s="94" t="str">
        <f t="shared" si="68"/>
        <v/>
      </c>
      <c r="AR337" s="46" t="str">
        <f>IF($AE337="","",VLOOKUP($AE337,'ORF Accuracy Value LookUp'!$G$4:$H$104,2,TRUE))</f>
        <v/>
      </c>
      <c r="AS337" s="140" t="str">
        <f t="shared" si="69"/>
        <v/>
      </c>
    </row>
    <row r="338" spans="1:45">
      <c r="A338" s="10"/>
      <c r="B338" s="9"/>
      <c r="C338" s="9"/>
      <c r="D338" s="9"/>
      <c r="E338" s="10"/>
      <c r="F338" s="11"/>
      <c r="G338" s="15"/>
      <c r="H338" s="88"/>
      <c r="I338" s="24"/>
      <c r="J338" s="24"/>
      <c r="K338" s="114" t="str">
        <f t="shared" si="60"/>
        <v/>
      </c>
      <c r="L338" s="24"/>
      <c r="M338" s="24"/>
      <c r="N338" s="24"/>
      <c r="O338" s="24"/>
      <c r="P338" s="97" t="str">
        <f t="shared" si="61"/>
        <v/>
      </c>
      <c r="Q338" s="113" t="str">
        <f t="shared" si="62"/>
        <v/>
      </c>
      <c r="R338" s="88"/>
      <c r="S338" s="24"/>
      <c r="T338" s="24"/>
      <c r="U338" s="78" t="str">
        <f t="shared" si="63"/>
        <v/>
      </c>
      <c r="V338" s="24"/>
      <c r="W338" s="24"/>
      <c r="X338" s="24"/>
      <c r="Y338" s="24"/>
      <c r="Z338" s="98" t="str">
        <f t="shared" si="64"/>
        <v/>
      </c>
      <c r="AA338" s="40" t="str">
        <f t="shared" si="70"/>
        <v/>
      </c>
      <c r="AB338" s="88"/>
      <c r="AC338" s="24"/>
      <c r="AD338" s="24"/>
      <c r="AE338" s="79" t="str">
        <f t="shared" si="65"/>
        <v/>
      </c>
      <c r="AF338" s="24"/>
      <c r="AG338" s="24"/>
      <c r="AH338" s="24"/>
      <c r="AI338" s="24"/>
      <c r="AJ338" s="99" t="str">
        <f t="shared" si="66"/>
        <v/>
      </c>
      <c r="AK338" s="31" t="str">
        <f t="shared" si="71"/>
        <v/>
      </c>
      <c r="AN338" s="139" t="str">
        <f>IF($K338="","",VLOOKUP($K338,'ORF Accuracy Value LookUp'!$G$4:$H$104,2,TRUE))</f>
        <v/>
      </c>
      <c r="AO338" s="94" t="str">
        <f t="shared" si="67"/>
        <v/>
      </c>
      <c r="AP338" s="47" t="str">
        <f>IF($U338="","",VLOOKUP($U338,'ORF Accuracy Value LookUp'!$G$4:$H$104,2,TRUE))</f>
        <v/>
      </c>
      <c r="AQ338" s="94" t="str">
        <f t="shared" si="68"/>
        <v/>
      </c>
      <c r="AR338" s="46" t="str">
        <f>IF($AE338="","",VLOOKUP($AE338,'ORF Accuracy Value LookUp'!$G$4:$H$104,2,TRUE))</f>
        <v/>
      </c>
      <c r="AS338" s="140" t="str">
        <f t="shared" si="69"/>
        <v/>
      </c>
    </row>
    <row r="339" spans="1:45">
      <c r="A339" s="10"/>
      <c r="B339" s="9"/>
      <c r="C339" s="9"/>
      <c r="D339" s="9"/>
      <c r="E339" s="10"/>
      <c r="F339" s="11"/>
      <c r="G339" s="15"/>
      <c r="H339" s="88"/>
      <c r="I339" s="24"/>
      <c r="J339" s="24"/>
      <c r="K339" s="114" t="str">
        <f t="shared" si="60"/>
        <v/>
      </c>
      <c r="L339" s="24"/>
      <c r="M339" s="24"/>
      <c r="N339" s="24"/>
      <c r="O339" s="24"/>
      <c r="P339" s="97" t="str">
        <f t="shared" si="61"/>
        <v/>
      </c>
      <c r="Q339" s="113" t="str">
        <f t="shared" si="62"/>
        <v/>
      </c>
      <c r="R339" s="88"/>
      <c r="S339" s="24"/>
      <c r="T339" s="24"/>
      <c r="U339" s="78" t="str">
        <f t="shared" si="63"/>
        <v/>
      </c>
      <c r="V339" s="24"/>
      <c r="W339" s="24"/>
      <c r="X339" s="24"/>
      <c r="Y339" s="24"/>
      <c r="Z339" s="98" t="str">
        <f t="shared" si="64"/>
        <v/>
      </c>
      <c r="AA339" s="40" t="str">
        <f t="shared" si="70"/>
        <v/>
      </c>
      <c r="AB339" s="88"/>
      <c r="AC339" s="24"/>
      <c r="AD339" s="24"/>
      <c r="AE339" s="79" t="str">
        <f t="shared" si="65"/>
        <v/>
      </c>
      <c r="AF339" s="24"/>
      <c r="AG339" s="24"/>
      <c r="AH339" s="24"/>
      <c r="AI339" s="24"/>
      <c r="AJ339" s="99" t="str">
        <f t="shared" si="66"/>
        <v/>
      </c>
      <c r="AK339" s="31" t="str">
        <f t="shared" si="71"/>
        <v/>
      </c>
      <c r="AN339" s="139" t="str">
        <f>IF($K339="","",VLOOKUP($K339,'ORF Accuracy Value LookUp'!$G$4:$H$104,2,TRUE))</f>
        <v/>
      </c>
      <c r="AO339" s="94" t="str">
        <f t="shared" si="67"/>
        <v/>
      </c>
      <c r="AP339" s="47" t="str">
        <f>IF($U339="","",VLOOKUP($U339,'ORF Accuracy Value LookUp'!$G$4:$H$104,2,TRUE))</f>
        <v/>
      </c>
      <c r="AQ339" s="94" t="str">
        <f t="shared" si="68"/>
        <v/>
      </c>
      <c r="AR339" s="46" t="str">
        <f>IF($AE339="","",VLOOKUP($AE339,'ORF Accuracy Value LookUp'!$G$4:$H$104,2,TRUE))</f>
        <v/>
      </c>
      <c r="AS339" s="140" t="str">
        <f t="shared" si="69"/>
        <v/>
      </c>
    </row>
    <row r="340" spans="1:45">
      <c r="A340" s="10"/>
      <c r="B340" s="9"/>
      <c r="C340" s="9"/>
      <c r="D340" s="9"/>
      <c r="E340" s="10"/>
      <c r="F340" s="11"/>
      <c r="G340" s="15"/>
      <c r="H340" s="88"/>
      <c r="I340" s="24"/>
      <c r="J340" s="24"/>
      <c r="K340" s="114" t="str">
        <f t="shared" si="60"/>
        <v/>
      </c>
      <c r="L340" s="24"/>
      <c r="M340" s="24"/>
      <c r="N340" s="24"/>
      <c r="O340" s="24"/>
      <c r="P340" s="97" t="str">
        <f t="shared" si="61"/>
        <v/>
      </c>
      <c r="Q340" s="113" t="str">
        <f t="shared" si="62"/>
        <v/>
      </c>
      <c r="R340" s="88"/>
      <c r="S340" s="24"/>
      <c r="T340" s="24"/>
      <c r="U340" s="78" t="str">
        <f t="shared" si="63"/>
        <v/>
      </c>
      <c r="V340" s="24"/>
      <c r="W340" s="24"/>
      <c r="X340" s="24"/>
      <c r="Y340" s="24"/>
      <c r="Z340" s="98" t="str">
        <f t="shared" si="64"/>
        <v/>
      </c>
      <c r="AA340" s="40" t="str">
        <f t="shared" si="70"/>
        <v/>
      </c>
      <c r="AB340" s="88"/>
      <c r="AC340" s="24"/>
      <c r="AD340" s="24"/>
      <c r="AE340" s="79" t="str">
        <f t="shared" si="65"/>
        <v/>
      </c>
      <c r="AF340" s="24"/>
      <c r="AG340" s="24"/>
      <c r="AH340" s="24"/>
      <c r="AI340" s="24"/>
      <c r="AJ340" s="99" t="str">
        <f t="shared" si="66"/>
        <v/>
      </c>
      <c r="AK340" s="31" t="str">
        <f t="shared" si="71"/>
        <v/>
      </c>
      <c r="AN340" s="139" t="str">
        <f>IF($K340="","",VLOOKUP($K340,'ORF Accuracy Value LookUp'!$G$4:$H$104,2,TRUE))</f>
        <v/>
      </c>
      <c r="AO340" s="94" t="str">
        <f t="shared" si="67"/>
        <v/>
      </c>
      <c r="AP340" s="47" t="str">
        <f>IF($U340="","",VLOOKUP($U340,'ORF Accuracy Value LookUp'!$G$4:$H$104,2,TRUE))</f>
        <v/>
      </c>
      <c r="AQ340" s="94" t="str">
        <f t="shared" si="68"/>
        <v/>
      </c>
      <c r="AR340" s="46" t="str">
        <f>IF($AE340="","",VLOOKUP($AE340,'ORF Accuracy Value LookUp'!$G$4:$H$104,2,TRUE))</f>
        <v/>
      </c>
      <c r="AS340" s="140" t="str">
        <f t="shared" si="69"/>
        <v/>
      </c>
    </row>
    <row r="341" spans="1:45">
      <c r="A341" s="10"/>
      <c r="B341" s="9"/>
      <c r="C341" s="9"/>
      <c r="D341" s="9"/>
      <c r="E341" s="10"/>
      <c r="F341" s="11"/>
      <c r="G341" s="15"/>
      <c r="H341" s="88"/>
      <c r="I341" s="24"/>
      <c r="J341" s="24"/>
      <c r="K341" s="114" t="str">
        <f t="shared" si="60"/>
        <v/>
      </c>
      <c r="L341" s="24"/>
      <c r="M341" s="24"/>
      <c r="N341" s="24"/>
      <c r="O341" s="24"/>
      <c r="P341" s="97" t="str">
        <f t="shared" si="61"/>
        <v/>
      </c>
      <c r="Q341" s="113" t="str">
        <f t="shared" si="62"/>
        <v/>
      </c>
      <c r="R341" s="88"/>
      <c r="S341" s="24"/>
      <c r="T341" s="24"/>
      <c r="U341" s="78" t="str">
        <f t="shared" si="63"/>
        <v/>
      </c>
      <c r="V341" s="24"/>
      <c r="W341" s="24"/>
      <c r="X341" s="24"/>
      <c r="Y341" s="24"/>
      <c r="Z341" s="98" t="str">
        <f t="shared" si="64"/>
        <v/>
      </c>
      <c r="AA341" s="40" t="str">
        <f t="shared" si="70"/>
        <v/>
      </c>
      <c r="AB341" s="88"/>
      <c r="AC341" s="24"/>
      <c r="AD341" s="24"/>
      <c r="AE341" s="79" t="str">
        <f t="shared" si="65"/>
        <v/>
      </c>
      <c r="AF341" s="24"/>
      <c r="AG341" s="24"/>
      <c r="AH341" s="24"/>
      <c r="AI341" s="24"/>
      <c r="AJ341" s="99" t="str">
        <f t="shared" si="66"/>
        <v/>
      </c>
      <c r="AK341" s="31" t="str">
        <f t="shared" si="71"/>
        <v/>
      </c>
      <c r="AN341" s="139" t="str">
        <f>IF($K341="","",VLOOKUP($K341,'ORF Accuracy Value LookUp'!$G$4:$H$104,2,TRUE))</f>
        <v/>
      </c>
      <c r="AO341" s="94" t="str">
        <f t="shared" si="67"/>
        <v/>
      </c>
      <c r="AP341" s="47" t="str">
        <f>IF($U341="","",VLOOKUP($U341,'ORF Accuracy Value LookUp'!$G$4:$H$104,2,TRUE))</f>
        <v/>
      </c>
      <c r="AQ341" s="94" t="str">
        <f t="shared" si="68"/>
        <v/>
      </c>
      <c r="AR341" s="46" t="str">
        <f>IF($AE341="","",VLOOKUP($AE341,'ORF Accuracy Value LookUp'!$G$4:$H$104,2,TRUE))</f>
        <v/>
      </c>
      <c r="AS341" s="140" t="str">
        <f t="shared" si="69"/>
        <v/>
      </c>
    </row>
    <row r="342" spans="1:45">
      <c r="A342" s="10"/>
      <c r="B342" s="9"/>
      <c r="C342" s="9"/>
      <c r="D342" s="9"/>
      <c r="E342" s="10"/>
      <c r="F342" s="11"/>
      <c r="G342" s="15"/>
      <c r="H342" s="88"/>
      <c r="I342" s="24"/>
      <c r="J342" s="24"/>
      <c r="K342" s="114" t="str">
        <f t="shared" si="60"/>
        <v/>
      </c>
      <c r="L342" s="24"/>
      <c r="M342" s="24"/>
      <c r="N342" s="24"/>
      <c r="O342" s="24"/>
      <c r="P342" s="97" t="str">
        <f t="shared" si="61"/>
        <v/>
      </c>
      <c r="Q342" s="113" t="str">
        <f t="shared" si="62"/>
        <v/>
      </c>
      <c r="R342" s="88"/>
      <c r="S342" s="24"/>
      <c r="T342" s="24"/>
      <c r="U342" s="78" t="str">
        <f t="shared" si="63"/>
        <v/>
      </c>
      <c r="V342" s="24"/>
      <c r="W342" s="24"/>
      <c r="X342" s="24"/>
      <c r="Y342" s="24"/>
      <c r="Z342" s="98" t="str">
        <f t="shared" si="64"/>
        <v/>
      </c>
      <c r="AA342" s="40" t="str">
        <f t="shared" si="70"/>
        <v/>
      </c>
      <c r="AB342" s="88"/>
      <c r="AC342" s="24"/>
      <c r="AD342" s="24"/>
      <c r="AE342" s="79" t="str">
        <f t="shared" si="65"/>
        <v/>
      </c>
      <c r="AF342" s="24"/>
      <c r="AG342" s="24"/>
      <c r="AH342" s="24"/>
      <c r="AI342" s="24"/>
      <c r="AJ342" s="99" t="str">
        <f t="shared" si="66"/>
        <v/>
      </c>
      <c r="AK342" s="31" t="str">
        <f t="shared" si="71"/>
        <v/>
      </c>
      <c r="AN342" s="139" t="str">
        <f>IF($K342="","",VLOOKUP($K342,'ORF Accuracy Value LookUp'!$G$4:$H$104,2,TRUE))</f>
        <v/>
      </c>
      <c r="AO342" s="94" t="str">
        <f t="shared" si="67"/>
        <v/>
      </c>
      <c r="AP342" s="47" t="str">
        <f>IF($U342="","",VLOOKUP($U342,'ORF Accuracy Value LookUp'!$G$4:$H$104,2,TRUE))</f>
        <v/>
      </c>
      <c r="AQ342" s="94" t="str">
        <f t="shared" si="68"/>
        <v/>
      </c>
      <c r="AR342" s="46" t="str">
        <f>IF($AE342="","",VLOOKUP($AE342,'ORF Accuracy Value LookUp'!$G$4:$H$104,2,TRUE))</f>
        <v/>
      </c>
      <c r="AS342" s="140" t="str">
        <f t="shared" si="69"/>
        <v/>
      </c>
    </row>
    <row r="343" spans="1:45">
      <c r="A343" s="10"/>
      <c r="B343" s="9"/>
      <c r="C343" s="9"/>
      <c r="D343" s="9"/>
      <c r="E343" s="10"/>
      <c r="F343" s="11"/>
      <c r="G343" s="15"/>
      <c r="H343" s="88"/>
      <c r="I343" s="24"/>
      <c r="J343" s="24"/>
      <c r="K343" s="114" t="str">
        <f t="shared" si="60"/>
        <v/>
      </c>
      <c r="L343" s="24"/>
      <c r="M343" s="24"/>
      <c r="N343" s="24"/>
      <c r="O343" s="24"/>
      <c r="P343" s="97" t="str">
        <f t="shared" si="61"/>
        <v/>
      </c>
      <c r="Q343" s="113" t="str">
        <f t="shared" si="62"/>
        <v/>
      </c>
      <c r="R343" s="88"/>
      <c r="S343" s="24"/>
      <c r="T343" s="24"/>
      <c r="U343" s="78" t="str">
        <f t="shared" si="63"/>
        <v/>
      </c>
      <c r="V343" s="24"/>
      <c r="W343" s="24"/>
      <c r="X343" s="24"/>
      <c r="Y343" s="24"/>
      <c r="Z343" s="98" t="str">
        <f t="shared" si="64"/>
        <v/>
      </c>
      <c r="AA343" s="40" t="str">
        <f t="shared" si="70"/>
        <v/>
      </c>
      <c r="AB343" s="88"/>
      <c r="AC343" s="24"/>
      <c r="AD343" s="24"/>
      <c r="AE343" s="79" t="str">
        <f t="shared" si="65"/>
        <v/>
      </c>
      <c r="AF343" s="24"/>
      <c r="AG343" s="24"/>
      <c r="AH343" s="24"/>
      <c r="AI343" s="24"/>
      <c r="AJ343" s="99" t="str">
        <f t="shared" si="66"/>
        <v/>
      </c>
      <c r="AK343" s="31" t="str">
        <f t="shared" si="71"/>
        <v/>
      </c>
      <c r="AN343" s="139" t="str">
        <f>IF($K343="","",VLOOKUP($K343,'ORF Accuracy Value LookUp'!$G$4:$H$104,2,TRUE))</f>
        <v/>
      </c>
      <c r="AO343" s="94" t="str">
        <f t="shared" si="67"/>
        <v/>
      </c>
      <c r="AP343" s="47" t="str">
        <f>IF($U343="","",VLOOKUP($U343,'ORF Accuracy Value LookUp'!$G$4:$H$104,2,TRUE))</f>
        <v/>
      </c>
      <c r="AQ343" s="94" t="str">
        <f t="shared" si="68"/>
        <v/>
      </c>
      <c r="AR343" s="46" t="str">
        <f>IF($AE343="","",VLOOKUP($AE343,'ORF Accuracy Value LookUp'!$G$4:$H$104,2,TRUE))</f>
        <v/>
      </c>
      <c r="AS343" s="140" t="str">
        <f t="shared" si="69"/>
        <v/>
      </c>
    </row>
    <row r="344" spans="1:45">
      <c r="A344" s="10"/>
      <c r="B344" s="9"/>
      <c r="C344" s="9"/>
      <c r="D344" s="9"/>
      <c r="E344" s="10"/>
      <c r="F344" s="11"/>
      <c r="G344" s="15"/>
      <c r="H344" s="88"/>
      <c r="I344" s="24"/>
      <c r="J344" s="24"/>
      <c r="K344" s="114" t="str">
        <f t="shared" si="60"/>
        <v/>
      </c>
      <c r="L344" s="24"/>
      <c r="M344" s="24"/>
      <c r="N344" s="24"/>
      <c r="O344" s="24"/>
      <c r="P344" s="97" t="str">
        <f t="shared" si="61"/>
        <v/>
      </c>
      <c r="Q344" s="113" t="str">
        <f t="shared" si="62"/>
        <v/>
      </c>
      <c r="R344" s="88"/>
      <c r="S344" s="24"/>
      <c r="T344" s="24"/>
      <c r="U344" s="78" t="str">
        <f t="shared" si="63"/>
        <v/>
      </c>
      <c r="V344" s="24"/>
      <c r="W344" s="24"/>
      <c r="X344" s="24"/>
      <c r="Y344" s="24"/>
      <c r="Z344" s="98" t="str">
        <f t="shared" si="64"/>
        <v/>
      </c>
      <c r="AA344" s="40" t="str">
        <f t="shared" si="70"/>
        <v/>
      </c>
      <c r="AB344" s="88"/>
      <c r="AC344" s="24"/>
      <c r="AD344" s="24"/>
      <c r="AE344" s="79" t="str">
        <f t="shared" si="65"/>
        <v/>
      </c>
      <c r="AF344" s="24"/>
      <c r="AG344" s="24"/>
      <c r="AH344" s="24"/>
      <c r="AI344" s="24"/>
      <c r="AJ344" s="99" t="str">
        <f t="shared" si="66"/>
        <v/>
      </c>
      <c r="AK344" s="31" t="str">
        <f t="shared" si="71"/>
        <v/>
      </c>
      <c r="AN344" s="139" t="str">
        <f>IF($K344="","",VLOOKUP($K344,'ORF Accuracy Value LookUp'!$G$4:$H$104,2,TRUE))</f>
        <v/>
      </c>
      <c r="AO344" s="94" t="str">
        <f t="shared" si="67"/>
        <v/>
      </c>
      <c r="AP344" s="47" t="str">
        <f>IF($U344="","",VLOOKUP($U344,'ORF Accuracy Value LookUp'!$G$4:$H$104,2,TRUE))</f>
        <v/>
      </c>
      <c r="AQ344" s="94" t="str">
        <f t="shared" si="68"/>
        <v/>
      </c>
      <c r="AR344" s="46" t="str">
        <f>IF($AE344="","",VLOOKUP($AE344,'ORF Accuracy Value LookUp'!$G$4:$H$104,2,TRUE))</f>
        <v/>
      </c>
      <c r="AS344" s="140" t="str">
        <f t="shared" si="69"/>
        <v/>
      </c>
    </row>
    <row r="345" spans="1:45">
      <c r="A345" s="10"/>
      <c r="B345" s="9"/>
      <c r="C345" s="9"/>
      <c r="D345" s="9"/>
      <c r="E345" s="10"/>
      <c r="F345" s="11"/>
      <c r="G345" s="15"/>
      <c r="H345" s="88"/>
      <c r="I345" s="24"/>
      <c r="J345" s="24"/>
      <c r="K345" s="114" t="str">
        <f t="shared" si="60"/>
        <v/>
      </c>
      <c r="L345" s="24"/>
      <c r="M345" s="24"/>
      <c r="N345" s="24"/>
      <c r="O345" s="24"/>
      <c r="P345" s="97" t="str">
        <f t="shared" si="61"/>
        <v/>
      </c>
      <c r="Q345" s="113" t="str">
        <f t="shared" si="62"/>
        <v/>
      </c>
      <c r="R345" s="88"/>
      <c r="S345" s="24"/>
      <c r="T345" s="24"/>
      <c r="U345" s="78" t="str">
        <f t="shared" si="63"/>
        <v/>
      </c>
      <c r="V345" s="24"/>
      <c r="W345" s="24"/>
      <c r="X345" s="24"/>
      <c r="Y345" s="24"/>
      <c r="Z345" s="98" t="str">
        <f t="shared" si="64"/>
        <v/>
      </c>
      <c r="AA345" s="40" t="str">
        <f t="shared" si="70"/>
        <v/>
      </c>
      <c r="AB345" s="88"/>
      <c r="AC345" s="24"/>
      <c r="AD345" s="24"/>
      <c r="AE345" s="79" t="str">
        <f t="shared" si="65"/>
        <v/>
      </c>
      <c r="AF345" s="24"/>
      <c r="AG345" s="24"/>
      <c r="AH345" s="24"/>
      <c r="AI345" s="24"/>
      <c r="AJ345" s="99" t="str">
        <f t="shared" si="66"/>
        <v/>
      </c>
      <c r="AK345" s="31" t="str">
        <f t="shared" si="71"/>
        <v/>
      </c>
      <c r="AN345" s="139" t="str">
        <f>IF($K345="","",VLOOKUP($K345,'ORF Accuracy Value LookUp'!$G$4:$H$104,2,TRUE))</f>
        <v/>
      </c>
      <c r="AO345" s="94" t="str">
        <f t="shared" si="67"/>
        <v/>
      </c>
      <c r="AP345" s="47" t="str">
        <f>IF($U345="","",VLOOKUP($U345,'ORF Accuracy Value LookUp'!$G$4:$H$104,2,TRUE))</f>
        <v/>
      </c>
      <c r="AQ345" s="94" t="str">
        <f t="shared" si="68"/>
        <v/>
      </c>
      <c r="AR345" s="46" t="str">
        <f>IF($AE345="","",VLOOKUP($AE345,'ORF Accuracy Value LookUp'!$G$4:$H$104,2,TRUE))</f>
        <v/>
      </c>
      <c r="AS345" s="140" t="str">
        <f t="shared" si="69"/>
        <v/>
      </c>
    </row>
    <row r="346" spans="1:45">
      <c r="A346" s="10"/>
      <c r="B346" s="9"/>
      <c r="C346" s="9"/>
      <c r="D346" s="9"/>
      <c r="E346" s="10"/>
      <c r="F346" s="11"/>
      <c r="G346" s="15"/>
      <c r="H346" s="88"/>
      <c r="I346" s="24"/>
      <c r="J346" s="24"/>
      <c r="K346" s="114" t="str">
        <f t="shared" si="60"/>
        <v/>
      </c>
      <c r="L346" s="24"/>
      <c r="M346" s="24"/>
      <c r="N346" s="24"/>
      <c r="O346" s="24"/>
      <c r="P346" s="97" t="str">
        <f t="shared" si="61"/>
        <v/>
      </c>
      <c r="Q346" s="113" t="str">
        <f t="shared" si="62"/>
        <v/>
      </c>
      <c r="R346" s="88"/>
      <c r="S346" s="24"/>
      <c r="T346" s="24"/>
      <c r="U346" s="78" t="str">
        <f t="shared" si="63"/>
        <v/>
      </c>
      <c r="V346" s="24"/>
      <c r="W346" s="24"/>
      <c r="X346" s="24"/>
      <c r="Y346" s="24"/>
      <c r="Z346" s="98" t="str">
        <f t="shared" si="64"/>
        <v/>
      </c>
      <c r="AA346" s="40" t="str">
        <f t="shared" si="70"/>
        <v/>
      </c>
      <c r="AB346" s="88"/>
      <c r="AC346" s="24"/>
      <c r="AD346" s="24"/>
      <c r="AE346" s="79" t="str">
        <f t="shared" si="65"/>
        <v/>
      </c>
      <c r="AF346" s="24"/>
      <c r="AG346" s="24"/>
      <c r="AH346" s="24"/>
      <c r="AI346" s="24"/>
      <c r="AJ346" s="99" t="str">
        <f t="shared" si="66"/>
        <v/>
      </c>
      <c r="AK346" s="31" t="str">
        <f t="shared" si="71"/>
        <v/>
      </c>
      <c r="AN346" s="139" t="str">
        <f>IF($K346="","",VLOOKUP($K346,'ORF Accuracy Value LookUp'!$G$4:$H$104,2,TRUE))</f>
        <v/>
      </c>
      <c r="AO346" s="94" t="str">
        <f t="shared" si="67"/>
        <v/>
      </c>
      <c r="AP346" s="47" t="str">
        <f>IF($U346="","",VLOOKUP($U346,'ORF Accuracy Value LookUp'!$G$4:$H$104,2,TRUE))</f>
        <v/>
      </c>
      <c r="AQ346" s="94" t="str">
        <f t="shared" si="68"/>
        <v/>
      </c>
      <c r="AR346" s="46" t="str">
        <f>IF($AE346="","",VLOOKUP($AE346,'ORF Accuracy Value LookUp'!$G$4:$H$104,2,TRUE))</f>
        <v/>
      </c>
      <c r="AS346" s="140" t="str">
        <f t="shared" si="69"/>
        <v/>
      </c>
    </row>
    <row r="347" spans="1:45">
      <c r="A347" s="10"/>
      <c r="B347" s="9"/>
      <c r="C347" s="9"/>
      <c r="D347" s="9"/>
      <c r="E347" s="10"/>
      <c r="F347" s="11"/>
      <c r="G347" s="15"/>
      <c r="H347" s="88"/>
      <c r="I347" s="24"/>
      <c r="J347" s="24"/>
      <c r="K347" s="114" t="str">
        <f t="shared" si="60"/>
        <v/>
      </c>
      <c r="L347" s="24"/>
      <c r="M347" s="24"/>
      <c r="N347" s="24"/>
      <c r="O347" s="24"/>
      <c r="P347" s="97" t="str">
        <f t="shared" si="61"/>
        <v/>
      </c>
      <c r="Q347" s="113" t="str">
        <f t="shared" si="62"/>
        <v/>
      </c>
      <c r="R347" s="88"/>
      <c r="S347" s="24"/>
      <c r="T347" s="24"/>
      <c r="U347" s="78" t="str">
        <f t="shared" si="63"/>
        <v/>
      </c>
      <c r="V347" s="24"/>
      <c r="W347" s="24"/>
      <c r="X347" s="24"/>
      <c r="Y347" s="24"/>
      <c r="Z347" s="98" t="str">
        <f t="shared" si="64"/>
        <v/>
      </c>
      <c r="AA347" s="40" t="str">
        <f t="shared" si="70"/>
        <v/>
      </c>
      <c r="AB347" s="88"/>
      <c r="AC347" s="24"/>
      <c r="AD347" s="24"/>
      <c r="AE347" s="79" t="str">
        <f t="shared" si="65"/>
        <v/>
      </c>
      <c r="AF347" s="24"/>
      <c r="AG347" s="24"/>
      <c r="AH347" s="24"/>
      <c r="AI347" s="24"/>
      <c r="AJ347" s="99" t="str">
        <f t="shared" si="66"/>
        <v/>
      </c>
      <c r="AK347" s="31" t="str">
        <f t="shared" si="71"/>
        <v/>
      </c>
      <c r="AN347" s="139" t="str">
        <f>IF($K347="","",VLOOKUP($K347,'ORF Accuracy Value LookUp'!$G$4:$H$104,2,TRUE))</f>
        <v/>
      </c>
      <c r="AO347" s="94" t="str">
        <f t="shared" si="67"/>
        <v/>
      </c>
      <c r="AP347" s="47" t="str">
        <f>IF($U347="","",VLOOKUP($U347,'ORF Accuracy Value LookUp'!$G$4:$H$104,2,TRUE))</f>
        <v/>
      </c>
      <c r="AQ347" s="94" t="str">
        <f t="shared" si="68"/>
        <v/>
      </c>
      <c r="AR347" s="46" t="str">
        <f>IF($AE347="","",VLOOKUP($AE347,'ORF Accuracy Value LookUp'!$G$4:$H$104,2,TRUE))</f>
        <v/>
      </c>
      <c r="AS347" s="140" t="str">
        <f t="shared" si="69"/>
        <v/>
      </c>
    </row>
    <row r="348" spans="1:45">
      <c r="A348" s="10"/>
      <c r="B348" s="9"/>
      <c r="C348" s="9"/>
      <c r="D348" s="9"/>
      <c r="E348" s="10"/>
      <c r="F348" s="11"/>
      <c r="G348" s="15"/>
      <c r="H348" s="88"/>
      <c r="I348" s="24"/>
      <c r="J348" s="24"/>
      <c r="K348" s="114" t="str">
        <f t="shared" si="60"/>
        <v/>
      </c>
      <c r="L348" s="24"/>
      <c r="M348" s="24"/>
      <c r="N348" s="24"/>
      <c r="O348" s="24"/>
      <c r="P348" s="97" t="str">
        <f t="shared" si="61"/>
        <v/>
      </c>
      <c r="Q348" s="113" t="str">
        <f t="shared" si="62"/>
        <v/>
      </c>
      <c r="R348" s="88"/>
      <c r="S348" s="24"/>
      <c r="T348" s="24"/>
      <c r="U348" s="78" t="str">
        <f t="shared" si="63"/>
        <v/>
      </c>
      <c r="V348" s="24"/>
      <c r="W348" s="24"/>
      <c r="X348" s="24"/>
      <c r="Y348" s="24"/>
      <c r="Z348" s="98" t="str">
        <f t="shared" si="64"/>
        <v/>
      </c>
      <c r="AA348" s="40" t="str">
        <f t="shared" si="70"/>
        <v/>
      </c>
      <c r="AB348" s="88"/>
      <c r="AC348" s="24"/>
      <c r="AD348" s="24"/>
      <c r="AE348" s="79" t="str">
        <f t="shared" si="65"/>
        <v/>
      </c>
      <c r="AF348" s="24"/>
      <c r="AG348" s="24"/>
      <c r="AH348" s="24"/>
      <c r="AI348" s="24"/>
      <c r="AJ348" s="99" t="str">
        <f t="shared" si="66"/>
        <v/>
      </c>
      <c r="AK348" s="31" t="str">
        <f t="shared" si="71"/>
        <v/>
      </c>
      <c r="AN348" s="139" t="str">
        <f>IF($K348="","",VLOOKUP($K348,'ORF Accuracy Value LookUp'!$G$4:$H$104,2,TRUE))</f>
        <v/>
      </c>
      <c r="AO348" s="94" t="str">
        <f t="shared" si="67"/>
        <v/>
      </c>
      <c r="AP348" s="47" t="str">
        <f>IF($U348="","",VLOOKUP($U348,'ORF Accuracy Value LookUp'!$G$4:$H$104,2,TRUE))</f>
        <v/>
      </c>
      <c r="AQ348" s="94" t="str">
        <f t="shared" si="68"/>
        <v/>
      </c>
      <c r="AR348" s="46" t="str">
        <f>IF($AE348="","",VLOOKUP($AE348,'ORF Accuracy Value LookUp'!$G$4:$H$104,2,TRUE))</f>
        <v/>
      </c>
      <c r="AS348" s="140" t="str">
        <f t="shared" si="69"/>
        <v/>
      </c>
    </row>
    <row r="349" spans="1:45">
      <c r="A349" s="10"/>
      <c r="B349" s="9"/>
      <c r="C349" s="9"/>
      <c r="D349" s="9"/>
      <c r="E349" s="10"/>
      <c r="F349" s="11"/>
      <c r="G349" s="15"/>
      <c r="H349" s="88"/>
      <c r="I349" s="24"/>
      <c r="J349" s="24"/>
      <c r="K349" s="114" t="str">
        <f t="shared" si="60"/>
        <v/>
      </c>
      <c r="L349" s="24"/>
      <c r="M349" s="24"/>
      <c r="N349" s="24"/>
      <c r="O349" s="24"/>
      <c r="P349" s="97" t="str">
        <f t="shared" si="61"/>
        <v/>
      </c>
      <c r="Q349" s="113" t="str">
        <f t="shared" si="62"/>
        <v/>
      </c>
      <c r="R349" s="88"/>
      <c r="S349" s="24"/>
      <c r="T349" s="24"/>
      <c r="U349" s="78" t="str">
        <f t="shared" si="63"/>
        <v/>
      </c>
      <c r="V349" s="24"/>
      <c r="W349" s="24"/>
      <c r="X349" s="24"/>
      <c r="Y349" s="24"/>
      <c r="Z349" s="98" t="str">
        <f t="shared" si="64"/>
        <v/>
      </c>
      <c r="AA349" s="40" t="str">
        <f t="shared" si="70"/>
        <v/>
      </c>
      <c r="AB349" s="88"/>
      <c r="AC349" s="24"/>
      <c r="AD349" s="24"/>
      <c r="AE349" s="79" t="str">
        <f t="shared" si="65"/>
        <v/>
      </c>
      <c r="AF349" s="24"/>
      <c r="AG349" s="24"/>
      <c r="AH349" s="24"/>
      <c r="AI349" s="24"/>
      <c r="AJ349" s="99" t="str">
        <f t="shared" si="66"/>
        <v/>
      </c>
      <c r="AK349" s="31" t="str">
        <f t="shared" si="71"/>
        <v/>
      </c>
      <c r="AN349" s="139" t="str">
        <f>IF($K349="","",VLOOKUP($K349,'ORF Accuracy Value LookUp'!$G$4:$H$104,2,TRUE))</f>
        <v/>
      </c>
      <c r="AO349" s="94" t="str">
        <f t="shared" si="67"/>
        <v/>
      </c>
      <c r="AP349" s="47" t="str">
        <f>IF($U349="","",VLOOKUP($U349,'ORF Accuracy Value LookUp'!$G$4:$H$104,2,TRUE))</f>
        <v/>
      </c>
      <c r="AQ349" s="94" t="str">
        <f t="shared" si="68"/>
        <v/>
      </c>
      <c r="AR349" s="46" t="str">
        <f>IF($AE349="","",VLOOKUP($AE349,'ORF Accuracy Value LookUp'!$G$4:$H$104,2,TRUE))</f>
        <v/>
      </c>
      <c r="AS349" s="140" t="str">
        <f t="shared" si="69"/>
        <v/>
      </c>
    </row>
    <row r="350" spans="1:45">
      <c r="A350" s="10"/>
      <c r="B350" s="9"/>
      <c r="C350" s="9"/>
      <c r="D350" s="9"/>
      <c r="E350" s="10"/>
      <c r="F350" s="11"/>
      <c r="G350" s="15"/>
      <c r="H350" s="88"/>
      <c r="I350" s="24"/>
      <c r="J350" s="24"/>
      <c r="K350" s="114" t="str">
        <f t="shared" si="60"/>
        <v/>
      </c>
      <c r="L350" s="24"/>
      <c r="M350" s="24"/>
      <c r="N350" s="24"/>
      <c r="O350" s="24"/>
      <c r="P350" s="97" t="str">
        <f t="shared" si="61"/>
        <v/>
      </c>
      <c r="Q350" s="113" t="str">
        <f t="shared" si="62"/>
        <v/>
      </c>
      <c r="R350" s="88"/>
      <c r="S350" s="24"/>
      <c r="T350" s="24"/>
      <c r="U350" s="78" t="str">
        <f t="shared" si="63"/>
        <v/>
      </c>
      <c r="V350" s="24"/>
      <c r="W350" s="24"/>
      <c r="X350" s="24"/>
      <c r="Y350" s="24"/>
      <c r="Z350" s="98" t="str">
        <f t="shared" si="64"/>
        <v/>
      </c>
      <c r="AA350" s="40" t="str">
        <f t="shared" si="70"/>
        <v/>
      </c>
      <c r="AB350" s="88"/>
      <c r="AC350" s="24"/>
      <c r="AD350" s="24"/>
      <c r="AE350" s="79" t="str">
        <f t="shared" si="65"/>
        <v/>
      </c>
      <c r="AF350" s="24"/>
      <c r="AG350" s="24"/>
      <c r="AH350" s="24"/>
      <c r="AI350" s="24"/>
      <c r="AJ350" s="99" t="str">
        <f t="shared" si="66"/>
        <v/>
      </c>
      <c r="AK350" s="31" t="str">
        <f t="shared" si="71"/>
        <v/>
      </c>
      <c r="AN350" s="139" t="str">
        <f>IF($K350="","",VLOOKUP($K350,'ORF Accuracy Value LookUp'!$G$4:$H$104,2,TRUE))</f>
        <v/>
      </c>
      <c r="AO350" s="94" t="str">
        <f t="shared" si="67"/>
        <v/>
      </c>
      <c r="AP350" s="47" t="str">
        <f>IF($U350="","",VLOOKUP($U350,'ORF Accuracy Value LookUp'!$G$4:$H$104,2,TRUE))</f>
        <v/>
      </c>
      <c r="AQ350" s="94" t="str">
        <f t="shared" si="68"/>
        <v/>
      </c>
      <c r="AR350" s="46" t="str">
        <f>IF($AE350="","",VLOOKUP($AE350,'ORF Accuracy Value LookUp'!$G$4:$H$104,2,TRUE))</f>
        <v/>
      </c>
      <c r="AS350" s="140" t="str">
        <f t="shared" si="69"/>
        <v/>
      </c>
    </row>
    <row r="351" spans="1:45">
      <c r="A351" s="10"/>
      <c r="B351" s="9"/>
      <c r="C351" s="9"/>
      <c r="D351" s="9"/>
      <c r="E351" s="10"/>
      <c r="F351" s="11"/>
      <c r="G351" s="15"/>
      <c r="H351" s="88"/>
      <c r="I351" s="24"/>
      <c r="J351" s="24"/>
      <c r="K351" s="114" t="str">
        <f t="shared" si="60"/>
        <v/>
      </c>
      <c r="L351" s="24"/>
      <c r="M351" s="24"/>
      <c r="N351" s="24"/>
      <c r="O351" s="24"/>
      <c r="P351" s="97" t="str">
        <f t="shared" si="61"/>
        <v/>
      </c>
      <c r="Q351" s="113" t="str">
        <f t="shared" si="62"/>
        <v/>
      </c>
      <c r="R351" s="88"/>
      <c r="S351" s="24"/>
      <c r="T351" s="24"/>
      <c r="U351" s="78" t="str">
        <f t="shared" si="63"/>
        <v/>
      </c>
      <c r="V351" s="24"/>
      <c r="W351" s="24"/>
      <c r="X351" s="24"/>
      <c r="Y351" s="24"/>
      <c r="Z351" s="98" t="str">
        <f t="shared" si="64"/>
        <v/>
      </c>
      <c r="AA351" s="40" t="str">
        <f t="shared" si="70"/>
        <v/>
      </c>
      <c r="AB351" s="88"/>
      <c r="AC351" s="24"/>
      <c r="AD351" s="24"/>
      <c r="AE351" s="79" t="str">
        <f t="shared" si="65"/>
        <v/>
      </c>
      <c r="AF351" s="24"/>
      <c r="AG351" s="24"/>
      <c r="AH351" s="24"/>
      <c r="AI351" s="24"/>
      <c r="AJ351" s="99" t="str">
        <f t="shared" si="66"/>
        <v/>
      </c>
      <c r="AK351" s="31" t="str">
        <f t="shared" si="71"/>
        <v/>
      </c>
      <c r="AN351" s="139" t="str">
        <f>IF($K351="","",VLOOKUP($K351,'ORF Accuracy Value LookUp'!$G$4:$H$104,2,TRUE))</f>
        <v/>
      </c>
      <c r="AO351" s="94" t="str">
        <f t="shared" si="67"/>
        <v/>
      </c>
      <c r="AP351" s="47" t="str">
        <f>IF($U351="","",VLOOKUP($U351,'ORF Accuracy Value LookUp'!$G$4:$H$104,2,TRUE))</f>
        <v/>
      </c>
      <c r="AQ351" s="94" t="str">
        <f t="shared" si="68"/>
        <v/>
      </c>
      <c r="AR351" s="46" t="str">
        <f>IF($AE351="","",VLOOKUP($AE351,'ORF Accuracy Value LookUp'!$G$4:$H$104,2,TRUE))</f>
        <v/>
      </c>
      <c r="AS351" s="140" t="str">
        <f t="shared" si="69"/>
        <v/>
      </c>
    </row>
    <row r="352" spans="1:45">
      <c r="A352" s="10"/>
      <c r="B352" s="9"/>
      <c r="C352" s="9"/>
      <c r="D352" s="9"/>
      <c r="E352" s="10"/>
      <c r="F352" s="11"/>
      <c r="G352" s="15"/>
      <c r="H352" s="88"/>
      <c r="I352" s="24"/>
      <c r="J352" s="24"/>
      <c r="K352" s="114" t="str">
        <f t="shared" si="60"/>
        <v/>
      </c>
      <c r="L352" s="24"/>
      <c r="M352" s="24"/>
      <c r="N352" s="24"/>
      <c r="O352" s="24"/>
      <c r="P352" s="97" t="str">
        <f t="shared" si="61"/>
        <v/>
      </c>
      <c r="Q352" s="113" t="str">
        <f t="shared" si="62"/>
        <v/>
      </c>
      <c r="R352" s="88"/>
      <c r="S352" s="24"/>
      <c r="T352" s="24"/>
      <c r="U352" s="78" t="str">
        <f t="shared" si="63"/>
        <v/>
      </c>
      <c r="V352" s="24"/>
      <c r="W352" s="24"/>
      <c r="X352" s="24"/>
      <c r="Y352" s="24"/>
      <c r="Z352" s="98" t="str">
        <f t="shared" si="64"/>
        <v/>
      </c>
      <c r="AA352" s="40" t="str">
        <f t="shared" si="70"/>
        <v/>
      </c>
      <c r="AB352" s="88"/>
      <c r="AC352" s="24"/>
      <c r="AD352" s="24"/>
      <c r="AE352" s="79" t="str">
        <f t="shared" si="65"/>
        <v/>
      </c>
      <c r="AF352" s="24"/>
      <c r="AG352" s="24"/>
      <c r="AH352" s="24"/>
      <c r="AI352" s="24"/>
      <c r="AJ352" s="99" t="str">
        <f t="shared" si="66"/>
        <v/>
      </c>
      <c r="AK352" s="31" t="str">
        <f t="shared" si="71"/>
        <v/>
      </c>
      <c r="AN352" s="139" t="str">
        <f>IF($K352="","",VLOOKUP($K352,'ORF Accuracy Value LookUp'!$G$4:$H$104,2,TRUE))</f>
        <v/>
      </c>
      <c r="AO352" s="94" t="str">
        <f t="shared" si="67"/>
        <v/>
      </c>
      <c r="AP352" s="47" t="str">
        <f>IF($U352="","",VLOOKUP($U352,'ORF Accuracy Value LookUp'!$G$4:$H$104,2,TRUE))</f>
        <v/>
      </c>
      <c r="AQ352" s="94" t="str">
        <f t="shared" si="68"/>
        <v/>
      </c>
      <c r="AR352" s="46" t="str">
        <f>IF($AE352="","",VLOOKUP($AE352,'ORF Accuracy Value LookUp'!$G$4:$H$104,2,TRUE))</f>
        <v/>
      </c>
      <c r="AS352" s="140" t="str">
        <f t="shared" si="69"/>
        <v/>
      </c>
    </row>
    <row r="353" spans="1:45">
      <c r="A353" s="10"/>
      <c r="B353" s="9"/>
      <c r="C353" s="9"/>
      <c r="D353" s="9"/>
      <c r="E353" s="10"/>
      <c r="F353" s="11"/>
      <c r="G353" s="15"/>
      <c r="H353" s="88"/>
      <c r="I353" s="24"/>
      <c r="J353" s="24"/>
      <c r="K353" s="114" t="str">
        <f t="shared" si="60"/>
        <v/>
      </c>
      <c r="L353" s="24"/>
      <c r="M353" s="24"/>
      <c r="N353" s="24"/>
      <c r="O353" s="24"/>
      <c r="P353" s="97" t="str">
        <f t="shared" si="61"/>
        <v/>
      </c>
      <c r="Q353" s="113" t="str">
        <f t="shared" si="62"/>
        <v/>
      </c>
      <c r="R353" s="88"/>
      <c r="S353" s="24"/>
      <c r="T353" s="24"/>
      <c r="U353" s="78" t="str">
        <f t="shared" si="63"/>
        <v/>
      </c>
      <c r="V353" s="24"/>
      <c r="W353" s="24"/>
      <c r="X353" s="24"/>
      <c r="Y353" s="24"/>
      <c r="Z353" s="98" t="str">
        <f t="shared" si="64"/>
        <v/>
      </c>
      <c r="AA353" s="40" t="str">
        <f t="shared" si="70"/>
        <v/>
      </c>
      <c r="AB353" s="88"/>
      <c r="AC353" s="24"/>
      <c r="AD353" s="24"/>
      <c r="AE353" s="79" t="str">
        <f t="shared" si="65"/>
        <v/>
      </c>
      <c r="AF353" s="24"/>
      <c r="AG353" s="24"/>
      <c r="AH353" s="24"/>
      <c r="AI353" s="24"/>
      <c r="AJ353" s="99" t="str">
        <f t="shared" si="66"/>
        <v/>
      </c>
      <c r="AK353" s="31" t="str">
        <f t="shared" si="71"/>
        <v/>
      </c>
      <c r="AN353" s="139" t="str">
        <f>IF($K353="","",VLOOKUP($K353,'ORF Accuracy Value LookUp'!$G$4:$H$104,2,TRUE))</f>
        <v/>
      </c>
      <c r="AO353" s="94" t="str">
        <f t="shared" si="67"/>
        <v/>
      </c>
      <c r="AP353" s="47" t="str">
        <f>IF($U353="","",VLOOKUP($U353,'ORF Accuracy Value LookUp'!$G$4:$H$104,2,TRUE))</f>
        <v/>
      </c>
      <c r="AQ353" s="94" t="str">
        <f t="shared" si="68"/>
        <v/>
      </c>
      <c r="AR353" s="46" t="str">
        <f>IF($AE353="","",VLOOKUP($AE353,'ORF Accuracy Value LookUp'!$G$4:$H$104,2,TRUE))</f>
        <v/>
      </c>
      <c r="AS353" s="140" t="str">
        <f t="shared" si="69"/>
        <v/>
      </c>
    </row>
    <row r="354" spans="1:45">
      <c r="A354" s="10"/>
      <c r="B354" s="9"/>
      <c r="C354" s="9"/>
      <c r="D354" s="9"/>
      <c r="E354" s="10"/>
      <c r="F354" s="11"/>
      <c r="G354" s="15"/>
      <c r="H354" s="88"/>
      <c r="I354" s="24"/>
      <c r="J354" s="24"/>
      <c r="K354" s="114" t="str">
        <f t="shared" si="60"/>
        <v/>
      </c>
      <c r="L354" s="24"/>
      <c r="M354" s="24"/>
      <c r="N354" s="24"/>
      <c r="O354" s="24"/>
      <c r="P354" s="97" t="str">
        <f t="shared" si="61"/>
        <v/>
      </c>
      <c r="Q354" s="113" t="str">
        <f t="shared" si="62"/>
        <v/>
      </c>
      <c r="R354" s="88"/>
      <c r="S354" s="24"/>
      <c r="T354" s="24"/>
      <c r="U354" s="78" t="str">
        <f t="shared" si="63"/>
        <v/>
      </c>
      <c r="V354" s="24"/>
      <c r="W354" s="24"/>
      <c r="X354" s="24"/>
      <c r="Y354" s="24"/>
      <c r="Z354" s="98" t="str">
        <f t="shared" si="64"/>
        <v/>
      </c>
      <c r="AA354" s="40" t="str">
        <f t="shared" si="70"/>
        <v/>
      </c>
      <c r="AB354" s="88"/>
      <c r="AC354" s="24"/>
      <c r="AD354" s="24"/>
      <c r="AE354" s="79" t="str">
        <f t="shared" si="65"/>
        <v/>
      </c>
      <c r="AF354" s="24"/>
      <c r="AG354" s="24"/>
      <c r="AH354" s="24"/>
      <c r="AI354" s="24"/>
      <c r="AJ354" s="99" t="str">
        <f t="shared" si="66"/>
        <v/>
      </c>
      <c r="AK354" s="31" t="str">
        <f t="shared" si="71"/>
        <v/>
      </c>
      <c r="AN354" s="139" t="str">
        <f>IF($K354="","",VLOOKUP($K354,'ORF Accuracy Value LookUp'!$G$4:$H$104,2,TRUE))</f>
        <v/>
      </c>
      <c r="AO354" s="94" t="str">
        <f t="shared" si="67"/>
        <v/>
      </c>
      <c r="AP354" s="47" t="str">
        <f>IF($U354="","",VLOOKUP($U354,'ORF Accuracy Value LookUp'!$G$4:$H$104,2,TRUE))</f>
        <v/>
      </c>
      <c r="AQ354" s="94" t="str">
        <f t="shared" si="68"/>
        <v/>
      </c>
      <c r="AR354" s="46" t="str">
        <f>IF($AE354="","",VLOOKUP($AE354,'ORF Accuracy Value LookUp'!$G$4:$H$104,2,TRUE))</f>
        <v/>
      </c>
      <c r="AS354" s="140" t="str">
        <f t="shared" si="69"/>
        <v/>
      </c>
    </row>
    <row r="355" spans="1:45">
      <c r="A355" s="10"/>
      <c r="B355" s="9"/>
      <c r="C355" s="9"/>
      <c r="D355" s="9"/>
      <c r="E355" s="10"/>
      <c r="F355" s="11"/>
      <c r="G355" s="15"/>
      <c r="H355" s="88"/>
      <c r="I355" s="24"/>
      <c r="J355" s="24"/>
      <c r="K355" s="114" t="str">
        <f t="shared" si="60"/>
        <v/>
      </c>
      <c r="L355" s="24"/>
      <c r="M355" s="24"/>
      <c r="N355" s="24"/>
      <c r="O355" s="24"/>
      <c r="P355" s="97" t="str">
        <f t="shared" si="61"/>
        <v/>
      </c>
      <c r="Q355" s="113" t="str">
        <f t="shared" si="62"/>
        <v/>
      </c>
      <c r="R355" s="88"/>
      <c r="S355" s="24"/>
      <c r="T355" s="24"/>
      <c r="U355" s="78" t="str">
        <f t="shared" si="63"/>
        <v/>
      </c>
      <c r="V355" s="24"/>
      <c r="W355" s="24"/>
      <c r="X355" s="24"/>
      <c r="Y355" s="24"/>
      <c r="Z355" s="98" t="str">
        <f t="shared" si="64"/>
        <v/>
      </c>
      <c r="AA355" s="40" t="str">
        <f t="shared" si="70"/>
        <v/>
      </c>
      <c r="AB355" s="88"/>
      <c r="AC355" s="24"/>
      <c r="AD355" s="24"/>
      <c r="AE355" s="79" t="str">
        <f t="shared" si="65"/>
        <v/>
      </c>
      <c r="AF355" s="24"/>
      <c r="AG355" s="24"/>
      <c r="AH355" s="24"/>
      <c r="AI355" s="24"/>
      <c r="AJ355" s="99" t="str">
        <f t="shared" si="66"/>
        <v/>
      </c>
      <c r="AK355" s="31" t="str">
        <f t="shared" si="71"/>
        <v/>
      </c>
      <c r="AN355" s="139" t="str">
        <f>IF($K355="","",VLOOKUP($K355,'ORF Accuracy Value LookUp'!$G$4:$H$104,2,TRUE))</f>
        <v/>
      </c>
      <c r="AO355" s="94" t="str">
        <f t="shared" si="67"/>
        <v/>
      </c>
      <c r="AP355" s="47" t="str">
        <f>IF($U355="","",VLOOKUP($U355,'ORF Accuracy Value LookUp'!$G$4:$H$104,2,TRUE))</f>
        <v/>
      </c>
      <c r="AQ355" s="94" t="str">
        <f t="shared" si="68"/>
        <v/>
      </c>
      <c r="AR355" s="46" t="str">
        <f>IF($AE355="","",VLOOKUP($AE355,'ORF Accuracy Value LookUp'!$G$4:$H$104,2,TRUE))</f>
        <v/>
      </c>
      <c r="AS355" s="140" t="str">
        <f t="shared" si="69"/>
        <v/>
      </c>
    </row>
    <row r="356" spans="1:45">
      <c r="A356" s="10"/>
      <c r="B356" s="9"/>
      <c r="C356" s="9"/>
      <c r="D356" s="9"/>
      <c r="E356" s="10"/>
      <c r="F356" s="11"/>
      <c r="G356" s="15"/>
      <c r="H356" s="88"/>
      <c r="I356" s="24"/>
      <c r="J356" s="24"/>
      <c r="K356" s="114" t="str">
        <f t="shared" si="60"/>
        <v/>
      </c>
      <c r="L356" s="24"/>
      <c r="M356" s="24"/>
      <c r="N356" s="24"/>
      <c r="O356" s="24"/>
      <c r="P356" s="97" t="str">
        <f t="shared" si="61"/>
        <v/>
      </c>
      <c r="Q356" s="113" t="str">
        <f t="shared" si="62"/>
        <v/>
      </c>
      <c r="R356" s="88"/>
      <c r="S356" s="24"/>
      <c r="T356" s="24"/>
      <c r="U356" s="78" t="str">
        <f t="shared" si="63"/>
        <v/>
      </c>
      <c r="V356" s="24"/>
      <c r="W356" s="24"/>
      <c r="X356" s="24"/>
      <c r="Y356" s="24"/>
      <c r="Z356" s="98" t="str">
        <f t="shared" si="64"/>
        <v/>
      </c>
      <c r="AA356" s="40" t="str">
        <f t="shared" si="70"/>
        <v/>
      </c>
      <c r="AB356" s="88"/>
      <c r="AC356" s="24"/>
      <c r="AD356" s="24"/>
      <c r="AE356" s="79" t="str">
        <f t="shared" si="65"/>
        <v/>
      </c>
      <c r="AF356" s="24"/>
      <c r="AG356" s="24"/>
      <c r="AH356" s="24"/>
      <c r="AI356" s="24"/>
      <c r="AJ356" s="99" t="str">
        <f t="shared" si="66"/>
        <v/>
      </c>
      <c r="AK356" s="31" t="str">
        <f t="shared" si="71"/>
        <v/>
      </c>
      <c r="AN356" s="139" t="str">
        <f>IF($K356="","",VLOOKUP($K356,'ORF Accuracy Value LookUp'!$G$4:$H$104,2,TRUE))</f>
        <v/>
      </c>
      <c r="AO356" s="94" t="str">
        <f t="shared" si="67"/>
        <v/>
      </c>
      <c r="AP356" s="47" t="str">
        <f>IF($U356="","",VLOOKUP($U356,'ORF Accuracy Value LookUp'!$G$4:$H$104,2,TRUE))</f>
        <v/>
      </c>
      <c r="AQ356" s="94" t="str">
        <f t="shared" si="68"/>
        <v/>
      </c>
      <c r="AR356" s="46" t="str">
        <f>IF($AE356="","",VLOOKUP($AE356,'ORF Accuracy Value LookUp'!$G$4:$H$104,2,TRUE))</f>
        <v/>
      </c>
      <c r="AS356" s="140" t="str">
        <f t="shared" si="69"/>
        <v/>
      </c>
    </row>
    <row r="357" spans="1:45">
      <c r="A357" s="10"/>
      <c r="B357" s="9"/>
      <c r="C357" s="9"/>
      <c r="D357" s="9"/>
      <c r="E357" s="10"/>
      <c r="F357" s="11"/>
      <c r="G357" s="15"/>
      <c r="H357" s="88"/>
      <c r="I357" s="24"/>
      <c r="J357" s="24"/>
      <c r="K357" s="114" t="str">
        <f t="shared" si="60"/>
        <v/>
      </c>
      <c r="L357" s="24"/>
      <c r="M357" s="24"/>
      <c r="N357" s="24"/>
      <c r="O357" s="24"/>
      <c r="P357" s="97" t="str">
        <f t="shared" si="61"/>
        <v/>
      </c>
      <c r="Q357" s="113" t="str">
        <f t="shared" si="62"/>
        <v/>
      </c>
      <c r="R357" s="88"/>
      <c r="S357" s="24"/>
      <c r="T357" s="24"/>
      <c r="U357" s="78" t="str">
        <f t="shared" si="63"/>
        <v/>
      </c>
      <c r="V357" s="24"/>
      <c r="W357" s="24"/>
      <c r="X357" s="24"/>
      <c r="Y357" s="24"/>
      <c r="Z357" s="98" t="str">
        <f t="shared" si="64"/>
        <v/>
      </c>
      <c r="AA357" s="40" t="str">
        <f t="shared" si="70"/>
        <v/>
      </c>
      <c r="AB357" s="88"/>
      <c r="AC357" s="24"/>
      <c r="AD357" s="24"/>
      <c r="AE357" s="79" t="str">
        <f t="shared" si="65"/>
        <v/>
      </c>
      <c r="AF357" s="24"/>
      <c r="AG357" s="24"/>
      <c r="AH357" s="24"/>
      <c r="AI357" s="24"/>
      <c r="AJ357" s="99" t="str">
        <f t="shared" si="66"/>
        <v/>
      </c>
      <c r="AK357" s="31" t="str">
        <f t="shared" si="71"/>
        <v/>
      </c>
      <c r="AN357" s="139" t="str">
        <f>IF($K357="","",VLOOKUP($K357,'ORF Accuracy Value LookUp'!$G$4:$H$104,2,TRUE))</f>
        <v/>
      </c>
      <c r="AO357" s="94" t="str">
        <f t="shared" si="67"/>
        <v/>
      </c>
      <c r="AP357" s="47" t="str">
        <f>IF($U357="","",VLOOKUP($U357,'ORF Accuracy Value LookUp'!$G$4:$H$104,2,TRUE))</f>
        <v/>
      </c>
      <c r="AQ357" s="94" t="str">
        <f t="shared" si="68"/>
        <v/>
      </c>
      <c r="AR357" s="46" t="str">
        <f>IF($AE357="","",VLOOKUP($AE357,'ORF Accuracy Value LookUp'!$G$4:$H$104,2,TRUE))</f>
        <v/>
      </c>
      <c r="AS357" s="140" t="str">
        <f t="shared" si="69"/>
        <v/>
      </c>
    </row>
    <row r="358" spans="1:45">
      <c r="A358" s="10"/>
      <c r="B358" s="9"/>
      <c r="C358" s="9"/>
      <c r="D358" s="9"/>
      <c r="E358" s="10"/>
      <c r="F358" s="11"/>
      <c r="G358" s="15"/>
      <c r="H358" s="88"/>
      <c r="I358" s="24"/>
      <c r="J358" s="24"/>
      <c r="K358" s="114" t="str">
        <f t="shared" si="60"/>
        <v/>
      </c>
      <c r="L358" s="24"/>
      <c r="M358" s="24"/>
      <c r="N358" s="24"/>
      <c r="O358" s="24"/>
      <c r="P358" s="97" t="str">
        <f t="shared" si="61"/>
        <v/>
      </c>
      <c r="Q358" s="113" t="str">
        <f t="shared" si="62"/>
        <v/>
      </c>
      <c r="R358" s="88"/>
      <c r="S358" s="24"/>
      <c r="T358" s="24"/>
      <c r="U358" s="78" t="str">
        <f t="shared" si="63"/>
        <v/>
      </c>
      <c r="V358" s="24"/>
      <c r="W358" s="24"/>
      <c r="X358" s="24"/>
      <c r="Y358" s="24"/>
      <c r="Z358" s="98" t="str">
        <f t="shared" si="64"/>
        <v/>
      </c>
      <c r="AA358" s="40" t="str">
        <f t="shared" si="70"/>
        <v/>
      </c>
      <c r="AB358" s="88"/>
      <c r="AC358" s="24"/>
      <c r="AD358" s="24"/>
      <c r="AE358" s="79" t="str">
        <f t="shared" si="65"/>
        <v/>
      </c>
      <c r="AF358" s="24"/>
      <c r="AG358" s="24"/>
      <c r="AH358" s="24"/>
      <c r="AI358" s="24"/>
      <c r="AJ358" s="99" t="str">
        <f t="shared" si="66"/>
        <v/>
      </c>
      <c r="AK358" s="31" t="str">
        <f t="shared" si="71"/>
        <v/>
      </c>
      <c r="AN358" s="139" t="str">
        <f>IF($K358="","",VLOOKUP($K358,'ORF Accuracy Value LookUp'!$G$4:$H$104,2,TRUE))</f>
        <v/>
      </c>
      <c r="AO358" s="94" t="str">
        <f t="shared" si="67"/>
        <v/>
      </c>
      <c r="AP358" s="47" t="str">
        <f>IF($U358="","",VLOOKUP($U358,'ORF Accuracy Value LookUp'!$G$4:$H$104,2,TRUE))</f>
        <v/>
      </c>
      <c r="AQ358" s="94" t="str">
        <f t="shared" si="68"/>
        <v/>
      </c>
      <c r="AR358" s="46" t="str">
        <f>IF($AE358="","",VLOOKUP($AE358,'ORF Accuracy Value LookUp'!$G$4:$H$104,2,TRUE))</f>
        <v/>
      </c>
      <c r="AS358" s="140" t="str">
        <f t="shared" si="69"/>
        <v/>
      </c>
    </row>
    <row r="359" spans="1:45">
      <c r="A359" s="10"/>
      <c r="B359" s="9"/>
      <c r="C359" s="9"/>
      <c r="D359" s="9"/>
      <c r="E359" s="10"/>
      <c r="F359" s="11"/>
      <c r="G359" s="15"/>
      <c r="H359" s="88"/>
      <c r="I359" s="24"/>
      <c r="J359" s="24"/>
      <c r="K359" s="114" t="str">
        <f t="shared" si="60"/>
        <v/>
      </c>
      <c r="L359" s="24"/>
      <c r="M359" s="24"/>
      <c r="N359" s="24"/>
      <c r="O359" s="24"/>
      <c r="P359" s="97" t="str">
        <f t="shared" si="61"/>
        <v/>
      </c>
      <c r="Q359" s="113" t="str">
        <f t="shared" si="62"/>
        <v/>
      </c>
      <c r="R359" s="88"/>
      <c r="S359" s="24"/>
      <c r="T359" s="24"/>
      <c r="U359" s="78" t="str">
        <f t="shared" si="63"/>
        <v/>
      </c>
      <c r="V359" s="24"/>
      <c r="W359" s="24"/>
      <c r="X359" s="24"/>
      <c r="Y359" s="24"/>
      <c r="Z359" s="98" t="str">
        <f t="shared" si="64"/>
        <v/>
      </c>
      <c r="AA359" s="40" t="str">
        <f t="shared" si="70"/>
        <v/>
      </c>
      <c r="AB359" s="88"/>
      <c r="AC359" s="24"/>
      <c r="AD359" s="24"/>
      <c r="AE359" s="79" t="str">
        <f t="shared" si="65"/>
        <v/>
      </c>
      <c r="AF359" s="24"/>
      <c r="AG359" s="24"/>
      <c r="AH359" s="24"/>
      <c r="AI359" s="24"/>
      <c r="AJ359" s="99" t="str">
        <f t="shared" si="66"/>
        <v/>
      </c>
      <c r="AK359" s="31" t="str">
        <f t="shared" si="71"/>
        <v/>
      </c>
      <c r="AN359" s="139" t="str">
        <f>IF($K359="","",VLOOKUP($K359,'ORF Accuracy Value LookUp'!$G$4:$H$104,2,TRUE))</f>
        <v/>
      </c>
      <c r="AO359" s="94" t="str">
        <f t="shared" si="67"/>
        <v/>
      </c>
      <c r="AP359" s="47" t="str">
        <f>IF($U359="","",VLOOKUP($U359,'ORF Accuracy Value LookUp'!$G$4:$H$104,2,TRUE))</f>
        <v/>
      </c>
      <c r="AQ359" s="94" t="str">
        <f t="shared" si="68"/>
        <v/>
      </c>
      <c r="AR359" s="46" t="str">
        <f>IF($AE359="","",VLOOKUP($AE359,'ORF Accuracy Value LookUp'!$G$4:$H$104,2,TRUE))</f>
        <v/>
      </c>
      <c r="AS359" s="140" t="str">
        <f t="shared" si="69"/>
        <v/>
      </c>
    </row>
    <row r="360" spans="1:45">
      <c r="A360" s="10"/>
      <c r="B360" s="9"/>
      <c r="C360" s="9"/>
      <c r="D360" s="9"/>
      <c r="E360" s="10"/>
      <c r="F360" s="11"/>
      <c r="G360" s="15"/>
      <c r="H360" s="88"/>
      <c r="I360" s="24"/>
      <c r="J360" s="24"/>
      <c r="K360" s="114" t="str">
        <f t="shared" si="60"/>
        <v/>
      </c>
      <c r="L360" s="24"/>
      <c r="M360" s="24"/>
      <c r="N360" s="24"/>
      <c r="O360" s="24"/>
      <c r="P360" s="97" t="str">
        <f t="shared" si="61"/>
        <v/>
      </c>
      <c r="Q360" s="113" t="str">
        <f t="shared" si="62"/>
        <v/>
      </c>
      <c r="R360" s="88"/>
      <c r="S360" s="24"/>
      <c r="T360" s="24"/>
      <c r="U360" s="78" t="str">
        <f t="shared" si="63"/>
        <v/>
      </c>
      <c r="V360" s="24"/>
      <c r="W360" s="24"/>
      <c r="X360" s="24"/>
      <c r="Y360" s="24"/>
      <c r="Z360" s="98" t="str">
        <f t="shared" si="64"/>
        <v/>
      </c>
      <c r="AA360" s="40" t="str">
        <f t="shared" si="70"/>
        <v/>
      </c>
      <c r="AB360" s="88"/>
      <c r="AC360" s="24"/>
      <c r="AD360" s="24"/>
      <c r="AE360" s="79" t="str">
        <f t="shared" si="65"/>
        <v/>
      </c>
      <c r="AF360" s="24"/>
      <c r="AG360" s="24"/>
      <c r="AH360" s="24"/>
      <c r="AI360" s="24"/>
      <c r="AJ360" s="99" t="str">
        <f t="shared" si="66"/>
        <v/>
      </c>
      <c r="AK360" s="31" t="str">
        <f t="shared" si="71"/>
        <v/>
      </c>
      <c r="AN360" s="139" t="str">
        <f>IF($K360="","",VLOOKUP($K360,'ORF Accuracy Value LookUp'!$G$4:$H$104,2,TRUE))</f>
        <v/>
      </c>
      <c r="AO360" s="94" t="str">
        <f t="shared" si="67"/>
        <v/>
      </c>
      <c r="AP360" s="47" t="str">
        <f>IF($U360="","",VLOOKUP($U360,'ORF Accuracy Value LookUp'!$G$4:$H$104,2,TRUE))</f>
        <v/>
      </c>
      <c r="AQ360" s="94" t="str">
        <f t="shared" si="68"/>
        <v/>
      </c>
      <c r="AR360" s="46" t="str">
        <f>IF($AE360="","",VLOOKUP($AE360,'ORF Accuracy Value LookUp'!$G$4:$H$104,2,TRUE))</f>
        <v/>
      </c>
      <c r="AS360" s="140" t="str">
        <f t="shared" si="69"/>
        <v/>
      </c>
    </row>
    <row r="361" spans="1:45">
      <c r="A361" s="10"/>
      <c r="B361" s="9"/>
      <c r="C361" s="9"/>
      <c r="D361" s="9"/>
      <c r="E361" s="10"/>
      <c r="F361" s="11"/>
      <c r="G361" s="15"/>
      <c r="H361" s="88"/>
      <c r="I361" s="24"/>
      <c r="J361" s="24"/>
      <c r="K361" s="114" t="str">
        <f t="shared" si="60"/>
        <v/>
      </c>
      <c r="L361" s="24"/>
      <c r="M361" s="24"/>
      <c r="N361" s="24"/>
      <c r="O361" s="24"/>
      <c r="P361" s="97" t="str">
        <f t="shared" si="61"/>
        <v/>
      </c>
      <c r="Q361" s="113" t="str">
        <f t="shared" si="62"/>
        <v/>
      </c>
      <c r="R361" s="88"/>
      <c r="S361" s="24"/>
      <c r="T361" s="24"/>
      <c r="U361" s="78" t="str">
        <f t="shared" si="63"/>
        <v/>
      </c>
      <c r="V361" s="24"/>
      <c r="W361" s="24"/>
      <c r="X361" s="24"/>
      <c r="Y361" s="24"/>
      <c r="Z361" s="98" t="str">
        <f t="shared" si="64"/>
        <v/>
      </c>
      <c r="AA361" s="40" t="str">
        <f t="shared" si="70"/>
        <v/>
      </c>
      <c r="AB361" s="88"/>
      <c r="AC361" s="24"/>
      <c r="AD361" s="24"/>
      <c r="AE361" s="79" t="str">
        <f t="shared" si="65"/>
        <v/>
      </c>
      <c r="AF361" s="24"/>
      <c r="AG361" s="24"/>
      <c r="AH361" s="24"/>
      <c r="AI361" s="24"/>
      <c r="AJ361" s="99" t="str">
        <f t="shared" si="66"/>
        <v/>
      </c>
      <c r="AK361" s="31" t="str">
        <f t="shared" si="71"/>
        <v/>
      </c>
      <c r="AN361" s="139" t="str">
        <f>IF($K361="","",VLOOKUP($K361,'ORF Accuracy Value LookUp'!$G$4:$H$104,2,TRUE))</f>
        <v/>
      </c>
      <c r="AO361" s="94" t="str">
        <f t="shared" si="67"/>
        <v/>
      </c>
      <c r="AP361" s="47" t="str">
        <f>IF($U361="","",VLOOKUP($U361,'ORF Accuracy Value LookUp'!$G$4:$H$104,2,TRUE))</f>
        <v/>
      </c>
      <c r="AQ361" s="94" t="str">
        <f t="shared" si="68"/>
        <v/>
      </c>
      <c r="AR361" s="46" t="str">
        <f>IF($AE361="","",VLOOKUP($AE361,'ORF Accuracy Value LookUp'!$G$4:$H$104,2,TRUE))</f>
        <v/>
      </c>
      <c r="AS361" s="140" t="str">
        <f t="shared" si="69"/>
        <v/>
      </c>
    </row>
    <row r="362" spans="1:45">
      <c r="A362" s="10"/>
      <c r="B362" s="9"/>
      <c r="C362" s="9"/>
      <c r="D362" s="9"/>
      <c r="E362" s="10"/>
      <c r="F362" s="11"/>
      <c r="G362" s="15"/>
      <c r="H362" s="88"/>
      <c r="I362" s="24"/>
      <c r="J362" s="24"/>
      <c r="K362" s="114" t="str">
        <f t="shared" si="60"/>
        <v/>
      </c>
      <c r="L362" s="24"/>
      <c r="M362" s="24"/>
      <c r="N362" s="24"/>
      <c r="O362" s="24"/>
      <c r="P362" s="97" t="str">
        <f t="shared" si="61"/>
        <v/>
      </c>
      <c r="Q362" s="113" t="str">
        <f t="shared" si="62"/>
        <v/>
      </c>
      <c r="R362" s="88"/>
      <c r="S362" s="24"/>
      <c r="T362" s="24"/>
      <c r="U362" s="78" t="str">
        <f t="shared" si="63"/>
        <v/>
      </c>
      <c r="V362" s="24"/>
      <c r="W362" s="24"/>
      <c r="X362" s="24"/>
      <c r="Y362" s="24"/>
      <c r="Z362" s="98" t="str">
        <f t="shared" si="64"/>
        <v/>
      </c>
      <c r="AA362" s="40" t="str">
        <f t="shared" si="70"/>
        <v/>
      </c>
      <c r="AB362" s="88"/>
      <c r="AC362" s="24"/>
      <c r="AD362" s="24"/>
      <c r="AE362" s="79" t="str">
        <f t="shared" si="65"/>
        <v/>
      </c>
      <c r="AF362" s="24"/>
      <c r="AG362" s="24"/>
      <c r="AH362" s="24"/>
      <c r="AI362" s="24"/>
      <c r="AJ362" s="99" t="str">
        <f t="shared" si="66"/>
        <v/>
      </c>
      <c r="AK362" s="31" t="str">
        <f t="shared" si="71"/>
        <v/>
      </c>
      <c r="AN362" s="139" t="str">
        <f>IF($K362="","",VLOOKUP($K362,'ORF Accuracy Value LookUp'!$G$4:$H$104,2,TRUE))</f>
        <v/>
      </c>
      <c r="AO362" s="94" t="str">
        <f t="shared" si="67"/>
        <v/>
      </c>
      <c r="AP362" s="47" t="str">
        <f>IF($U362="","",VLOOKUP($U362,'ORF Accuracy Value LookUp'!$G$4:$H$104,2,TRUE))</f>
        <v/>
      </c>
      <c r="AQ362" s="94" t="str">
        <f t="shared" si="68"/>
        <v/>
      </c>
      <c r="AR362" s="46" t="str">
        <f>IF($AE362="","",VLOOKUP($AE362,'ORF Accuracy Value LookUp'!$G$4:$H$104,2,TRUE))</f>
        <v/>
      </c>
      <c r="AS362" s="140" t="str">
        <f t="shared" si="69"/>
        <v/>
      </c>
    </row>
    <row r="363" spans="1:45">
      <c r="A363" s="10"/>
      <c r="B363" s="9"/>
      <c r="C363" s="9"/>
      <c r="D363" s="9"/>
      <c r="E363" s="10"/>
      <c r="F363" s="11"/>
      <c r="G363" s="15"/>
      <c r="H363" s="88"/>
      <c r="I363" s="24"/>
      <c r="J363" s="24"/>
      <c r="K363" s="114" t="str">
        <f t="shared" si="60"/>
        <v/>
      </c>
      <c r="L363" s="24"/>
      <c r="M363" s="24"/>
      <c r="N363" s="24"/>
      <c r="O363" s="24"/>
      <c r="P363" s="97" t="str">
        <f t="shared" si="61"/>
        <v/>
      </c>
      <c r="Q363" s="113" t="str">
        <f t="shared" si="62"/>
        <v/>
      </c>
      <c r="R363" s="88"/>
      <c r="S363" s="24"/>
      <c r="T363" s="24"/>
      <c r="U363" s="78" t="str">
        <f t="shared" si="63"/>
        <v/>
      </c>
      <c r="V363" s="24"/>
      <c r="W363" s="24"/>
      <c r="X363" s="24"/>
      <c r="Y363" s="24"/>
      <c r="Z363" s="98" t="str">
        <f t="shared" si="64"/>
        <v/>
      </c>
      <c r="AA363" s="40" t="str">
        <f t="shared" si="70"/>
        <v/>
      </c>
      <c r="AB363" s="88"/>
      <c r="AC363" s="24"/>
      <c r="AD363" s="24"/>
      <c r="AE363" s="79" t="str">
        <f t="shared" si="65"/>
        <v/>
      </c>
      <c r="AF363" s="24"/>
      <c r="AG363" s="24"/>
      <c r="AH363" s="24"/>
      <c r="AI363" s="24"/>
      <c r="AJ363" s="99" t="str">
        <f t="shared" si="66"/>
        <v/>
      </c>
      <c r="AK363" s="31" t="str">
        <f t="shared" si="71"/>
        <v/>
      </c>
      <c r="AN363" s="139" t="str">
        <f>IF($K363="","",VLOOKUP($K363,'ORF Accuracy Value LookUp'!$G$4:$H$104,2,TRUE))</f>
        <v/>
      </c>
      <c r="AO363" s="94" t="str">
        <f t="shared" si="67"/>
        <v/>
      </c>
      <c r="AP363" s="47" t="str">
        <f>IF($U363="","",VLOOKUP($U363,'ORF Accuracy Value LookUp'!$G$4:$H$104,2,TRUE))</f>
        <v/>
      </c>
      <c r="AQ363" s="94" t="str">
        <f t="shared" si="68"/>
        <v/>
      </c>
      <c r="AR363" s="46" t="str">
        <f>IF($AE363="","",VLOOKUP($AE363,'ORF Accuracy Value LookUp'!$G$4:$H$104,2,TRUE))</f>
        <v/>
      </c>
      <c r="AS363" s="140" t="str">
        <f t="shared" si="69"/>
        <v/>
      </c>
    </row>
    <row r="364" spans="1:45">
      <c r="A364" s="10"/>
      <c r="B364" s="9"/>
      <c r="C364" s="9"/>
      <c r="D364" s="9"/>
      <c r="E364" s="10"/>
      <c r="F364" s="11"/>
      <c r="G364" s="15"/>
      <c r="H364" s="88"/>
      <c r="I364" s="24"/>
      <c r="J364" s="24"/>
      <c r="K364" s="114" t="str">
        <f t="shared" si="60"/>
        <v/>
      </c>
      <c r="L364" s="24"/>
      <c r="M364" s="24"/>
      <c r="N364" s="24"/>
      <c r="O364" s="24"/>
      <c r="P364" s="97" t="str">
        <f t="shared" si="61"/>
        <v/>
      </c>
      <c r="Q364" s="113" t="str">
        <f t="shared" si="62"/>
        <v/>
      </c>
      <c r="R364" s="88"/>
      <c r="S364" s="24"/>
      <c r="T364" s="24"/>
      <c r="U364" s="78" t="str">
        <f t="shared" si="63"/>
        <v/>
      </c>
      <c r="V364" s="24"/>
      <c r="W364" s="24"/>
      <c r="X364" s="24"/>
      <c r="Y364" s="24"/>
      <c r="Z364" s="98" t="str">
        <f t="shared" si="64"/>
        <v/>
      </c>
      <c r="AA364" s="40" t="str">
        <f t="shared" si="70"/>
        <v/>
      </c>
      <c r="AB364" s="88"/>
      <c r="AC364" s="24"/>
      <c r="AD364" s="24"/>
      <c r="AE364" s="79" t="str">
        <f t="shared" si="65"/>
        <v/>
      </c>
      <c r="AF364" s="24"/>
      <c r="AG364" s="24"/>
      <c r="AH364" s="24"/>
      <c r="AI364" s="24"/>
      <c r="AJ364" s="99" t="str">
        <f t="shared" si="66"/>
        <v/>
      </c>
      <c r="AK364" s="31" t="str">
        <f t="shared" si="71"/>
        <v/>
      </c>
      <c r="AN364" s="139" t="str">
        <f>IF($K364="","",VLOOKUP($K364,'ORF Accuracy Value LookUp'!$G$4:$H$104,2,TRUE))</f>
        <v/>
      </c>
      <c r="AO364" s="94" t="str">
        <f t="shared" si="67"/>
        <v/>
      </c>
      <c r="AP364" s="47" t="str">
        <f>IF($U364="","",VLOOKUP($U364,'ORF Accuracy Value LookUp'!$G$4:$H$104,2,TRUE))</f>
        <v/>
      </c>
      <c r="AQ364" s="94" t="str">
        <f t="shared" si="68"/>
        <v/>
      </c>
      <c r="AR364" s="46" t="str">
        <f>IF($AE364="","",VLOOKUP($AE364,'ORF Accuracy Value LookUp'!$G$4:$H$104,2,TRUE))</f>
        <v/>
      </c>
      <c r="AS364" s="140" t="str">
        <f t="shared" si="69"/>
        <v/>
      </c>
    </row>
    <row r="365" spans="1:45">
      <c r="A365" s="10"/>
      <c r="B365" s="9"/>
      <c r="C365" s="9"/>
      <c r="D365" s="9"/>
      <c r="E365" s="10"/>
      <c r="F365" s="11"/>
      <c r="G365" s="15"/>
      <c r="H365" s="88"/>
      <c r="I365" s="24"/>
      <c r="J365" s="24"/>
      <c r="K365" s="114" t="str">
        <f t="shared" si="60"/>
        <v/>
      </c>
      <c r="L365" s="24"/>
      <c r="M365" s="24"/>
      <c r="N365" s="24"/>
      <c r="O365" s="24"/>
      <c r="P365" s="97" t="str">
        <f t="shared" si="61"/>
        <v/>
      </c>
      <c r="Q365" s="113" t="str">
        <f t="shared" si="62"/>
        <v/>
      </c>
      <c r="R365" s="88"/>
      <c r="S365" s="24"/>
      <c r="T365" s="24"/>
      <c r="U365" s="78" t="str">
        <f t="shared" si="63"/>
        <v/>
      </c>
      <c r="V365" s="24"/>
      <c r="W365" s="24"/>
      <c r="X365" s="24"/>
      <c r="Y365" s="24"/>
      <c r="Z365" s="98" t="str">
        <f t="shared" si="64"/>
        <v/>
      </c>
      <c r="AA365" s="40" t="str">
        <f t="shared" si="70"/>
        <v/>
      </c>
      <c r="AB365" s="88"/>
      <c r="AC365" s="24"/>
      <c r="AD365" s="24"/>
      <c r="AE365" s="79" t="str">
        <f t="shared" si="65"/>
        <v/>
      </c>
      <c r="AF365" s="24"/>
      <c r="AG365" s="24"/>
      <c r="AH365" s="24"/>
      <c r="AI365" s="24"/>
      <c r="AJ365" s="99" t="str">
        <f t="shared" si="66"/>
        <v/>
      </c>
      <c r="AK365" s="31" t="str">
        <f t="shared" si="71"/>
        <v/>
      </c>
      <c r="AN365" s="139" t="str">
        <f>IF($K365="","",VLOOKUP($K365,'ORF Accuracy Value LookUp'!$G$4:$H$104,2,TRUE))</f>
        <v/>
      </c>
      <c r="AO365" s="94" t="str">
        <f t="shared" si="67"/>
        <v/>
      </c>
      <c r="AP365" s="47" t="str">
        <f>IF($U365="","",VLOOKUP($U365,'ORF Accuracy Value LookUp'!$G$4:$H$104,2,TRUE))</f>
        <v/>
      </c>
      <c r="AQ365" s="94" t="str">
        <f t="shared" si="68"/>
        <v/>
      </c>
      <c r="AR365" s="46" t="str">
        <f>IF($AE365="","",VLOOKUP($AE365,'ORF Accuracy Value LookUp'!$G$4:$H$104,2,TRUE))</f>
        <v/>
      </c>
      <c r="AS365" s="140" t="str">
        <f t="shared" si="69"/>
        <v/>
      </c>
    </row>
    <row r="366" spans="1:45">
      <c r="A366" s="10"/>
      <c r="B366" s="9"/>
      <c r="C366" s="9"/>
      <c r="D366" s="9"/>
      <c r="E366" s="10"/>
      <c r="F366" s="11"/>
      <c r="G366" s="15"/>
      <c r="H366" s="88"/>
      <c r="I366" s="24"/>
      <c r="J366" s="24"/>
      <c r="K366" s="114" t="str">
        <f t="shared" si="60"/>
        <v/>
      </c>
      <c r="L366" s="24"/>
      <c r="M366" s="24"/>
      <c r="N366" s="24"/>
      <c r="O366" s="24"/>
      <c r="P366" s="97" t="str">
        <f t="shared" si="61"/>
        <v/>
      </c>
      <c r="Q366" s="113" t="str">
        <f t="shared" si="62"/>
        <v/>
      </c>
      <c r="R366" s="88"/>
      <c r="S366" s="24"/>
      <c r="T366" s="24"/>
      <c r="U366" s="78" t="str">
        <f t="shared" si="63"/>
        <v/>
      </c>
      <c r="V366" s="24"/>
      <c r="W366" s="24"/>
      <c r="X366" s="24"/>
      <c r="Y366" s="24"/>
      <c r="Z366" s="98" t="str">
        <f t="shared" si="64"/>
        <v/>
      </c>
      <c r="AA366" s="40" t="str">
        <f t="shared" si="70"/>
        <v/>
      </c>
      <c r="AB366" s="88"/>
      <c r="AC366" s="24"/>
      <c r="AD366" s="24"/>
      <c r="AE366" s="79" t="str">
        <f t="shared" si="65"/>
        <v/>
      </c>
      <c r="AF366" s="24"/>
      <c r="AG366" s="24"/>
      <c r="AH366" s="24"/>
      <c r="AI366" s="24"/>
      <c r="AJ366" s="99" t="str">
        <f t="shared" si="66"/>
        <v/>
      </c>
      <c r="AK366" s="31" t="str">
        <f t="shared" si="71"/>
        <v/>
      </c>
      <c r="AN366" s="139" t="str">
        <f>IF($K366="","",VLOOKUP($K366,'ORF Accuracy Value LookUp'!$G$4:$H$104,2,TRUE))</f>
        <v/>
      </c>
      <c r="AO366" s="94" t="str">
        <f t="shared" si="67"/>
        <v/>
      </c>
      <c r="AP366" s="47" t="str">
        <f>IF($U366="","",VLOOKUP($U366,'ORF Accuracy Value LookUp'!$G$4:$H$104,2,TRUE))</f>
        <v/>
      </c>
      <c r="AQ366" s="94" t="str">
        <f t="shared" si="68"/>
        <v/>
      </c>
      <c r="AR366" s="46" t="str">
        <f>IF($AE366="","",VLOOKUP($AE366,'ORF Accuracy Value LookUp'!$G$4:$H$104,2,TRUE))</f>
        <v/>
      </c>
      <c r="AS366" s="140" t="str">
        <f t="shared" si="69"/>
        <v/>
      </c>
    </row>
    <row r="367" spans="1:45">
      <c r="A367" s="10"/>
      <c r="B367" s="9"/>
      <c r="C367" s="9"/>
      <c r="D367" s="9"/>
      <c r="E367" s="10"/>
      <c r="F367" s="11"/>
      <c r="G367" s="15"/>
      <c r="H367" s="88"/>
      <c r="I367" s="24"/>
      <c r="J367" s="24"/>
      <c r="K367" s="114" t="str">
        <f t="shared" si="60"/>
        <v/>
      </c>
      <c r="L367" s="24"/>
      <c r="M367" s="24"/>
      <c r="N367" s="24"/>
      <c r="O367" s="24"/>
      <c r="P367" s="97" t="str">
        <f t="shared" si="61"/>
        <v/>
      </c>
      <c r="Q367" s="113" t="str">
        <f t="shared" si="62"/>
        <v/>
      </c>
      <c r="R367" s="88"/>
      <c r="S367" s="24"/>
      <c r="T367" s="24"/>
      <c r="U367" s="78" t="str">
        <f t="shared" si="63"/>
        <v/>
      </c>
      <c r="V367" s="24"/>
      <c r="W367" s="24"/>
      <c r="X367" s="24"/>
      <c r="Y367" s="24"/>
      <c r="Z367" s="98" t="str">
        <f t="shared" si="64"/>
        <v/>
      </c>
      <c r="AA367" s="40" t="str">
        <f t="shared" si="70"/>
        <v/>
      </c>
      <c r="AB367" s="88"/>
      <c r="AC367" s="24"/>
      <c r="AD367" s="24"/>
      <c r="AE367" s="79" t="str">
        <f t="shared" si="65"/>
        <v/>
      </c>
      <c r="AF367" s="24"/>
      <c r="AG367" s="24"/>
      <c r="AH367" s="24"/>
      <c r="AI367" s="24"/>
      <c r="AJ367" s="99" t="str">
        <f t="shared" si="66"/>
        <v/>
      </c>
      <c r="AK367" s="31" t="str">
        <f t="shared" si="71"/>
        <v/>
      </c>
      <c r="AN367" s="139" t="str">
        <f>IF($K367="","",VLOOKUP($K367,'ORF Accuracy Value LookUp'!$G$4:$H$104,2,TRUE))</f>
        <v/>
      </c>
      <c r="AO367" s="94" t="str">
        <f t="shared" si="67"/>
        <v/>
      </c>
      <c r="AP367" s="47" t="str">
        <f>IF($U367="","",VLOOKUP($U367,'ORF Accuracy Value LookUp'!$G$4:$H$104,2,TRUE))</f>
        <v/>
      </c>
      <c r="AQ367" s="94" t="str">
        <f t="shared" si="68"/>
        <v/>
      </c>
      <c r="AR367" s="46" t="str">
        <f>IF($AE367="","",VLOOKUP($AE367,'ORF Accuracy Value LookUp'!$G$4:$H$104,2,TRUE))</f>
        <v/>
      </c>
      <c r="AS367" s="140" t="str">
        <f t="shared" si="69"/>
        <v/>
      </c>
    </row>
    <row r="368" spans="1:45">
      <c r="A368" s="10"/>
      <c r="B368" s="9"/>
      <c r="C368" s="9"/>
      <c r="D368" s="9"/>
      <c r="E368" s="10"/>
      <c r="F368" s="11"/>
      <c r="G368" s="15"/>
      <c r="H368" s="88"/>
      <c r="I368" s="24"/>
      <c r="J368" s="24"/>
      <c r="K368" s="114" t="str">
        <f t="shared" si="60"/>
        <v/>
      </c>
      <c r="L368" s="24"/>
      <c r="M368" s="24"/>
      <c r="N368" s="24"/>
      <c r="O368" s="24"/>
      <c r="P368" s="97" t="str">
        <f t="shared" si="61"/>
        <v/>
      </c>
      <c r="Q368" s="113" t="str">
        <f t="shared" si="62"/>
        <v/>
      </c>
      <c r="R368" s="88"/>
      <c r="S368" s="24"/>
      <c r="T368" s="24"/>
      <c r="U368" s="78" t="str">
        <f t="shared" si="63"/>
        <v/>
      </c>
      <c r="V368" s="24"/>
      <c r="W368" s="24"/>
      <c r="X368" s="24"/>
      <c r="Y368" s="24"/>
      <c r="Z368" s="98" t="str">
        <f t="shared" si="64"/>
        <v/>
      </c>
      <c r="AA368" s="40" t="str">
        <f t="shared" si="70"/>
        <v/>
      </c>
      <c r="AB368" s="88"/>
      <c r="AC368" s="24"/>
      <c r="AD368" s="24"/>
      <c r="AE368" s="79" t="str">
        <f t="shared" si="65"/>
        <v/>
      </c>
      <c r="AF368" s="24"/>
      <c r="AG368" s="24"/>
      <c r="AH368" s="24"/>
      <c r="AI368" s="24"/>
      <c r="AJ368" s="99" t="str">
        <f t="shared" si="66"/>
        <v/>
      </c>
      <c r="AK368" s="31" t="str">
        <f t="shared" si="71"/>
        <v/>
      </c>
      <c r="AN368" s="139" t="str">
        <f>IF($K368="","",VLOOKUP($K368,'ORF Accuracy Value LookUp'!$G$4:$H$104,2,TRUE))</f>
        <v/>
      </c>
      <c r="AO368" s="94" t="str">
        <f t="shared" si="67"/>
        <v/>
      </c>
      <c r="AP368" s="47" t="str">
        <f>IF($U368="","",VLOOKUP($U368,'ORF Accuracy Value LookUp'!$G$4:$H$104,2,TRUE))</f>
        <v/>
      </c>
      <c r="AQ368" s="94" t="str">
        <f t="shared" si="68"/>
        <v/>
      </c>
      <c r="AR368" s="46" t="str">
        <f>IF($AE368="","",VLOOKUP($AE368,'ORF Accuracy Value LookUp'!$G$4:$H$104,2,TRUE))</f>
        <v/>
      </c>
      <c r="AS368" s="140" t="str">
        <f t="shared" si="69"/>
        <v/>
      </c>
    </row>
    <row r="369" spans="1:45">
      <c r="A369" s="10"/>
      <c r="B369" s="9"/>
      <c r="C369" s="9"/>
      <c r="D369" s="9"/>
      <c r="E369" s="10"/>
      <c r="F369" s="11"/>
      <c r="G369" s="15"/>
      <c r="H369" s="88"/>
      <c r="I369" s="24"/>
      <c r="J369" s="24"/>
      <c r="K369" s="114" t="str">
        <f t="shared" si="60"/>
        <v/>
      </c>
      <c r="L369" s="24"/>
      <c r="M369" s="24"/>
      <c r="N369" s="24"/>
      <c r="O369" s="24"/>
      <c r="P369" s="97" t="str">
        <f t="shared" si="61"/>
        <v/>
      </c>
      <c r="Q369" s="113" t="str">
        <f t="shared" si="62"/>
        <v/>
      </c>
      <c r="R369" s="88"/>
      <c r="S369" s="24"/>
      <c r="T369" s="24"/>
      <c r="U369" s="78" t="str">
        <f t="shared" si="63"/>
        <v/>
      </c>
      <c r="V369" s="24"/>
      <c r="W369" s="24"/>
      <c r="X369" s="24"/>
      <c r="Y369" s="24"/>
      <c r="Z369" s="98" t="str">
        <f t="shared" si="64"/>
        <v/>
      </c>
      <c r="AA369" s="40" t="str">
        <f t="shared" si="70"/>
        <v/>
      </c>
      <c r="AB369" s="88"/>
      <c r="AC369" s="24"/>
      <c r="AD369" s="24"/>
      <c r="AE369" s="79" t="str">
        <f t="shared" si="65"/>
        <v/>
      </c>
      <c r="AF369" s="24"/>
      <c r="AG369" s="24"/>
      <c r="AH369" s="24"/>
      <c r="AI369" s="24"/>
      <c r="AJ369" s="99" t="str">
        <f t="shared" si="66"/>
        <v/>
      </c>
      <c r="AK369" s="31" t="str">
        <f t="shared" si="71"/>
        <v/>
      </c>
      <c r="AN369" s="139" t="str">
        <f>IF($K369="","",VLOOKUP($K369,'ORF Accuracy Value LookUp'!$G$4:$H$104,2,TRUE))</f>
        <v/>
      </c>
      <c r="AO369" s="94" t="str">
        <f t="shared" si="67"/>
        <v/>
      </c>
      <c r="AP369" s="47" t="str">
        <f>IF($U369="","",VLOOKUP($U369,'ORF Accuracy Value LookUp'!$G$4:$H$104,2,TRUE))</f>
        <v/>
      </c>
      <c r="AQ369" s="94" t="str">
        <f t="shared" si="68"/>
        <v/>
      </c>
      <c r="AR369" s="46" t="str">
        <f>IF($AE369="","",VLOOKUP($AE369,'ORF Accuracy Value LookUp'!$G$4:$H$104,2,TRUE))</f>
        <v/>
      </c>
      <c r="AS369" s="140" t="str">
        <f t="shared" si="69"/>
        <v/>
      </c>
    </row>
    <row r="370" spans="1:45">
      <c r="A370" s="10"/>
      <c r="B370" s="9"/>
      <c r="C370" s="9"/>
      <c r="D370" s="9"/>
      <c r="E370" s="10"/>
      <c r="F370" s="11"/>
      <c r="G370" s="15"/>
      <c r="H370" s="88"/>
      <c r="I370" s="24"/>
      <c r="J370" s="24"/>
      <c r="K370" s="114" t="str">
        <f t="shared" si="60"/>
        <v/>
      </c>
      <c r="L370" s="24"/>
      <c r="M370" s="24"/>
      <c r="N370" s="24"/>
      <c r="O370" s="24"/>
      <c r="P370" s="97" t="str">
        <f t="shared" si="61"/>
        <v/>
      </c>
      <c r="Q370" s="113" t="str">
        <f t="shared" si="62"/>
        <v/>
      </c>
      <c r="R370" s="88"/>
      <c r="S370" s="24"/>
      <c r="T370" s="24"/>
      <c r="U370" s="78" t="str">
        <f t="shared" si="63"/>
        <v/>
      </c>
      <c r="V370" s="24"/>
      <c r="W370" s="24"/>
      <c r="X370" s="24"/>
      <c r="Y370" s="24"/>
      <c r="Z370" s="98" t="str">
        <f t="shared" si="64"/>
        <v/>
      </c>
      <c r="AA370" s="40" t="str">
        <f t="shared" si="70"/>
        <v/>
      </c>
      <c r="AB370" s="88"/>
      <c r="AC370" s="24"/>
      <c r="AD370" s="24"/>
      <c r="AE370" s="79" t="str">
        <f t="shared" si="65"/>
        <v/>
      </c>
      <c r="AF370" s="24"/>
      <c r="AG370" s="24"/>
      <c r="AH370" s="24"/>
      <c r="AI370" s="24"/>
      <c r="AJ370" s="99" t="str">
        <f t="shared" si="66"/>
        <v/>
      </c>
      <c r="AK370" s="31" t="str">
        <f t="shared" si="71"/>
        <v/>
      </c>
      <c r="AN370" s="139" t="str">
        <f>IF($K370="","",VLOOKUP($K370,'ORF Accuracy Value LookUp'!$G$4:$H$104,2,TRUE))</f>
        <v/>
      </c>
      <c r="AO370" s="94" t="str">
        <f t="shared" si="67"/>
        <v/>
      </c>
      <c r="AP370" s="47" t="str">
        <f>IF($U370="","",VLOOKUP($U370,'ORF Accuracy Value LookUp'!$G$4:$H$104,2,TRUE))</f>
        <v/>
      </c>
      <c r="AQ370" s="94" t="str">
        <f t="shared" si="68"/>
        <v/>
      </c>
      <c r="AR370" s="46" t="str">
        <f>IF($AE370="","",VLOOKUP($AE370,'ORF Accuracy Value LookUp'!$G$4:$H$104,2,TRUE))</f>
        <v/>
      </c>
      <c r="AS370" s="140" t="str">
        <f t="shared" si="69"/>
        <v/>
      </c>
    </row>
    <row r="371" spans="1:45">
      <c r="A371" s="10"/>
      <c r="B371" s="9"/>
      <c r="C371" s="9"/>
      <c r="D371" s="9"/>
      <c r="E371" s="10"/>
      <c r="F371" s="11"/>
      <c r="G371" s="15"/>
      <c r="H371" s="88"/>
      <c r="I371" s="24"/>
      <c r="J371" s="24"/>
      <c r="K371" s="114" t="str">
        <f t="shared" si="60"/>
        <v/>
      </c>
      <c r="L371" s="24"/>
      <c r="M371" s="24"/>
      <c r="N371" s="24"/>
      <c r="O371" s="24"/>
      <c r="P371" s="97" t="str">
        <f t="shared" si="61"/>
        <v/>
      </c>
      <c r="Q371" s="113" t="str">
        <f t="shared" si="62"/>
        <v/>
      </c>
      <c r="R371" s="88"/>
      <c r="S371" s="24"/>
      <c r="T371" s="24"/>
      <c r="U371" s="78" t="str">
        <f t="shared" si="63"/>
        <v/>
      </c>
      <c r="V371" s="24"/>
      <c r="W371" s="24"/>
      <c r="X371" s="24"/>
      <c r="Y371" s="24"/>
      <c r="Z371" s="98" t="str">
        <f t="shared" si="64"/>
        <v/>
      </c>
      <c r="AA371" s="40" t="str">
        <f t="shared" si="70"/>
        <v/>
      </c>
      <c r="AB371" s="88"/>
      <c r="AC371" s="24"/>
      <c r="AD371" s="24"/>
      <c r="AE371" s="79" t="str">
        <f t="shared" si="65"/>
        <v/>
      </c>
      <c r="AF371" s="24"/>
      <c r="AG371" s="24"/>
      <c r="AH371" s="24"/>
      <c r="AI371" s="24"/>
      <c r="AJ371" s="99" t="str">
        <f t="shared" si="66"/>
        <v/>
      </c>
      <c r="AK371" s="31" t="str">
        <f t="shared" si="71"/>
        <v/>
      </c>
      <c r="AN371" s="139" t="str">
        <f>IF($K371="","",VLOOKUP($K371,'ORF Accuracy Value LookUp'!$G$4:$H$104,2,TRUE))</f>
        <v/>
      </c>
      <c r="AO371" s="94" t="str">
        <f t="shared" si="67"/>
        <v/>
      </c>
      <c r="AP371" s="47" t="str">
        <f>IF($U371="","",VLOOKUP($U371,'ORF Accuracy Value LookUp'!$G$4:$H$104,2,TRUE))</f>
        <v/>
      </c>
      <c r="AQ371" s="94" t="str">
        <f t="shared" si="68"/>
        <v/>
      </c>
      <c r="AR371" s="46" t="str">
        <f>IF($AE371="","",VLOOKUP($AE371,'ORF Accuracy Value LookUp'!$G$4:$H$104,2,TRUE))</f>
        <v/>
      </c>
      <c r="AS371" s="140" t="str">
        <f t="shared" si="69"/>
        <v/>
      </c>
    </row>
    <row r="372" spans="1:45">
      <c r="A372" s="10"/>
      <c r="B372" s="9"/>
      <c r="C372" s="9"/>
      <c r="D372" s="9"/>
      <c r="E372" s="10"/>
      <c r="F372" s="11"/>
      <c r="G372" s="15"/>
      <c r="H372" s="88"/>
      <c r="I372" s="24"/>
      <c r="J372" s="24"/>
      <c r="K372" s="114" t="str">
        <f t="shared" si="60"/>
        <v/>
      </c>
      <c r="L372" s="24"/>
      <c r="M372" s="24"/>
      <c r="N372" s="24"/>
      <c r="O372" s="24"/>
      <c r="P372" s="97" t="str">
        <f t="shared" si="61"/>
        <v/>
      </c>
      <c r="Q372" s="113" t="str">
        <f t="shared" si="62"/>
        <v/>
      </c>
      <c r="R372" s="88"/>
      <c r="S372" s="24"/>
      <c r="T372" s="24"/>
      <c r="U372" s="78" t="str">
        <f t="shared" si="63"/>
        <v/>
      </c>
      <c r="V372" s="24"/>
      <c r="W372" s="24"/>
      <c r="X372" s="24"/>
      <c r="Y372" s="24"/>
      <c r="Z372" s="98" t="str">
        <f t="shared" si="64"/>
        <v/>
      </c>
      <c r="AA372" s="40" t="str">
        <f t="shared" si="70"/>
        <v/>
      </c>
      <c r="AB372" s="88"/>
      <c r="AC372" s="24"/>
      <c r="AD372" s="24"/>
      <c r="AE372" s="79" t="str">
        <f t="shared" si="65"/>
        <v/>
      </c>
      <c r="AF372" s="24"/>
      <c r="AG372" s="24"/>
      <c r="AH372" s="24"/>
      <c r="AI372" s="24"/>
      <c r="AJ372" s="99" t="str">
        <f t="shared" si="66"/>
        <v/>
      </c>
      <c r="AK372" s="31" t="str">
        <f t="shared" si="71"/>
        <v/>
      </c>
      <c r="AN372" s="139" t="str">
        <f>IF($K372="","",VLOOKUP($K372,'ORF Accuracy Value LookUp'!$G$4:$H$104,2,TRUE))</f>
        <v/>
      </c>
      <c r="AO372" s="94" t="str">
        <f t="shared" si="67"/>
        <v/>
      </c>
      <c r="AP372" s="47" t="str">
        <f>IF($U372="","",VLOOKUP($U372,'ORF Accuracy Value LookUp'!$G$4:$H$104,2,TRUE))</f>
        <v/>
      </c>
      <c r="AQ372" s="94" t="str">
        <f t="shared" si="68"/>
        <v/>
      </c>
      <c r="AR372" s="46" t="str">
        <f>IF($AE372="","",VLOOKUP($AE372,'ORF Accuracy Value LookUp'!$G$4:$H$104,2,TRUE))</f>
        <v/>
      </c>
      <c r="AS372" s="140" t="str">
        <f t="shared" si="69"/>
        <v/>
      </c>
    </row>
    <row r="373" spans="1:45">
      <c r="A373" s="10"/>
      <c r="B373" s="9"/>
      <c r="C373" s="9"/>
      <c r="D373" s="9"/>
      <c r="E373" s="10"/>
      <c r="F373" s="11"/>
      <c r="G373" s="15"/>
      <c r="H373" s="88"/>
      <c r="I373" s="24"/>
      <c r="J373" s="24"/>
      <c r="K373" s="114" t="str">
        <f t="shared" si="60"/>
        <v/>
      </c>
      <c r="L373" s="24"/>
      <c r="M373" s="24"/>
      <c r="N373" s="24"/>
      <c r="O373" s="24"/>
      <c r="P373" s="97" t="str">
        <f t="shared" si="61"/>
        <v/>
      </c>
      <c r="Q373" s="113" t="str">
        <f t="shared" si="62"/>
        <v/>
      </c>
      <c r="R373" s="88"/>
      <c r="S373" s="24"/>
      <c r="T373" s="24"/>
      <c r="U373" s="78" t="str">
        <f t="shared" si="63"/>
        <v/>
      </c>
      <c r="V373" s="24"/>
      <c r="W373" s="24"/>
      <c r="X373" s="24"/>
      <c r="Y373" s="24"/>
      <c r="Z373" s="98" t="str">
        <f t="shared" si="64"/>
        <v/>
      </c>
      <c r="AA373" s="40" t="str">
        <f t="shared" si="70"/>
        <v/>
      </c>
      <c r="AB373" s="88"/>
      <c r="AC373" s="24"/>
      <c r="AD373" s="24"/>
      <c r="AE373" s="79" t="str">
        <f t="shared" si="65"/>
        <v/>
      </c>
      <c r="AF373" s="24"/>
      <c r="AG373" s="24"/>
      <c r="AH373" s="24"/>
      <c r="AI373" s="24"/>
      <c r="AJ373" s="99" t="str">
        <f t="shared" si="66"/>
        <v/>
      </c>
      <c r="AK373" s="31" t="str">
        <f t="shared" si="71"/>
        <v/>
      </c>
      <c r="AN373" s="139" t="str">
        <f>IF($K373="","",VLOOKUP($K373,'ORF Accuracy Value LookUp'!$G$4:$H$104,2,TRUE))</f>
        <v/>
      </c>
      <c r="AO373" s="94" t="str">
        <f t="shared" si="67"/>
        <v/>
      </c>
      <c r="AP373" s="47" t="str">
        <f>IF($U373="","",VLOOKUP($U373,'ORF Accuracy Value LookUp'!$G$4:$H$104,2,TRUE))</f>
        <v/>
      </c>
      <c r="AQ373" s="94" t="str">
        <f t="shared" si="68"/>
        <v/>
      </c>
      <c r="AR373" s="46" t="str">
        <f>IF($AE373="","",VLOOKUP($AE373,'ORF Accuracy Value LookUp'!$G$4:$H$104,2,TRUE))</f>
        <v/>
      </c>
      <c r="AS373" s="140" t="str">
        <f t="shared" si="69"/>
        <v/>
      </c>
    </row>
    <row r="374" spans="1:45">
      <c r="A374" s="10"/>
      <c r="B374" s="9"/>
      <c r="C374" s="9"/>
      <c r="D374" s="9"/>
      <c r="E374" s="10"/>
      <c r="F374" s="11"/>
      <c r="G374" s="15"/>
      <c r="H374" s="88"/>
      <c r="I374" s="24"/>
      <c r="J374" s="24"/>
      <c r="K374" s="114" t="str">
        <f t="shared" si="60"/>
        <v/>
      </c>
      <c r="L374" s="24"/>
      <c r="M374" s="24"/>
      <c r="N374" s="24"/>
      <c r="O374" s="24"/>
      <c r="P374" s="97" t="str">
        <f t="shared" si="61"/>
        <v/>
      </c>
      <c r="Q374" s="113" t="str">
        <f t="shared" si="62"/>
        <v/>
      </c>
      <c r="R374" s="88"/>
      <c r="S374" s="24"/>
      <c r="T374" s="24"/>
      <c r="U374" s="78" t="str">
        <f t="shared" si="63"/>
        <v/>
      </c>
      <c r="V374" s="24"/>
      <c r="W374" s="24"/>
      <c r="X374" s="24"/>
      <c r="Y374" s="24"/>
      <c r="Z374" s="98" t="str">
        <f t="shared" si="64"/>
        <v/>
      </c>
      <c r="AA374" s="40" t="str">
        <f t="shared" si="70"/>
        <v/>
      </c>
      <c r="AB374" s="88"/>
      <c r="AC374" s="24"/>
      <c r="AD374" s="24"/>
      <c r="AE374" s="79" t="str">
        <f t="shared" si="65"/>
        <v/>
      </c>
      <c r="AF374" s="24"/>
      <c r="AG374" s="24"/>
      <c r="AH374" s="24"/>
      <c r="AI374" s="24"/>
      <c r="AJ374" s="99" t="str">
        <f t="shared" si="66"/>
        <v/>
      </c>
      <c r="AK374" s="31" t="str">
        <f t="shared" si="71"/>
        <v/>
      </c>
      <c r="AN374" s="139" t="str">
        <f>IF($K374="","",VLOOKUP($K374,'ORF Accuracy Value LookUp'!$G$4:$H$104,2,TRUE))</f>
        <v/>
      </c>
      <c r="AO374" s="94" t="str">
        <f t="shared" si="67"/>
        <v/>
      </c>
      <c r="AP374" s="47" t="str">
        <f>IF($U374="","",VLOOKUP($U374,'ORF Accuracy Value LookUp'!$G$4:$H$104,2,TRUE))</f>
        <v/>
      </c>
      <c r="AQ374" s="94" t="str">
        <f t="shared" si="68"/>
        <v/>
      </c>
      <c r="AR374" s="46" t="str">
        <f>IF($AE374="","",VLOOKUP($AE374,'ORF Accuracy Value LookUp'!$G$4:$H$104,2,TRUE))</f>
        <v/>
      </c>
      <c r="AS374" s="140" t="str">
        <f t="shared" si="69"/>
        <v/>
      </c>
    </row>
    <row r="375" spans="1:45">
      <c r="A375" s="10"/>
      <c r="B375" s="9"/>
      <c r="C375" s="9"/>
      <c r="D375" s="9"/>
      <c r="E375" s="10"/>
      <c r="F375" s="11"/>
      <c r="G375" s="15"/>
      <c r="H375" s="88"/>
      <c r="I375" s="24"/>
      <c r="J375" s="24"/>
      <c r="K375" s="114" t="str">
        <f t="shared" si="60"/>
        <v/>
      </c>
      <c r="L375" s="24"/>
      <c r="M375" s="24"/>
      <c r="N375" s="24"/>
      <c r="O375" s="24"/>
      <c r="P375" s="97" t="str">
        <f t="shared" si="61"/>
        <v/>
      </c>
      <c r="Q375" s="113" t="str">
        <f t="shared" si="62"/>
        <v/>
      </c>
      <c r="R375" s="88"/>
      <c r="S375" s="24"/>
      <c r="T375" s="24"/>
      <c r="U375" s="78" t="str">
        <f t="shared" si="63"/>
        <v/>
      </c>
      <c r="V375" s="24"/>
      <c r="W375" s="24"/>
      <c r="X375" s="24"/>
      <c r="Y375" s="24"/>
      <c r="Z375" s="98" t="str">
        <f t="shared" si="64"/>
        <v/>
      </c>
      <c r="AA375" s="40" t="str">
        <f t="shared" si="70"/>
        <v/>
      </c>
      <c r="AB375" s="88"/>
      <c r="AC375" s="24"/>
      <c r="AD375" s="24"/>
      <c r="AE375" s="79" t="str">
        <f t="shared" si="65"/>
        <v/>
      </c>
      <c r="AF375" s="24"/>
      <c r="AG375" s="24"/>
      <c r="AH375" s="24"/>
      <c r="AI375" s="24"/>
      <c r="AJ375" s="99" t="str">
        <f t="shared" si="66"/>
        <v/>
      </c>
      <c r="AK375" s="31" t="str">
        <f t="shared" si="71"/>
        <v/>
      </c>
      <c r="AN375" s="139" t="str">
        <f>IF($K375="","",VLOOKUP($K375,'ORF Accuracy Value LookUp'!$G$4:$H$104,2,TRUE))</f>
        <v/>
      </c>
      <c r="AO375" s="94" t="str">
        <f t="shared" si="67"/>
        <v/>
      </c>
      <c r="AP375" s="47" t="str">
        <f>IF($U375="","",VLOOKUP($U375,'ORF Accuracy Value LookUp'!$G$4:$H$104,2,TRUE))</f>
        <v/>
      </c>
      <c r="AQ375" s="94" t="str">
        <f t="shared" si="68"/>
        <v/>
      </c>
      <c r="AR375" s="46" t="str">
        <f>IF($AE375="","",VLOOKUP($AE375,'ORF Accuracy Value LookUp'!$G$4:$H$104,2,TRUE))</f>
        <v/>
      </c>
      <c r="AS375" s="140" t="str">
        <f t="shared" si="69"/>
        <v/>
      </c>
    </row>
    <row r="376" spans="1:45">
      <c r="A376" s="10"/>
      <c r="B376" s="9"/>
      <c r="C376" s="9"/>
      <c r="D376" s="9"/>
      <c r="E376" s="10"/>
      <c r="F376" s="11"/>
      <c r="G376" s="15"/>
      <c r="H376" s="88"/>
      <c r="I376" s="24"/>
      <c r="J376" s="24"/>
      <c r="K376" s="114" t="str">
        <f t="shared" si="60"/>
        <v/>
      </c>
      <c r="L376" s="24"/>
      <c r="M376" s="24"/>
      <c r="N376" s="24"/>
      <c r="O376" s="24"/>
      <c r="P376" s="97" t="str">
        <f t="shared" si="61"/>
        <v/>
      </c>
      <c r="Q376" s="113" t="str">
        <f t="shared" si="62"/>
        <v/>
      </c>
      <c r="R376" s="88"/>
      <c r="S376" s="24"/>
      <c r="T376" s="24"/>
      <c r="U376" s="78" t="str">
        <f t="shared" si="63"/>
        <v/>
      </c>
      <c r="V376" s="24"/>
      <c r="W376" s="24"/>
      <c r="X376" s="24"/>
      <c r="Y376" s="24"/>
      <c r="Z376" s="98" t="str">
        <f t="shared" si="64"/>
        <v/>
      </c>
      <c r="AA376" s="40" t="str">
        <f t="shared" si="70"/>
        <v/>
      </c>
      <c r="AB376" s="88"/>
      <c r="AC376" s="24"/>
      <c r="AD376" s="24"/>
      <c r="AE376" s="79" t="str">
        <f t="shared" si="65"/>
        <v/>
      </c>
      <c r="AF376" s="24"/>
      <c r="AG376" s="24"/>
      <c r="AH376" s="24"/>
      <c r="AI376" s="24"/>
      <c r="AJ376" s="99" t="str">
        <f t="shared" si="66"/>
        <v/>
      </c>
      <c r="AK376" s="31" t="str">
        <f t="shared" si="71"/>
        <v/>
      </c>
      <c r="AN376" s="139" t="str">
        <f>IF($K376="","",VLOOKUP($K376,'ORF Accuracy Value LookUp'!$G$4:$H$104,2,TRUE))</f>
        <v/>
      </c>
      <c r="AO376" s="94" t="str">
        <f t="shared" si="67"/>
        <v/>
      </c>
      <c r="AP376" s="47" t="str">
        <f>IF($U376="","",VLOOKUP($U376,'ORF Accuracy Value LookUp'!$G$4:$H$104,2,TRUE))</f>
        <v/>
      </c>
      <c r="AQ376" s="94" t="str">
        <f t="shared" si="68"/>
        <v/>
      </c>
      <c r="AR376" s="46" t="str">
        <f>IF($AE376="","",VLOOKUP($AE376,'ORF Accuracy Value LookUp'!$G$4:$H$104,2,TRUE))</f>
        <v/>
      </c>
      <c r="AS376" s="140" t="str">
        <f t="shared" si="69"/>
        <v/>
      </c>
    </row>
    <row r="377" spans="1:45">
      <c r="A377" s="10"/>
      <c r="B377" s="9"/>
      <c r="C377" s="9"/>
      <c r="D377" s="9"/>
      <c r="E377" s="10"/>
      <c r="F377" s="11"/>
      <c r="G377" s="15"/>
      <c r="H377" s="88"/>
      <c r="I377" s="24"/>
      <c r="J377" s="24"/>
      <c r="K377" s="114" t="str">
        <f t="shared" si="60"/>
        <v/>
      </c>
      <c r="L377" s="24"/>
      <c r="M377" s="24"/>
      <c r="N377" s="24"/>
      <c r="O377" s="24"/>
      <c r="P377" s="97" t="str">
        <f t="shared" si="61"/>
        <v/>
      </c>
      <c r="Q377" s="113" t="str">
        <f t="shared" si="62"/>
        <v/>
      </c>
      <c r="R377" s="88"/>
      <c r="S377" s="24"/>
      <c r="T377" s="24"/>
      <c r="U377" s="78" t="str">
        <f t="shared" si="63"/>
        <v/>
      </c>
      <c r="V377" s="24"/>
      <c r="W377" s="24"/>
      <c r="X377" s="24"/>
      <c r="Y377" s="24"/>
      <c r="Z377" s="98" t="str">
        <f t="shared" si="64"/>
        <v/>
      </c>
      <c r="AA377" s="40" t="str">
        <f t="shared" si="70"/>
        <v/>
      </c>
      <c r="AB377" s="88"/>
      <c r="AC377" s="24"/>
      <c r="AD377" s="24"/>
      <c r="AE377" s="79" t="str">
        <f t="shared" si="65"/>
        <v/>
      </c>
      <c r="AF377" s="24"/>
      <c r="AG377" s="24"/>
      <c r="AH377" s="24"/>
      <c r="AI377" s="24"/>
      <c r="AJ377" s="99" t="str">
        <f t="shared" si="66"/>
        <v/>
      </c>
      <c r="AK377" s="31" t="str">
        <f t="shared" si="71"/>
        <v/>
      </c>
      <c r="AN377" s="139" t="str">
        <f>IF($K377="","",VLOOKUP($K377,'ORF Accuracy Value LookUp'!$G$4:$H$104,2,TRUE))</f>
        <v/>
      </c>
      <c r="AO377" s="94" t="str">
        <f t="shared" si="67"/>
        <v/>
      </c>
      <c r="AP377" s="47" t="str">
        <f>IF($U377="","",VLOOKUP($U377,'ORF Accuracy Value LookUp'!$G$4:$H$104,2,TRUE))</f>
        <v/>
      </c>
      <c r="AQ377" s="94" t="str">
        <f t="shared" si="68"/>
        <v/>
      </c>
      <c r="AR377" s="46" t="str">
        <f>IF($AE377="","",VLOOKUP($AE377,'ORF Accuracy Value LookUp'!$G$4:$H$104,2,TRUE))</f>
        <v/>
      </c>
      <c r="AS377" s="140" t="str">
        <f t="shared" si="69"/>
        <v/>
      </c>
    </row>
    <row r="378" spans="1:45">
      <c r="A378" s="10"/>
      <c r="B378" s="9"/>
      <c r="C378" s="9"/>
      <c r="D378" s="9"/>
      <c r="E378" s="10"/>
      <c r="F378" s="11"/>
      <c r="G378" s="15"/>
      <c r="H378" s="88"/>
      <c r="I378" s="24"/>
      <c r="J378" s="24"/>
      <c r="K378" s="114" t="str">
        <f t="shared" si="60"/>
        <v/>
      </c>
      <c r="L378" s="24"/>
      <c r="M378" s="24"/>
      <c r="N378" s="24"/>
      <c r="O378" s="24"/>
      <c r="P378" s="97" t="str">
        <f t="shared" si="61"/>
        <v/>
      </c>
      <c r="Q378" s="113" t="str">
        <f t="shared" si="62"/>
        <v/>
      </c>
      <c r="R378" s="88"/>
      <c r="S378" s="24"/>
      <c r="T378" s="24"/>
      <c r="U378" s="78" t="str">
        <f t="shared" si="63"/>
        <v/>
      </c>
      <c r="V378" s="24"/>
      <c r="W378" s="24"/>
      <c r="X378" s="24"/>
      <c r="Y378" s="24"/>
      <c r="Z378" s="98" t="str">
        <f t="shared" si="64"/>
        <v/>
      </c>
      <c r="AA378" s="40" t="str">
        <f t="shared" si="70"/>
        <v/>
      </c>
      <c r="AB378" s="88"/>
      <c r="AC378" s="24"/>
      <c r="AD378" s="24"/>
      <c r="AE378" s="79" t="str">
        <f t="shared" si="65"/>
        <v/>
      </c>
      <c r="AF378" s="24"/>
      <c r="AG378" s="24"/>
      <c r="AH378" s="24"/>
      <c r="AI378" s="24"/>
      <c r="AJ378" s="99" t="str">
        <f t="shared" si="66"/>
        <v/>
      </c>
      <c r="AK378" s="31" t="str">
        <f t="shared" si="71"/>
        <v/>
      </c>
      <c r="AN378" s="139" t="str">
        <f>IF($K378="","",VLOOKUP($K378,'ORF Accuracy Value LookUp'!$G$4:$H$104,2,TRUE))</f>
        <v/>
      </c>
      <c r="AO378" s="94" t="str">
        <f t="shared" si="67"/>
        <v/>
      </c>
      <c r="AP378" s="47" t="str">
        <f>IF($U378="","",VLOOKUP($U378,'ORF Accuracy Value LookUp'!$G$4:$H$104,2,TRUE))</f>
        <v/>
      </c>
      <c r="AQ378" s="94" t="str">
        <f t="shared" si="68"/>
        <v/>
      </c>
      <c r="AR378" s="46" t="str">
        <f>IF($AE378="","",VLOOKUP($AE378,'ORF Accuracy Value LookUp'!$G$4:$H$104,2,TRUE))</f>
        <v/>
      </c>
      <c r="AS378" s="140" t="str">
        <f t="shared" si="69"/>
        <v/>
      </c>
    </row>
    <row r="379" spans="1:45">
      <c r="A379" s="10"/>
      <c r="B379" s="9"/>
      <c r="C379" s="9"/>
      <c r="D379" s="9"/>
      <c r="E379" s="10"/>
      <c r="F379" s="11"/>
      <c r="G379" s="15"/>
      <c r="H379" s="88"/>
      <c r="I379" s="24"/>
      <c r="J379" s="24"/>
      <c r="K379" s="114" t="str">
        <f t="shared" si="60"/>
        <v/>
      </c>
      <c r="L379" s="24"/>
      <c r="M379" s="24"/>
      <c r="N379" s="24"/>
      <c r="O379" s="24"/>
      <c r="P379" s="97" t="str">
        <f t="shared" si="61"/>
        <v/>
      </c>
      <c r="Q379" s="113" t="str">
        <f t="shared" si="62"/>
        <v/>
      </c>
      <c r="R379" s="88"/>
      <c r="S379" s="24"/>
      <c r="T379" s="24"/>
      <c r="U379" s="78" t="str">
        <f t="shared" si="63"/>
        <v/>
      </c>
      <c r="V379" s="24"/>
      <c r="W379" s="24"/>
      <c r="X379" s="24"/>
      <c r="Y379" s="24"/>
      <c r="Z379" s="98" t="str">
        <f t="shared" si="64"/>
        <v/>
      </c>
      <c r="AA379" s="40" t="str">
        <f t="shared" si="70"/>
        <v/>
      </c>
      <c r="AB379" s="88"/>
      <c r="AC379" s="24"/>
      <c r="AD379" s="24"/>
      <c r="AE379" s="79" t="str">
        <f t="shared" si="65"/>
        <v/>
      </c>
      <c r="AF379" s="24"/>
      <c r="AG379" s="24"/>
      <c r="AH379" s="24"/>
      <c r="AI379" s="24"/>
      <c r="AJ379" s="99" t="str">
        <f t="shared" si="66"/>
        <v/>
      </c>
      <c r="AK379" s="31" t="str">
        <f t="shared" si="71"/>
        <v/>
      </c>
      <c r="AN379" s="139" t="str">
        <f>IF($K379="","",VLOOKUP($K379,'ORF Accuracy Value LookUp'!$G$4:$H$104,2,TRUE))</f>
        <v/>
      </c>
      <c r="AO379" s="94" t="str">
        <f t="shared" si="67"/>
        <v/>
      </c>
      <c r="AP379" s="47" t="str">
        <f>IF($U379="","",VLOOKUP($U379,'ORF Accuracy Value LookUp'!$G$4:$H$104,2,TRUE))</f>
        <v/>
      </c>
      <c r="AQ379" s="94" t="str">
        <f t="shared" si="68"/>
        <v/>
      </c>
      <c r="AR379" s="46" t="str">
        <f>IF($AE379="","",VLOOKUP($AE379,'ORF Accuracy Value LookUp'!$G$4:$H$104,2,TRUE))</f>
        <v/>
      </c>
      <c r="AS379" s="140" t="str">
        <f t="shared" si="69"/>
        <v/>
      </c>
    </row>
    <row r="380" spans="1:45">
      <c r="A380" s="10"/>
      <c r="B380" s="9"/>
      <c r="C380" s="9"/>
      <c r="D380" s="9"/>
      <c r="E380" s="10"/>
      <c r="F380" s="11"/>
      <c r="G380" s="15"/>
      <c r="H380" s="88"/>
      <c r="I380" s="24"/>
      <c r="J380" s="24"/>
      <c r="K380" s="114" t="str">
        <f t="shared" si="60"/>
        <v/>
      </c>
      <c r="L380" s="24"/>
      <c r="M380" s="24"/>
      <c r="N380" s="24"/>
      <c r="O380" s="24"/>
      <c r="P380" s="97" t="str">
        <f t="shared" si="61"/>
        <v/>
      </c>
      <c r="Q380" s="113" t="str">
        <f t="shared" si="62"/>
        <v/>
      </c>
      <c r="R380" s="88"/>
      <c r="S380" s="24"/>
      <c r="T380" s="24"/>
      <c r="U380" s="78" t="str">
        <f t="shared" si="63"/>
        <v/>
      </c>
      <c r="V380" s="24"/>
      <c r="W380" s="24"/>
      <c r="X380" s="24"/>
      <c r="Y380" s="24"/>
      <c r="Z380" s="98" t="str">
        <f t="shared" si="64"/>
        <v/>
      </c>
      <c r="AA380" s="40" t="str">
        <f t="shared" si="70"/>
        <v/>
      </c>
      <c r="AB380" s="88"/>
      <c r="AC380" s="24"/>
      <c r="AD380" s="24"/>
      <c r="AE380" s="79" t="str">
        <f t="shared" si="65"/>
        <v/>
      </c>
      <c r="AF380" s="24"/>
      <c r="AG380" s="24"/>
      <c r="AH380" s="24"/>
      <c r="AI380" s="24"/>
      <c r="AJ380" s="99" t="str">
        <f t="shared" si="66"/>
        <v/>
      </c>
      <c r="AK380" s="31" t="str">
        <f t="shared" si="71"/>
        <v/>
      </c>
      <c r="AN380" s="139" t="str">
        <f>IF($K380="","",VLOOKUP($K380,'ORF Accuracy Value LookUp'!$G$4:$H$104,2,TRUE))</f>
        <v/>
      </c>
      <c r="AO380" s="94" t="str">
        <f t="shared" si="67"/>
        <v/>
      </c>
      <c r="AP380" s="47" t="str">
        <f>IF($U380="","",VLOOKUP($U380,'ORF Accuracy Value LookUp'!$G$4:$H$104,2,TRUE))</f>
        <v/>
      </c>
      <c r="AQ380" s="94" t="str">
        <f t="shared" si="68"/>
        <v/>
      </c>
      <c r="AR380" s="46" t="str">
        <f>IF($AE380="","",VLOOKUP($AE380,'ORF Accuracy Value LookUp'!$G$4:$H$104,2,TRUE))</f>
        <v/>
      </c>
      <c r="AS380" s="140" t="str">
        <f t="shared" si="69"/>
        <v/>
      </c>
    </row>
    <row r="381" spans="1:45">
      <c r="A381" s="10"/>
      <c r="B381" s="9"/>
      <c r="C381" s="9"/>
      <c r="D381" s="9"/>
      <c r="E381" s="10"/>
      <c r="F381" s="11"/>
      <c r="G381" s="15"/>
      <c r="H381" s="88"/>
      <c r="I381" s="24"/>
      <c r="J381" s="24"/>
      <c r="K381" s="114" t="str">
        <f t="shared" si="60"/>
        <v/>
      </c>
      <c r="L381" s="24"/>
      <c r="M381" s="24"/>
      <c r="N381" s="24"/>
      <c r="O381" s="24"/>
      <c r="P381" s="97" t="str">
        <f t="shared" si="61"/>
        <v/>
      </c>
      <c r="Q381" s="113" t="str">
        <f t="shared" si="62"/>
        <v/>
      </c>
      <c r="R381" s="88"/>
      <c r="S381" s="24"/>
      <c r="T381" s="24"/>
      <c r="U381" s="78" t="str">
        <f t="shared" si="63"/>
        <v/>
      </c>
      <c r="V381" s="24"/>
      <c r="W381" s="24"/>
      <c r="X381" s="24"/>
      <c r="Y381" s="24"/>
      <c r="Z381" s="98" t="str">
        <f t="shared" si="64"/>
        <v/>
      </c>
      <c r="AA381" s="40" t="str">
        <f t="shared" si="70"/>
        <v/>
      </c>
      <c r="AB381" s="88"/>
      <c r="AC381" s="24"/>
      <c r="AD381" s="24"/>
      <c r="AE381" s="79" t="str">
        <f t="shared" si="65"/>
        <v/>
      </c>
      <c r="AF381" s="24"/>
      <c r="AG381" s="24"/>
      <c r="AH381" s="24"/>
      <c r="AI381" s="24"/>
      <c r="AJ381" s="99" t="str">
        <f t="shared" si="66"/>
        <v/>
      </c>
      <c r="AK381" s="31" t="str">
        <f t="shared" si="71"/>
        <v/>
      </c>
      <c r="AN381" s="139" t="str">
        <f>IF($K381="","",VLOOKUP($K381,'ORF Accuracy Value LookUp'!$G$4:$H$104,2,TRUE))</f>
        <v/>
      </c>
      <c r="AO381" s="94" t="str">
        <f t="shared" si="67"/>
        <v/>
      </c>
      <c r="AP381" s="47" t="str">
        <f>IF($U381="","",VLOOKUP($U381,'ORF Accuracy Value LookUp'!$G$4:$H$104,2,TRUE))</f>
        <v/>
      </c>
      <c r="AQ381" s="94" t="str">
        <f t="shared" si="68"/>
        <v/>
      </c>
      <c r="AR381" s="46" t="str">
        <f>IF($AE381="","",VLOOKUP($AE381,'ORF Accuracy Value LookUp'!$G$4:$H$104,2,TRUE))</f>
        <v/>
      </c>
      <c r="AS381" s="140" t="str">
        <f t="shared" si="69"/>
        <v/>
      </c>
    </row>
    <row r="382" spans="1:45">
      <c r="A382" s="10"/>
      <c r="B382" s="9"/>
      <c r="C382" s="9"/>
      <c r="D382" s="9"/>
      <c r="E382" s="10"/>
      <c r="F382" s="11"/>
      <c r="G382" s="15"/>
      <c r="H382" s="88"/>
      <c r="I382" s="24"/>
      <c r="J382" s="24"/>
      <c r="K382" s="114" t="str">
        <f t="shared" si="60"/>
        <v/>
      </c>
      <c r="L382" s="24"/>
      <c r="M382" s="24"/>
      <c r="N382" s="24"/>
      <c r="O382" s="24"/>
      <c r="P382" s="97" t="str">
        <f t="shared" si="61"/>
        <v/>
      </c>
      <c r="Q382" s="113" t="str">
        <f t="shared" si="62"/>
        <v/>
      </c>
      <c r="R382" s="88"/>
      <c r="S382" s="24"/>
      <c r="T382" s="24"/>
      <c r="U382" s="78" t="str">
        <f t="shared" si="63"/>
        <v/>
      </c>
      <c r="V382" s="24"/>
      <c r="W382" s="24"/>
      <c r="X382" s="24"/>
      <c r="Y382" s="24"/>
      <c r="Z382" s="98" t="str">
        <f t="shared" si="64"/>
        <v/>
      </c>
      <c r="AA382" s="40" t="str">
        <f t="shared" si="70"/>
        <v/>
      </c>
      <c r="AB382" s="88"/>
      <c r="AC382" s="24"/>
      <c r="AD382" s="24"/>
      <c r="AE382" s="79" t="str">
        <f t="shared" si="65"/>
        <v/>
      </c>
      <c r="AF382" s="24"/>
      <c r="AG382" s="24"/>
      <c r="AH382" s="24"/>
      <c r="AI382" s="24"/>
      <c r="AJ382" s="99" t="str">
        <f t="shared" si="66"/>
        <v/>
      </c>
      <c r="AK382" s="31" t="str">
        <f t="shared" si="71"/>
        <v/>
      </c>
      <c r="AN382" s="139" t="str">
        <f>IF($K382="","",VLOOKUP($K382,'ORF Accuracy Value LookUp'!$G$4:$H$104,2,TRUE))</f>
        <v/>
      </c>
      <c r="AO382" s="94" t="str">
        <f t="shared" si="67"/>
        <v/>
      </c>
      <c r="AP382" s="47" t="str">
        <f>IF($U382="","",VLOOKUP($U382,'ORF Accuracy Value LookUp'!$G$4:$H$104,2,TRUE))</f>
        <v/>
      </c>
      <c r="AQ382" s="94" t="str">
        <f t="shared" si="68"/>
        <v/>
      </c>
      <c r="AR382" s="46" t="str">
        <f>IF($AE382="","",VLOOKUP($AE382,'ORF Accuracy Value LookUp'!$G$4:$H$104,2,TRUE))</f>
        <v/>
      </c>
      <c r="AS382" s="140" t="str">
        <f t="shared" si="69"/>
        <v/>
      </c>
    </row>
    <row r="383" spans="1:45">
      <c r="A383" s="10"/>
      <c r="B383" s="9"/>
      <c r="C383" s="9"/>
      <c r="D383" s="9"/>
      <c r="E383" s="10"/>
      <c r="F383" s="11"/>
      <c r="G383" s="15"/>
      <c r="H383" s="88"/>
      <c r="I383" s="24"/>
      <c r="J383" s="24"/>
      <c r="K383" s="114" t="str">
        <f t="shared" si="60"/>
        <v/>
      </c>
      <c r="L383" s="24"/>
      <c r="M383" s="24"/>
      <c r="N383" s="24"/>
      <c r="O383" s="24"/>
      <c r="P383" s="97" t="str">
        <f t="shared" si="61"/>
        <v/>
      </c>
      <c r="Q383" s="113" t="str">
        <f t="shared" si="62"/>
        <v/>
      </c>
      <c r="R383" s="88"/>
      <c r="S383" s="24"/>
      <c r="T383" s="24"/>
      <c r="U383" s="78" t="str">
        <f t="shared" si="63"/>
        <v/>
      </c>
      <c r="V383" s="24"/>
      <c r="W383" s="24"/>
      <c r="X383" s="24"/>
      <c r="Y383" s="24"/>
      <c r="Z383" s="98" t="str">
        <f t="shared" si="64"/>
        <v/>
      </c>
      <c r="AA383" s="40" t="str">
        <f t="shared" si="70"/>
        <v/>
      </c>
      <c r="AB383" s="88"/>
      <c r="AC383" s="24"/>
      <c r="AD383" s="24"/>
      <c r="AE383" s="79" t="str">
        <f t="shared" si="65"/>
        <v/>
      </c>
      <c r="AF383" s="24"/>
      <c r="AG383" s="24"/>
      <c r="AH383" s="24"/>
      <c r="AI383" s="24"/>
      <c r="AJ383" s="99" t="str">
        <f t="shared" si="66"/>
        <v/>
      </c>
      <c r="AK383" s="31" t="str">
        <f t="shared" si="71"/>
        <v/>
      </c>
      <c r="AN383" s="139" t="str">
        <f>IF($K383="","",VLOOKUP($K383,'ORF Accuracy Value LookUp'!$G$4:$H$104,2,TRUE))</f>
        <v/>
      </c>
      <c r="AO383" s="94" t="str">
        <f t="shared" si="67"/>
        <v/>
      </c>
      <c r="AP383" s="47" t="str">
        <f>IF($U383="","",VLOOKUP($U383,'ORF Accuracy Value LookUp'!$G$4:$H$104,2,TRUE))</f>
        <v/>
      </c>
      <c r="AQ383" s="94" t="str">
        <f t="shared" si="68"/>
        <v/>
      </c>
      <c r="AR383" s="46" t="str">
        <f>IF($AE383="","",VLOOKUP($AE383,'ORF Accuracy Value LookUp'!$G$4:$H$104,2,TRUE))</f>
        <v/>
      </c>
      <c r="AS383" s="140" t="str">
        <f t="shared" si="69"/>
        <v/>
      </c>
    </row>
    <row r="384" spans="1:45">
      <c r="A384" s="10"/>
      <c r="B384" s="9"/>
      <c r="C384" s="9"/>
      <c r="D384" s="9"/>
      <c r="E384" s="10"/>
      <c r="F384" s="11"/>
      <c r="G384" s="15"/>
      <c r="H384" s="88"/>
      <c r="I384" s="24"/>
      <c r="J384" s="24"/>
      <c r="K384" s="114" t="str">
        <f t="shared" si="60"/>
        <v/>
      </c>
      <c r="L384" s="24"/>
      <c r="M384" s="24"/>
      <c r="N384" s="24"/>
      <c r="O384" s="24"/>
      <c r="P384" s="97" t="str">
        <f t="shared" si="61"/>
        <v/>
      </c>
      <c r="Q384" s="113" t="str">
        <f t="shared" si="62"/>
        <v/>
      </c>
      <c r="R384" s="88"/>
      <c r="S384" s="24"/>
      <c r="T384" s="24"/>
      <c r="U384" s="78" t="str">
        <f t="shared" si="63"/>
        <v/>
      </c>
      <c r="V384" s="24"/>
      <c r="W384" s="24"/>
      <c r="X384" s="24"/>
      <c r="Y384" s="24"/>
      <c r="Z384" s="98" t="str">
        <f t="shared" si="64"/>
        <v/>
      </c>
      <c r="AA384" s="40" t="str">
        <f t="shared" si="70"/>
        <v/>
      </c>
      <c r="AB384" s="88"/>
      <c r="AC384" s="24"/>
      <c r="AD384" s="24"/>
      <c r="AE384" s="79" t="str">
        <f t="shared" si="65"/>
        <v/>
      </c>
      <c r="AF384" s="24"/>
      <c r="AG384" s="24"/>
      <c r="AH384" s="24"/>
      <c r="AI384" s="24"/>
      <c r="AJ384" s="99" t="str">
        <f t="shared" si="66"/>
        <v/>
      </c>
      <c r="AK384" s="31" t="str">
        <f t="shared" si="71"/>
        <v/>
      </c>
      <c r="AN384" s="139" t="str">
        <f>IF($K384="","",VLOOKUP($K384,'ORF Accuracy Value LookUp'!$G$4:$H$104,2,TRUE))</f>
        <v/>
      </c>
      <c r="AO384" s="94" t="str">
        <f t="shared" si="67"/>
        <v/>
      </c>
      <c r="AP384" s="47" t="str">
        <f>IF($U384="","",VLOOKUP($U384,'ORF Accuracy Value LookUp'!$G$4:$H$104,2,TRUE))</f>
        <v/>
      </c>
      <c r="AQ384" s="94" t="str">
        <f t="shared" si="68"/>
        <v/>
      </c>
      <c r="AR384" s="46" t="str">
        <f>IF($AE384="","",VLOOKUP($AE384,'ORF Accuracy Value LookUp'!$G$4:$H$104,2,TRUE))</f>
        <v/>
      </c>
      <c r="AS384" s="140" t="str">
        <f t="shared" si="69"/>
        <v/>
      </c>
    </row>
    <row r="385" spans="1:45">
      <c r="A385" s="10"/>
      <c r="B385" s="9"/>
      <c r="C385" s="9"/>
      <c r="D385" s="9"/>
      <c r="E385" s="10"/>
      <c r="F385" s="11"/>
      <c r="G385" s="15"/>
      <c r="H385" s="88"/>
      <c r="I385" s="24"/>
      <c r="J385" s="24"/>
      <c r="K385" s="114" t="str">
        <f t="shared" si="60"/>
        <v/>
      </c>
      <c r="L385" s="24"/>
      <c r="M385" s="24"/>
      <c r="N385" s="24"/>
      <c r="O385" s="24"/>
      <c r="P385" s="97" t="str">
        <f t="shared" si="61"/>
        <v/>
      </c>
      <c r="Q385" s="113" t="str">
        <f t="shared" si="62"/>
        <v/>
      </c>
      <c r="R385" s="88"/>
      <c r="S385" s="24"/>
      <c r="T385" s="24"/>
      <c r="U385" s="78" t="str">
        <f t="shared" si="63"/>
        <v/>
      </c>
      <c r="V385" s="24"/>
      <c r="W385" s="24"/>
      <c r="X385" s="24"/>
      <c r="Y385" s="24"/>
      <c r="Z385" s="98" t="str">
        <f t="shared" si="64"/>
        <v/>
      </c>
      <c r="AA385" s="40" t="str">
        <f t="shared" si="70"/>
        <v/>
      </c>
      <c r="AB385" s="88"/>
      <c r="AC385" s="24"/>
      <c r="AD385" s="24"/>
      <c r="AE385" s="79" t="str">
        <f t="shared" si="65"/>
        <v/>
      </c>
      <c r="AF385" s="24"/>
      <c r="AG385" s="24"/>
      <c r="AH385" s="24"/>
      <c r="AI385" s="24"/>
      <c r="AJ385" s="99" t="str">
        <f t="shared" si="66"/>
        <v/>
      </c>
      <c r="AK385" s="31" t="str">
        <f t="shared" si="71"/>
        <v/>
      </c>
      <c r="AN385" s="139" t="str">
        <f>IF($K385="","",VLOOKUP($K385,'ORF Accuracy Value LookUp'!$G$4:$H$104,2,TRUE))</f>
        <v/>
      </c>
      <c r="AO385" s="94" t="str">
        <f t="shared" si="67"/>
        <v/>
      </c>
      <c r="AP385" s="47" t="str">
        <f>IF($U385="","",VLOOKUP($U385,'ORF Accuracy Value LookUp'!$G$4:$H$104,2,TRUE))</f>
        <v/>
      </c>
      <c r="AQ385" s="94" t="str">
        <f t="shared" si="68"/>
        <v/>
      </c>
      <c r="AR385" s="46" t="str">
        <f>IF($AE385="","",VLOOKUP($AE385,'ORF Accuracy Value LookUp'!$G$4:$H$104,2,TRUE))</f>
        <v/>
      </c>
      <c r="AS385" s="140" t="str">
        <f t="shared" si="69"/>
        <v/>
      </c>
    </row>
    <row r="386" spans="1:45">
      <c r="A386" s="10"/>
      <c r="B386" s="9"/>
      <c r="C386" s="9"/>
      <c r="D386" s="9"/>
      <c r="E386" s="10"/>
      <c r="F386" s="11"/>
      <c r="G386" s="15"/>
      <c r="H386" s="88"/>
      <c r="I386" s="24"/>
      <c r="J386" s="24"/>
      <c r="K386" s="114" t="str">
        <f t="shared" si="60"/>
        <v/>
      </c>
      <c r="L386" s="24"/>
      <c r="M386" s="24"/>
      <c r="N386" s="24"/>
      <c r="O386" s="24"/>
      <c r="P386" s="97" t="str">
        <f t="shared" si="61"/>
        <v/>
      </c>
      <c r="Q386" s="113" t="str">
        <f t="shared" si="62"/>
        <v/>
      </c>
      <c r="R386" s="88"/>
      <c r="S386" s="24"/>
      <c r="T386" s="24"/>
      <c r="U386" s="78" t="str">
        <f t="shared" si="63"/>
        <v/>
      </c>
      <c r="V386" s="24"/>
      <c r="W386" s="24"/>
      <c r="X386" s="24"/>
      <c r="Y386" s="24"/>
      <c r="Z386" s="98" t="str">
        <f t="shared" si="64"/>
        <v/>
      </c>
      <c r="AA386" s="40" t="str">
        <f t="shared" si="70"/>
        <v/>
      </c>
      <c r="AB386" s="88"/>
      <c r="AC386" s="24"/>
      <c r="AD386" s="24"/>
      <c r="AE386" s="79" t="str">
        <f t="shared" si="65"/>
        <v/>
      </c>
      <c r="AF386" s="24"/>
      <c r="AG386" s="24"/>
      <c r="AH386" s="24"/>
      <c r="AI386" s="24"/>
      <c r="AJ386" s="99" t="str">
        <f t="shared" si="66"/>
        <v/>
      </c>
      <c r="AK386" s="31" t="str">
        <f t="shared" si="71"/>
        <v/>
      </c>
      <c r="AN386" s="139" t="str">
        <f>IF($K386="","",VLOOKUP($K386,'ORF Accuracy Value LookUp'!$G$4:$H$104,2,TRUE))</f>
        <v/>
      </c>
      <c r="AO386" s="94" t="str">
        <f t="shared" si="67"/>
        <v/>
      </c>
      <c r="AP386" s="47" t="str">
        <f>IF($U386="","",VLOOKUP($U386,'ORF Accuracy Value LookUp'!$G$4:$H$104,2,TRUE))</f>
        <v/>
      </c>
      <c r="AQ386" s="94" t="str">
        <f t="shared" si="68"/>
        <v/>
      </c>
      <c r="AR386" s="46" t="str">
        <f>IF($AE386="","",VLOOKUP($AE386,'ORF Accuracy Value LookUp'!$G$4:$H$104,2,TRUE))</f>
        <v/>
      </c>
      <c r="AS386" s="140" t="str">
        <f t="shared" si="69"/>
        <v/>
      </c>
    </row>
    <row r="387" spans="1:45">
      <c r="A387" s="10"/>
      <c r="B387" s="9"/>
      <c r="C387" s="9"/>
      <c r="D387" s="9"/>
      <c r="E387" s="10"/>
      <c r="F387" s="11"/>
      <c r="G387" s="15"/>
      <c r="H387" s="88"/>
      <c r="I387" s="24"/>
      <c r="J387" s="24"/>
      <c r="K387" s="114" t="str">
        <f t="shared" si="60"/>
        <v/>
      </c>
      <c r="L387" s="24"/>
      <c r="M387" s="24"/>
      <c r="N387" s="24"/>
      <c r="O387" s="24"/>
      <c r="P387" s="97" t="str">
        <f t="shared" si="61"/>
        <v/>
      </c>
      <c r="Q387" s="113" t="str">
        <f t="shared" si="62"/>
        <v/>
      </c>
      <c r="R387" s="88"/>
      <c r="S387" s="24"/>
      <c r="T387" s="24"/>
      <c r="U387" s="78" t="str">
        <f t="shared" si="63"/>
        <v/>
      </c>
      <c r="V387" s="24"/>
      <c r="W387" s="24"/>
      <c r="X387" s="24"/>
      <c r="Y387" s="24"/>
      <c r="Z387" s="98" t="str">
        <f t="shared" si="64"/>
        <v/>
      </c>
      <c r="AA387" s="40" t="str">
        <f t="shared" si="70"/>
        <v/>
      </c>
      <c r="AB387" s="88"/>
      <c r="AC387" s="24"/>
      <c r="AD387" s="24"/>
      <c r="AE387" s="79" t="str">
        <f t="shared" si="65"/>
        <v/>
      </c>
      <c r="AF387" s="24"/>
      <c r="AG387" s="24"/>
      <c r="AH387" s="24"/>
      <c r="AI387" s="24"/>
      <c r="AJ387" s="99" t="str">
        <f t="shared" si="66"/>
        <v/>
      </c>
      <c r="AK387" s="31" t="str">
        <f t="shared" si="71"/>
        <v/>
      </c>
      <c r="AN387" s="139" t="str">
        <f>IF($K387="","",VLOOKUP($K387,'ORF Accuracy Value LookUp'!$G$4:$H$104,2,TRUE))</f>
        <v/>
      </c>
      <c r="AO387" s="94" t="str">
        <f t="shared" si="67"/>
        <v/>
      </c>
      <c r="AP387" s="47" t="str">
        <f>IF($U387="","",VLOOKUP($U387,'ORF Accuracy Value LookUp'!$G$4:$H$104,2,TRUE))</f>
        <v/>
      </c>
      <c r="AQ387" s="94" t="str">
        <f t="shared" si="68"/>
        <v/>
      </c>
      <c r="AR387" s="46" t="str">
        <f>IF($AE387="","",VLOOKUP($AE387,'ORF Accuracy Value LookUp'!$G$4:$H$104,2,TRUE))</f>
        <v/>
      </c>
      <c r="AS387" s="140" t="str">
        <f t="shared" si="69"/>
        <v/>
      </c>
    </row>
    <row r="388" spans="1:45">
      <c r="A388" s="10"/>
      <c r="B388" s="9"/>
      <c r="C388" s="9"/>
      <c r="D388" s="9"/>
      <c r="E388" s="10"/>
      <c r="F388" s="11"/>
      <c r="G388" s="15"/>
      <c r="H388" s="88"/>
      <c r="I388" s="24"/>
      <c r="J388" s="24"/>
      <c r="K388" s="114" t="str">
        <f t="shared" si="60"/>
        <v/>
      </c>
      <c r="L388" s="24"/>
      <c r="M388" s="24"/>
      <c r="N388" s="24"/>
      <c r="O388" s="24"/>
      <c r="P388" s="97" t="str">
        <f t="shared" si="61"/>
        <v/>
      </c>
      <c r="Q388" s="113" t="str">
        <f t="shared" si="62"/>
        <v/>
      </c>
      <c r="R388" s="88"/>
      <c r="S388" s="24"/>
      <c r="T388" s="24"/>
      <c r="U388" s="78" t="str">
        <f t="shared" si="63"/>
        <v/>
      </c>
      <c r="V388" s="24"/>
      <c r="W388" s="24"/>
      <c r="X388" s="24"/>
      <c r="Y388" s="24"/>
      <c r="Z388" s="98" t="str">
        <f t="shared" si="64"/>
        <v/>
      </c>
      <c r="AA388" s="40" t="str">
        <f t="shared" si="70"/>
        <v/>
      </c>
      <c r="AB388" s="88"/>
      <c r="AC388" s="24"/>
      <c r="AD388" s="24"/>
      <c r="AE388" s="79" t="str">
        <f t="shared" si="65"/>
        <v/>
      </c>
      <c r="AF388" s="24"/>
      <c r="AG388" s="24"/>
      <c r="AH388" s="24"/>
      <c r="AI388" s="24"/>
      <c r="AJ388" s="99" t="str">
        <f t="shared" si="66"/>
        <v/>
      </c>
      <c r="AK388" s="31" t="str">
        <f t="shared" si="71"/>
        <v/>
      </c>
      <c r="AN388" s="139" t="str">
        <f>IF($K388="","",VLOOKUP($K388,'ORF Accuracy Value LookUp'!$G$4:$H$104,2,TRUE))</f>
        <v/>
      </c>
      <c r="AO388" s="94" t="str">
        <f t="shared" si="67"/>
        <v/>
      </c>
      <c r="AP388" s="47" t="str">
        <f>IF($U388="","",VLOOKUP($U388,'ORF Accuracy Value LookUp'!$G$4:$H$104,2,TRUE))</f>
        <v/>
      </c>
      <c r="AQ388" s="94" t="str">
        <f t="shared" si="68"/>
        <v/>
      </c>
      <c r="AR388" s="46" t="str">
        <f>IF($AE388="","",VLOOKUP($AE388,'ORF Accuracy Value LookUp'!$G$4:$H$104,2,TRUE))</f>
        <v/>
      </c>
      <c r="AS388" s="140" t="str">
        <f t="shared" si="69"/>
        <v/>
      </c>
    </row>
    <row r="389" spans="1:45">
      <c r="A389" s="10"/>
      <c r="B389" s="9"/>
      <c r="C389" s="9"/>
      <c r="D389" s="9"/>
      <c r="E389" s="10"/>
      <c r="F389" s="11"/>
      <c r="G389" s="15"/>
      <c r="H389" s="88"/>
      <c r="I389" s="24"/>
      <c r="J389" s="24"/>
      <c r="K389" s="114" t="str">
        <f t="shared" si="60"/>
        <v/>
      </c>
      <c r="L389" s="24"/>
      <c r="M389" s="24"/>
      <c r="N389" s="24"/>
      <c r="O389" s="24"/>
      <c r="P389" s="97" t="str">
        <f t="shared" si="61"/>
        <v/>
      </c>
      <c r="Q389" s="113" t="str">
        <f t="shared" si="62"/>
        <v/>
      </c>
      <c r="R389" s="88"/>
      <c r="S389" s="24"/>
      <c r="T389" s="24"/>
      <c r="U389" s="78" t="str">
        <f t="shared" si="63"/>
        <v/>
      </c>
      <c r="V389" s="24"/>
      <c r="W389" s="24"/>
      <c r="X389" s="24"/>
      <c r="Y389" s="24"/>
      <c r="Z389" s="98" t="str">
        <f t="shared" si="64"/>
        <v/>
      </c>
      <c r="AA389" s="40" t="str">
        <f t="shared" si="70"/>
        <v/>
      </c>
      <c r="AB389" s="88"/>
      <c r="AC389" s="24"/>
      <c r="AD389" s="24"/>
      <c r="AE389" s="79" t="str">
        <f t="shared" si="65"/>
        <v/>
      </c>
      <c r="AF389" s="24"/>
      <c r="AG389" s="24"/>
      <c r="AH389" s="24"/>
      <c r="AI389" s="24"/>
      <c r="AJ389" s="99" t="str">
        <f t="shared" si="66"/>
        <v/>
      </c>
      <c r="AK389" s="31" t="str">
        <f t="shared" si="71"/>
        <v/>
      </c>
      <c r="AN389" s="139" t="str">
        <f>IF($K389="","",VLOOKUP($K389,'ORF Accuracy Value LookUp'!$G$4:$H$104,2,TRUE))</f>
        <v/>
      </c>
      <c r="AO389" s="94" t="str">
        <f t="shared" si="67"/>
        <v/>
      </c>
      <c r="AP389" s="47" t="str">
        <f>IF($U389="","",VLOOKUP($U389,'ORF Accuracy Value LookUp'!$G$4:$H$104,2,TRUE))</f>
        <v/>
      </c>
      <c r="AQ389" s="94" t="str">
        <f t="shared" si="68"/>
        <v/>
      </c>
      <c r="AR389" s="46" t="str">
        <f>IF($AE389="","",VLOOKUP($AE389,'ORF Accuracy Value LookUp'!$G$4:$H$104,2,TRUE))</f>
        <v/>
      </c>
      <c r="AS389" s="140" t="str">
        <f t="shared" si="69"/>
        <v/>
      </c>
    </row>
    <row r="390" spans="1:45">
      <c r="A390" s="10"/>
      <c r="B390" s="9"/>
      <c r="C390" s="9"/>
      <c r="D390" s="9"/>
      <c r="E390" s="10"/>
      <c r="F390" s="11"/>
      <c r="G390" s="15"/>
      <c r="H390" s="88"/>
      <c r="I390" s="24"/>
      <c r="J390" s="24"/>
      <c r="K390" s="114" t="str">
        <f t="shared" si="60"/>
        <v/>
      </c>
      <c r="L390" s="24"/>
      <c r="M390" s="24"/>
      <c r="N390" s="24"/>
      <c r="O390" s="24"/>
      <c r="P390" s="97" t="str">
        <f t="shared" si="61"/>
        <v/>
      </c>
      <c r="Q390" s="113" t="str">
        <f t="shared" si="62"/>
        <v/>
      </c>
      <c r="R390" s="88"/>
      <c r="S390" s="24"/>
      <c r="T390" s="24"/>
      <c r="U390" s="78" t="str">
        <f t="shared" si="63"/>
        <v/>
      </c>
      <c r="V390" s="24"/>
      <c r="W390" s="24"/>
      <c r="X390" s="24"/>
      <c r="Y390" s="24"/>
      <c r="Z390" s="98" t="str">
        <f t="shared" si="64"/>
        <v/>
      </c>
      <c r="AA390" s="40" t="str">
        <f t="shared" si="70"/>
        <v/>
      </c>
      <c r="AB390" s="88"/>
      <c r="AC390" s="24"/>
      <c r="AD390" s="24"/>
      <c r="AE390" s="79" t="str">
        <f t="shared" si="65"/>
        <v/>
      </c>
      <c r="AF390" s="24"/>
      <c r="AG390" s="24"/>
      <c r="AH390" s="24"/>
      <c r="AI390" s="24"/>
      <c r="AJ390" s="99" t="str">
        <f t="shared" si="66"/>
        <v/>
      </c>
      <c r="AK390" s="31" t="str">
        <f t="shared" si="71"/>
        <v/>
      </c>
      <c r="AN390" s="139" t="str">
        <f>IF($K390="","",VLOOKUP($K390,'ORF Accuracy Value LookUp'!$G$4:$H$104,2,TRUE))</f>
        <v/>
      </c>
      <c r="AO390" s="94" t="str">
        <f t="shared" si="67"/>
        <v/>
      </c>
      <c r="AP390" s="47" t="str">
        <f>IF($U390="","",VLOOKUP($U390,'ORF Accuracy Value LookUp'!$G$4:$H$104,2,TRUE))</f>
        <v/>
      </c>
      <c r="AQ390" s="94" t="str">
        <f t="shared" si="68"/>
        <v/>
      </c>
      <c r="AR390" s="46" t="str">
        <f>IF($AE390="","",VLOOKUP($AE390,'ORF Accuracy Value LookUp'!$G$4:$H$104,2,TRUE))</f>
        <v/>
      </c>
      <c r="AS390" s="140" t="str">
        <f t="shared" si="69"/>
        <v/>
      </c>
    </row>
    <row r="391" spans="1:45">
      <c r="A391" s="10"/>
      <c r="B391" s="9"/>
      <c r="C391" s="9"/>
      <c r="D391" s="9"/>
      <c r="E391" s="10"/>
      <c r="F391" s="11"/>
      <c r="G391" s="15"/>
      <c r="H391" s="88"/>
      <c r="I391" s="24"/>
      <c r="J391" s="24"/>
      <c r="K391" s="114" t="str">
        <f t="shared" si="60"/>
        <v/>
      </c>
      <c r="L391" s="24"/>
      <c r="M391" s="24"/>
      <c r="N391" s="24"/>
      <c r="O391" s="24"/>
      <c r="P391" s="97" t="str">
        <f t="shared" si="61"/>
        <v/>
      </c>
      <c r="Q391" s="113" t="str">
        <f t="shared" si="62"/>
        <v/>
      </c>
      <c r="R391" s="88"/>
      <c r="S391" s="24"/>
      <c r="T391" s="24"/>
      <c r="U391" s="78" t="str">
        <f t="shared" si="63"/>
        <v/>
      </c>
      <c r="V391" s="24"/>
      <c r="W391" s="24"/>
      <c r="X391" s="24"/>
      <c r="Y391" s="24"/>
      <c r="Z391" s="98" t="str">
        <f t="shared" si="64"/>
        <v/>
      </c>
      <c r="AA391" s="40" t="str">
        <f t="shared" si="70"/>
        <v/>
      </c>
      <c r="AB391" s="88"/>
      <c r="AC391" s="24"/>
      <c r="AD391" s="24"/>
      <c r="AE391" s="79" t="str">
        <f t="shared" si="65"/>
        <v/>
      </c>
      <c r="AF391" s="24"/>
      <c r="AG391" s="24"/>
      <c r="AH391" s="24"/>
      <c r="AI391" s="24"/>
      <c r="AJ391" s="99" t="str">
        <f t="shared" si="66"/>
        <v/>
      </c>
      <c r="AK391" s="31" t="str">
        <f t="shared" si="71"/>
        <v/>
      </c>
      <c r="AN391" s="139" t="str">
        <f>IF($K391="","",VLOOKUP($K391,'ORF Accuracy Value LookUp'!$G$4:$H$104,2,TRUE))</f>
        <v/>
      </c>
      <c r="AO391" s="94" t="str">
        <f t="shared" si="67"/>
        <v/>
      </c>
      <c r="AP391" s="47" t="str">
        <f>IF($U391="","",VLOOKUP($U391,'ORF Accuracy Value LookUp'!$G$4:$H$104,2,TRUE))</f>
        <v/>
      </c>
      <c r="AQ391" s="94" t="str">
        <f t="shared" si="68"/>
        <v/>
      </c>
      <c r="AR391" s="46" t="str">
        <f>IF($AE391="","",VLOOKUP($AE391,'ORF Accuracy Value LookUp'!$G$4:$H$104,2,TRUE))</f>
        <v/>
      </c>
      <c r="AS391" s="140" t="str">
        <f t="shared" si="69"/>
        <v/>
      </c>
    </row>
    <row r="392" spans="1:45">
      <c r="A392" s="10"/>
      <c r="B392" s="9"/>
      <c r="C392" s="9"/>
      <c r="D392" s="9"/>
      <c r="E392" s="10"/>
      <c r="F392" s="11"/>
      <c r="G392" s="15"/>
      <c r="H392" s="88"/>
      <c r="I392" s="24"/>
      <c r="J392" s="24"/>
      <c r="K392" s="114" t="str">
        <f t="shared" ref="K392:K400" si="72">IF($I392="","",SUM($I392/($I392+$J392)))</f>
        <v/>
      </c>
      <c r="L392" s="24"/>
      <c r="M392" s="24"/>
      <c r="N392" s="24"/>
      <c r="O392" s="24"/>
      <c r="P392" s="97" t="str">
        <f t="shared" ref="P392:P400" si="73">IF($AO392&gt;0,$AO392,0)</f>
        <v/>
      </c>
      <c r="Q392" s="113" t="str">
        <f t="shared" ref="Q392:Q400" si="74">IF($B392="","",SUM($I392+$AN392+($L392*2)+($P392*2)))</f>
        <v/>
      </c>
      <c r="R392" s="88"/>
      <c r="S392" s="24"/>
      <c r="T392" s="24"/>
      <c r="U392" s="78" t="str">
        <f t="shared" ref="U392:U400" si="75">IF($S392="","",SUM($S392/($S392+$T392)))</f>
        <v/>
      </c>
      <c r="V392" s="24"/>
      <c r="W392" s="24"/>
      <c r="X392" s="24"/>
      <c r="Y392" s="24"/>
      <c r="Z392" s="98" t="str">
        <f t="shared" ref="Z392:Z400" si="76">IF($AQ392&gt;0,$AQ392,0)</f>
        <v/>
      </c>
      <c r="AA392" s="40" t="str">
        <f t="shared" si="70"/>
        <v/>
      </c>
      <c r="AB392" s="88"/>
      <c r="AC392" s="24"/>
      <c r="AD392" s="24"/>
      <c r="AE392" s="79" t="str">
        <f t="shared" ref="AE392:AE400" si="77">IF($AC392="","",SUM($AC392/($AC392+$AD392)))</f>
        <v/>
      </c>
      <c r="AF392" s="24"/>
      <c r="AG392" s="24"/>
      <c r="AH392" s="24"/>
      <c r="AI392" s="24"/>
      <c r="AJ392" s="99" t="str">
        <f t="shared" ref="AJ392:AJ400" si="78">IF($AS392&gt;0,$AS392,0)</f>
        <v/>
      </c>
      <c r="AK392" s="31" t="str">
        <f t="shared" si="71"/>
        <v/>
      </c>
      <c r="AN392" s="139" t="str">
        <f>IF($K392="","",VLOOKUP($K392,'ORF Accuracy Value LookUp'!$G$4:$H$104,2,TRUE))</f>
        <v/>
      </c>
      <c r="AO392" s="94" t="str">
        <f t="shared" ref="AO392:AO400" si="79">IF($N392="","",($N392-($O392/2)))</f>
        <v/>
      </c>
      <c r="AP392" s="47" t="str">
        <f>IF($U392="","",VLOOKUP($U392,'ORF Accuracy Value LookUp'!$G$4:$H$104,2,TRUE))</f>
        <v/>
      </c>
      <c r="AQ392" s="94" t="str">
        <f t="shared" ref="AQ392:AQ400" si="80">IF($X392="","",$X392-($Y392/2))</f>
        <v/>
      </c>
      <c r="AR392" s="46" t="str">
        <f>IF($AE392="","",VLOOKUP($AE392,'ORF Accuracy Value LookUp'!$G$4:$H$104,2,TRUE))</f>
        <v/>
      </c>
      <c r="AS392" s="140" t="str">
        <f t="shared" ref="AS392:AS400" si="81">IF($AH392="","",$AH392-($AI392/2))</f>
        <v/>
      </c>
    </row>
    <row r="393" spans="1:45">
      <c r="A393" s="10"/>
      <c r="B393" s="9"/>
      <c r="C393" s="9"/>
      <c r="D393" s="9"/>
      <c r="E393" s="10"/>
      <c r="F393" s="11"/>
      <c r="G393" s="15"/>
      <c r="H393" s="88"/>
      <c r="I393" s="24"/>
      <c r="J393" s="24"/>
      <c r="K393" s="114" t="str">
        <f t="shared" si="72"/>
        <v/>
      </c>
      <c r="L393" s="24"/>
      <c r="M393" s="24"/>
      <c r="N393" s="24"/>
      <c r="O393" s="24"/>
      <c r="P393" s="97" t="str">
        <f t="shared" si="73"/>
        <v/>
      </c>
      <c r="Q393" s="113" t="str">
        <f t="shared" si="74"/>
        <v/>
      </c>
      <c r="R393" s="88"/>
      <c r="S393" s="24"/>
      <c r="T393" s="24"/>
      <c r="U393" s="78" t="str">
        <f t="shared" si="75"/>
        <v/>
      </c>
      <c r="V393" s="24"/>
      <c r="W393" s="24"/>
      <c r="X393" s="24"/>
      <c r="Y393" s="24"/>
      <c r="Z393" s="98" t="str">
        <f t="shared" si="76"/>
        <v/>
      </c>
      <c r="AA393" s="40" t="str">
        <f t="shared" ref="AA393:AA400" si="82">IF($R393="","",SUM($S393+$AP393+($V393*2)+($Z393*4)))</f>
        <v/>
      </c>
      <c r="AB393" s="88"/>
      <c r="AC393" s="24"/>
      <c r="AD393" s="24"/>
      <c r="AE393" s="79" t="str">
        <f t="shared" si="77"/>
        <v/>
      </c>
      <c r="AF393" s="24"/>
      <c r="AG393" s="24"/>
      <c r="AH393" s="24"/>
      <c r="AI393" s="24"/>
      <c r="AJ393" s="99" t="str">
        <f t="shared" si="78"/>
        <v/>
      </c>
      <c r="AK393" s="31" t="str">
        <f t="shared" ref="AK393:AK400" si="83">IF($AB393="","",SUM($AC393+$AR393+($AF393*2)+($AJ393*4)))</f>
        <v/>
      </c>
      <c r="AN393" s="139" t="str">
        <f>IF($K393="","",VLOOKUP($K393,'ORF Accuracy Value LookUp'!$G$4:$H$104,2,TRUE))</f>
        <v/>
      </c>
      <c r="AO393" s="94" t="str">
        <f t="shared" si="79"/>
        <v/>
      </c>
      <c r="AP393" s="47" t="str">
        <f>IF($U393="","",VLOOKUP($U393,'ORF Accuracy Value LookUp'!$G$4:$H$104,2,TRUE))</f>
        <v/>
      </c>
      <c r="AQ393" s="94" t="str">
        <f t="shared" si="80"/>
        <v/>
      </c>
      <c r="AR393" s="46" t="str">
        <f>IF($AE393="","",VLOOKUP($AE393,'ORF Accuracy Value LookUp'!$G$4:$H$104,2,TRUE))</f>
        <v/>
      </c>
      <c r="AS393" s="140" t="str">
        <f t="shared" si="81"/>
        <v/>
      </c>
    </row>
    <row r="394" spans="1:45">
      <c r="A394" s="10"/>
      <c r="B394" s="9"/>
      <c r="C394" s="9"/>
      <c r="D394" s="9"/>
      <c r="E394" s="10"/>
      <c r="F394" s="11"/>
      <c r="G394" s="15"/>
      <c r="H394" s="88"/>
      <c r="I394" s="24"/>
      <c r="J394" s="24"/>
      <c r="K394" s="114" t="str">
        <f t="shared" si="72"/>
        <v/>
      </c>
      <c r="L394" s="24"/>
      <c r="M394" s="24"/>
      <c r="N394" s="24"/>
      <c r="O394" s="24"/>
      <c r="P394" s="97" t="str">
        <f t="shared" si="73"/>
        <v/>
      </c>
      <c r="Q394" s="113" t="str">
        <f t="shared" si="74"/>
        <v/>
      </c>
      <c r="R394" s="88"/>
      <c r="S394" s="24"/>
      <c r="T394" s="24"/>
      <c r="U394" s="78" t="str">
        <f t="shared" si="75"/>
        <v/>
      </c>
      <c r="V394" s="24"/>
      <c r="W394" s="24"/>
      <c r="X394" s="24"/>
      <c r="Y394" s="24"/>
      <c r="Z394" s="98" t="str">
        <f t="shared" si="76"/>
        <v/>
      </c>
      <c r="AA394" s="40" t="str">
        <f t="shared" si="82"/>
        <v/>
      </c>
      <c r="AB394" s="88"/>
      <c r="AC394" s="24"/>
      <c r="AD394" s="24"/>
      <c r="AE394" s="79" t="str">
        <f t="shared" si="77"/>
        <v/>
      </c>
      <c r="AF394" s="24"/>
      <c r="AG394" s="24"/>
      <c r="AH394" s="24"/>
      <c r="AI394" s="24"/>
      <c r="AJ394" s="99" t="str">
        <f t="shared" si="78"/>
        <v/>
      </c>
      <c r="AK394" s="31" t="str">
        <f t="shared" si="83"/>
        <v/>
      </c>
      <c r="AN394" s="139" t="str">
        <f>IF($K394="","",VLOOKUP($K394,'ORF Accuracy Value LookUp'!$G$4:$H$104,2,TRUE))</f>
        <v/>
      </c>
      <c r="AO394" s="94" t="str">
        <f t="shared" si="79"/>
        <v/>
      </c>
      <c r="AP394" s="47" t="str">
        <f>IF($U394="","",VLOOKUP($U394,'ORF Accuracy Value LookUp'!$G$4:$H$104,2,TRUE))</f>
        <v/>
      </c>
      <c r="AQ394" s="94" t="str">
        <f t="shared" si="80"/>
        <v/>
      </c>
      <c r="AR394" s="46" t="str">
        <f>IF($AE394="","",VLOOKUP($AE394,'ORF Accuracy Value LookUp'!$G$4:$H$104,2,TRUE))</f>
        <v/>
      </c>
      <c r="AS394" s="140" t="str">
        <f t="shared" si="81"/>
        <v/>
      </c>
    </row>
    <row r="395" spans="1:45">
      <c r="A395" s="10"/>
      <c r="B395" s="9"/>
      <c r="C395" s="9"/>
      <c r="D395" s="9"/>
      <c r="E395" s="10"/>
      <c r="F395" s="11"/>
      <c r="G395" s="15"/>
      <c r="H395" s="88"/>
      <c r="I395" s="24"/>
      <c r="J395" s="24"/>
      <c r="K395" s="114" t="str">
        <f t="shared" si="72"/>
        <v/>
      </c>
      <c r="L395" s="24"/>
      <c r="M395" s="24"/>
      <c r="N395" s="24"/>
      <c r="O395" s="24"/>
      <c r="P395" s="97" t="str">
        <f t="shared" si="73"/>
        <v/>
      </c>
      <c r="Q395" s="113" t="str">
        <f t="shared" si="74"/>
        <v/>
      </c>
      <c r="R395" s="88"/>
      <c r="S395" s="24"/>
      <c r="T395" s="24"/>
      <c r="U395" s="78" t="str">
        <f t="shared" si="75"/>
        <v/>
      </c>
      <c r="V395" s="24"/>
      <c r="W395" s="24"/>
      <c r="X395" s="24"/>
      <c r="Y395" s="24"/>
      <c r="Z395" s="98" t="str">
        <f t="shared" si="76"/>
        <v/>
      </c>
      <c r="AA395" s="40" t="str">
        <f t="shared" si="82"/>
        <v/>
      </c>
      <c r="AB395" s="88"/>
      <c r="AC395" s="24"/>
      <c r="AD395" s="24"/>
      <c r="AE395" s="79" t="str">
        <f t="shared" si="77"/>
        <v/>
      </c>
      <c r="AF395" s="24"/>
      <c r="AG395" s="24"/>
      <c r="AH395" s="24"/>
      <c r="AI395" s="24"/>
      <c r="AJ395" s="99" t="str">
        <f t="shared" si="78"/>
        <v/>
      </c>
      <c r="AK395" s="31" t="str">
        <f t="shared" si="83"/>
        <v/>
      </c>
      <c r="AN395" s="139" t="str">
        <f>IF($K395="","",VLOOKUP($K395,'ORF Accuracy Value LookUp'!$G$4:$H$104,2,TRUE))</f>
        <v/>
      </c>
      <c r="AO395" s="94" t="str">
        <f t="shared" si="79"/>
        <v/>
      </c>
      <c r="AP395" s="47" t="str">
        <f>IF($U395="","",VLOOKUP($U395,'ORF Accuracy Value LookUp'!$G$4:$H$104,2,TRUE))</f>
        <v/>
      </c>
      <c r="AQ395" s="94" t="str">
        <f t="shared" si="80"/>
        <v/>
      </c>
      <c r="AR395" s="46" t="str">
        <f>IF($AE395="","",VLOOKUP($AE395,'ORF Accuracy Value LookUp'!$G$4:$H$104,2,TRUE))</f>
        <v/>
      </c>
      <c r="AS395" s="140" t="str">
        <f t="shared" si="81"/>
        <v/>
      </c>
    </row>
    <row r="396" spans="1:45">
      <c r="A396" s="10"/>
      <c r="B396" s="9"/>
      <c r="C396" s="9"/>
      <c r="D396" s="9"/>
      <c r="E396" s="10"/>
      <c r="F396" s="11"/>
      <c r="G396" s="15"/>
      <c r="H396" s="88"/>
      <c r="I396" s="24"/>
      <c r="J396" s="24"/>
      <c r="K396" s="114" t="str">
        <f t="shared" si="72"/>
        <v/>
      </c>
      <c r="L396" s="24"/>
      <c r="M396" s="24"/>
      <c r="N396" s="24"/>
      <c r="O396" s="24"/>
      <c r="P396" s="97" t="str">
        <f t="shared" si="73"/>
        <v/>
      </c>
      <c r="Q396" s="113" t="str">
        <f t="shared" si="74"/>
        <v/>
      </c>
      <c r="R396" s="88"/>
      <c r="S396" s="24"/>
      <c r="T396" s="24"/>
      <c r="U396" s="78" t="str">
        <f t="shared" si="75"/>
        <v/>
      </c>
      <c r="V396" s="24"/>
      <c r="W396" s="24"/>
      <c r="X396" s="24"/>
      <c r="Y396" s="24"/>
      <c r="Z396" s="98" t="str">
        <f t="shared" si="76"/>
        <v/>
      </c>
      <c r="AA396" s="40" t="str">
        <f t="shared" si="82"/>
        <v/>
      </c>
      <c r="AB396" s="88"/>
      <c r="AC396" s="24"/>
      <c r="AD396" s="24"/>
      <c r="AE396" s="79" t="str">
        <f t="shared" si="77"/>
        <v/>
      </c>
      <c r="AF396" s="24"/>
      <c r="AG396" s="24"/>
      <c r="AH396" s="24"/>
      <c r="AI396" s="24"/>
      <c r="AJ396" s="99" t="str">
        <f t="shared" si="78"/>
        <v/>
      </c>
      <c r="AK396" s="31" t="str">
        <f t="shared" si="83"/>
        <v/>
      </c>
      <c r="AN396" s="139" t="str">
        <f>IF($K396="","",VLOOKUP($K396,'ORF Accuracy Value LookUp'!$G$4:$H$104,2,TRUE))</f>
        <v/>
      </c>
      <c r="AO396" s="94" t="str">
        <f t="shared" si="79"/>
        <v/>
      </c>
      <c r="AP396" s="47" t="str">
        <f>IF($U396="","",VLOOKUP($U396,'ORF Accuracy Value LookUp'!$G$4:$H$104,2,TRUE))</f>
        <v/>
      </c>
      <c r="AQ396" s="94" t="str">
        <f t="shared" si="80"/>
        <v/>
      </c>
      <c r="AR396" s="46" t="str">
        <f>IF($AE396="","",VLOOKUP($AE396,'ORF Accuracy Value LookUp'!$G$4:$H$104,2,TRUE))</f>
        <v/>
      </c>
      <c r="AS396" s="140" t="str">
        <f t="shared" si="81"/>
        <v/>
      </c>
    </row>
    <row r="397" spans="1:45">
      <c r="A397" s="10"/>
      <c r="B397" s="9"/>
      <c r="C397" s="9"/>
      <c r="D397" s="9"/>
      <c r="E397" s="10"/>
      <c r="F397" s="11"/>
      <c r="G397" s="15"/>
      <c r="H397" s="88"/>
      <c r="I397" s="24"/>
      <c r="J397" s="24"/>
      <c r="K397" s="114" t="str">
        <f t="shared" si="72"/>
        <v/>
      </c>
      <c r="L397" s="24"/>
      <c r="M397" s="24"/>
      <c r="N397" s="24"/>
      <c r="O397" s="24"/>
      <c r="P397" s="97" t="str">
        <f t="shared" si="73"/>
        <v/>
      </c>
      <c r="Q397" s="113" t="str">
        <f t="shared" si="74"/>
        <v/>
      </c>
      <c r="R397" s="88"/>
      <c r="S397" s="24"/>
      <c r="T397" s="24"/>
      <c r="U397" s="78" t="str">
        <f t="shared" si="75"/>
        <v/>
      </c>
      <c r="V397" s="24"/>
      <c r="W397" s="24"/>
      <c r="X397" s="24"/>
      <c r="Y397" s="24"/>
      <c r="Z397" s="98" t="str">
        <f t="shared" si="76"/>
        <v/>
      </c>
      <c r="AA397" s="40" t="str">
        <f t="shared" si="82"/>
        <v/>
      </c>
      <c r="AB397" s="88"/>
      <c r="AC397" s="24"/>
      <c r="AD397" s="24"/>
      <c r="AE397" s="79" t="str">
        <f t="shared" si="77"/>
        <v/>
      </c>
      <c r="AF397" s="24"/>
      <c r="AG397" s="24"/>
      <c r="AH397" s="24"/>
      <c r="AI397" s="24"/>
      <c r="AJ397" s="99" t="str">
        <f t="shared" si="78"/>
        <v/>
      </c>
      <c r="AK397" s="31" t="str">
        <f t="shared" si="83"/>
        <v/>
      </c>
      <c r="AN397" s="139" t="str">
        <f>IF($K397="","",VLOOKUP($K397,'ORF Accuracy Value LookUp'!$G$4:$H$104,2,TRUE))</f>
        <v/>
      </c>
      <c r="AO397" s="94" t="str">
        <f t="shared" si="79"/>
        <v/>
      </c>
      <c r="AP397" s="47" t="str">
        <f>IF($U397="","",VLOOKUP($U397,'ORF Accuracy Value LookUp'!$G$4:$H$104,2,TRUE))</f>
        <v/>
      </c>
      <c r="AQ397" s="94" t="str">
        <f t="shared" si="80"/>
        <v/>
      </c>
      <c r="AR397" s="46" t="str">
        <f>IF($AE397="","",VLOOKUP($AE397,'ORF Accuracy Value LookUp'!$G$4:$H$104,2,TRUE))</f>
        <v/>
      </c>
      <c r="AS397" s="140" t="str">
        <f t="shared" si="81"/>
        <v/>
      </c>
    </row>
    <row r="398" spans="1:45">
      <c r="A398" s="10"/>
      <c r="B398" s="9"/>
      <c r="C398" s="9"/>
      <c r="D398" s="9"/>
      <c r="E398" s="10"/>
      <c r="F398" s="11"/>
      <c r="G398" s="15"/>
      <c r="H398" s="88"/>
      <c r="I398" s="24"/>
      <c r="J398" s="24"/>
      <c r="K398" s="114" t="str">
        <f t="shared" si="72"/>
        <v/>
      </c>
      <c r="L398" s="24"/>
      <c r="M398" s="24"/>
      <c r="N398" s="24"/>
      <c r="O398" s="24"/>
      <c r="P398" s="97" t="str">
        <f t="shared" si="73"/>
        <v/>
      </c>
      <c r="Q398" s="113" t="str">
        <f t="shared" si="74"/>
        <v/>
      </c>
      <c r="R398" s="88"/>
      <c r="S398" s="24"/>
      <c r="T398" s="24"/>
      <c r="U398" s="78" t="str">
        <f t="shared" si="75"/>
        <v/>
      </c>
      <c r="V398" s="24"/>
      <c r="W398" s="24"/>
      <c r="X398" s="24"/>
      <c r="Y398" s="24"/>
      <c r="Z398" s="98" t="str">
        <f t="shared" si="76"/>
        <v/>
      </c>
      <c r="AA398" s="40" t="str">
        <f t="shared" si="82"/>
        <v/>
      </c>
      <c r="AB398" s="88"/>
      <c r="AC398" s="24"/>
      <c r="AD398" s="24"/>
      <c r="AE398" s="79" t="str">
        <f t="shared" si="77"/>
        <v/>
      </c>
      <c r="AF398" s="24"/>
      <c r="AG398" s="24"/>
      <c r="AH398" s="24"/>
      <c r="AI398" s="24"/>
      <c r="AJ398" s="99" t="str">
        <f t="shared" si="78"/>
        <v/>
      </c>
      <c r="AK398" s="31" t="str">
        <f t="shared" si="83"/>
        <v/>
      </c>
      <c r="AN398" s="139" t="str">
        <f>IF($K398="","",VLOOKUP($K398,'ORF Accuracy Value LookUp'!$G$4:$H$104,2,TRUE))</f>
        <v/>
      </c>
      <c r="AO398" s="94" t="str">
        <f t="shared" si="79"/>
        <v/>
      </c>
      <c r="AP398" s="47" t="str">
        <f>IF($U398="","",VLOOKUP($U398,'ORF Accuracy Value LookUp'!$G$4:$H$104,2,TRUE))</f>
        <v/>
      </c>
      <c r="AQ398" s="94" t="str">
        <f t="shared" si="80"/>
        <v/>
      </c>
      <c r="AR398" s="46" t="str">
        <f>IF($AE398="","",VLOOKUP($AE398,'ORF Accuracy Value LookUp'!$G$4:$H$104,2,TRUE))</f>
        <v/>
      </c>
      <c r="AS398" s="140" t="str">
        <f t="shared" si="81"/>
        <v/>
      </c>
    </row>
    <row r="399" spans="1:45">
      <c r="A399" s="10"/>
      <c r="B399" s="9"/>
      <c r="C399" s="9"/>
      <c r="D399" s="9"/>
      <c r="E399" s="10"/>
      <c r="F399" s="11"/>
      <c r="G399" s="15"/>
      <c r="H399" s="88"/>
      <c r="I399" s="24"/>
      <c r="J399" s="24"/>
      <c r="K399" s="114" t="str">
        <f t="shared" si="72"/>
        <v/>
      </c>
      <c r="L399" s="24"/>
      <c r="M399" s="24"/>
      <c r="N399" s="24"/>
      <c r="O399" s="24"/>
      <c r="P399" s="97" t="str">
        <f t="shared" si="73"/>
        <v/>
      </c>
      <c r="Q399" s="113" t="str">
        <f t="shared" si="74"/>
        <v/>
      </c>
      <c r="R399" s="88"/>
      <c r="S399" s="24"/>
      <c r="T399" s="24"/>
      <c r="U399" s="78" t="str">
        <f t="shared" si="75"/>
        <v/>
      </c>
      <c r="V399" s="24"/>
      <c r="W399" s="24"/>
      <c r="X399" s="24"/>
      <c r="Y399" s="24"/>
      <c r="Z399" s="98" t="str">
        <f t="shared" si="76"/>
        <v/>
      </c>
      <c r="AA399" s="40" t="str">
        <f t="shared" si="82"/>
        <v/>
      </c>
      <c r="AB399" s="88"/>
      <c r="AC399" s="24"/>
      <c r="AD399" s="24"/>
      <c r="AE399" s="79" t="str">
        <f t="shared" si="77"/>
        <v/>
      </c>
      <c r="AF399" s="24"/>
      <c r="AG399" s="24"/>
      <c r="AH399" s="24"/>
      <c r="AI399" s="24"/>
      <c r="AJ399" s="99" t="str">
        <f t="shared" si="78"/>
        <v/>
      </c>
      <c r="AK399" s="31" t="str">
        <f t="shared" si="83"/>
        <v/>
      </c>
      <c r="AN399" s="139" t="str">
        <f>IF($K399="","",VLOOKUP($K399,'ORF Accuracy Value LookUp'!$G$4:$H$104,2,TRUE))</f>
        <v/>
      </c>
      <c r="AO399" s="94" t="str">
        <f t="shared" si="79"/>
        <v/>
      </c>
      <c r="AP399" s="47" t="str">
        <f>IF($U399="","",VLOOKUP($U399,'ORF Accuracy Value LookUp'!$G$4:$H$104,2,TRUE))</f>
        <v/>
      </c>
      <c r="AQ399" s="94" t="str">
        <f t="shared" si="80"/>
        <v/>
      </c>
      <c r="AR399" s="46" t="str">
        <f>IF($AE399="","",VLOOKUP($AE399,'ORF Accuracy Value LookUp'!$G$4:$H$104,2,TRUE))</f>
        <v/>
      </c>
      <c r="AS399" s="140" t="str">
        <f t="shared" si="81"/>
        <v/>
      </c>
    </row>
    <row r="400" spans="1:45" ht="15.75" thickBot="1">
      <c r="A400" s="10"/>
      <c r="B400" s="9"/>
      <c r="C400" s="9"/>
      <c r="D400" s="9"/>
      <c r="E400" s="10"/>
      <c r="F400" s="11"/>
      <c r="G400" s="15"/>
      <c r="H400" s="89"/>
      <c r="I400" s="26"/>
      <c r="J400" s="26"/>
      <c r="K400" s="129" t="str">
        <f t="shared" si="72"/>
        <v/>
      </c>
      <c r="L400" s="26"/>
      <c r="M400" s="26"/>
      <c r="N400" s="26"/>
      <c r="O400" s="26"/>
      <c r="P400" s="130" t="str">
        <f t="shared" si="73"/>
        <v/>
      </c>
      <c r="Q400" s="131" t="str">
        <f t="shared" si="74"/>
        <v/>
      </c>
      <c r="R400" s="89"/>
      <c r="S400" s="26"/>
      <c r="T400" s="26"/>
      <c r="U400" s="128" t="str">
        <f t="shared" si="75"/>
        <v/>
      </c>
      <c r="V400" s="26"/>
      <c r="W400" s="26"/>
      <c r="X400" s="26"/>
      <c r="Y400" s="26"/>
      <c r="Z400" s="132" t="str">
        <f t="shared" si="76"/>
        <v/>
      </c>
      <c r="AA400" s="40" t="str">
        <f t="shared" si="82"/>
        <v/>
      </c>
      <c r="AB400" s="89"/>
      <c r="AC400" s="26"/>
      <c r="AD400" s="26"/>
      <c r="AE400" s="112" t="str">
        <f t="shared" si="77"/>
        <v/>
      </c>
      <c r="AF400" s="26"/>
      <c r="AG400" s="26"/>
      <c r="AH400" s="26"/>
      <c r="AI400" s="26"/>
      <c r="AJ400" s="133" t="str">
        <f t="shared" si="78"/>
        <v/>
      </c>
      <c r="AK400" s="31" t="str">
        <f t="shared" si="83"/>
        <v/>
      </c>
      <c r="AN400" s="141" t="str">
        <f>IF($K400="","",VLOOKUP($K400,'ORF Accuracy Value LookUp'!$G$4:$H$104,2,TRUE))</f>
        <v/>
      </c>
      <c r="AO400" s="142" t="str">
        <f t="shared" si="79"/>
        <v/>
      </c>
      <c r="AP400" s="143" t="str">
        <f>IF($U400="","",VLOOKUP($U400,'ORF Accuracy Value LookUp'!$G$4:$H$104,2,TRUE))</f>
        <v/>
      </c>
      <c r="AQ400" s="142" t="str">
        <f t="shared" si="80"/>
        <v/>
      </c>
      <c r="AR400" s="144" t="str">
        <f>IF($AE400="","",VLOOKUP($AE400,'ORF Accuracy Value LookUp'!$G$4:$H$104,2,TRUE))</f>
        <v/>
      </c>
      <c r="AS400" s="145" t="str">
        <f t="shared" si="81"/>
        <v/>
      </c>
    </row>
    <row r="401" spans="1:45">
      <c r="A401" s="6"/>
      <c r="B401" s="7"/>
      <c r="C401" s="7"/>
      <c r="D401" s="7"/>
      <c r="E401" s="6"/>
      <c r="F401" s="8"/>
      <c r="G401" s="6"/>
      <c r="I401" s="6"/>
      <c r="J401" s="6"/>
      <c r="K401" s="77"/>
      <c r="L401" s="6"/>
      <c r="M401" s="6"/>
      <c r="N401" s="6"/>
      <c r="O401" s="6"/>
      <c r="P401" s="95"/>
      <c r="Q401" s="6"/>
      <c r="S401" s="6"/>
      <c r="T401" s="6"/>
      <c r="U401" s="77"/>
      <c r="V401" s="6"/>
      <c r="W401" s="6"/>
      <c r="X401" s="6"/>
      <c r="Y401" s="6"/>
      <c r="Z401" s="95"/>
      <c r="AA401" s="6"/>
      <c r="AC401" s="6"/>
      <c r="AD401" s="6"/>
      <c r="AE401" s="77"/>
      <c r="AF401" s="6"/>
      <c r="AG401" s="6"/>
      <c r="AH401" s="6"/>
      <c r="AI401" s="6"/>
      <c r="AJ401" s="95"/>
      <c r="AK401" s="6"/>
      <c r="AN401" s="6"/>
      <c r="AO401" s="95"/>
      <c r="AP401" s="6"/>
      <c r="AQ401" s="95"/>
      <c r="AR401" s="6"/>
      <c r="AS401" s="95"/>
    </row>
    <row r="402" spans="1:45">
      <c r="A402" s="6"/>
      <c r="B402" s="7"/>
      <c r="C402" s="7"/>
      <c r="D402" s="7"/>
      <c r="E402" s="6"/>
      <c r="F402" s="8"/>
      <c r="G402" s="6"/>
      <c r="I402" s="6"/>
      <c r="J402" s="6"/>
      <c r="K402" s="77"/>
      <c r="L402" s="6"/>
      <c r="M402" s="6"/>
      <c r="N402" s="6"/>
      <c r="O402" s="6"/>
      <c r="P402" s="95"/>
      <c r="Q402" s="6"/>
      <c r="S402" s="6"/>
      <c r="T402" s="6"/>
      <c r="U402" s="77"/>
      <c r="V402" s="6"/>
      <c r="W402" s="6"/>
      <c r="X402" s="6"/>
      <c r="Y402" s="6"/>
      <c r="Z402" s="95"/>
      <c r="AA402" s="6"/>
      <c r="AC402" s="6"/>
      <c r="AD402" s="6"/>
      <c r="AE402" s="77"/>
      <c r="AF402" s="6"/>
      <c r="AG402" s="6"/>
      <c r="AH402" s="6"/>
      <c r="AI402" s="6"/>
      <c r="AJ402" s="95"/>
      <c r="AK402" s="6"/>
      <c r="AN402" s="6"/>
      <c r="AO402" s="95"/>
      <c r="AP402" s="6"/>
      <c r="AQ402" s="95"/>
      <c r="AR402" s="6"/>
      <c r="AS402" s="95"/>
    </row>
    <row r="403" spans="1:45">
      <c r="A403" s="6"/>
      <c r="B403" s="7"/>
      <c r="C403" s="7"/>
      <c r="D403" s="7"/>
      <c r="E403" s="6"/>
      <c r="F403" s="8"/>
      <c r="G403" s="6"/>
      <c r="I403" s="6"/>
      <c r="J403" s="6"/>
      <c r="K403" s="77"/>
      <c r="L403" s="6"/>
      <c r="M403" s="6"/>
      <c r="N403" s="6"/>
      <c r="O403" s="6"/>
      <c r="P403" s="95"/>
      <c r="Q403" s="6"/>
      <c r="S403" s="6"/>
      <c r="T403" s="6"/>
      <c r="U403" s="77"/>
      <c r="V403" s="6"/>
      <c r="W403" s="6"/>
      <c r="X403" s="6"/>
      <c r="Y403" s="6"/>
      <c r="Z403" s="95"/>
      <c r="AA403" s="6"/>
      <c r="AC403" s="6"/>
      <c r="AD403" s="6"/>
      <c r="AE403" s="77"/>
      <c r="AF403" s="6"/>
      <c r="AG403" s="6"/>
      <c r="AH403" s="6"/>
      <c r="AI403" s="6"/>
      <c r="AJ403" s="95"/>
      <c r="AK403" s="6"/>
      <c r="AN403" s="6"/>
      <c r="AO403" s="95"/>
      <c r="AP403" s="6"/>
      <c r="AQ403" s="95"/>
      <c r="AR403" s="6"/>
      <c r="AS403" s="95"/>
    </row>
    <row r="404" spans="1:45">
      <c r="A404" s="6"/>
      <c r="B404" s="7"/>
      <c r="C404" s="7"/>
      <c r="D404" s="7"/>
      <c r="E404" s="6"/>
      <c r="F404" s="8"/>
      <c r="G404" s="6"/>
      <c r="I404" s="6"/>
      <c r="J404" s="6"/>
      <c r="K404" s="77"/>
      <c r="L404" s="6"/>
      <c r="M404" s="6"/>
      <c r="N404" s="6"/>
      <c r="O404" s="6"/>
      <c r="P404" s="95"/>
      <c r="Q404" s="6"/>
      <c r="S404" s="6"/>
      <c r="T404" s="6"/>
      <c r="U404" s="77"/>
      <c r="V404" s="6"/>
      <c r="W404" s="6"/>
      <c r="X404" s="6"/>
      <c r="Y404" s="6"/>
      <c r="Z404" s="95"/>
      <c r="AA404" s="6"/>
      <c r="AC404" s="6"/>
      <c r="AD404" s="6"/>
      <c r="AE404" s="77"/>
      <c r="AF404" s="6"/>
      <c r="AG404" s="6"/>
      <c r="AH404" s="6"/>
      <c r="AI404" s="6"/>
      <c r="AJ404" s="95"/>
      <c r="AK404" s="6"/>
      <c r="AN404" s="6"/>
      <c r="AO404" s="95"/>
      <c r="AP404" s="6"/>
      <c r="AQ404" s="95"/>
      <c r="AR404" s="6"/>
      <c r="AS404" s="95"/>
    </row>
    <row r="405" spans="1:45">
      <c r="A405" s="6"/>
      <c r="B405" s="7"/>
      <c r="C405" s="7"/>
      <c r="D405" s="7"/>
      <c r="E405" s="6"/>
      <c r="F405" s="8"/>
      <c r="G405" s="6"/>
      <c r="I405" s="6"/>
      <c r="J405" s="6"/>
      <c r="K405" s="77"/>
      <c r="L405" s="6"/>
      <c r="M405" s="6"/>
      <c r="N405" s="6"/>
      <c r="O405" s="6"/>
      <c r="P405" s="95"/>
      <c r="Q405" s="6"/>
      <c r="S405" s="6"/>
      <c r="T405" s="6"/>
      <c r="U405" s="77"/>
      <c r="V405" s="6"/>
      <c r="W405" s="6"/>
      <c r="X405" s="6"/>
      <c r="Y405" s="6"/>
      <c r="Z405" s="95"/>
      <c r="AA405" s="6"/>
      <c r="AC405" s="6"/>
      <c r="AD405" s="6"/>
      <c r="AE405" s="77"/>
      <c r="AF405" s="6"/>
      <c r="AG405" s="6"/>
      <c r="AH405" s="6"/>
      <c r="AI405" s="6"/>
      <c r="AJ405" s="95"/>
      <c r="AK405" s="6"/>
      <c r="AN405" s="6"/>
      <c r="AO405" s="95"/>
      <c r="AP405" s="6"/>
      <c r="AQ405" s="95"/>
      <c r="AR405" s="6"/>
      <c r="AS405" s="95"/>
    </row>
    <row r="406" spans="1:45">
      <c r="A406" s="6"/>
      <c r="B406" s="7"/>
      <c r="C406" s="7"/>
      <c r="D406" s="7"/>
      <c r="E406" s="6"/>
      <c r="F406" s="8"/>
      <c r="G406" s="6"/>
      <c r="I406" s="6"/>
      <c r="J406" s="6"/>
      <c r="K406" s="77"/>
      <c r="L406" s="6"/>
      <c r="M406" s="6"/>
      <c r="N406" s="6"/>
      <c r="O406" s="6"/>
      <c r="P406" s="95"/>
      <c r="Q406" s="6"/>
      <c r="S406" s="6"/>
      <c r="T406" s="6"/>
      <c r="U406" s="77"/>
      <c r="V406" s="6"/>
      <c r="W406" s="6"/>
      <c r="X406" s="6"/>
      <c r="Y406" s="6"/>
      <c r="Z406" s="95"/>
      <c r="AA406" s="6"/>
      <c r="AC406" s="6"/>
      <c r="AD406" s="6"/>
      <c r="AE406" s="77"/>
      <c r="AF406" s="6"/>
      <c r="AG406" s="6"/>
      <c r="AH406" s="6"/>
      <c r="AI406" s="6"/>
      <c r="AJ406" s="95"/>
      <c r="AK406" s="6"/>
      <c r="AN406" s="6"/>
      <c r="AO406" s="95"/>
      <c r="AP406" s="6"/>
      <c r="AQ406" s="95"/>
      <c r="AR406" s="6"/>
      <c r="AS406" s="95"/>
    </row>
    <row r="407" spans="1:45">
      <c r="A407" s="6"/>
      <c r="B407" s="7"/>
      <c r="C407" s="7"/>
      <c r="D407" s="7"/>
      <c r="E407" s="6"/>
      <c r="F407" s="8"/>
      <c r="G407" s="6"/>
      <c r="I407" s="6"/>
      <c r="J407" s="6"/>
      <c r="K407" s="77"/>
      <c r="L407" s="6"/>
      <c r="M407" s="6"/>
      <c r="N407" s="6"/>
      <c r="O407" s="6"/>
      <c r="P407" s="95"/>
      <c r="Q407" s="6"/>
      <c r="S407" s="6"/>
      <c r="T407" s="6"/>
      <c r="U407" s="77"/>
      <c r="V407" s="6"/>
      <c r="W407" s="6"/>
      <c r="X407" s="6"/>
      <c r="Y407" s="6"/>
      <c r="Z407" s="95"/>
      <c r="AA407" s="6"/>
      <c r="AC407" s="6"/>
      <c r="AD407" s="6"/>
      <c r="AE407" s="77"/>
      <c r="AF407" s="6"/>
      <c r="AG407" s="6"/>
      <c r="AH407" s="6"/>
      <c r="AI407" s="6"/>
      <c r="AJ407" s="95"/>
      <c r="AK407" s="6"/>
      <c r="AN407" s="6"/>
      <c r="AO407" s="95"/>
      <c r="AP407" s="6"/>
      <c r="AQ407" s="95"/>
      <c r="AR407" s="6"/>
      <c r="AS407" s="95"/>
    </row>
    <row r="408" spans="1:45">
      <c r="A408" s="6"/>
      <c r="B408" s="7"/>
      <c r="C408" s="7"/>
      <c r="D408" s="7"/>
      <c r="E408" s="6"/>
      <c r="F408" s="8"/>
      <c r="G408" s="6"/>
      <c r="I408" s="6"/>
      <c r="J408" s="6"/>
      <c r="K408" s="77"/>
      <c r="L408" s="6"/>
      <c r="M408" s="6"/>
      <c r="N408" s="6"/>
      <c r="O408" s="6"/>
      <c r="P408" s="95"/>
      <c r="Q408" s="6"/>
      <c r="S408" s="6"/>
      <c r="T408" s="6"/>
      <c r="U408" s="77"/>
      <c r="V408" s="6"/>
      <c r="W408" s="6"/>
      <c r="X408" s="6"/>
      <c r="Y408" s="6"/>
      <c r="Z408" s="95"/>
      <c r="AA408" s="6"/>
      <c r="AC408" s="6"/>
      <c r="AD408" s="6"/>
      <c r="AE408" s="77"/>
      <c r="AF408" s="6"/>
      <c r="AG408" s="6"/>
      <c r="AH408" s="6"/>
      <c r="AI408" s="6"/>
      <c r="AJ408" s="95"/>
      <c r="AK408" s="6"/>
      <c r="AN408" s="6"/>
      <c r="AO408" s="95"/>
      <c r="AP408" s="6"/>
      <c r="AQ408" s="95"/>
      <c r="AR408" s="6"/>
      <c r="AS408" s="95"/>
    </row>
    <row r="409" spans="1:45">
      <c r="A409" s="6"/>
      <c r="B409" s="7"/>
      <c r="C409" s="7"/>
      <c r="D409" s="7"/>
      <c r="E409" s="6"/>
      <c r="F409" s="8"/>
      <c r="G409" s="6"/>
      <c r="I409" s="6"/>
      <c r="J409" s="6"/>
      <c r="K409" s="77"/>
      <c r="L409" s="6"/>
      <c r="M409" s="6"/>
      <c r="N409" s="6"/>
      <c r="O409" s="6"/>
      <c r="P409" s="95"/>
      <c r="Q409" s="6"/>
      <c r="S409" s="6"/>
      <c r="T409" s="6"/>
      <c r="U409" s="77"/>
      <c r="V409" s="6"/>
      <c r="W409" s="6"/>
      <c r="X409" s="6"/>
      <c r="Y409" s="6"/>
      <c r="Z409" s="95"/>
      <c r="AA409" s="6"/>
      <c r="AC409" s="6"/>
      <c r="AD409" s="6"/>
      <c r="AE409" s="77"/>
      <c r="AF409" s="6"/>
      <c r="AG409" s="6"/>
      <c r="AH409" s="6"/>
      <c r="AI409" s="6"/>
      <c r="AJ409" s="95"/>
      <c r="AK409" s="6"/>
      <c r="AN409" s="6"/>
      <c r="AO409" s="95"/>
      <c r="AP409" s="6"/>
      <c r="AQ409" s="95"/>
      <c r="AR409" s="6"/>
      <c r="AS409" s="95"/>
    </row>
  </sheetData>
  <mergeCells count="17">
    <mergeCell ref="AB5:AK5"/>
    <mergeCell ref="I6:M6"/>
    <mergeCell ref="A1:G2"/>
    <mergeCell ref="I1:Z2"/>
    <mergeCell ref="H5:Q5"/>
    <mergeCell ref="R5:AA5"/>
    <mergeCell ref="H3:Q3"/>
    <mergeCell ref="R3:AA3"/>
    <mergeCell ref="AB3:AK3"/>
    <mergeCell ref="AR6:AS6"/>
    <mergeCell ref="AH6:AJ6"/>
    <mergeCell ref="AN6:AO6"/>
    <mergeCell ref="AP6:AQ6"/>
    <mergeCell ref="N6:P6"/>
    <mergeCell ref="X6:Z6"/>
    <mergeCell ref="AC6:AG6"/>
    <mergeCell ref="S6:W6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1C15-3C61-614A-AB6B-EF86C96DA2DE}">
  <dimension ref="A1:I104"/>
  <sheetViews>
    <sheetView tabSelected="1" workbookViewId="0">
      <selection activeCell="A71" sqref="A71:B71"/>
    </sheetView>
  </sheetViews>
  <sheetFormatPr defaultColWidth="11.42578125" defaultRowHeight="15"/>
  <cols>
    <col min="1" max="1" width="22.140625" style="20" bestFit="1" customWidth="1"/>
    <col min="2" max="2" width="12.7109375" style="20" customWidth="1"/>
    <col min="3" max="3" width="12.7109375" customWidth="1"/>
    <col min="4" max="4" width="19.85546875" style="20" bestFit="1" customWidth="1"/>
    <col min="5" max="5" width="12.7109375" style="20" customWidth="1"/>
    <col min="6" max="6" width="12.7109375" customWidth="1"/>
    <col min="7" max="7" width="22.7109375" style="20" bestFit="1" customWidth="1"/>
    <col min="8" max="8" width="12.7109375" style="20" customWidth="1"/>
    <col min="9" max="9" width="4" customWidth="1"/>
  </cols>
  <sheetData>
    <row r="1" spans="1:9" ht="18.75">
      <c r="A1" s="43" t="s">
        <v>16</v>
      </c>
      <c r="B1" s="43"/>
      <c r="C1" s="44"/>
      <c r="D1" s="43" t="s">
        <v>16</v>
      </c>
      <c r="E1" s="43"/>
      <c r="F1" s="44"/>
      <c r="G1" s="43" t="s">
        <v>16</v>
      </c>
      <c r="H1" s="43"/>
      <c r="I1" s="44"/>
    </row>
    <row r="2" spans="1:9" ht="75">
      <c r="A2" s="43" t="s">
        <v>19</v>
      </c>
      <c r="B2" s="43"/>
      <c r="C2" s="44"/>
      <c r="D2" s="45" t="s">
        <v>30</v>
      </c>
      <c r="E2" s="43"/>
      <c r="F2" s="44"/>
      <c r="G2" s="45" t="s">
        <v>31</v>
      </c>
      <c r="H2" s="43"/>
      <c r="I2" s="44"/>
    </row>
    <row r="3" spans="1:9" ht="24" customHeight="1">
      <c r="A3" s="19" t="s">
        <v>18</v>
      </c>
      <c r="B3" s="19" t="s">
        <v>17</v>
      </c>
      <c r="C3" s="20"/>
      <c r="D3" s="19" t="s">
        <v>18</v>
      </c>
      <c r="E3" s="19" t="s">
        <v>17</v>
      </c>
      <c r="F3" s="20"/>
      <c r="G3" s="19" t="s">
        <v>18</v>
      </c>
      <c r="H3" s="19" t="s">
        <v>17</v>
      </c>
      <c r="I3" s="20"/>
    </row>
    <row r="4" spans="1:9">
      <c r="A4" s="41">
        <v>0</v>
      </c>
      <c r="B4" s="21">
        <v>0</v>
      </c>
      <c r="D4" s="41">
        <v>0</v>
      </c>
      <c r="E4" s="21">
        <v>0</v>
      </c>
      <c r="G4" s="41">
        <v>0</v>
      </c>
      <c r="H4" s="21">
        <v>0</v>
      </c>
    </row>
    <row r="5" spans="1:9">
      <c r="A5" s="41">
        <v>0.01</v>
      </c>
      <c r="B5" s="21">
        <v>0</v>
      </c>
      <c r="D5" s="41">
        <v>0.01</v>
      </c>
      <c r="E5" s="21">
        <v>0</v>
      </c>
      <c r="G5" s="41">
        <v>0.01</v>
      </c>
      <c r="H5" s="21">
        <v>0</v>
      </c>
    </row>
    <row r="6" spans="1:9">
      <c r="A6" s="41">
        <v>0.02</v>
      </c>
      <c r="B6" s="21">
        <v>0</v>
      </c>
      <c r="D6" s="41">
        <v>0.02</v>
      </c>
      <c r="E6" s="21">
        <v>0</v>
      </c>
      <c r="G6" s="41">
        <v>0.02</v>
      </c>
      <c r="H6" s="21">
        <v>0</v>
      </c>
    </row>
    <row r="7" spans="1:9">
      <c r="A7" s="41">
        <v>0.03</v>
      </c>
      <c r="B7" s="21">
        <v>0</v>
      </c>
      <c r="D7" s="41">
        <v>0.03</v>
      </c>
      <c r="E7" s="21">
        <v>0</v>
      </c>
      <c r="G7" s="41">
        <v>0.03</v>
      </c>
      <c r="H7" s="21">
        <v>0</v>
      </c>
    </row>
    <row r="8" spans="1:9">
      <c r="A8" s="41">
        <v>0.04</v>
      </c>
      <c r="B8" s="21">
        <v>0</v>
      </c>
      <c r="D8" s="41">
        <v>0.04</v>
      </c>
      <c r="E8" s="21">
        <v>0</v>
      </c>
      <c r="G8" s="41">
        <v>0.04</v>
      </c>
      <c r="H8" s="21">
        <v>0</v>
      </c>
    </row>
    <row r="9" spans="1:9">
      <c r="A9" s="41">
        <v>0.05</v>
      </c>
      <c r="B9" s="21">
        <v>0</v>
      </c>
      <c r="D9" s="41">
        <v>0.05</v>
      </c>
      <c r="E9" s="21">
        <v>0</v>
      </c>
      <c r="G9" s="41">
        <v>0.05</v>
      </c>
      <c r="H9" s="21">
        <v>0</v>
      </c>
    </row>
    <row r="10" spans="1:9">
      <c r="A10" s="41">
        <v>0.06</v>
      </c>
      <c r="B10" s="21">
        <v>0</v>
      </c>
      <c r="D10" s="41">
        <v>0.06</v>
      </c>
      <c r="E10" s="21">
        <v>0</v>
      </c>
      <c r="G10" s="41">
        <v>0.06</v>
      </c>
      <c r="H10" s="21">
        <v>0</v>
      </c>
    </row>
    <row r="11" spans="1:9">
      <c r="A11" s="41">
        <v>7.0000000000000007E-2</v>
      </c>
      <c r="B11" s="21">
        <v>0</v>
      </c>
      <c r="D11" s="41">
        <v>7.0000000000000007E-2</v>
      </c>
      <c r="E11" s="21">
        <v>0</v>
      </c>
      <c r="G11" s="41">
        <v>7.0000000000000007E-2</v>
      </c>
      <c r="H11" s="21">
        <v>0</v>
      </c>
    </row>
    <row r="12" spans="1:9">
      <c r="A12" s="41">
        <v>0.08</v>
      </c>
      <c r="B12" s="21">
        <v>0</v>
      </c>
      <c r="D12" s="41">
        <v>0.08</v>
      </c>
      <c r="E12" s="21">
        <v>0</v>
      </c>
      <c r="G12" s="41">
        <v>0.08</v>
      </c>
      <c r="H12" s="21">
        <v>0</v>
      </c>
    </row>
    <row r="13" spans="1:9">
      <c r="A13" s="41">
        <v>0.09</v>
      </c>
      <c r="B13" s="21">
        <v>0</v>
      </c>
      <c r="D13" s="41">
        <v>0.09</v>
      </c>
      <c r="E13" s="21">
        <v>0</v>
      </c>
      <c r="G13" s="41">
        <v>0.09</v>
      </c>
      <c r="H13" s="21">
        <v>0</v>
      </c>
    </row>
    <row r="14" spans="1:9">
      <c r="A14" s="41">
        <v>0.1</v>
      </c>
      <c r="B14" s="21">
        <v>0</v>
      </c>
      <c r="D14" s="41">
        <v>0.1</v>
      </c>
      <c r="E14" s="21">
        <v>0</v>
      </c>
      <c r="G14" s="41">
        <v>0.1</v>
      </c>
      <c r="H14" s="21">
        <v>0</v>
      </c>
    </row>
    <row r="15" spans="1:9">
      <c r="A15" s="41">
        <v>0.11</v>
      </c>
      <c r="B15" s="21">
        <v>0</v>
      </c>
      <c r="D15" s="41">
        <v>0.11</v>
      </c>
      <c r="E15" s="21">
        <v>0</v>
      </c>
      <c r="G15" s="41">
        <v>0.11</v>
      </c>
      <c r="H15" s="21">
        <v>0</v>
      </c>
    </row>
    <row r="16" spans="1:9">
      <c r="A16" s="41">
        <v>0.12</v>
      </c>
      <c r="B16" s="21">
        <v>0</v>
      </c>
      <c r="D16" s="41">
        <v>0.12</v>
      </c>
      <c r="E16" s="21">
        <v>0</v>
      </c>
      <c r="G16" s="41">
        <v>0.12</v>
      </c>
      <c r="H16" s="21">
        <v>0</v>
      </c>
    </row>
    <row r="17" spans="1:8">
      <c r="A17" s="41">
        <v>0.13</v>
      </c>
      <c r="B17" s="21">
        <v>0</v>
      </c>
      <c r="D17" s="41">
        <v>0.13</v>
      </c>
      <c r="E17" s="21">
        <v>0</v>
      </c>
      <c r="G17" s="41">
        <v>0.13</v>
      </c>
      <c r="H17" s="21">
        <v>0</v>
      </c>
    </row>
    <row r="18" spans="1:8">
      <c r="A18" s="41">
        <v>0.14000000000000001</v>
      </c>
      <c r="B18" s="21">
        <v>0</v>
      </c>
      <c r="D18" s="41">
        <v>0.14000000000000001</v>
      </c>
      <c r="E18" s="21">
        <v>0</v>
      </c>
      <c r="G18" s="41">
        <v>0.14000000000000001</v>
      </c>
      <c r="H18" s="21">
        <v>0</v>
      </c>
    </row>
    <row r="19" spans="1:8">
      <c r="A19" s="41">
        <v>0.15</v>
      </c>
      <c r="B19" s="21">
        <v>0</v>
      </c>
      <c r="D19" s="41">
        <v>0.15</v>
      </c>
      <c r="E19" s="21">
        <v>0</v>
      </c>
      <c r="G19" s="41">
        <v>0.15</v>
      </c>
      <c r="H19" s="21">
        <v>0</v>
      </c>
    </row>
    <row r="20" spans="1:8">
      <c r="A20" s="41">
        <v>0.16</v>
      </c>
      <c r="B20" s="21">
        <v>0</v>
      </c>
      <c r="D20" s="41">
        <v>0.16</v>
      </c>
      <c r="E20" s="21">
        <v>0</v>
      </c>
      <c r="G20" s="41">
        <v>0.16</v>
      </c>
      <c r="H20" s="21">
        <v>0</v>
      </c>
    </row>
    <row r="21" spans="1:8">
      <c r="A21" s="41">
        <v>0.17</v>
      </c>
      <c r="B21" s="21">
        <v>0</v>
      </c>
      <c r="D21" s="41">
        <v>0.17</v>
      </c>
      <c r="E21" s="21">
        <v>0</v>
      </c>
      <c r="G21" s="41">
        <v>0.17</v>
      </c>
      <c r="H21" s="21">
        <v>0</v>
      </c>
    </row>
    <row r="22" spans="1:8">
      <c r="A22" s="41">
        <v>0.18</v>
      </c>
      <c r="B22" s="21">
        <v>0</v>
      </c>
      <c r="D22" s="41">
        <v>0.18</v>
      </c>
      <c r="E22" s="21">
        <v>0</v>
      </c>
      <c r="G22" s="41">
        <v>0.18</v>
      </c>
      <c r="H22" s="21">
        <v>0</v>
      </c>
    </row>
    <row r="23" spans="1:8">
      <c r="A23" s="41">
        <v>0.19</v>
      </c>
      <c r="B23" s="21">
        <v>0</v>
      </c>
      <c r="D23" s="41">
        <v>0.19</v>
      </c>
      <c r="E23" s="21">
        <v>0</v>
      </c>
      <c r="G23" s="41">
        <v>0.19</v>
      </c>
      <c r="H23" s="21">
        <v>0</v>
      </c>
    </row>
    <row r="24" spans="1:8">
      <c r="A24" s="41">
        <v>0.2</v>
      </c>
      <c r="B24" s="21">
        <v>0</v>
      </c>
      <c r="D24" s="41">
        <v>0.2</v>
      </c>
      <c r="E24" s="21">
        <v>0</v>
      </c>
      <c r="G24" s="41">
        <v>0.2</v>
      </c>
      <c r="H24" s="21">
        <v>0</v>
      </c>
    </row>
    <row r="25" spans="1:8">
      <c r="A25" s="41">
        <v>0.21</v>
      </c>
      <c r="B25" s="21">
        <v>0</v>
      </c>
      <c r="D25" s="41">
        <v>0.21</v>
      </c>
      <c r="E25" s="21">
        <v>0</v>
      </c>
      <c r="G25" s="41">
        <v>0.21</v>
      </c>
      <c r="H25" s="21">
        <v>0</v>
      </c>
    </row>
    <row r="26" spans="1:8">
      <c r="A26" s="41">
        <v>0.22</v>
      </c>
      <c r="B26" s="21">
        <v>0</v>
      </c>
      <c r="D26" s="41">
        <v>0.22</v>
      </c>
      <c r="E26" s="21">
        <v>0</v>
      </c>
      <c r="G26" s="41">
        <v>0.22</v>
      </c>
      <c r="H26" s="21">
        <v>0</v>
      </c>
    </row>
    <row r="27" spans="1:8">
      <c r="A27" s="41">
        <v>0.23</v>
      </c>
      <c r="B27" s="21">
        <v>0</v>
      </c>
      <c r="D27" s="41">
        <v>0.23</v>
      </c>
      <c r="E27" s="21">
        <v>0</v>
      </c>
      <c r="G27" s="41">
        <v>0.23</v>
      </c>
      <c r="H27" s="21">
        <v>0</v>
      </c>
    </row>
    <row r="28" spans="1:8">
      <c r="A28" s="41">
        <v>0.24</v>
      </c>
      <c r="B28" s="21">
        <v>0</v>
      </c>
      <c r="D28" s="41">
        <v>0.24</v>
      </c>
      <c r="E28" s="21">
        <v>0</v>
      </c>
      <c r="G28" s="41">
        <v>0.24</v>
      </c>
      <c r="H28" s="21">
        <v>0</v>
      </c>
    </row>
    <row r="29" spans="1:8">
      <c r="A29" s="41">
        <v>0.25</v>
      </c>
      <c r="B29" s="21">
        <v>0</v>
      </c>
      <c r="D29" s="41">
        <v>0.25</v>
      </c>
      <c r="E29" s="21">
        <v>0</v>
      </c>
      <c r="G29" s="41">
        <v>0.25</v>
      </c>
      <c r="H29" s="21">
        <v>0</v>
      </c>
    </row>
    <row r="30" spans="1:8">
      <c r="A30" s="41">
        <v>0.26</v>
      </c>
      <c r="B30" s="21">
        <v>0</v>
      </c>
      <c r="D30" s="41">
        <v>0.26</v>
      </c>
      <c r="E30" s="21">
        <v>0</v>
      </c>
      <c r="G30" s="41">
        <v>0.26</v>
      </c>
      <c r="H30" s="21">
        <v>0</v>
      </c>
    </row>
    <row r="31" spans="1:8">
      <c r="A31" s="41">
        <v>0.27</v>
      </c>
      <c r="B31" s="21">
        <v>0</v>
      </c>
      <c r="D31" s="41">
        <v>0.27</v>
      </c>
      <c r="E31" s="21">
        <v>0</v>
      </c>
      <c r="G31" s="41">
        <v>0.27</v>
      </c>
      <c r="H31" s="21">
        <v>0</v>
      </c>
    </row>
    <row r="32" spans="1:8">
      <c r="A32" s="41">
        <v>0.28000000000000003</v>
      </c>
      <c r="B32" s="21">
        <v>0</v>
      </c>
      <c r="D32" s="41">
        <v>0.28000000000000003</v>
      </c>
      <c r="E32" s="21">
        <v>0</v>
      </c>
      <c r="G32" s="41">
        <v>0.28000000000000003</v>
      </c>
      <c r="H32" s="21">
        <v>0</v>
      </c>
    </row>
    <row r="33" spans="1:8">
      <c r="A33" s="41">
        <v>0.28999999999999998</v>
      </c>
      <c r="B33" s="21">
        <v>0</v>
      </c>
      <c r="D33" s="41">
        <v>0.28999999999999998</v>
      </c>
      <c r="E33" s="21">
        <v>0</v>
      </c>
      <c r="G33" s="41">
        <v>0.28999999999999998</v>
      </c>
      <c r="H33" s="21">
        <v>0</v>
      </c>
    </row>
    <row r="34" spans="1:8">
      <c r="A34" s="41">
        <v>0.3</v>
      </c>
      <c r="B34" s="21">
        <v>0</v>
      </c>
      <c r="D34" s="41">
        <v>0.3</v>
      </c>
      <c r="E34" s="21">
        <v>0</v>
      </c>
      <c r="G34" s="41">
        <v>0.3</v>
      </c>
      <c r="H34" s="21">
        <v>0</v>
      </c>
    </row>
    <row r="35" spans="1:8">
      <c r="A35" s="41">
        <v>0.31</v>
      </c>
      <c r="B35" s="21">
        <v>0</v>
      </c>
      <c r="D35" s="41">
        <v>0.31</v>
      </c>
      <c r="E35" s="21">
        <v>0</v>
      </c>
      <c r="G35" s="41">
        <v>0.31</v>
      </c>
      <c r="H35" s="21">
        <v>0</v>
      </c>
    </row>
    <row r="36" spans="1:8">
      <c r="A36" s="41">
        <v>0.32</v>
      </c>
      <c r="B36" s="21">
        <v>0</v>
      </c>
      <c r="D36" s="41">
        <v>0.32</v>
      </c>
      <c r="E36" s="21">
        <v>0</v>
      </c>
      <c r="G36" s="41">
        <v>0.32</v>
      </c>
      <c r="H36" s="21">
        <v>0</v>
      </c>
    </row>
    <row r="37" spans="1:8">
      <c r="A37" s="41">
        <v>0.33</v>
      </c>
      <c r="B37" s="21">
        <v>0</v>
      </c>
      <c r="D37" s="41">
        <v>0.33</v>
      </c>
      <c r="E37" s="21">
        <v>0</v>
      </c>
      <c r="G37" s="41">
        <v>0.33</v>
      </c>
      <c r="H37" s="21">
        <v>0</v>
      </c>
    </row>
    <row r="38" spans="1:8">
      <c r="A38" s="41">
        <v>0.34</v>
      </c>
      <c r="B38" s="21">
        <v>0</v>
      </c>
      <c r="D38" s="41">
        <v>0.34</v>
      </c>
      <c r="E38" s="21">
        <v>0</v>
      </c>
      <c r="G38" s="41">
        <v>0.34</v>
      </c>
      <c r="H38" s="21">
        <v>0</v>
      </c>
    </row>
    <row r="39" spans="1:8">
      <c r="A39" s="41">
        <v>0.35</v>
      </c>
      <c r="B39" s="21">
        <v>0</v>
      </c>
      <c r="D39" s="41">
        <v>0.35</v>
      </c>
      <c r="E39" s="21">
        <v>0</v>
      </c>
      <c r="G39" s="41">
        <v>0.35</v>
      </c>
      <c r="H39" s="21">
        <v>0</v>
      </c>
    </row>
    <row r="40" spans="1:8">
      <c r="A40" s="41">
        <v>0.36</v>
      </c>
      <c r="B40" s="21">
        <v>0</v>
      </c>
      <c r="D40" s="41">
        <v>0.36</v>
      </c>
      <c r="E40" s="21">
        <v>0</v>
      </c>
      <c r="G40" s="41">
        <v>0.36</v>
      </c>
      <c r="H40" s="21">
        <v>0</v>
      </c>
    </row>
    <row r="41" spans="1:8">
      <c r="A41" s="41">
        <v>0.37</v>
      </c>
      <c r="B41" s="21">
        <v>0</v>
      </c>
      <c r="D41" s="41">
        <v>0.37</v>
      </c>
      <c r="E41" s="21">
        <v>0</v>
      </c>
      <c r="G41" s="41">
        <v>0.37</v>
      </c>
      <c r="H41" s="21">
        <v>0</v>
      </c>
    </row>
    <row r="42" spans="1:8">
      <c r="A42" s="41">
        <v>0.38</v>
      </c>
      <c r="B42" s="21">
        <v>0</v>
      </c>
      <c r="D42" s="41">
        <v>0.38</v>
      </c>
      <c r="E42" s="21">
        <v>0</v>
      </c>
      <c r="G42" s="41">
        <v>0.38</v>
      </c>
      <c r="H42" s="21">
        <v>0</v>
      </c>
    </row>
    <row r="43" spans="1:8">
      <c r="A43" s="41">
        <v>0.39</v>
      </c>
      <c r="B43" s="21">
        <v>0</v>
      </c>
      <c r="D43" s="41">
        <v>0.39</v>
      </c>
      <c r="E43" s="21">
        <v>0</v>
      </c>
      <c r="G43" s="41">
        <v>0.39</v>
      </c>
      <c r="H43" s="21">
        <v>0</v>
      </c>
    </row>
    <row r="44" spans="1:8">
      <c r="A44" s="41">
        <v>0.4</v>
      </c>
      <c r="B44" s="21">
        <v>0</v>
      </c>
      <c r="D44" s="41">
        <v>0.4</v>
      </c>
      <c r="E44" s="21">
        <v>0</v>
      </c>
      <c r="G44" s="41">
        <v>0.4</v>
      </c>
      <c r="H44" s="21">
        <v>0</v>
      </c>
    </row>
    <row r="45" spans="1:8">
      <c r="A45" s="41">
        <v>0.41</v>
      </c>
      <c r="B45" s="21">
        <v>0</v>
      </c>
      <c r="D45" s="41">
        <v>0.41</v>
      </c>
      <c r="E45" s="21">
        <v>0</v>
      </c>
      <c r="G45" s="41">
        <v>0.41</v>
      </c>
      <c r="H45" s="21">
        <v>0</v>
      </c>
    </row>
    <row r="46" spans="1:8">
      <c r="A46" s="41">
        <v>0.42</v>
      </c>
      <c r="B46" s="21">
        <v>0</v>
      </c>
      <c r="D46" s="41">
        <v>0.42</v>
      </c>
      <c r="E46" s="21">
        <v>0</v>
      </c>
      <c r="G46" s="41">
        <v>0.42</v>
      </c>
      <c r="H46" s="21">
        <v>0</v>
      </c>
    </row>
    <row r="47" spans="1:8">
      <c r="A47" s="41">
        <v>0.43</v>
      </c>
      <c r="B47" s="21">
        <v>0</v>
      </c>
      <c r="D47" s="41">
        <v>0.43</v>
      </c>
      <c r="E47" s="21">
        <v>0</v>
      </c>
      <c r="G47" s="41">
        <v>0.43</v>
      </c>
      <c r="H47" s="21">
        <v>0</v>
      </c>
    </row>
    <row r="48" spans="1:8">
      <c r="A48" s="41">
        <v>0.44</v>
      </c>
      <c r="B48" s="21">
        <v>0</v>
      </c>
      <c r="D48" s="41">
        <v>0.44</v>
      </c>
      <c r="E48" s="21">
        <v>0</v>
      </c>
      <c r="G48" s="41">
        <v>0.44</v>
      </c>
      <c r="H48" s="21">
        <v>0</v>
      </c>
    </row>
    <row r="49" spans="1:8">
      <c r="A49" s="41">
        <v>0.45</v>
      </c>
      <c r="B49" s="21">
        <v>0</v>
      </c>
      <c r="D49" s="41">
        <v>0.45</v>
      </c>
      <c r="E49" s="21">
        <v>0</v>
      </c>
      <c r="G49" s="41">
        <v>0.45</v>
      </c>
      <c r="H49" s="21">
        <v>0</v>
      </c>
    </row>
    <row r="50" spans="1:8">
      <c r="A50" s="41">
        <v>0.46</v>
      </c>
      <c r="B50" s="21">
        <v>0</v>
      </c>
      <c r="D50" s="41">
        <v>0.46</v>
      </c>
      <c r="E50" s="21">
        <v>0</v>
      </c>
      <c r="G50" s="41">
        <v>0.46</v>
      </c>
      <c r="H50" s="21">
        <v>0</v>
      </c>
    </row>
    <row r="51" spans="1:8">
      <c r="A51" s="41">
        <v>0.47</v>
      </c>
      <c r="B51" s="21">
        <v>0</v>
      </c>
      <c r="D51" s="41">
        <v>0.47</v>
      </c>
      <c r="E51" s="21">
        <v>0</v>
      </c>
      <c r="G51" s="41">
        <v>0.47</v>
      </c>
      <c r="H51" s="21">
        <v>0</v>
      </c>
    </row>
    <row r="52" spans="1:8">
      <c r="A52" s="41">
        <v>0.48</v>
      </c>
      <c r="B52" s="21">
        <v>0</v>
      </c>
      <c r="D52" s="41">
        <v>0.48</v>
      </c>
      <c r="E52" s="21">
        <v>0</v>
      </c>
      <c r="G52" s="41">
        <v>0.48</v>
      </c>
      <c r="H52" s="21">
        <v>0</v>
      </c>
    </row>
    <row r="53" spans="1:8">
      <c r="A53" s="41">
        <v>0.49</v>
      </c>
      <c r="B53" s="21">
        <v>0</v>
      </c>
      <c r="D53" s="41">
        <v>0.49</v>
      </c>
      <c r="E53" s="21">
        <v>0</v>
      </c>
      <c r="G53" s="41">
        <v>0.49</v>
      </c>
      <c r="H53" s="21">
        <v>0</v>
      </c>
    </row>
    <row r="54" spans="1:8">
      <c r="A54" s="42">
        <v>0.5</v>
      </c>
      <c r="B54" s="22">
        <v>2</v>
      </c>
      <c r="D54" s="41">
        <v>0.5</v>
      </c>
      <c r="E54" s="21">
        <v>0</v>
      </c>
      <c r="G54" s="41">
        <v>0.5</v>
      </c>
      <c r="H54" s="21">
        <v>0</v>
      </c>
    </row>
    <row r="55" spans="1:8">
      <c r="A55" s="42">
        <v>0.51</v>
      </c>
      <c r="B55" s="22">
        <v>2</v>
      </c>
      <c r="D55" s="41">
        <v>0.51</v>
      </c>
      <c r="E55" s="21">
        <v>0</v>
      </c>
      <c r="G55" s="41">
        <v>0.51</v>
      </c>
      <c r="H55" s="21">
        <v>0</v>
      </c>
    </row>
    <row r="56" spans="1:8">
      <c r="A56" s="42">
        <v>0.52</v>
      </c>
      <c r="B56" s="22">
        <v>2</v>
      </c>
      <c r="D56" s="41">
        <v>0.52</v>
      </c>
      <c r="E56" s="21">
        <v>0</v>
      </c>
      <c r="G56" s="41">
        <v>0.52</v>
      </c>
      <c r="H56" s="21">
        <v>0</v>
      </c>
    </row>
    <row r="57" spans="1:8">
      <c r="A57" s="41">
        <v>0.53</v>
      </c>
      <c r="B57" s="21">
        <v>8</v>
      </c>
      <c r="D57" s="41">
        <v>0.53</v>
      </c>
      <c r="E57" s="21">
        <v>0</v>
      </c>
      <c r="G57" s="41">
        <v>0.53</v>
      </c>
      <c r="H57" s="21">
        <v>0</v>
      </c>
    </row>
    <row r="58" spans="1:8">
      <c r="A58" s="41">
        <v>0.54</v>
      </c>
      <c r="B58" s="21">
        <v>8</v>
      </c>
      <c r="D58" s="41">
        <v>0.54</v>
      </c>
      <c r="E58" s="21">
        <v>0</v>
      </c>
      <c r="G58" s="41">
        <v>0.54</v>
      </c>
      <c r="H58" s="21">
        <v>0</v>
      </c>
    </row>
    <row r="59" spans="1:8">
      <c r="A59" s="41">
        <v>0.55000000000000004</v>
      </c>
      <c r="B59" s="21">
        <v>8</v>
      </c>
      <c r="D59" s="41">
        <v>0.55000000000000004</v>
      </c>
      <c r="E59" s="21">
        <v>0</v>
      </c>
      <c r="G59" s="41">
        <v>0.55000000000000004</v>
      </c>
      <c r="H59" s="21">
        <v>0</v>
      </c>
    </row>
    <row r="60" spans="1:8">
      <c r="A60" s="42">
        <v>0.56000000000000005</v>
      </c>
      <c r="B60" s="22">
        <v>14</v>
      </c>
      <c r="D60" s="41">
        <v>0.56000000000000005</v>
      </c>
      <c r="E60" s="21">
        <v>0</v>
      </c>
      <c r="G60" s="41">
        <v>0.56000000000000005</v>
      </c>
      <c r="H60" s="21">
        <v>0</v>
      </c>
    </row>
    <row r="61" spans="1:8">
      <c r="A61" s="42">
        <v>0.56999999999999995</v>
      </c>
      <c r="B61" s="22">
        <v>14</v>
      </c>
      <c r="D61" s="41">
        <v>0.56999999999999995</v>
      </c>
      <c r="E61" s="21">
        <v>0</v>
      </c>
      <c r="G61" s="41">
        <v>0.56999999999999995</v>
      </c>
      <c r="H61" s="21">
        <v>0</v>
      </c>
    </row>
    <row r="62" spans="1:8">
      <c r="A62" s="42">
        <v>0.57999999999999996</v>
      </c>
      <c r="B62" s="22">
        <v>14</v>
      </c>
      <c r="D62" s="41">
        <v>0.57999999999999996</v>
      </c>
      <c r="E62" s="21">
        <v>0</v>
      </c>
      <c r="G62" s="41">
        <v>0.57999999999999996</v>
      </c>
      <c r="H62" s="21">
        <v>0</v>
      </c>
    </row>
    <row r="63" spans="1:8">
      <c r="A63" s="41">
        <v>0.59</v>
      </c>
      <c r="B63" s="21">
        <v>20</v>
      </c>
      <c r="D63" s="41">
        <v>0.59</v>
      </c>
      <c r="E63" s="21">
        <v>0</v>
      </c>
      <c r="G63" s="41">
        <v>0.59</v>
      </c>
      <c r="H63" s="21">
        <v>0</v>
      </c>
    </row>
    <row r="64" spans="1:8">
      <c r="A64" s="41">
        <v>0.6</v>
      </c>
      <c r="B64" s="21">
        <v>20</v>
      </c>
      <c r="D64" s="41">
        <v>0.6</v>
      </c>
      <c r="E64" s="21">
        <v>0</v>
      </c>
      <c r="G64" s="41">
        <v>0.6</v>
      </c>
      <c r="H64" s="21">
        <v>0</v>
      </c>
    </row>
    <row r="65" spans="1:8">
      <c r="A65" s="41">
        <v>0.61</v>
      </c>
      <c r="B65" s="21">
        <v>20</v>
      </c>
      <c r="D65" s="41">
        <v>0.61</v>
      </c>
      <c r="E65" s="21">
        <v>0</v>
      </c>
      <c r="G65" s="41">
        <v>0.61</v>
      </c>
      <c r="H65" s="21">
        <v>0</v>
      </c>
    </row>
    <row r="66" spans="1:8">
      <c r="A66" s="42">
        <v>0.62</v>
      </c>
      <c r="B66" s="22">
        <v>26</v>
      </c>
      <c r="D66" s="41">
        <v>0.62</v>
      </c>
      <c r="E66" s="21">
        <v>0</v>
      </c>
      <c r="G66" s="41">
        <v>0.62</v>
      </c>
      <c r="H66" s="21">
        <v>0</v>
      </c>
    </row>
    <row r="67" spans="1:8">
      <c r="A67" s="42">
        <v>0.63</v>
      </c>
      <c r="B67" s="22">
        <v>26</v>
      </c>
      <c r="D67" s="41">
        <v>0.63</v>
      </c>
      <c r="E67" s="21">
        <v>0</v>
      </c>
      <c r="G67" s="41">
        <v>0.63</v>
      </c>
      <c r="H67" s="21">
        <v>0</v>
      </c>
    </row>
    <row r="68" spans="1:8">
      <c r="A68" s="42">
        <v>0.64</v>
      </c>
      <c r="B68" s="22">
        <v>26</v>
      </c>
      <c r="D68" s="41">
        <v>0.64</v>
      </c>
      <c r="E68" s="21">
        <v>0</v>
      </c>
      <c r="G68" s="41">
        <v>0.64</v>
      </c>
      <c r="H68" s="21">
        <v>0</v>
      </c>
    </row>
    <row r="69" spans="1:8">
      <c r="A69" s="41">
        <v>0.65</v>
      </c>
      <c r="B69" s="21">
        <v>32</v>
      </c>
      <c r="D69" s="42">
        <v>0.65</v>
      </c>
      <c r="E69" s="22">
        <v>3</v>
      </c>
      <c r="G69" s="41">
        <v>0.65</v>
      </c>
      <c r="H69" s="21">
        <v>0</v>
      </c>
    </row>
    <row r="70" spans="1:8">
      <c r="A70" s="41">
        <v>0.66</v>
      </c>
      <c r="B70" s="21">
        <v>32</v>
      </c>
      <c r="D70" s="42">
        <v>0.66</v>
      </c>
      <c r="E70" s="22">
        <v>3</v>
      </c>
      <c r="G70" s="41">
        <v>0.66</v>
      </c>
      <c r="H70" s="21">
        <v>0</v>
      </c>
    </row>
    <row r="71" spans="1:8">
      <c r="A71" s="41">
        <v>0.67</v>
      </c>
      <c r="B71" s="21">
        <v>32</v>
      </c>
      <c r="D71" s="41">
        <v>0.67</v>
      </c>
      <c r="E71" s="21">
        <v>9</v>
      </c>
      <c r="G71" s="41">
        <v>0.67</v>
      </c>
      <c r="H71" s="21">
        <v>0</v>
      </c>
    </row>
    <row r="72" spans="1:8">
      <c r="A72" s="42">
        <v>0.68</v>
      </c>
      <c r="B72" s="22">
        <v>38</v>
      </c>
      <c r="D72" s="41">
        <v>0.68</v>
      </c>
      <c r="E72" s="21">
        <v>9</v>
      </c>
      <c r="G72" s="41">
        <v>0.68</v>
      </c>
      <c r="H72" s="21">
        <v>0</v>
      </c>
    </row>
    <row r="73" spans="1:8">
      <c r="A73" s="42">
        <v>0.69</v>
      </c>
      <c r="B73" s="22">
        <v>38</v>
      </c>
      <c r="D73" s="42">
        <v>0.69</v>
      </c>
      <c r="E73" s="22">
        <v>15</v>
      </c>
      <c r="G73" s="41">
        <v>0.69</v>
      </c>
      <c r="H73" s="21">
        <v>0</v>
      </c>
    </row>
    <row r="74" spans="1:8">
      <c r="A74" s="42">
        <v>0.7</v>
      </c>
      <c r="B74" s="22">
        <v>38</v>
      </c>
      <c r="D74" s="42">
        <v>0.7</v>
      </c>
      <c r="E74" s="22">
        <v>15</v>
      </c>
      <c r="G74" s="41">
        <v>0.7</v>
      </c>
      <c r="H74" s="21">
        <v>0</v>
      </c>
    </row>
    <row r="75" spans="1:8">
      <c r="A75" s="41">
        <v>0.71</v>
      </c>
      <c r="B75" s="21">
        <v>44</v>
      </c>
      <c r="D75" s="41">
        <v>0.71</v>
      </c>
      <c r="E75" s="21">
        <v>21</v>
      </c>
      <c r="G75" s="41">
        <v>0.71</v>
      </c>
      <c r="H75" s="21">
        <v>0</v>
      </c>
    </row>
    <row r="76" spans="1:8">
      <c r="A76" s="41">
        <v>0.72</v>
      </c>
      <c r="B76" s="21">
        <v>44</v>
      </c>
      <c r="D76" s="41">
        <v>0.72</v>
      </c>
      <c r="E76" s="21">
        <v>21</v>
      </c>
      <c r="G76" s="41">
        <v>0.72</v>
      </c>
      <c r="H76" s="21">
        <v>0</v>
      </c>
    </row>
    <row r="77" spans="1:8">
      <c r="A77" s="41">
        <v>0.73</v>
      </c>
      <c r="B77" s="21">
        <v>44</v>
      </c>
      <c r="D77" s="42">
        <v>0.73</v>
      </c>
      <c r="E77" s="22">
        <v>27</v>
      </c>
      <c r="G77" s="41">
        <v>0.73</v>
      </c>
      <c r="H77" s="21">
        <v>0</v>
      </c>
    </row>
    <row r="78" spans="1:8">
      <c r="A78" s="42">
        <v>0.74</v>
      </c>
      <c r="B78" s="22">
        <v>50</v>
      </c>
      <c r="D78" s="42">
        <v>0.74</v>
      </c>
      <c r="E78" s="22">
        <v>27</v>
      </c>
      <c r="G78" s="41">
        <v>0.74</v>
      </c>
      <c r="H78" s="21">
        <v>0</v>
      </c>
    </row>
    <row r="79" spans="1:8">
      <c r="A79" s="42">
        <v>0.75</v>
      </c>
      <c r="B79" s="22">
        <v>50</v>
      </c>
      <c r="D79" s="41">
        <v>0.75</v>
      </c>
      <c r="E79" s="21">
        <v>33</v>
      </c>
      <c r="G79" s="41">
        <v>0.75</v>
      </c>
      <c r="H79" s="21">
        <v>0</v>
      </c>
    </row>
    <row r="80" spans="1:8">
      <c r="A80" s="42">
        <v>0.76</v>
      </c>
      <c r="B80" s="22">
        <v>50</v>
      </c>
      <c r="D80" s="41">
        <v>0.76</v>
      </c>
      <c r="E80" s="21">
        <v>33</v>
      </c>
      <c r="G80" s="41">
        <v>0.76</v>
      </c>
      <c r="H80" s="21">
        <v>0</v>
      </c>
    </row>
    <row r="81" spans="1:8">
      <c r="A81" s="41">
        <v>0.77</v>
      </c>
      <c r="B81" s="21">
        <v>56</v>
      </c>
      <c r="D81" s="42">
        <v>0.77</v>
      </c>
      <c r="E81" s="22">
        <v>39</v>
      </c>
      <c r="G81" s="41">
        <v>0.77</v>
      </c>
      <c r="H81" s="21">
        <v>0</v>
      </c>
    </row>
    <row r="82" spans="1:8">
      <c r="A82" s="41">
        <v>0.78</v>
      </c>
      <c r="B82" s="21">
        <v>56</v>
      </c>
      <c r="D82" s="42">
        <v>0.78</v>
      </c>
      <c r="E82" s="22">
        <v>39</v>
      </c>
      <c r="G82" s="41">
        <v>0.78</v>
      </c>
      <c r="H82" s="21">
        <v>0</v>
      </c>
    </row>
    <row r="83" spans="1:8">
      <c r="A83" s="41">
        <v>0.79</v>
      </c>
      <c r="B83" s="21">
        <v>56</v>
      </c>
      <c r="D83" s="41">
        <v>0.79</v>
      </c>
      <c r="E83" s="21">
        <v>45</v>
      </c>
      <c r="G83" s="41">
        <v>0.79</v>
      </c>
      <c r="H83" s="21">
        <v>0</v>
      </c>
    </row>
    <row r="84" spans="1:8">
      <c r="A84" s="42">
        <v>0.8</v>
      </c>
      <c r="B84" s="22">
        <v>62</v>
      </c>
      <c r="D84" s="41">
        <v>0.8</v>
      </c>
      <c r="E84" s="21">
        <v>45</v>
      </c>
      <c r="G84" s="41">
        <v>0.8</v>
      </c>
      <c r="H84" s="21">
        <v>0</v>
      </c>
    </row>
    <row r="85" spans="1:8">
      <c r="A85" s="42">
        <v>0.81</v>
      </c>
      <c r="B85" s="22">
        <v>62</v>
      </c>
      <c r="D85" s="42">
        <v>0.81</v>
      </c>
      <c r="E85" s="22">
        <v>51</v>
      </c>
      <c r="G85" s="41">
        <v>0.81</v>
      </c>
      <c r="H85" s="21">
        <v>0</v>
      </c>
    </row>
    <row r="86" spans="1:8">
      <c r="A86" s="42">
        <v>0.82</v>
      </c>
      <c r="B86" s="22">
        <v>62</v>
      </c>
      <c r="D86" s="42">
        <v>0.82</v>
      </c>
      <c r="E86" s="22">
        <v>51</v>
      </c>
      <c r="G86" s="41">
        <v>0.82</v>
      </c>
      <c r="H86" s="21">
        <v>0</v>
      </c>
    </row>
    <row r="87" spans="1:8">
      <c r="A87" s="41">
        <v>0.83</v>
      </c>
      <c r="B87" s="21">
        <v>68</v>
      </c>
      <c r="D87" s="41">
        <v>0.83</v>
      </c>
      <c r="E87" s="21">
        <v>57</v>
      </c>
      <c r="G87" s="41">
        <v>0.83</v>
      </c>
      <c r="H87" s="21">
        <v>0</v>
      </c>
    </row>
    <row r="88" spans="1:8">
      <c r="A88" s="41">
        <v>0.84</v>
      </c>
      <c r="B88" s="21">
        <v>68</v>
      </c>
      <c r="D88" s="41">
        <v>0.84</v>
      </c>
      <c r="E88" s="21">
        <v>57</v>
      </c>
      <c r="G88" s="41">
        <v>0.84</v>
      </c>
      <c r="H88" s="21">
        <v>0</v>
      </c>
    </row>
    <row r="89" spans="1:8">
      <c r="A89" s="41">
        <v>0.85</v>
      </c>
      <c r="B89" s="21">
        <v>68</v>
      </c>
      <c r="D89" s="42">
        <v>0.85</v>
      </c>
      <c r="E89" s="22">
        <v>63</v>
      </c>
      <c r="G89" s="41">
        <v>0.85</v>
      </c>
      <c r="H89" s="21">
        <v>0</v>
      </c>
    </row>
    <row r="90" spans="1:8">
      <c r="A90" s="42">
        <v>0.86</v>
      </c>
      <c r="B90" s="22">
        <v>74</v>
      </c>
      <c r="D90" s="42">
        <v>0.86</v>
      </c>
      <c r="E90" s="22">
        <v>63</v>
      </c>
      <c r="G90" s="42">
        <v>0.86</v>
      </c>
      <c r="H90" s="22">
        <v>8</v>
      </c>
    </row>
    <row r="91" spans="1:8">
      <c r="A91" s="42">
        <v>0.87</v>
      </c>
      <c r="B91" s="22">
        <v>74</v>
      </c>
      <c r="D91" s="41">
        <v>0.87</v>
      </c>
      <c r="E91" s="21">
        <v>69</v>
      </c>
      <c r="G91" s="41">
        <v>0.87</v>
      </c>
      <c r="H91" s="21">
        <v>16</v>
      </c>
    </row>
    <row r="92" spans="1:8">
      <c r="A92" s="42">
        <v>0.88</v>
      </c>
      <c r="B92" s="22">
        <v>74</v>
      </c>
      <c r="D92" s="41">
        <v>0.88</v>
      </c>
      <c r="E92" s="21">
        <v>69</v>
      </c>
      <c r="G92" s="42">
        <v>0.88</v>
      </c>
      <c r="H92" s="22">
        <v>24</v>
      </c>
    </row>
    <row r="93" spans="1:8">
      <c r="A93" s="41">
        <v>0.89</v>
      </c>
      <c r="B93" s="21">
        <v>80</v>
      </c>
      <c r="D93" s="42">
        <v>0.89</v>
      </c>
      <c r="E93" s="22">
        <v>75</v>
      </c>
      <c r="G93" s="41">
        <v>0.89</v>
      </c>
      <c r="H93" s="21">
        <v>32</v>
      </c>
    </row>
    <row r="94" spans="1:8">
      <c r="A94" s="41">
        <v>0.9</v>
      </c>
      <c r="B94" s="21">
        <v>80</v>
      </c>
      <c r="D94" s="42">
        <v>0.9</v>
      </c>
      <c r="E94" s="22">
        <v>75</v>
      </c>
      <c r="G94" s="42">
        <v>0.9</v>
      </c>
      <c r="H94" s="22">
        <v>40</v>
      </c>
    </row>
    <row r="95" spans="1:8">
      <c r="A95" s="41">
        <v>0.91</v>
      </c>
      <c r="B95" s="21">
        <v>80</v>
      </c>
      <c r="D95" s="41">
        <v>0.91</v>
      </c>
      <c r="E95" s="21">
        <v>81</v>
      </c>
      <c r="G95" s="41">
        <v>0.91</v>
      </c>
      <c r="H95" s="21">
        <v>48</v>
      </c>
    </row>
    <row r="96" spans="1:8">
      <c r="A96" s="42">
        <v>0.92</v>
      </c>
      <c r="B96" s="22">
        <v>86</v>
      </c>
      <c r="D96" s="41">
        <v>0.92</v>
      </c>
      <c r="E96" s="21">
        <v>81</v>
      </c>
      <c r="G96" s="42">
        <v>0.92</v>
      </c>
      <c r="H96" s="22">
        <v>56</v>
      </c>
    </row>
    <row r="97" spans="1:8">
      <c r="A97" s="42">
        <v>0.93</v>
      </c>
      <c r="B97" s="22">
        <v>86</v>
      </c>
      <c r="D97" s="42">
        <v>0.93</v>
      </c>
      <c r="E97" s="22">
        <v>87</v>
      </c>
      <c r="G97" s="41">
        <v>0.93</v>
      </c>
      <c r="H97" s="21">
        <v>64</v>
      </c>
    </row>
    <row r="98" spans="1:8">
      <c r="A98" s="42">
        <v>0.94</v>
      </c>
      <c r="B98" s="22">
        <v>86</v>
      </c>
      <c r="D98" s="42">
        <v>0.94</v>
      </c>
      <c r="E98" s="22">
        <v>87</v>
      </c>
      <c r="G98" s="42">
        <v>0.94</v>
      </c>
      <c r="H98" s="22">
        <v>72</v>
      </c>
    </row>
    <row r="99" spans="1:8">
      <c r="A99" s="41">
        <v>0.95</v>
      </c>
      <c r="B99" s="21">
        <v>92</v>
      </c>
      <c r="D99" s="41">
        <v>0.95</v>
      </c>
      <c r="E99" s="21">
        <v>93</v>
      </c>
      <c r="G99" s="41">
        <v>0.95</v>
      </c>
      <c r="H99" s="21">
        <v>80</v>
      </c>
    </row>
    <row r="100" spans="1:8">
      <c r="A100" s="41">
        <v>0.96</v>
      </c>
      <c r="B100" s="21">
        <v>92</v>
      </c>
      <c r="D100" s="41">
        <v>0.96</v>
      </c>
      <c r="E100" s="21">
        <v>93</v>
      </c>
      <c r="G100" s="42">
        <v>0.96</v>
      </c>
      <c r="H100" s="22">
        <v>88</v>
      </c>
    </row>
    <row r="101" spans="1:8">
      <c r="A101" s="41">
        <v>0.97</v>
      </c>
      <c r="B101" s="21">
        <v>92</v>
      </c>
      <c r="D101" s="42">
        <v>0.97</v>
      </c>
      <c r="E101" s="22">
        <v>99</v>
      </c>
      <c r="G101" s="41">
        <v>0.97</v>
      </c>
      <c r="H101" s="21">
        <v>96</v>
      </c>
    </row>
    <row r="102" spans="1:8">
      <c r="A102" s="42">
        <v>0.98</v>
      </c>
      <c r="B102" s="22">
        <v>98</v>
      </c>
      <c r="D102" s="42">
        <v>0.98</v>
      </c>
      <c r="E102" s="22">
        <v>99</v>
      </c>
      <c r="G102" s="42">
        <v>0.98</v>
      </c>
      <c r="H102" s="22">
        <v>104</v>
      </c>
    </row>
    <row r="103" spans="1:8">
      <c r="A103" s="42">
        <v>0.99</v>
      </c>
      <c r="B103" s="22">
        <v>98</v>
      </c>
      <c r="D103" s="41">
        <v>0.99</v>
      </c>
      <c r="E103" s="21">
        <v>105</v>
      </c>
      <c r="G103" s="41">
        <v>0.99</v>
      </c>
      <c r="H103" s="21">
        <v>112</v>
      </c>
    </row>
    <row r="104" spans="1:8">
      <c r="A104" s="42">
        <v>1</v>
      </c>
      <c r="B104" s="22">
        <v>98</v>
      </c>
      <c r="D104" s="41">
        <v>1</v>
      </c>
      <c r="E104" s="21">
        <v>105</v>
      </c>
      <c r="G104" s="42">
        <v>1</v>
      </c>
      <c r="H104" s="2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Main Menu</vt:lpstr>
      <vt:lpstr>Foundation</vt:lpstr>
      <vt:lpstr>Year 1</vt:lpstr>
      <vt:lpstr>Year 2</vt:lpstr>
      <vt:lpstr>Year 3</vt:lpstr>
      <vt:lpstr>Year 4</vt:lpstr>
      <vt:lpstr>Year 5</vt:lpstr>
      <vt:lpstr>Year 6</vt:lpstr>
      <vt:lpstr>ORF Accuracy Value LookUp</vt:lpstr>
      <vt:lpstr>Foundation!Print_Area</vt:lpstr>
      <vt:lpstr>'Year 1'!Print_Area</vt:lpstr>
      <vt:lpstr>'Year 2'!Print_Area</vt:lpstr>
      <vt:lpstr>'Year 3'!Print_Area</vt:lpstr>
      <vt:lpstr>'Year 4'!Print_Area</vt:lpstr>
      <vt:lpstr>'Year 5'!Print_Area</vt:lpstr>
      <vt:lpstr>'Year 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2025-11-25T13:38:57Z</dcterms:modified>
</cp:coreProperties>
</file>